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6555" yWindow="1290" windowWidth="19155" windowHeight="6375" activeTab="5"/>
  </bookViews>
  <sheets>
    <sheet name="BANCOS" sheetId="4" r:id="rId1"/>
    <sheet name="Plan1" sheetId="1" state="hidden" r:id="rId2"/>
    <sheet name="Apoio" sheetId="2" state="hidden" r:id="rId3"/>
    <sheet name="CUSTOS_PRODUCAO" sheetId="12" r:id="rId4"/>
    <sheet name="ESTILOS" sheetId="8" r:id="rId5"/>
    <sheet name="GRANDS" sheetId="3" r:id="rId6"/>
    <sheet name="IR" sheetId="5" r:id="rId7"/>
    <sheet name="IR (2)" sheetId="13" r:id="rId8"/>
    <sheet name="LINHAS" sheetId="10" r:id="rId9"/>
    <sheet name="PROFISSOES" sheetId="11" r:id="rId10"/>
    <sheet name="PROPOSTAS" sheetId="14" r:id="rId11"/>
    <sheet name="PROJETOS" sheetId="15" r:id="rId12"/>
    <sheet name="VER.3.0" sheetId="7" r:id="rId13"/>
  </sheets>
  <functionGroups/>
  <definedNames>
    <definedName name="DRIVERS">OFFSET(BANCOS!$H$2,0,0,COUNTA(BANCOS!$H:$H)-1,1)</definedName>
  </definedNames>
  <calcPr calcId="125725"/>
</workbook>
</file>

<file path=xl/calcChain.xml><?xml version="1.0" encoding="utf-8"?>
<calcChain xmlns="http://schemas.openxmlformats.org/spreadsheetml/2006/main">
  <c r="F2" i="4"/>
  <c r="C2"/>
</calcChain>
</file>

<file path=xl/sharedStrings.xml><?xml version="1.0" encoding="utf-8"?>
<sst xmlns="http://schemas.openxmlformats.org/spreadsheetml/2006/main" count="395" uniqueCount="199">
  <si>
    <t>X</t>
  </si>
  <si>
    <t>SERVIDOR</t>
  </si>
  <si>
    <t>BANCO 01</t>
  </si>
  <si>
    <t>DRIVERS</t>
  </si>
  <si>
    <t>SOURCE</t>
  </si>
  <si>
    <t>Source:</t>
  </si>
  <si>
    <t>Microsoft.ACE.OLEDB.12.0</t>
  </si>
  <si>
    <t>Access</t>
  </si>
  <si>
    <t>driver:</t>
  </si>
  <si>
    <t>MySQL ODBC 5.3 ANSI Driver</t>
  </si>
  <si>
    <t>Microsoft Access Driver (*.mdb, *.accdb)</t>
  </si>
  <si>
    <t>Access2003</t>
  </si>
  <si>
    <t>location:</t>
  </si>
  <si>
    <t>186.202.152.40</t>
  </si>
  <si>
    <t>SQLite3 ODBC Driver</t>
  </si>
  <si>
    <t>SQLite</t>
  </si>
  <si>
    <t>database:</t>
  </si>
  <si>
    <t>Ailton_springer</t>
  </si>
  <si>
    <t>MySQL ODBC 5.2a Driver</t>
  </si>
  <si>
    <t>MySQL</t>
  </si>
  <si>
    <t>user:</t>
  </si>
  <si>
    <t>Ailto_springer</t>
  </si>
  <si>
    <t>admin</t>
  </si>
  <si>
    <t>PostgreSQL ANSI</t>
  </si>
  <si>
    <t>PostgreSQL</t>
  </si>
  <si>
    <t>password:</t>
  </si>
  <si>
    <t>41L70N@@</t>
  </si>
  <si>
    <t>abc</t>
  </si>
  <si>
    <t>port:</t>
  </si>
  <si>
    <t>127.0.0.1</t>
  </si>
  <si>
    <t>ailton_springer</t>
  </si>
  <si>
    <t>root</t>
  </si>
  <si>
    <t>C:\Users\AILTON\Desktop\WORK\__SPRINGER\SPRINGER\db\</t>
  </si>
  <si>
    <t>dbOrcamentos.mdb</t>
  </si>
  <si>
    <t>DRIVER</t>
  </si>
  <si>
    <t>LOCATION</t>
  </si>
  <si>
    <t>DATABASE</t>
  </si>
  <si>
    <t>USER</t>
  </si>
  <si>
    <t>PASSWORD</t>
  </si>
  <si>
    <t>PORT</t>
  </si>
  <si>
    <t>Controle</t>
  </si>
  <si>
    <t>Vendedor</t>
  </si>
  <si>
    <t>Profissao</t>
  </si>
  <si>
    <t>Nome</t>
  </si>
  <si>
    <t>ValorLiquido</t>
  </si>
  <si>
    <t>137-14</t>
  </si>
  <si>
    <t>ID</t>
  </si>
  <si>
    <t>IR-ANO</t>
  </si>
  <si>
    <t>DESCRICAO</t>
  </si>
  <si>
    <t>FAIXA_INICIAL</t>
  </si>
  <si>
    <t>FAIXA_FINAL</t>
  </si>
  <si>
    <t>ALIQUOTA</t>
  </si>
  <si>
    <t>PARCELA_DEDUZIR</t>
  </si>
  <si>
    <t>IR-2014</t>
  </si>
  <si>
    <t>TRADUÇÃO</t>
  </si>
  <si>
    <t>REPRINTS</t>
  </si>
  <si>
    <t>MEDCOMMS</t>
  </si>
  <si>
    <t>PAGINAS</t>
  </si>
  <si>
    <t>VALOR</t>
  </si>
  <si>
    <t>TIPO</t>
  </si>
  <si>
    <t>ESTILO</t>
  </si>
  <si>
    <t>VERSÃO</t>
  </si>
  <si>
    <t>MÓDULO</t>
  </si>
  <si>
    <t>DESCRIÇÃO</t>
  </si>
  <si>
    <t>3.0</t>
  </si>
  <si>
    <t>COPIAR ORÇAMENTO</t>
  </si>
  <si>
    <t>VOLTAR ETAPA</t>
  </si>
  <si>
    <t>CHECAR A EXISTENCIA DE CUSTOS DE PRODUÇÃO AO ENVIAR PARA PROXIMA ETAPA</t>
  </si>
  <si>
    <t>SCRIPT MUDANÇA DE SISTEMA</t>
  </si>
  <si>
    <t>MUDAR CADASTROS - IMPORT_DESEMB &gt;&gt;&gt; IMPORT</t>
  </si>
  <si>
    <t>MUDAR CADASTROS - TRANSP. &gt;&gt;&gt; TRANSPORTE NACIONAL</t>
  </si>
  <si>
    <t>NOVOS CAMPOS - LINHAS DE PRODUTOS ( AJUSTE DE LINHA DE 1 A 4 )</t>
  </si>
  <si>
    <t>EXPORT DE DADOS - ORÇAMENTOS</t>
  </si>
  <si>
    <t>EXPORT DE DADOS - CUSTOS</t>
  </si>
  <si>
    <t>EXPORT DE DADOS - ANEXOS</t>
  </si>
  <si>
    <t>NOVOS CAMPOS - CADASTRO DE VENDEDOR ( TELEFONE, CELULAR_01, CELULAR_02, ID NEXTEL )</t>
  </si>
  <si>
    <t>NOVOS CAMPOS - LINHAS DE PRODUTOS ( DE 1 A 4 )</t>
  </si>
  <si>
    <t>NOVOS CAMPOS - FASCICULOS ( DE 1 A 4 )</t>
  </si>
  <si>
    <t>NOVOS CAMPOS - PREÇO MKT ( DE 1 A 4 )</t>
  </si>
  <si>
    <t>NOVOS CAMPOS - DESCONTO PADRÃO ( DE 1 A 4 )</t>
  </si>
  <si>
    <t>NOVOS CAMPOS - ARREDENDAMENTO ( DE 1 A 4 )</t>
  </si>
  <si>
    <t>NOVOS CAMPOS - PREÇO TOTAL ( DE 1 A 4 )</t>
  </si>
  <si>
    <t>EXCLUSÃO - PREÇO ORÇADO</t>
  </si>
  <si>
    <t>EXCLUSÃO - DESCONTO</t>
  </si>
  <si>
    <t>SINCRONISMO</t>
  </si>
  <si>
    <t>ATUALIZAÇÃO DE STATUS ENTRE DEPARTAMENTOS</t>
  </si>
  <si>
    <t>ANALISE ADMINISTRATIVA</t>
  </si>
  <si>
    <t>(SERVIDOR) - CONTADOR DE ORÇAMENTOS POR STATUS</t>
  </si>
  <si>
    <t>VENDAS - NOVO</t>
  </si>
  <si>
    <t>VENDAS - CUSTO</t>
  </si>
  <si>
    <t>DESBLOQUEIO</t>
  </si>
  <si>
    <t xml:space="preserve">VENDAS - ( Ñ EDITAR ) - RE-CUSTO </t>
  </si>
  <si>
    <t xml:space="preserve">VENDAS - ( Ñ EDITAR ) - ORÇAMENTO </t>
  </si>
  <si>
    <t xml:space="preserve">VENDAS - ( Ñ EDITAR ) - CUSTO </t>
  </si>
  <si>
    <t>PROPOSTAS</t>
  </si>
  <si>
    <t>GRAND</t>
  </si>
  <si>
    <t>IR</t>
  </si>
  <si>
    <t>CUSTOS DE PRODUÇÃO</t>
  </si>
  <si>
    <t>PRODUÇÃO - CADASTRO DE IMPOSTO DE RENDA</t>
  </si>
  <si>
    <t>PRODUÇÃO - CADASTRO DE CUSTOS DE PRODUÇÃO</t>
  </si>
  <si>
    <t>VENDAS - CADASTRO DE GRAND</t>
  </si>
  <si>
    <t>SIMULADOR DE CUSTOS</t>
  </si>
  <si>
    <t>VENDAS - SIMULADOR DE CUSTOS</t>
  </si>
  <si>
    <t>ATUALIZAR VENDAS</t>
  </si>
  <si>
    <t>ATUALIZAR VENDAS - ( IR, CUSTOS DE PRODUÇÃO )</t>
  </si>
  <si>
    <t>PRODUÇÃO - CADASTRO DE ESTILOS</t>
  </si>
  <si>
    <t>PROFISSÃO</t>
  </si>
  <si>
    <t>PRODUÇÃO - CADASTRO DE PROFISSÃO</t>
  </si>
  <si>
    <t>RELACIONAR</t>
  </si>
  <si>
    <t>PRODUÇÃO - RELACIONAR LINHAS DE PRODUTOS COM ESTILOS</t>
  </si>
  <si>
    <t>VENDAS - GERAR PROPOSTAS - ( PROJETOS 1 - 4 )</t>
  </si>
  <si>
    <t>ARREDONDAMENTO</t>
  </si>
  <si>
    <t>VENDAS - ARREDONDAMENTO DE VALOR "..."</t>
  </si>
  <si>
    <t>ALERTA</t>
  </si>
  <si>
    <t>VENDAS - ALERTA - ( MARGEM MINIMA )</t>
  </si>
  <si>
    <t>STATUS</t>
  </si>
  <si>
    <t>OK</t>
  </si>
  <si>
    <t>PRODUÇÃO - CADASTRO DE VENDEDOR</t>
  </si>
  <si>
    <t>VENDEDOR</t>
  </si>
  <si>
    <t>LINHA DE PRODUTO</t>
  </si>
  <si>
    <t>MAXIMO</t>
  </si>
  <si>
    <t>MINIMO</t>
  </si>
  <si>
    <t>PROFISSAO</t>
  </si>
  <si>
    <t>DOUTOR</t>
  </si>
  <si>
    <t>JORNALISTA</t>
  </si>
  <si>
    <t>SUBTIPO</t>
  </si>
  <si>
    <t>ADMINISTRADOR</t>
  </si>
  <si>
    <t>ARQUIVISTA</t>
  </si>
  <si>
    <t>PROGRAMADOR</t>
  </si>
  <si>
    <t>FAXINEIRA</t>
  </si>
  <si>
    <t>CHEF DE COZINHA</t>
  </si>
  <si>
    <t>SUPORTE TÉCNICO</t>
  </si>
  <si>
    <t>COZINHEIRO</t>
  </si>
  <si>
    <t>DR</t>
  </si>
  <si>
    <t>fabiana</t>
  </si>
  <si>
    <t>folders</t>
  </si>
  <si>
    <t>3º PARTY CONTRACTUAL</t>
  </si>
  <si>
    <t>3º PARTY NOW CONTRACTUAL</t>
  </si>
  <si>
    <t>3º PARTY WILEY</t>
  </si>
  <si>
    <t>AACR-ENGLISH</t>
  </si>
  <si>
    <t>AACR-TRANSLATED</t>
  </si>
  <si>
    <t>ADIS JNL REPRINTS</t>
  </si>
  <si>
    <t>AMA - ENGLISH</t>
  </si>
  <si>
    <t>AMA - TRANSLATED</t>
  </si>
  <si>
    <t>ASCO BD - Virtual Meeting</t>
  </si>
  <si>
    <t>ASCO BD DEVELOPMENT (excl. VM)</t>
  </si>
  <si>
    <t>ASCO LOCAL EDITION</t>
  </si>
  <si>
    <t>ASCO REPRINT</t>
  </si>
  <si>
    <t>INSCIENCE  MED COMMS</t>
  </si>
  <si>
    <t>LWW ACC</t>
  </si>
  <si>
    <t>LWW BULK BOOKS</t>
  </si>
  <si>
    <t>LWW LOCAL EDITIONS</t>
  </si>
  <si>
    <t>LWW REPRINTS</t>
  </si>
  <si>
    <t>SH BOOKS</t>
  </si>
  <si>
    <t>SH JNL REPRINTS</t>
  </si>
  <si>
    <t>SPRINGER BOOKS</t>
  </si>
  <si>
    <t>SPRINGER JNL REPRINTS</t>
  </si>
  <si>
    <t>Até R$ 1.787,77</t>
  </si>
  <si>
    <t>De R$ 1.787,78 até R$ 2.679,29</t>
  </si>
  <si>
    <t>De R$ 2.679,30 até R$ 3.572,43</t>
  </si>
  <si>
    <t>De R$ 3.572,44 até R$ 4.463,81</t>
  </si>
  <si>
    <t>Acima de R$ 4.463,81</t>
  </si>
  <si>
    <t>Até R$ 500</t>
  </si>
  <si>
    <t>ARQUIVO</t>
  </si>
  <si>
    <t>CONTROLE</t>
  </si>
  <si>
    <t>CLIENTE</t>
  </si>
  <si>
    <t>RESPONSAVEL</t>
  </si>
  <si>
    <t>PROJETO</t>
  </si>
  <si>
    <t>JOURNAL</t>
  </si>
  <si>
    <t>AUTOR</t>
  </si>
  <si>
    <t>PUBLISHER</t>
  </si>
  <si>
    <t>GERENTE DE VENDAS</t>
  </si>
  <si>
    <t>TELEFONE</t>
  </si>
  <si>
    <t>CELULAR 01</t>
  </si>
  <si>
    <t>CELULAR 02</t>
  </si>
  <si>
    <t>ID NEXTEL</t>
  </si>
  <si>
    <t>CAMINHO</t>
  </si>
  <si>
    <t>C:\Users\AILTON\Desktop\WORK\__SPRINGER\SPRINGER\db</t>
  </si>
  <si>
    <t>Proposta - Springer Brasil - 2014.docx</t>
  </si>
  <si>
    <t>100-14</t>
  </si>
  <si>
    <t>RODRIGO MARTINES</t>
  </si>
  <si>
    <t>VANESSA</t>
  </si>
  <si>
    <t>BLUSA AZUL</t>
  </si>
  <si>
    <t>O ESTADO DE SÃO PAULO</t>
  </si>
  <si>
    <t>JOSE DA SILVA</t>
  </si>
  <si>
    <t>A BLUSA AZUL</t>
  </si>
  <si>
    <t>AILTON</t>
  </si>
  <si>
    <t>(11) 2373-7625</t>
  </si>
  <si>
    <t>(11) 9.2373-7625</t>
  </si>
  <si>
    <t>(11) 9.2373-0000</t>
  </si>
  <si>
    <t>8*1209</t>
  </si>
  <si>
    <t>FORMATO</t>
  </si>
  <si>
    <t>NUMERO DE PAGINAS</t>
  </si>
  <si>
    <t>IDIOMA</t>
  </si>
  <si>
    <t>VOLUME</t>
  </si>
  <si>
    <t>PREÇO DE VENDAS</t>
  </si>
  <si>
    <t>PREÇO TOTAL</t>
  </si>
  <si>
    <t>ailton</t>
  </si>
  <si>
    <t>jose</t>
  </si>
</sst>
</file>

<file path=xl/styles.xml><?xml version="1.0" encoding="utf-8"?>
<styleSheet xmlns="http://schemas.openxmlformats.org/spreadsheetml/2006/main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£&quot;* #,##0.00_-;\-&quot;£&quot;* #,##0.00_-;_-&quot;£&quot;* &quot;-&quot;??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Trebuchet MS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1" fillId="0" borderId="0"/>
    <xf numFmtId="0" fontId="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4" borderId="5" xfId="0" applyFill="1" applyBorder="1" applyAlignment="1">
      <alignment horizontal="right"/>
    </xf>
    <xf numFmtId="0" fontId="0" fillId="4" borderId="6" xfId="0" applyFill="1" applyBorder="1" applyAlignment="1">
      <alignment horizontal="left" vertical="center"/>
    </xf>
    <xf numFmtId="0" fontId="0" fillId="0" borderId="7" xfId="0" applyBorder="1"/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left" vertical="center"/>
    </xf>
    <xf numFmtId="0" fontId="0" fillId="0" borderId="10" xfId="0" applyBorder="1"/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left" vertical="center"/>
    </xf>
    <xf numFmtId="0" fontId="3" fillId="0" borderId="0" xfId="0" applyFont="1" applyBorder="1"/>
    <xf numFmtId="0" fontId="0" fillId="0" borderId="0" xfId="0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14" fontId="3" fillId="0" borderId="0" xfId="0" applyNumberFormat="1" applyFont="1"/>
    <xf numFmtId="1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7" fontId="0" fillId="0" borderId="0" xfId="0" applyNumberFormat="1"/>
    <xf numFmtId="9" fontId="0" fillId="0" borderId="0" xfId="15" applyFont="1"/>
    <xf numFmtId="43" fontId="0" fillId="0" borderId="0" xfId="14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6">
    <cellStyle name="Hiperlink 2" xfId="1"/>
    <cellStyle name="Moeda 2" xfId="2"/>
    <cellStyle name="Moeda 2 2" xfId="3"/>
    <cellStyle name="Moeda 3" xfId="4"/>
    <cellStyle name="Normal" xfId="0" builtinId="0"/>
    <cellStyle name="Normal 2" xfId="5"/>
    <cellStyle name="Normal 2 2" xfId="6"/>
    <cellStyle name="Normal 3" xfId="7"/>
    <cellStyle name="Normal 4" xfId="8"/>
    <cellStyle name="Porcentagem" xfId="15" builtinId="5"/>
    <cellStyle name="Separador de milhares" xfId="14" builtinId="3"/>
    <cellStyle name="Separador de milhares 2" xfId="9"/>
    <cellStyle name="Separador de milhares 2 2" xfId="10"/>
    <cellStyle name="Separador de milhares 2 2 2" xfId="11"/>
    <cellStyle name="Separador de milhares 2 3" xfId="12"/>
    <cellStyle name="Vírgula 2" xfId="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4"/>
  <dimension ref="A1:I22"/>
  <sheetViews>
    <sheetView workbookViewId="0">
      <selection activeCell="F3" sqref="F3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1" bestFit="1" customWidth="1"/>
    <col min="8" max="8" width="37.42578125" bestFit="1" customWidth="1"/>
    <col min="9" max="9" width="11" bestFit="1" customWidth="1"/>
  </cols>
  <sheetData>
    <row r="1" spans="1:9" ht="15.75" thickBot="1">
      <c r="A1" s="1" t="s">
        <v>0</v>
      </c>
      <c r="B1" s="24" t="s">
        <v>1</v>
      </c>
      <c r="C1" s="25"/>
      <c r="D1" s="1" t="s">
        <v>0</v>
      </c>
      <c r="E1" s="26" t="s">
        <v>2</v>
      </c>
      <c r="F1" s="27"/>
      <c r="G1" s="1" t="s">
        <v>0</v>
      </c>
      <c r="H1" s="2" t="s">
        <v>3</v>
      </c>
      <c r="I1" s="3" t="s">
        <v>4</v>
      </c>
    </row>
    <row r="2" spans="1:9">
      <c r="A2" s="1"/>
      <c r="B2" s="4" t="s">
        <v>5</v>
      </c>
      <c r="C2" s="5" t="str">
        <f>VLOOKUP(C3,H1:I12,2,FALSE)</f>
        <v>MySQL</v>
      </c>
      <c r="D2" s="1"/>
      <c r="E2" s="4" t="s">
        <v>5</v>
      </c>
      <c r="F2" s="5" t="str">
        <f>VLOOKUP(F3,H1:I12,2,FALSE)</f>
        <v>Access2003</v>
      </c>
      <c r="H2" s="6" t="s">
        <v>6</v>
      </c>
      <c r="I2" s="6" t="s">
        <v>7</v>
      </c>
    </row>
    <row r="3" spans="1:9">
      <c r="A3" s="1"/>
      <c r="B3" s="7" t="s">
        <v>8</v>
      </c>
      <c r="C3" s="8" t="s">
        <v>9</v>
      </c>
      <c r="D3" s="1"/>
      <c r="E3" s="7" t="s">
        <v>8</v>
      </c>
      <c r="F3" s="8" t="s">
        <v>10</v>
      </c>
      <c r="H3" s="9" t="s">
        <v>10</v>
      </c>
      <c r="I3" s="9" t="s">
        <v>11</v>
      </c>
    </row>
    <row r="4" spans="1:9">
      <c r="A4" s="1"/>
      <c r="B4" s="7" t="s">
        <v>12</v>
      </c>
      <c r="C4" s="8" t="s">
        <v>13</v>
      </c>
      <c r="D4" s="1"/>
      <c r="E4" s="7" t="s">
        <v>12</v>
      </c>
      <c r="F4" s="8" t="s">
        <v>32</v>
      </c>
      <c r="H4" s="9" t="s">
        <v>14</v>
      </c>
      <c r="I4" s="9" t="s">
        <v>15</v>
      </c>
    </row>
    <row r="5" spans="1:9">
      <c r="A5" s="1"/>
      <c r="B5" s="7" t="s">
        <v>16</v>
      </c>
      <c r="C5" s="8" t="s">
        <v>17</v>
      </c>
      <c r="D5" s="1"/>
      <c r="E5" s="7" t="s">
        <v>16</v>
      </c>
      <c r="F5" s="8" t="s">
        <v>33</v>
      </c>
      <c r="H5" s="9" t="s">
        <v>18</v>
      </c>
      <c r="I5" s="9" t="s">
        <v>19</v>
      </c>
    </row>
    <row r="6" spans="1:9">
      <c r="A6" s="1"/>
      <c r="B6" s="7" t="s">
        <v>20</v>
      </c>
      <c r="C6" s="8" t="s">
        <v>21</v>
      </c>
      <c r="D6" s="1"/>
      <c r="E6" s="7" t="s">
        <v>20</v>
      </c>
      <c r="F6" s="8" t="s">
        <v>22</v>
      </c>
      <c r="H6" s="9" t="s">
        <v>23</v>
      </c>
      <c r="I6" s="9" t="s">
        <v>24</v>
      </c>
    </row>
    <row r="7" spans="1:9">
      <c r="A7" s="1"/>
      <c r="B7" s="7" t="s">
        <v>25</v>
      </c>
      <c r="C7" s="8" t="s">
        <v>26</v>
      </c>
      <c r="D7" s="1"/>
      <c r="E7" s="7" t="s">
        <v>25</v>
      </c>
      <c r="F7" s="8" t="s">
        <v>27</v>
      </c>
      <c r="H7" s="9" t="s">
        <v>9</v>
      </c>
      <c r="I7" s="9" t="s">
        <v>19</v>
      </c>
    </row>
    <row r="8" spans="1:9" ht="15.75" thickBot="1">
      <c r="A8" s="1"/>
      <c r="B8" s="10" t="s">
        <v>28</v>
      </c>
      <c r="C8" s="11">
        <v>3306</v>
      </c>
      <c r="D8" s="1"/>
      <c r="E8" s="10" t="s">
        <v>28</v>
      </c>
      <c r="F8" s="11"/>
      <c r="H8" s="9"/>
      <c r="I8" s="9"/>
    </row>
    <row r="9" spans="1:9">
      <c r="H9" s="9"/>
      <c r="I9" s="9"/>
    </row>
    <row r="10" spans="1:9">
      <c r="H10" s="9"/>
      <c r="I10" s="9"/>
    </row>
    <row r="11" spans="1:9">
      <c r="H11" s="9"/>
      <c r="I11" s="9"/>
    </row>
    <row r="12" spans="1:9">
      <c r="B12" t="s">
        <v>12</v>
      </c>
      <c r="C12" t="s">
        <v>13</v>
      </c>
      <c r="E12" s="12"/>
      <c r="F12" s="12"/>
      <c r="H12" s="9"/>
      <c r="I12" s="9"/>
    </row>
    <row r="13" spans="1:9">
      <c r="B13" t="s">
        <v>16</v>
      </c>
      <c r="C13" t="s">
        <v>17</v>
      </c>
      <c r="E13" s="13"/>
      <c r="F13" s="13"/>
    </row>
    <row r="14" spans="1:9">
      <c r="B14" t="s">
        <v>20</v>
      </c>
      <c r="C14" t="s">
        <v>21</v>
      </c>
      <c r="E14" s="12"/>
      <c r="F14" s="12"/>
    </row>
    <row r="15" spans="1:9">
      <c r="B15" t="s">
        <v>25</v>
      </c>
      <c r="C15" t="s">
        <v>26</v>
      </c>
      <c r="E15" s="12"/>
      <c r="F15" s="12"/>
    </row>
    <row r="16" spans="1:9">
      <c r="B16" t="s">
        <v>28</v>
      </c>
      <c r="C16">
        <v>3306</v>
      </c>
      <c r="E16" s="13"/>
      <c r="F16" s="13"/>
    </row>
    <row r="18" spans="2:3">
      <c r="B18" t="s">
        <v>12</v>
      </c>
      <c r="C18" t="s">
        <v>29</v>
      </c>
    </row>
    <row r="19" spans="2:3">
      <c r="B19" t="s">
        <v>16</v>
      </c>
      <c r="C19" t="s">
        <v>30</v>
      </c>
    </row>
    <row r="20" spans="2:3">
      <c r="B20" t="s">
        <v>20</v>
      </c>
      <c r="C20" t="s">
        <v>31</v>
      </c>
    </row>
    <row r="21" spans="2:3">
      <c r="B21" t="s">
        <v>25</v>
      </c>
      <c r="C21" t="s">
        <v>26</v>
      </c>
    </row>
    <row r="22" spans="2:3">
      <c r="B22" t="s">
        <v>28</v>
      </c>
      <c r="C22">
        <v>3306</v>
      </c>
    </row>
  </sheetData>
  <mergeCells count="2">
    <mergeCell ref="B1:C1"/>
    <mergeCell ref="E1:F1"/>
  </mergeCells>
  <dataValidations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B1:H4"/>
  <sheetViews>
    <sheetView workbookViewId="0">
      <pane ySplit="1" topLeftCell="A2" activePane="bottomLeft" state="frozen"/>
      <selection activeCell="B17" sqref="B17"/>
      <selection pane="bottomLeft" activeCell="B17" sqref="B17"/>
    </sheetView>
  </sheetViews>
  <sheetFormatPr defaultRowHeight="15"/>
  <cols>
    <col min="2" max="2" width="10.85546875" bestFit="1" customWidth="1"/>
    <col min="3" max="3" width="37.42578125" bestFit="1" customWidth="1"/>
    <col min="4" max="4" width="57.140625" bestFit="1" customWidth="1"/>
    <col min="5" max="5" width="18.85546875" bestFit="1" customWidth="1"/>
    <col min="6" max="6" width="13.7109375" bestFit="1" customWidth="1"/>
    <col min="7" max="7" width="11.28515625" bestFit="1" customWidth="1"/>
    <col min="8" max="8" width="5.7109375" bestFit="1" customWidth="1"/>
  </cols>
  <sheetData>
    <row r="1" spans="2:8" s="14" customFormat="1">
      <c r="B1" s="14" t="s">
        <v>4</v>
      </c>
      <c r="C1" s="14" t="s">
        <v>34</v>
      </c>
      <c r="D1" s="14" t="s">
        <v>35</v>
      </c>
      <c r="E1" s="14" t="s">
        <v>36</v>
      </c>
      <c r="F1" s="14" t="s">
        <v>37</v>
      </c>
      <c r="G1" s="14" t="s">
        <v>38</v>
      </c>
      <c r="H1" s="14" t="s">
        <v>39</v>
      </c>
    </row>
    <row r="2" spans="2:8">
      <c r="B2" t="s">
        <v>19</v>
      </c>
      <c r="C2" t="s">
        <v>9</v>
      </c>
      <c r="D2" t="s">
        <v>13</v>
      </c>
      <c r="E2" t="s">
        <v>17</v>
      </c>
      <c r="F2" t="s">
        <v>21</v>
      </c>
      <c r="G2" t="s">
        <v>26</v>
      </c>
      <c r="H2">
        <v>3306</v>
      </c>
    </row>
    <row r="3" spans="2:8">
      <c r="B3" t="s">
        <v>11</v>
      </c>
      <c r="C3" t="s">
        <v>10</v>
      </c>
      <c r="D3" t="s">
        <v>32</v>
      </c>
      <c r="E3" t="s">
        <v>33</v>
      </c>
      <c r="F3" t="s">
        <v>22</v>
      </c>
      <c r="G3" t="s">
        <v>27</v>
      </c>
    </row>
    <row r="4" spans="2:8">
      <c r="B4" t="s">
        <v>19</v>
      </c>
      <c r="C4" t="s">
        <v>9</v>
      </c>
      <c r="D4" t="s">
        <v>29</v>
      </c>
      <c r="E4" t="s">
        <v>30</v>
      </c>
      <c r="F4" t="s">
        <v>31</v>
      </c>
      <c r="G4" t="s">
        <v>26</v>
      </c>
      <c r="H4">
        <v>3306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B12"/>
  <sheetViews>
    <sheetView workbookViewId="0">
      <selection activeCell="B17" sqref="B17"/>
    </sheetView>
  </sheetViews>
  <sheetFormatPr defaultRowHeight="15"/>
  <cols>
    <col min="1" max="1" width="37.42578125" bestFit="1" customWidth="1"/>
    <col min="2" max="2" width="11" bestFit="1" customWidth="1"/>
  </cols>
  <sheetData>
    <row r="1" spans="1:2" ht="15.75" thickBot="1">
      <c r="A1" s="2" t="s">
        <v>3</v>
      </c>
      <c r="B1" s="3" t="s">
        <v>4</v>
      </c>
    </row>
    <row r="2" spans="1:2">
      <c r="A2" s="6" t="s">
        <v>6</v>
      </c>
      <c r="B2" s="6" t="s">
        <v>7</v>
      </c>
    </row>
    <row r="3" spans="1:2">
      <c r="A3" s="9" t="s">
        <v>10</v>
      </c>
      <c r="B3" s="9" t="s">
        <v>11</v>
      </c>
    </row>
    <row r="4" spans="1:2">
      <c r="A4" s="9" t="s">
        <v>14</v>
      </c>
      <c r="B4" s="9" t="s">
        <v>15</v>
      </c>
    </row>
    <row r="5" spans="1:2">
      <c r="A5" s="9" t="s">
        <v>18</v>
      </c>
      <c r="B5" s="9" t="s">
        <v>19</v>
      </c>
    </row>
    <row r="6" spans="1:2">
      <c r="A6" s="9" t="s">
        <v>23</v>
      </c>
      <c r="B6" s="9" t="s">
        <v>24</v>
      </c>
    </row>
    <row r="7" spans="1:2">
      <c r="A7" s="9" t="s">
        <v>9</v>
      </c>
      <c r="B7" s="9" t="s">
        <v>19</v>
      </c>
    </row>
    <row r="8" spans="1:2">
      <c r="A8" s="9"/>
      <c r="B8" s="9"/>
    </row>
    <row r="9" spans="1:2">
      <c r="A9" s="9"/>
      <c r="B9" s="9"/>
    </row>
    <row r="10" spans="1:2">
      <c r="A10" s="9"/>
      <c r="B10" s="9"/>
    </row>
    <row r="11" spans="1:2">
      <c r="A11" s="9"/>
      <c r="B11" s="9"/>
    </row>
    <row r="12" spans="1:2">
      <c r="A12" s="9"/>
      <c r="B12" s="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1"/>
  <dimension ref="A1:F2"/>
  <sheetViews>
    <sheetView workbookViewId="0">
      <pane ySplit="1" topLeftCell="A2" activePane="bottomLeft" state="frozen"/>
      <selection pane="bottomLeft" activeCell="B2" sqref="B2"/>
    </sheetView>
  </sheetViews>
  <sheetFormatPr defaultColWidth="13.28515625" defaultRowHeight="15"/>
  <cols>
    <col min="3" max="3" width="14.5703125" customWidth="1"/>
    <col min="4" max="4" width="22.7109375" bestFit="1" customWidth="1"/>
  </cols>
  <sheetData>
    <row r="1" spans="1:6" s="15" customFormat="1">
      <c r="A1" s="15" t="s">
        <v>46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125</v>
      </c>
    </row>
    <row r="2" spans="1:6">
      <c r="A2">
        <v>1517</v>
      </c>
      <c r="C2" s="21">
        <v>5281.32</v>
      </c>
      <c r="D2" t="s">
        <v>54</v>
      </c>
      <c r="E2" t="s">
        <v>55</v>
      </c>
      <c r="F2" t="s">
        <v>135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B3"/>
  <sheetViews>
    <sheetView workbookViewId="0">
      <pane ySplit="1" topLeftCell="A2" activePane="bottomLeft" state="frozen"/>
      <selection pane="bottomLeft" activeCell="C12" sqref="C12"/>
    </sheetView>
  </sheetViews>
  <sheetFormatPr defaultColWidth="13.28515625" defaultRowHeight="15"/>
  <sheetData>
    <row r="1" spans="1:2" s="15" customFormat="1">
      <c r="A1" s="15" t="s">
        <v>46</v>
      </c>
      <c r="B1" s="15" t="s">
        <v>60</v>
      </c>
    </row>
    <row r="2" spans="1:2">
      <c r="A2">
        <v>1509</v>
      </c>
      <c r="B2" t="s">
        <v>56</v>
      </c>
    </row>
    <row r="3" spans="1:2">
      <c r="A3">
        <v>1508</v>
      </c>
      <c r="B3" t="s">
        <v>55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3"/>
  <dimension ref="A1:F3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5" max="5" width="15" bestFit="1" customWidth="1"/>
  </cols>
  <sheetData>
    <row r="1" spans="1:6" s="15" customFormat="1">
      <c r="A1" s="15" t="s">
        <v>46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</row>
    <row r="2" spans="1:6">
      <c r="B2" t="s">
        <v>45</v>
      </c>
      <c r="C2" t="s">
        <v>134</v>
      </c>
      <c r="D2" t="s">
        <v>124</v>
      </c>
      <c r="E2" t="s">
        <v>197</v>
      </c>
      <c r="F2" s="21">
        <v>8235.6200000000008</v>
      </c>
    </row>
    <row r="3" spans="1:6">
      <c r="B3" t="s">
        <v>45</v>
      </c>
      <c r="C3" t="s">
        <v>134</v>
      </c>
      <c r="D3" t="s">
        <v>133</v>
      </c>
      <c r="E3" t="s">
        <v>198</v>
      </c>
      <c r="F3" s="21">
        <v>2325.31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5" customFormat="1">
      <c r="A1" s="15" t="s">
        <v>46</v>
      </c>
      <c r="B1" s="15" t="s">
        <v>47</v>
      </c>
      <c r="C1" s="15" t="s">
        <v>48</v>
      </c>
      <c r="D1" s="15" t="s">
        <v>49</v>
      </c>
      <c r="E1" s="15" t="s">
        <v>50</v>
      </c>
      <c r="F1" s="15" t="s">
        <v>51</v>
      </c>
      <c r="G1" s="15" t="s">
        <v>52</v>
      </c>
    </row>
    <row r="2" spans="1:7">
      <c r="B2">
        <v>2014</v>
      </c>
      <c r="C2" t="s">
        <v>162</v>
      </c>
      <c r="D2" s="21">
        <v>499</v>
      </c>
      <c r="E2" s="21">
        <v>500</v>
      </c>
      <c r="F2" s="23">
        <v>0.01</v>
      </c>
      <c r="G2" s="21">
        <v>0</v>
      </c>
    </row>
    <row r="3" spans="1:7">
      <c r="D3" s="21"/>
      <c r="E3" s="21"/>
      <c r="F3" s="21"/>
      <c r="G3" s="21"/>
    </row>
    <row r="4" spans="1:7">
      <c r="D4" s="21"/>
      <c r="E4" s="21"/>
      <c r="F4" s="21"/>
      <c r="G4" s="21"/>
    </row>
    <row r="5" spans="1:7">
      <c r="D5" s="21"/>
      <c r="E5" s="21"/>
      <c r="F5" s="21"/>
      <c r="G5" s="21"/>
    </row>
    <row r="6" spans="1:7">
      <c r="D6" s="21"/>
      <c r="E6" s="21"/>
      <c r="F6" s="21"/>
      <c r="G6" s="2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6"/>
  <dimension ref="A1:G6"/>
  <sheetViews>
    <sheetView workbookViewId="0">
      <pane ySplit="1" topLeftCell="A2" activePane="bottomLeft" state="frozen"/>
      <selection pane="bottomLeft" activeCell="F2" sqref="F2:F6"/>
    </sheetView>
  </sheetViews>
  <sheetFormatPr defaultColWidth="9" defaultRowHeight="1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5" customFormat="1">
      <c r="A1" s="15" t="s">
        <v>46</v>
      </c>
      <c r="B1" s="15" t="s">
        <v>47</v>
      </c>
      <c r="C1" s="15" t="s">
        <v>48</v>
      </c>
      <c r="D1" s="15" t="s">
        <v>49</v>
      </c>
      <c r="E1" s="15" t="s">
        <v>50</v>
      </c>
      <c r="F1" s="15" t="s">
        <v>51</v>
      </c>
      <c r="G1" s="15" t="s">
        <v>52</v>
      </c>
    </row>
    <row r="2" spans="1:7">
      <c r="A2">
        <v>1449</v>
      </c>
      <c r="B2" t="s">
        <v>53</v>
      </c>
      <c r="C2" t="s">
        <v>157</v>
      </c>
      <c r="D2" s="21">
        <v>0</v>
      </c>
      <c r="E2" s="21">
        <v>1787.77</v>
      </c>
      <c r="F2" s="22">
        <v>0</v>
      </c>
      <c r="G2" s="21">
        <v>0</v>
      </c>
    </row>
    <row r="3" spans="1:7">
      <c r="A3">
        <v>1450</v>
      </c>
      <c r="B3" t="s">
        <v>53</v>
      </c>
      <c r="C3" t="s">
        <v>158</v>
      </c>
      <c r="D3" s="21">
        <v>1787.78</v>
      </c>
      <c r="E3" s="21">
        <v>2679.29</v>
      </c>
      <c r="F3" s="22">
        <v>7.5</v>
      </c>
      <c r="G3" s="21">
        <v>134.08000000000001</v>
      </c>
    </row>
    <row r="4" spans="1:7">
      <c r="A4">
        <v>1451</v>
      </c>
      <c r="B4" t="s">
        <v>53</v>
      </c>
      <c r="C4" t="s">
        <v>159</v>
      </c>
      <c r="D4" s="21">
        <v>2679.3</v>
      </c>
      <c r="E4" s="21">
        <v>3572.43</v>
      </c>
      <c r="F4" s="22">
        <v>15</v>
      </c>
      <c r="G4" s="21">
        <v>335.03</v>
      </c>
    </row>
    <row r="5" spans="1:7">
      <c r="A5">
        <v>1452</v>
      </c>
      <c r="B5" t="s">
        <v>53</v>
      </c>
      <c r="C5" t="s">
        <v>160</v>
      </c>
      <c r="D5" s="21">
        <v>3572.44</v>
      </c>
      <c r="E5" s="21">
        <v>4463.8100000000004</v>
      </c>
      <c r="F5" s="22">
        <v>22.5</v>
      </c>
      <c r="G5" s="21">
        <v>602.96</v>
      </c>
    </row>
    <row r="6" spans="1:7">
      <c r="A6">
        <v>1453</v>
      </c>
      <c r="B6" t="s">
        <v>53</v>
      </c>
      <c r="C6" t="s">
        <v>161</v>
      </c>
      <c r="D6" s="21">
        <v>4463.82</v>
      </c>
      <c r="E6" s="21">
        <v>100000</v>
      </c>
      <c r="F6" s="22">
        <v>27.5</v>
      </c>
      <c r="G6" s="21">
        <v>826.15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E23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2" max="2" width="32.42578125" bestFit="1" customWidth="1"/>
    <col min="3" max="3" width="9.140625" bestFit="1" customWidth="1"/>
    <col min="4" max="4" width="8.7109375" bestFit="1" customWidth="1"/>
    <col min="5" max="5" width="12" bestFit="1" customWidth="1"/>
  </cols>
  <sheetData>
    <row r="1" spans="1:5" s="15" customFormat="1">
      <c r="A1" s="15" t="s">
        <v>46</v>
      </c>
      <c r="B1" s="15" t="s">
        <v>119</v>
      </c>
      <c r="C1" s="15" t="s">
        <v>120</v>
      </c>
      <c r="D1" s="15" t="s">
        <v>121</v>
      </c>
      <c r="E1" s="15" t="s">
        <v>60</v>
      </c>
    </row>
    <row r="2" spans="1:5">
      <c r="A2">
        <v>1517</v>
      </c>
      <c r="B2" t="s">
        <v>136</v>
      </c>
      <c r="C2" s="21">
        <v>0.4</v>
      </c>
      <c r="D2" s="21">
        <v>0.3</v>
      </c>
      <c r="E2" t="s">
        <v>56</v>
      </c>
    </row>
    <row r="3" spans="1:5">
      <c r="A3">
        <v>1518</v>
      </c>
      <c r="B3" t="s">
        <v>137</v>
      </c>
      <c r="C3" s="21">
        <v>0.35</v>
      </c>
      <c r="D3" s="21">
        <v>0.25</v>
      </c>
    </row>
    <row r="4" spans="1:5">
      <c r="A4">
        <v>1519</v>
      </c>
      <c r="B4" t="s">
        <v>138</v>
      </c>
      <c r="C4" s="21">
        <v>0.6</v>
      </c>
      <c r="D4" s="21">
        <v>0.5</v>
      </c>
      <c r="E4" t="s">
        <v>55</v>
      </c>
    </row>
    <row r="5" spans="1:5">
      <c r="A5">
        <v>1520</v>
      </c>
      <c r="B5" t="s">
        <v>139</v>
      </c>
      <c r="C5" s="21">
        <v>0.35</v>
      </c>
      <c r="D5" s="21">
        <v>0.25</v>
      </c>
      <c r="E5" t="s">
        <v>55</v>
      </c>
    </row>
    <row r="6" spans="1:5">
      <c r="A6">
        <v>1521</v>
      </c>
      <c r="B6" t="s">
        <v>140</v>
      </c>
      <c r="C6" s="21">
        <v>0.45</v>
      </c>
      <c r="D6" s="21">
        <v>0.35</v>
      </c>
      <c r="E6" t="s">
        <v>55</v>
      </c>
    </row>
    <row r="7" spans="1:5">
      <c r="A7">
        <v>1522</v>
      </c>
      <c r="B7" t="s">
        <v>141</v>
      </c>
      <c r="C7" s="21">
        <v>0.65</v>
      </c>
      <c r="D7" s="21">
        <v>0.55000000000000004</v>
      </c>
      <c r="E7" t="s">
        <v>55</v>
      </c>
    </row>
    <row r="8" spans="1:5">
      <c r="A8">
        <v>1523</v>
      </c>
      <c r="B8" t="s">
        <v>142</v>
      </c>
      <c r="C8" s="21">
        <v>0.35</v>
      </c>
      <c r="D8" s="21">
        <v>0.25</v>
      </c>
      <c r="E8" t="s">
        <v>55</v>
      </c>
    </row>
    <row r="9" spans="1:5">
      <c r="A9">
        <v>1524</v>
      </c>
      <c r="B9" t="s">
        <v>143</v>
      </c>
      <c r="C9" s="21">
        <v>0.45</v>
      </c>
      <c r="D9" s="21">
        <v>0.35</v>
      </c>
      <c r="E9" t="s">
        <v>55</v>
      </c>
    </row>
    <row r="10" spans="1:5">
      <c r="A10">
        <v>1525</v>
      </c>
      <c r="B10" t="s">
        <v>144</v>
      </c>
      <c r="C10" s="21">
        <v>0.35</v>
      </c>
      <c r="D10" s="21">
        <v>0.35</v>
      </c>
      <c r="E10" t="s">
        <v>55</v>
      </c>
    </row>
    <row r="11" spans="1:5">
      <c r="A11">
        <v>1526</v>
      </c>
      <c r="B11" t="s">
        <v>145</v>
      </c>
      <c r="C11" s="21">
        <v>0.65</v>
      </c>
      <c r="D11" s="21">
        <v>0.4</v>
      </c>
      <c r="E11" t="s">
        <v>55</v>
      </c>
    </row>
    <row r="12" spans="1:5">
      <c r="A12">
        <v>1527</v>
      </c>
      <c r="B12" t="s">
        <v>146</v>
      </c>
      <c r="C12" s="21">
        <v>0.35</v>
      </c>
      <c r="D12" s="21">
        <v>0.25</v>
      </c>
    </row>
    <row r="13" spans="1:5">
      <c r="A13">
        <v>1528</v>
      </c>
      <c r="B13" t="s">
        <v>147</v>
      </c>
      <c r="C13" s="21">
        <v>0.3</v>
      </c>
      <c r="D13" s="21">
        <v>0.2</v>
      </c>
      <c r="E13" t="s">
        <v>55</v>
      </c>
    </row>
    <row r="14" spans="1:5">
      <c r="A14">
        <v>1529</v>
      </c>
      <c r="B14" t="s">
        <v>148</v>
      </c>
      <c r="C14" s="21">
        <v>0.65</v>
      </c>
      <c r="D14" s="21">
        <v>0.55000000000000004</v>
      </c>
      <c r="E14" t="s">
        <v>56</v>
      </c>
    </row>
    <row r="15" spans="1:5">
      <c r="A15">
        <v>1530</v>
      </c>
      <c r="B15" t="s">
        <v>149</v>
      </c>
      <c r="C15" s="21">
        <v>0.35</v>
      </c>
      <c r="D15" s="21">
        <v>0.25</v>
      </c>
    </row>
    <row r="16" spans="1:5">
      <c r="A16">
        <v>1531</v>
      </c>
      <c r="B16" t="s">
        <v>150</v>
      </c>
      <c r="C16" s="21">
        <v>0.44</v>
      </c>
      <c r="D16" s="21">
        <v>0.33</v>
      </c>
    </row>
    <row r="17" spans="1:5">
      <c r="A17">
        <v>1532</v>
      </c>
      <c r="B17" t="s">
        <v>151</v>
      </c>
      <c r="C17" s="21">
        <v>0.5</v>
      </c>
      <c r="D17" s="21">
        <v>0.4</v>
      </c>
    </row>
    <row r="18" spans="1:5">
      <c r="A18">
        <v>1533</v>
      </c>
      <c r="B18" t="s">
        <v>152</v>
      </c>
      <c r="C18" s="21">
        <v>0.4</v>
      </c>
      <c r="D18" s="21">
        <v>0.3</v>
      </c>
      <c r="E18" t="s">
        <v>55</v>
      </c>
    </row>
    <row r="19" spans="1:5">
      <c r="A19">
        <v>1534</v>
      </c>
      <c r="B19" t="s">
        <v>153</v>
      </c>
      <c r="C19" s="21">
        <v>0.6</v>
      </c>
      <c r="D19" s="21">
        <v>0.5</v>
      </c>
      <c r="E19" t="s">
        <v>56</v>
      </c>
    </row>
    <row r="20" spans="1:5">
      <c r="A20">
        <v>1535</v>
      </c>
      <c r="B20" t="s">
        <v>154</v>
      </c>
      <c r="C20" s="21">
        <v>0.65</v>
      </c>
      <c r="D20" s="21">
        <v>0.55000000000000004</v>
      </c>
      <c r="E20" t="s">
        <v>55</v>
      </c>
    </row>
    <row r="21" spans="1:5">
      <c r="A21">
        <v>1536</v>
      </c>
      <c r="B21" t="s">
        <v>155</v>
      </c>
      <c r="C21" s="21">
        <v>0.6</v>
      </c>
      <c r="D21" s="21">
        <v>0.5</v>
      </c>
      <c r="E21" t="s">
        <v>56</v>
      </c>
    </row>
    <row r="22" spans="1:5">
      <c r="A22">
        <v>1537</v>
      </c>
      <c r="B22" t="s">
        <v>156</v>
      </c>
      <c r="C22" s="21">
        <v>0.65</v>
      </c>
      <c r="D22" s="21">
        <v>0.55000000000000004</v>
      </c>
      <c r="E22" t="s">
        <v>55</v>
      </c>
    </row>
    <row r="23" spans="1:5">
      <c r="C23" s="21"/>
      <c r="D23" s="2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1:B10"/>
  <sheetViews>
    <sheetView workbookViewId="0">
      <pane ySplit="1" topLeftCell="A2" activePane="bottomLeft" state="frozen"/>
      <selection pane="bottomLeft" activeCell="B5" sqref="B5"/>
    </sheetView>
  </sheetViews>
  <sheetFormatPr defaultColWidth="13.28515625" defaultRowHeight="15"/>
  <cols>
    <col min="2" max="2" width="16.7109375" bestFit="1" customWidth="1"/>
  </cols>
  <sheetData>
    <row r="1" spans="1:2" s="15" customFormat="1">
      <c r="A1" s="15" t="s">
        <v>46</v>
      </c>
      <c r="B1" s="15" t="s">
        <v>122</v>
      </c>
    </row>
    <row r="2" spans="1:2">
      <c r="A2">
        <v>1512</v>
      </c>
      <c r="B2" t="s">
        <v>126</v>
      </c>
    </row>
    <row r="3" spans="1:2">
      <c r="A3">
        <v>1511</v>
      </c>
      <c r="B3" t="s">
        <v>127</v>
      </c>
    </row>
    <row r="4" spans="1:2">
      <c r="A4">
        <v>1515</v>
      </c>
      <c r="B4" t="s">
        <v>130</v>
      </c>
    </row>
    <row r="5" spans="1:2">
      <c r="A5">
        <v>1514</v>
      </c>
      <c r="B5" t="s">
        <v>132</v>
      </c>
    </row>
    <row r="6" spans="1:2">
      <c r="A6">
        <v>1446</v>
      </c>
      <c r="B6" t="s">
        <v>123</v>
      </c>
    </row>
    <row r="7" spans="1:2">
      <c r="A7">
        <v>1513</v>
      </c>
      <c r="B7" t="s">
        <v>129</v>
      </c>
    </row>
    <row r="8" spans="1:2">
      <c r="A8">
        <v>1447</v>
      </c>
      <c r="B8" t="s">
        <v>124</v>
      </c>
    </row>
    <row r="9" spans="1:2">
      <c r="A9">
        <v>1510</v>
      </c>
      <c r="B9" t="s">
        <v>128</v>
      </c>
    </row>
    <row r="10" spans="1:2">
      <c r="A10">
        <v>1516</v>
      </c>
      <c r="B10" t="s">
        <v>131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2"/>
  <dimension ref="A1:N2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4" max="4" width="16.7109375" bestFit="1" customWidth="1"/>
    <col min="10" max="10" width="19.7109375" bestFit="1" customWidth="1"/>
  </cols>
  <sheetData>
    <row r="1" spans="1:14" s="15" customFormat="1">
      <c r="A1" s="15" t="s">
        <v>176</v>
      </c>
      <c r="B1" s="15" t="s">
        <v>163</v>
      </c>
      <c r="C1" s="15" t="s">
        <v>164</v>
      </c>
      <c r="D1" s="15" t="s">
        <v>165</v>
      </c>
      <c r="E1" s="15" t="s">
        <v>166</v>
      </c>
      <c r="F1" s="15" t="s">
        <v>167</v>
      </c>
      <c r="G1" s="15" t="s">
        <v>168</v>
      </c>
      <c r="H1" s="15" t="s">
        <v>169</v>
      </c>
      <c r="I1" s="15" t="s">
        <v>170</v>
      </c>
      <c r="J1" s="15" t="s">
        <v>171</v>
      </c>
      <c r="K1" s="15" t="s">
        <v>172</v>
      </c>
      <c r="L1" s="15" t="s">
        <v>173</v>
      </c>
      <c r="M1" s="15" t="s">
        <v>174</v>
      </c>
      <c r="N1" s="15" t="s">
        <v>175</v>
      </c>
    </row>
    <row r="2" spans="1:14">
      <c r="A2" t="s">
        <v>177</v>
      </c>
      <c r="B2" t="s">
        <v>178</v>
      </c>
      <c r="C2" t="s">
        <v>179</v>
      </c>
      <c r="D2" t="s">
        <v>180</v>
      </c>
      <c r="E2" t="s">
        <v>181</v>
      </c>
      <c r="F2" t="s">
        <v>182</v>
      </c>
      <c r="G2" t="s">
        <v>183</v>
      </c>
      <c r="H2" t="s">
        <v>184</v>
      </c>
      <c r="I2" t="s">
        <v>185</v>
      </c>
      <c r="J2" t="s">
        <v>186</v>
      </c>
      <c r="K2" t="s">
        <v>187</v>
      </c>
      <c r="L2" t="s">
        <v>188</v>
      </c>
      <c r="M2" t="s">
        <v>189</v>
      </c>
      <c r="N2" t="s">
        <v>190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3"/>
  <dimension ref="A1:F1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2" max="2" width="20.85546875" bestFit="1" customWidth="1"/>
    <col min="5" max="5" width="17.5703125" bestFit="1" customWidth="1"/>
    <col min="6" max="6" width="15.85546875" customWidth="1"/>
  </cols>
  <sheetData>
    <row r="1" spans="1:6" s="15" customFormat="1">
      <c r="A1" s="15" t="s">
        <v>191</v>
      </c>
      <c r="B1" s="15" t="s">
        <v>192</v>
      </c>
      <c r="C1" s="15" t="s">
        <v>193</v>
      </c>
      <c r="D1" s="15" t="s">
        <v>194</v>
      </c>
      <c r="E1" s="15" t="s">
        <v>195</v>
      </c>
      <c r="F1" s="15" t="s">
        <v>196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/>
  <dimension ref="A1:D49"/>
  <sheetViews>
    <sheetView workbookViewId="0">
      <pane ySplit="1" topLeftCell="A2" activePane="bottomLeft" state="frozen"/>
      <selection pane="bottomLeft" activeCell="C12" sqref="C12"/>
    </sheetView>
  </sheetViews>
  <sheetFormatPr defaultRowHeight="15"/>
  <cols>
    <col min="1" max="1" width="9.140625" style="1"/>
    <col min="2" max="2" width="28.140625" bestFit="1" customWidth="1"/>
    <col min="3" max="3" width="86.7109375" bestFit="1" customWidth="1"/>
    <col min="4" max="4" width="10.7109375" style="17" bestFit="1" customWidth="1"/>
  </cols>
  <sheetData>
    <row r="1" spans="1:4" s="14" customFormat="1">
      <c r="A1" s="15" t="s">
        <v>61</v>
      </c>
      <c r="B1" s="14" t="s">
        <v>62</v>
      </c>
      <c r="C1" s="14" t="s">
        <v>63</v>
      </c>
      <c r="D1" s="16" t="s">
        <v>115</v>
      </c>
    </row>
    <row r="3" spans="1:4" s="19" customFormat="1">
      <c r="A3" s="18" t="s">
        <v>64</v>
      </c>
      <c r="B3" s="19" t="s">
        <v>60</v>
      </c>
      <c r="C3" s="19" t="s">
        <v>105</v>
      </c>
      <c r="D3" s="20"/>
    </row>
    <row r="4" spans="1:4" s="19" customFormat="1">
      <c r="A4" s="18" t="s">
        <v>64</v>
      </c>
      <c r="B4" s="19" t="s">
        <v>106</v>
      </c>
      <c r="C4" s="19" t="s">
        <v>107</v>
      </c>
      <c r="D4" s="20"/>
    </row>
    <row r="5" spans="1:4" s="19" customFormat="1">
      <c r="A5" s="18" t="s">
        <v>64</v>
      </c>
      <c r="B5" s="19" t="s">
        <v>97</v>
      </c>
      <c r="C5" s="19" t="s">
        <v>99</v>
      </c>
      <c r="D5" s="20"/>
    </row>
    <row r="6" spans="1:4" s="19" customFormat="1">
      <c r="A6" s="18" t="s">
        <v>64</v>
      </c>
      <c r="B6" s="19" t="s">
        <v>108</v>
      </c>
      <c r="C6" s="19" t="s">
        <v>109</v>
      </c>
      <c r="D6" s="20"/>
    </row>
    <row r="7" spans="1:4" s="19" customFormat="1">
      <c r="A7" s="18" t="s">
        <v>64</v>
      </c>
      <c r="B7" s="19" t="s">
        <v>96</v>
      </c>
      <c r="C7" s="19" t="s">
        <v>98</v>
      </c>
      <c r="D7" s="20"/>
    </row>
    <row r="8" spans="1:4" s="19" customFormat="1">
      <c r="A8" s="18" t="s">
        <v>64</v>
      </c>
      <c r="B8" s="19" t="s">
        <v>118</v>
      </c>
      <c r="C8" s="19" t="s">
        <v>117</v>
      </c>
      <c r="D8" s="20"/>
    </row>
    <row r="9" spans="1:4" s="19" customFormat="1">
      <c r="A9" s="18" t="s">
        <v>64</v>
      </c>
      <c r="B9" s="19" t="s">
        <v>103</v>
      </c>
      <c r="C9" s="19" t="s">
        <v>104</v>
      </c>
      <c r="D9" s="20"/>
    </row>
    <row r="11" spans="1:4" s="19" customFormat="1">
      <c r="A11" s="18" t="s">
        <v>64</v>
      </c>
      <c r="B11" s="19" t="s">
        <v>95</v>
      </c>
      <c r="C11" s="19" t="s">
        <v>100</v>
      </c>
      <c r="D11" s="20"/>
    </row>
    <row r="12" spans="1:4" s="19" customFormat="1">
      <c r="A12" s="18" t="s">
        <v>64</v>
      </c>
      <c r="B12" s="19" t="s">
        <v>101</v>
      </c>
      <c r="C12" s="19" t="s">
        <v>102</v>
      </c>
      <c r="D12" s="20"/>
    </row>
    <row r="13" spans="1:4" s="19" customFormat="1">
      <c r="A13" s="18" t="s">
        <v>64</v>
      </c>
      <c r="B13" s="19" t="s">
        <v>111</v>
      </c>
      <c r="C13" s="19" t="s">
        <v>112</v>
      </c>
      <c r="D13" s="20"/>
    </row>
    <row r="14" spans="1:4" s="19" customFormat="1">
      <c r="A14" s="18" t="s">
        <v>64</v>
      </c>
      <c r="B14" s="19" t="s">
        <v>113</v>
      </c>
      <c r="C14" s="19" t="s">
        <v>114</v>
      </c>
      <c r="D14" s="20"/>
    </row>
    <row r="15" spans="1:4" s="19" customFormat="1">
      <c r="A15" s="18" t="s">
        <v>64</v>
      </c>
      <c r="B15" s="19" t="s">
        <v>94</v>
      </c>
      <c r="C15" s="19" t="s">
        <v>110</v>
      </c>
      <c r="D15" s="20"/>
    </row>
    <row r="17" spans="1:4">
      <c r="A17" s="1" t="s">
        <v>64</v>
      </c>
      <c r="B17" t="s">
        <v>68</v>
      </c>
      <c r="C17" t="s">
        <v>70</v>
      </c>
      <c r="D17" s="17" t="s">
        <v>116</v>
      </c>
    </row>
    <row r="18" spans="1:4">
      <c r="A18" s="1" t="s">
        <v>64</v>
      </c>
      <c r="B18" t="s">
        <v>68</v>
      </c>
      <c r="C18" t="s">
        <v>69</v>
      </c>
      <c r="D18" s="17" t="s">
        <v>116</v>
      </c>
    </row>
    <row r="19" spans="1:4">
      <c r="A19" s="1" t="s">
        <v>64</v>
      </c>
      <c r="B19" t="s">
        <v>68</v>
      </c>
      <c r="C19" t="s">
        <v>71</v>
      </c>
      <c r="D19" s="17" t="s">
        <v>116</v>
      </c>
    </row>
    <row r="20" spans="1:4">
      <c r="A20" s="1" t="s">
        <v>64</v>
      </c>
      <c r="B20" t="s">
        <v>68</v>
      </c>
      <c r="C20" t="s">
        <v>72</v>
      </c>
      <c r="D20" s="17" t="s">
        <v>116</v>
      </c>
    </row>
    <row r="21" spans="1:4">
      <c r="A21" s="1" t="s">
        <v>64</v>
      </c>
      <c r="B21" t="s">
        <v>68</v>
      </c>
      <c r="C21" t="s">
        <v>73</v>
      </c>
      <c r="D21" s="17" t="s">
        <v>116</v>
      </c>
    </row>
    <row r="22" spans="1:4">
      <c r="A22" s="1" t="s">
        <v>64</v>
      </c>
      <c r="B22" t="s">
        <v>68</v>
      </c>
      <c r="C22" t="s">
        <v>74</v>
      </c>
      <c r="D22" s="17" t="s">
        <v>116</v>
      </c>
    </row>
    <row r="23" spans="1:4">
      <c r="A23" s="1" t="s">
        <v>64</v>
      </c>
      <c r="B23" t="s">
        <v>68</v>
      </c>
      <c r="C23" t="s">
        <v>75</v>
      </c>
      <c r="D23" s="17" t="s">
        <v>116</v>
      </c>
    </row>
    <row r="24" spans="1:4">
      <c r="A24" s="1" t="s">
        <v>64</v>
      </c>
      <c r="B24" t="s">
        <v>68</v>
      </c>
      <c r="C24" t="s">
        <v>76</v>
      </c>
      <c r="D24" s="17" t="s">
        <v>116</v>
      </c>
    </row>
    <row r="25" spans="1:4">
      <c r="A25" s="1" t="s">
        <v>64</v>
      </c>
      <c r="B25" t="s">
        <v>68</v>
      </c>
      <c r="C25" t="s">
        <v>77</v>
      </c>
      <c r="D25" s="17" t="s">
        <v>116</v>
      </c>
    </row>
    <row r="26" spans="1:4">
      <c r="A26" s="1" t="s">
        <v>64</v>
      </c>
      <c r="B26" t="s">
        <v>68</v>
      </c>
      <c r="C26" t="s">
        <v>78</v>
      </c>
      <c r="D26" s="17" t="s">
        <v>116</v>
      </c>
    </row>
    <row r="27" spans="1:4">
      <c r="A27" s="1" t="s">
        <v>64</v>
      </c>
      <c r="B27" t="s">
        <v>68</v>
      </c>
      <c r="C27" t="s">
        <v>79</v>
      </c>
      <c r="D27" s="17" t="s">
        <v>116</v>
      </c>
    </row>
    <row r="28" spans="1:4">
      <c r="A28" s="1" t="s">
        <v>64</v>
      </c>
      <c r="B28" t="s">
        <v>68</v>
      </c>
      <c r="C28" t="s">
        <v>81</v>
      </c>
      <c r="D28" s="17" t="s">
        <v>116</v>
      </c>
    </row>
    <row r="29" spans="1:4">
      <c r="A29" s="1" t="s">
        <v>64</v>
      </c>
      <c r="B29" t="s">
        <v>68</v>
      </c>
      <c r="C29" t="s">
        <v>80</v>
      </c>
      <c r="D29" s="17" t="s">
        <v>116</v>
      </c>
    </row>
    <row r="30" spans="1:4">
      <c r="A30" s="1" t="s">
        <v>64</v>
      </c>
      <c r="B30" t="s">
        <v>68</v>
      </c>
      <c r="C30" t="s">
        <v>82</v>
      </c>
      <c r="D30" s="17" t="s">
        <v>116</v>
      </c>
    </row>
    <row r="31" spans="1:4">
      <c r="A31" s="1" t="s">
        <v>64</v>
      </c>
      <c r="B31" t="s">
        <v>68</v>
      </c>
      <c r="C31" t="s">
        <v>83</v>
      </c>
      <c r="D31" s="17" t="s">
        <v>116</v>
      </c>
    </row>
    <row r="33" spans="1:4">
      <c r="A33" s="1" t="s">
        <v>64</v>
      </c>
      <c r="B33" t="s">
        <v>65</v>
      </c>
      <c r="C33" t="s">
        <v>76</v>
      </c>
      <c r="D33" s="17" t="s">
        <v>116</v>
      </c>
    </row>
    <row r="34" spans="1:4">
      <c r="A34" s="1" t="s">
        <v>64</v>
      </c>
      <c r="B34" t="s">
        <v>65</v>
      </c>
      <c r="C34" t="s">
        <v>77</v>
      </c>
      <c r="D34" s="17" t="s">
        <v>116</v>
      </c>
    </row>
    <row r="35" spans="1:4">
      <c r="A35" s="1" t="s">
        <v>64</v>
      </c>
      <c r="B35" t="s">
        <v>65</v>
      </c>
      <c r="C35" t="s">
        <v>78</v>
      </c>
      <c r="D35" s="17" t="s">
        <v>116</v>
      </c>
    </row>
    <row r="36" spans="1:4">
      <c r="A36" s="1" t="s">
        <v>64</v>
      </c>
      <c r="B36" t="s">
        <v>65</v>
      </c>
      <c r="C36" t="s">
        <v>79</v>
      </c>
      <c r="D36" s="17" t="s">
        <v>116</v>
      </c>
    </row>
    <row r="37" spans="1:4">
      <c r="A37" s="1" t="s">
        <v>64</v>
      </c>
      <c r="B37" t="s">
        <v>65</v>
      </c>
      <c r="C37" t="s">
        <v>81</v>
      </c>
      <c r="D37" s="17" t="s">
        <v>116</v>
      </c>
    </row>
    <row r="38" spans="1:4">
      <c r="A38" s="1" t="s">
        <v>64</v>
      </c>
      <c r="B38" t="s">
        <v>65</v>
      </c>
      <c r="C38" t="s">
        <v>80</v>
      </c>
      <c r="D38" s="17" t="s">
        <v>116</v>
      </c>
    </row>
    <row r="40" spans="1:4">
      <c r="A40" s="1" t="s">
        <v>64</v>
      </c>
      <c r="B40" t="s">
        <v>66</v>
      </c>
      <c r="C40" t="s">
        <v>67</v>
      </c>
      <c r="D40" s="17" t="s">
        <v>116</v>
      </c>
    </row>
    <row r="41" spans="1:4">
      <c r="A41" s="1" t="s">
        <v>64</v>
      </c>
      <c r="B41" t="s">
        <v>66</v>
      </c>
      <c r="C41" t="s">
        <v>88</v>
      </c>
      <c r="D41" s="17" t="s">
        <v>116</v>
      </c>
    </row>
    <row r="42" spans="1:4">
      <c r="A42" s="1" t="s">
        <v>64</v>
      </c>
      <c r="B42" t="s">
        <v>66</v>
      </c>
      <c r="C42" t="s">
        <v>89</v>
      </c>
      <c r="D42" s="17" t="s">
        <v>116</v>
      </c>
    </row>
    <row r="44" spans="1:4">
      <c r="A44" s="1" t="s">
        <v>64</v>
      </c>
      <c r="B44" t="s">
        <v>90</v>
      </c>
      <c r="C44" t="s">
        <v>93</v>
      </c>
      <c r="D44" s="17" t="s">
        <v>116</v>
      </c>
    </row>
    <row r="45" spans="1:4">
      <c r="A45" s="1" t="s">
        <v>64</v>
      </c>
      <c r="B45" t="s">
        <v>90</v>
      </c>
      <c r="C45" t="s">
        <v>92</v>
      </c>
      <c r="D45" s="17" t="s">
        <v>116</v>
      </c>
    </row>
    <row r="46" spans="1:4">
      <c r="A46" s="1" t="s">
        <v>64</v>
      </c>
      <c r="B46" t="s">
        <v>90</v>
      </c>
      <c r="C46" t="s">
        <v>91</v>
      </c>
      <c r="D46" s="17" t="s">
        <v>116</v>
      </c>
    </row>
    <row r="48" spans="1:4">
      <c r="A48" s="1" t="s">
        <v>64</v>
      </c>
      <c r="B48" t="s">
        <v>84</v>
      </c>
      <c r="C48" t="s">
        <v>85</v>
      </c>
      <c r="D48" s="17" t="s">
        <v>116</v>
      </c>
    </row>
    <row r="49" spans="1:4">
      <c r="A49" s="1" t="s">
        <v>64</v>
      </c>
      <c r="B49" t="s">
        <v>86</v>
      </c>
      <c r="C49" t="s">
        <v>87</v>
      </c>
      <c r="D49" s="17" t="s">
        <v>116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BANCOS</vt:lpstr>
      <vt:lpstr>Plan1</vt:lpstr>
      <vt:lpstr>Apoio</vt:lpstr>
      <vt:lpstr>CUSTOS_PRODUCAO</vt:lpstr>
      <vt:lpstr>ESTILOS</vt:lpstr>
      <vt:lpstr>GRANDS</vt:lpstr>
      <vt:lpstr>IR</vt:lpstr>
      <vt:lpstr>IR (2)</vt:lpstr>
      <vt:lpstr>LINHAS</vt:lpstr>
      <vt:lpstr>PROFISSOES</vt:lpstr>
      <vt:lpstr>PROPOSTAS</vt:lpstr>
      <vt:lpstr>PROJETOS</vt:lpstr>
      <vt:lpstr>VER.3.0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2014-07-13T01:40:15Z</dcterms:created>
  <dcterms:modified xsi:type="dcterms:W3CDTF">2014-07-30T23:10:52Z</dcterms:modified>
</cp:coreProperties>
</file>