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56ee1d6bda84677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a.dasilva\Desktop\@Ailton\"/>
    </mc:Choice>
  </mc:AlternateContent>
  <bookViews>
    <workbookView xWindow="0" yWindow="180" windowWidth="20490" windowHeight="7275" tabRatio="670" activeTab="3"/>
  </bookViews>
  <sheets>
    <sheet name="Histórico" sheetId="13" r:id="rId1"/>
    <sheet name="Pipeline" sheetId="7" r:id="rId2"/>
    <sheet name="Cronograma" sheetId="1" r:id="rId3"/>
    <sheet name="Painel" sheetId="9" r:id="rId4"/>
    <sheet name="Recursos" sheetId="11" r:id="rId5"/>
    <sheet name="Feriados" sheetId="12" state="hidden" r:id="rId6"/>
    <sheet name="Projeto" sheetId="14" r:id="rId7"/>
    <sheet name="Cliente" sheetId="15" r:id="rId8"/>
    <sheet name="Torre" sheetId="16" r:id="rId9"/>
  </sheets>
  <functionGroups builtInGroupCount="18"/>
  <definedNames>
    <definedName name="_xlnm._FilterDatabase" localSheetId="2" hidden="1">Cronograma!$A$2:$Q$279</definedName>
    <definedName name="_xlnm._FilterDatabase" localSheetId="4" hidden="1">Recursos!$A$1:$S$71</definedName>
    <definedName name="DataInicio">Painel!$D$3</definedName>
    <definedName name="_xlnm.Extract" localSheetId="4">Recursos!$J$1</definedName>
    <definedName name="qtdWeeks">12</definedName>
    <definedName name="teste">5</definedName>
    <definedName name="UF">"SP"</definedName>
  </definedNames>
  <calcPr calcId="152511"/>
</workbook>
</file>

<file path=xl/calcChain.xml><?xml version="1.0" encoding="utf-8"?>
<calcChain xmlns="http://schemas.openxmlformats.org/spreadsheetml/2006/main">
  <c r="BL21" i="9" l="1"/>
  <c r="BL20" i="9"/>
  <c r="BL19" i="9"/>
  <c r="BL18" i="9"/>
  <c r="BL17" i="9"/>
  <c r="BL16" i="9"/>
  <c r="BL15" i="9"/>
  <c r="BL14" i="9"/>
  <c r="BL13" i="9"/>
  <c r="BL12" i="9"/>
  <c r="BL11" i="9"/>
  <c r="BL10" i="9"/>
  <c r="BL9" i="9"/>
  <c r="BL8" i="9"/>
  <c r="BL7" i="9"/>
  <c r="BL6" i="9"/>
  <c r="BL5" i="9"/>
  <c r="H264" i="1" l="1"/>
  <c r="H239" i="1"/>
  <c r="G239" i="1"/>
  <c r="H224" i="1"/>
  <c r="G224" i="1"/>
  <c r="H249" i="1" l="1"/>
  <c r="G249" i="1"/>
  <c r="H244" i="1"/>
  <c r="G244" i="1"/>
  <c r="H269" i="1"/>
  <c r="H259" i="1"/>
  <c r="G259" i="1"/>
  <c r="H274" i="1"/>
  <c r="G274" i="1"/>
  <c r="H279" i="1"/>
  <c r="G279" i="1"/>
  <c r="H254" i="1"/>
  <c r="G254" i="1"/>
  <c r="H229" i="1"/>
  <c r="G229" i="1"/>
  <c r="G219" i="1"/>
  <c r="H219" i="1"/>
  <c r="K279" i="1" l="1"/>
  <c r="K278" i="1"/>
  <c r="L278" i="1" s="1"/>
  <c r="P278" i="1" s="1"/>
  <c r="I278" i="1"/>
  <c r="K277" i="1"/>
  <c r="L277" i="1" s="1"/>
  <c r="P277" i="1" s="1"/>
  <c r="I277" i="1"/>
  <c r="K276" i="1"/>
  <c r="L276" i="1" s="1"/>
  <c r="P276" i="1" s="1"/>
  <c r="I276" i="1"/>
  <c r="K275" i="1"/>
  <c r="L275" i="1" s="1"/>
  <c r="P275" i="1" s="1"/>
  <c r="I275" i="1"/>
  <c r="K274" i="1"/>
  <c r="K273" i="1"/>
  <c r="L273" i="1" s="1"/>
  <c r="P273" i="1" s="1"/>
  <c r="I273" i="1"/>
  <c r="K272" i="1"/>
  <c r="L272" i="1" s="1"/>
  <c r="P272" i="1" s="1"/>
  <c r="I272" i="1"/>
  <c r="K271" i="1"/>
  <c r="L271" i="1" s="1"/>
  <c r="P271" i="1" s="1"/>
  <c r="I271" i="1"/>
  <c r="K270" i="1"/>
  <c r="L270" i="1" s="1"/>
  <c r="P270" i="1" s="1"/>
  <c r="I270" i="1"/>
  <c r="K269" i="1"/>
  <c r="K268" i="1"/>
  <c r="L268" i="1" s="1"/>
  <c r="P268" i="1" s="1"/>
  <c r="I268" i="1"/>
  <c r="K267" i="1"/>
  <c r="L267" i="1" s="1"/>
  <c r="P267" i="1" s="1"/>
  <c r="I267" i="1"/>
  <c r="K266" i="1"/>
  <c r="L266" i="1" s="1"/>
  <c r="P266" i="1" s="1"/>
  <c r="I266" i="1"/>
  <c r="K265" i="1"/>
  <c r="L265" i="1" s="1"/>
  <c r="P265" i="1" s="1"/>
  <c r="I265" i="1"/>
  <c r="K264" i="1"/>
  <c r="K263" i="1"/>
  <c r="L263" i="1" s="1"/>
  <c r="P263" i="1" s="1"/>
  <c r="I263" i="1"/>
  <c r="K262" i="1"/>
  <c r="L262" i="1" s="1"/>
  <c r="P262" i="1" s="1"/>
  <c r="I262" i="1"/>
  <c r="K261" i="1"/>
  <c r="L261" i="1" s="1"/>
  <c r="P261" i="1" s="1"/>
  <c r="I261" i="1"/>
  <c r="K260" i="1"/>
  <c r="L260" i="1" s="1"/>
  <c r="I260" i="1"/>
  <c r="K259" i="1"/>
  <c r="K258" i="1"/>
  <c r="L258" i="1" s="1"/>
  <c r="P258" i="1" s="1"/>
  <c r="I258" i="1"/>
  <c r="K257" i="1"/>
  <c r="L257" i="1" s="1"/>
  <c r="P257" i="1" s="1"/>
  <c r="I257" i="1"/>
  <c r="K256" i="1"/>
  <c r="L256" i="1" s="1"/>
  <c r="P256" i="1" s="1"/>
  <c r="I256" i="1"/>
  <c r="K255" i="1"/>
  <c r="L255" i="1" s="1"/>
  <c r="I255" i="1"/>
  <c r="K254" i="1"/>
  <c r="K253" i="1"/>
  <c r="L253" i="1" s="1"/>
  <c r="P253" i="1" s="1"/>
  <c r="I253" i="1"/>
  <c r="K252" i="1"/>
  <c r="L252" i="1" s="1"/>
  <c r="P252" i="1" s="1"/>
  <c r="I252" i="1"/>
  <c r="K251" i="1"/>
  <c r="L251" i="1" s="1"/>
  <c r="P251" i="1" s="1"/>
  <c r="I251" i="1"/>
  <c r="K250" i="1"/>
  <c r="L250" i="1" s="1"/>
  <c r="P250" i="1" s="1"/>
  <c r="I250" i="1"/>
  <c r="K249" i="1"/>
  <c r="K248" i="1"/>
  <c r="L248" i="1" s="1"/>
  <c r="P248" i="1" s="1"/>
  <c r="I248" i="1"/>
  <c r="K247" i="1"/>
  <c r="L247" i="1" s="1"/>
  <c r="P247" i="1" s="1"/>
  <c r="I247" i="1"/>
  <c r="K246" i="1"/>
  <c r="L246" i="1" s="1"/>
  <c r="P246" i="1" s="1"/>
  <c r="I246" i="1"/>
  <c r="K245" i="1"/>
  <c r="L245" i="1" s="1"/>
  <c r="P245" i="1" s="1"/>
  <c r="I245" i="1"/>
  <c r="K244" i="1"/>
  <c r="K243" i="1"/>
  <c r="L243" i="1" s="1"/>
  <c r="P243" i="1" s="1"/>
  <c r="I243" i="1"/>
  <c r="K242" i="1"/>
  <c r="L242" i="1" s="1"/>
  <c r="P242" i="1" s="1"/>
  <c r="I242" i="1"/>
  <c r="K241" i="1"/>
  <c r="L241" i="1" s="1"/>
  <c r="P241" i="1" s="1"/>
  <c r="I241" i="1"/>
  <c r="K240" i="1"/>
  <c r="L240" i="1" s="1"/>
  <c r="I240" i="1"/>
  <c r="K239" i="1"/>
  <c r="K238" i="1"/>
  <c r="L238" i="1" s="1"/>
  <c r="P238" i="1" s="1"/>
  <c r="I238" i="1"/>
  <c r="K237" i="1"/>
  <c r="L237" i="1" s="1"/>
  <c r="P237" i="1" s="1"/>
  <c r="I237" i="1"/>
  <c r="K236" i="1"/>
  <c r="L236" i="1" s="1"/>
  <c r="P236" i="1" s="1"/>
  <c r="I236" i="1"/>
  <c r="K235" i="1"/>
  <c r="L235" i="1" s="1"/>
  <c r="I235" i="1"/>
  <c r="L244" i="1" l="1"/>
  <c r="P260" i="1"/>
  <c r="L264" i="1"/>
  <c r="P235" i="1"/>
  <c r="L239" i="1"/>
  <c r="P255" i="1"/>
  <c r="L259" i="1"/>
  <c r="O257" i="1"/>
  <c r="L254" i="1"/>
  <c r="J254" i="1" s="1"/>
  <c r="O255" i="1"/>
  <c r="L269" i="1"/>
  <c r="J269" i="1" s="1"/>
  <c r="L249" i="1"/>
  <c r="J249" i="1" s="1"/>
  <c r="L279" i="1"/>
  <c r="J279" i="1" s="1"/>
  <c r="L274" i="1"/>
  <c r="J274" i="1" s="1"/>
  <c r="O270" i="1"/>
  <c r="O278" i="1"/>
  <c r="O277" i="1"/>
  <c r="O276" i="1"/>
  <c r="O275" i="1"/>
  <c r="O273" i="1"/>
  <c r="O272" i="1"/>
  <c r="O271" i="1"/>
  <c r="O268" i="1"/>
  <c r="O267" i="1"/>
  <c r="O266" i="1"/>
  <c r="O265" i="1"/>
  <c r="O263" i="1"/>
  <c r="O262" i="1"/>
  <c r="O261" i="1"/>
  <c r="O260" i="1"/>
  <c r="O258" i="1"/>
  <c r="O256" i="1"/>
  <c r="O253" i="1"/>
  <c r="O252" i="1"/>
  <c r="O251" i="1"/>
  <c r="O250" i="1"/>
  <c r="O248" i="1"/>
  <c r="O247" i="1"/>
  <c r="O246" i="1"/>
  <c r="O245" i="1"/>
  <c r="O243" i="1"/>
  <c r="O242" i="1"/>
  <c r="O241" i="1"/>
  <c r="P240" i="1"/>
  <c r="O240" i="1"/>
  <c r="O238" i="1"/>
  <c r="O237" i="1"/>
  <c r="O236" i="1"/>
  <c r="O235" i="1"/>
  <c r="K234" i="1"/>
  <c r="K233" i="1"/>
  <c r="L233" i="1" s="1"/>
  <c r="P233" i="1" s="1"/>
  <c r="I233" i="1"/>
  <c r="K232" i="1"/>
  <c r="L232" i="1" s="1"/>
  <c r="P232" i="1" s="1"/>
  <c r="I232" i="1"/>
  <c r="K231" i="1"/>
  <c r="L231" i="1" s="1"/>
  <c r="P231" i="1" s="1"/>
  <c r="I231" i="1"/>
  <c r="K230" i="1"/>
  <c r="L230" i="1" s="1"/>
  <c r="I230" i="1"/>
  <c r="K229" i="1"/>
  <c r="K228" i="1"/>
  <c r="L228" i="1" s="1"/>
  <c r="P228" i="1" s="1"/>
  <c r="I228" i="1"/>
  <c r="K227" i="1"/>
  <c r="L227" i="1" s="1"/>
  <c r="P227" i="1" s="1"/>
  <c r="I227" i="1"/>
  <c r="K226" i="1"/>
  <c r="L226" i="1" s="1"/>
  <c r="P226" i="1" s="1"/>
  <c r="I226" i="1"/>
  <c r="K225" i="1"/>
  <c r="L225" i="1" s="1"/>
  <c r="P225" i="1" s="1"/>
  <c r="I225" i="1"/>
  <c r="K224" i="1"/>
  <c r="K223" i="1"/>
  <c r="L223" i="1" s="1"/>
  <c r="P223" i="1" s="1"/>
  <c r="I223" i="1"/>
  <c r="K222" i="1"/>
  <c r="L222" i="1" s="1"/>
  <c r="P222" i="1" s="1"/>
  <c r="I222" i="1"/>
  <c r="K221" i="1"/>
  <c r="L221" i="1" s="1"/>
  <c r="P221" i="1" s="1"/>
  <c r="I221" i="1"/>
  <c r="K220" i="1"/>
  <c r="L220" i="1" s="1"/>
  <c r="P220" i="1" s="1"/>
  <c r="I220" i="1"/>
  <c r="H199" i="1"/>
  <c r="K199" i="1" s="1"/>
  <c r="K219" i="1"/>
  <c r="K218" i="1"/>
  <c r="L218" i="1" s="1"/>
  <c r="P218" i="1" s="1"/>
  <c r="I218" i="1"/>
  <c r="K217" i="1"/>
  <c r="L217" i="1" s="1"/>
  <c r="P217" i="1" s="1"/>
  <c r="I217" i="1"/>
  <c r="K216" i="1"/>
  <c r="L216" i="1" s="1"/>
  <c r="P216" i="1" s="1"/>
  <c r="I216" i="1"/>
  <c r="K215" i="1"/>
  <c r="L215" i="1" s="1"/>
  <c r="I215" i="1"/>
  <c r="H214" i="1"/>
  <c r="K214" i="1" s="1"/>
  <c r="K213" i="1"/>
  <c r="L213" i="1" s="1"/>
  <c r="P213" i="1" s="1"/>
  <c r="I213" i="1"/>
  <c r="K212" i="1"/>
  <c r="L212" i="1" s="1"/>
  <c r="P212" i="1" s="1"/>
  <c r="I212" i="1"/>
  <c r="K211" i="1"/>
  <c r="L211" i="1" s="1"/>
  <c r="P211" i="1" s="1"/>
  <c r="I211" i="1"/>
  <c r="K210" i="1"/>
  <c r="L210" i="1" s="1"/>
  <c r="I210" i="1"/>
  <c r="H209" i="1"/>
  <c r="G209" i="1"/>
  <c r="K208" i="1"/>
  <c r="L208" i="1" s="1"/>
  <c r="P208" i="1" s="1"/>
  <c r="I208" i="1"/>
  <c r="K207" i="1"/>
  <c r="L207" i="1" s="1"/>
  <c r="P207" i="1" s="1"/>
  <c r="I207" i="1"/>
  <c r="K206" i="1"/>
  <c r="L206" i="1" s="1"/>
  <c r="P206" i="1" s="1"/>
  <c r="I206" i="1"/>
  <c r="K205" i="1"/>
  <c r="L205" i="1" s="1"/>
  <c r="I205" i="1"/>
  <c r="K204" i="1"/>
  <c r="K203" i="1"/>
  <c r="L203" i="1" s="1"/>
  <c r="P203" i="1" s="1"/>
  <c r="I203" i="1"/>
  <c r="K202" i="1"/>
  <c r="L202" i="1" s="1"/>
  <c r="P202" i="1" s="1"/>
  <c r="I202" i="1"/>
  <c r="K201" i="1"/>
  <c r="L201" i="1" s="1"/>
  <c r="P201" i="1" s="1"/>
  <c r="I201" i="1"/>
  <c r="K200" i="1"/>
  <c r="L200" i="1" s="1"/>
  <c r="P200" i="1" s="1"/>
  <c r="I200" i="1"/>
  <c r="L198" i="1"/>
  <c r="L197" i="1"/>
  <c r="O197" i="1" s="1"/>
  <c r="L196" i="1"/>
  <c r="K195" i="1"/>
  <c r="L195" i="1" s="1"/>
  <c r="I195" i="1"/>
  <c r="K194" i="1"/>
  <c r="K193" i="1"/>
  <c r="L193" i="1" s="1"/>
  <c r="P193" i="1" s="1"/>
  <c r="I193" i="1"/>
  <c r="K192" i="1"/>
  <c r="L192" i="1" s="1"/>
  <c r="P192" i="1" s="1"/>
  <c r="I192" i="1"/>
  <c r="K191" i="1"/>
  <c r="L191" i="1" s="1"/>
  <c r="P191" i="1" s="1"/>
  <c r="I191" i="1"/>
  <c r="K190" i="1"/>
  <c r="L190" i="1" s="1"/>
  <c r="I190" i="1"/>
  <c r="K189" i="1"/>
  <c r="K188" i="1"/>
  <c r="L188" i="1" s="1"/>
  <c r="P188" i="1" s="1"/>
  <c r="I188" i="1"/>
  <c r="K187" i="1"/>
  <c r="L187" i="1" s="1"/>
  <c r="P187" i="1" s="1"/>
  <c r="I187" i="1"/>
  <c r="K186" i="1"/>
  <c r="L186" i="1" s="1"/>
  <c r="P186" i="1" s="1"/>
  <c r="I186" i="1"/>
  <c r="K185" i="1"/>
  <c r="L185" i="1" s="1"/>
  <c r="I185" i="1"/>
  <c r="G184" i="1"/>
  <c r="K184" i="1" s="1"/>
  <c r="K183" i="1"/>
  <c r="L183" i="1" s="1"/>
  <c r="P183" i="1" s="1"/>
  <c r="I183" i="1"/>
  <c r="K182" i="1"/>
  <c r="L182" i="1" s="1"/>
  <c r="P182" i="1" s="1"/>
  <c r="I182" i="1"/>
  <c r="K181" i="1"/>
  <c r="L181" i="1" s="1"/>
  <c r="I181" i="1"/>
  <c r="K180" i="1"/>
  <c r="L180" i="1" s="1"/>
  <c r="I180" i="1"/>
  <c r="H179" i="1"/>
  <c r="G179" i="1"/>
  <c r="K178" i="1"/>
  <c r="L178" i="1" s="1"/>
  <c r="I178" i="1"/>
  <c r="K177" i="1"/>
  <c r="L177" i="1" s="1"/>
  <c r="P177" i="1" s="1"/>
  <c r="I177" i="1"/>
  <c r="K176" i="1"/>
  <c r="L176" i="1" s="1"/>
  <c r="P176" i="1" s="1"/>
  <c r="I176" i="1"/>
  <c r="K175" i="1"/>
  <c r="L175" i="1" s="1"/>
  <c r="I175" i="1"/>
  <c r="H174" i="1"/>
  <c r="G174" i="1"/>
  <c r="K173" i="1"/>
  <c r="L173" i="1" s="1"/>
  <c r="P173" i="1" s="1"/>
  <c r="I173" i="1"/>
  <c r="K172" i="1"/>
  <c r="L172" i="1" s="1"/>
  <c r="P172" i="1" s="1"/>
  <c r="I172" i="1"/>
  <c r="K171" i="1"/>
  <c r="L171" i="1" s="1"/>
  <c r="I171" i="1"/>
  <c r="K170" i="1"/>
  <c r="L170" i="1" s="1"/>
  <c r="I170" i="1"/>
  <c r="G169" i="1"/>
  <c r="G168" i="1"/>
  <c r="K167" i="1"/>
  <c r="L167" i="1" s="1"/>
  <c r="P167" i="1" s="1"/>
  <c r="I167" i="1"/>
  <c r="K166" i="1"/>
  <c r="L166" i="1" s="1"/>
  <c r="P166" i="1" s="1"/>
  <c r="I166" i="1"/>
  <c r="K165" i="1"/>
  <c r="L165" i="1" s="1"/>
  <c r="P165" i="1" s="1"/>
  <c r="I165" i="1"/>
  <c r="H164" i="1"/>
  <c r="G164" i="1"/>
  <c r="K163" i="1"/>
  <c r="L163" i="1" s="1"/>
  <c r="I163" i="1"/>
  <c r="K162" i="1"/>
  <c r="L162" i="1" s="1"/>
  <c r="P162" i="1" s="1"/>
  <c r="I162" i="1"/>
  <c r="K161" i="1"/>
  <c r="L161" i="1" s="1"/>
  <c r="P161" i="1" s="1"/>
  <c r="I161" i="1"/>
  <c r="K160" i="1"/>
  <c r="L160" i="1" s="1"/>
  <c r="I160" i="1"/>
  <c r="H159" i="1"/>
  <c r="K159" i="1" s="1"/>
  <c r="K158" i="1"/>
  <c r="L158" i="1" s="1"/>
  <c r="P158" i="1" s="1"/>
  <c r="I158" i="1"/>
  <c r="K157" i="1"/>
  <c r="L157" i="1" s="1"/>
  <c r="P157" i="1" s="1"/>
  <c r="I157" i="1"/>
  <c r="K156" i="1"/>
  <c r="L156" i="1" s="1"/>
  <c r="P156" i="1" s="1"/>
  <c r="I156" i="1"/>
  <c r="K155" i="1"/>
  <c r="L155" i="1" s="1"/>
  <c r="I155" i="1"/>
  <c r="H154" i="1"/>
  <c r="G154" i="1"/>
  <c r="K153" i="1"/>
  <c r="L153" i="1" s="1"/>
  <c r="P153" i="1" s="1"/>
  <c r="I153" i="1"/>
  <c r="K152" i="1"/>
  <c r="L152" i="1" s="1"/>
  <c r="I152" i="1"/>
  <c r="K151" i="1"/>
  <c r="L151" i="1" s="1"/>
  <c r="P151" i="1" s="1"/>
  <c r="I151" i="1"/>
  <c r="K150" i="1"/>
  <c r="L150" i="1" s="1"/>
  <c r="P150" i="1" s="1"/>
  <c r="I150" i="1"/>
  <c r="H149" i="1"/>
  <c r="G149" i="1"/>
  <c r="K148" i="1"/>
  <c r="L148" i="1" s="1"/>
  <c r="P148" i="1" s="1"/>
  <c r="I148" i="1"/>
  <c r="K147" i="1"/>
  <c r="L147" i="1" s="1"/>
  <c r="P147" i="1" s="1"/>
  <c r="I147" i="1"/>
  <c r="K146" i="1"/>
  <c r="L146" i="1" s="1"/>
  <c r="P146" i="1" s="1"/>
  <c r="I146" i="1"/>
  <c r="K145" i="1"/>
  <c r="L145" i="1" s="1"/>
  <c r="P145" i="1" s="1"/>
  <c r="I145" i="1"/>
  <c r="H144" i="1"/>
  <c r="K144" i="1" s="1"/>
  <c r="K143" i="1"/>
  <c r="L143" i="1" s="1"/>
  <c r="P143" i="1" s="1"/>
  <c r="I143" i="1"/>
  <c r="K142" i="1"/>
  <c r="L142" i="1" s="1"/>
  <c r="P142" i="1" s="1"/>
  <c r="I142" i="1"/>
  <c r="K141" i="1"/>
  <c r="L141" i="1" s="1"/>
  <c r="P141" i="1" s="1"/>
  <c r="I141" i="1"/>
  <c r="K140" i="1"/>
  <c r="L140" i="1" s="1"/>
  <c r="P140" i="1" s="1"/>
  <c r="I140" i="1"/>
  <c r="G139" i="1"/>
  <c r="K139" i="1" s="1"/>
  <c r="K138" i="1"/>
  <c r="L138" i="1" s="1"/>
  <c r="P138" i="1" s="1"/>
  <c r="I138" i="1"/>
  <c r="K137" i="1"/>
  <c r="L137" i="1" s="1"/>
  <c r="I137" i="1"/>
  <c r="K136" i="1"/>
  <c r="L136" i="1" s="1"/>
  <c r="P136" i="1" s="1"/>
  <c r="I136" i="1"/>
  <c r="K135" i="1"/>
  <c r="L135" i="1" s="1"/>
  <c r="I135" i="1"/>
  <c r="K134" i="1"/>
  <c r="K133" i="1"/>
  <c r="L133" i="1" s="1"/>
  <c r="P133" i="1" s="1"/>
  <c r="I133" i="1"/>
  <c r="K132" i="1"/>
  <c r="L132" i="1" s="1"/>
  <c r="P132" i="1" s="1"/>
  <c r="I132" i="1"/>
  <c r="K131" i="1"/>
  <c r="L131" i="1" s="1"/>
  <c r="P131" i="1" s="1"/>
  <c r="I131" i="1"/>
  <c r="K130" i="1"/>
  <c r="L130" i="1" s="1"/>
  <c r="P130" i="1" s="1"/>
  <c r="I130" i="1"/>
  <c r="K129" i="1"/>
  <c r="K128" i="1"/>
  <c r="L128" i="1" s="1"/>
  <c r="P128" i="1" s="1"/>
  <c r="I128" i="1"/>
  <c r="K127" i="1"/>
  <c r="L127" i="1" s="1"/>
  <c r="P127" i="1" s="1"/>
  <c r="I127" i="1"/>
  <c r="K126" i="1"/>
  <c r="L126" i="1" s="1"/>
  <c r="P126" i="1" s="1"/>
  <c r="I126" i="1"/>
  <c r="K125" i="1"/>
  <c r="L125" i="1" s="1"/>
  <c r="I125" i="1"/>
  <c r="H124" i="1"/>
  <c r="L123" i="1"/>
  <c r="P123" i="1" s="1"/>
  <c r="K122" i="1"/>
  <c r="L122" i="1" s="1"/>
  <c r="P122" i="1" s="1"/>
  <c r="I122" i="1"/>
  <c r="K121" i="1"/>
  <c r="I121" i="1"/>
  <c r="H120" i="1"/>
  <c r="G120" i="1"/>
  <c r="K119" i="1"/>
  <c r="L119" i="1" s="1"/>
  <c r="P119" i="1" s="1"/>
  <c r="I119" i="1"/>
  <c r="H117" i="1"/>
  <c r="G118" i="1" s="1"/>
  <c r="K116" i="1"/>
  <c r="L116" i="1" s="1"/>
  <c r="P116" i="1" s="1"/>
  <c r="I116" i="1"/>
  <c r="G115" i="1"/>
  <c r="K115" i="1" s="1"/>
  <c r="K114" i="1"/>
  <c r="L114" i="1" s="1"/>
  <c r="P114" i="1" s="1"/>
  <c r="I114" i="1"/>
  <c r="K113" i="1"/>
  <c r="L113" i="1" s="1"/>
  <c r="P113" i="1" s="1"/>
  <c r="I113" i="1"/>
  <c r="K112" i="1"/>
  <c r="L112" i="1" s="1"/>
  <c r="P112" i="1" s="1"/>
  <c r="I112" i="1"/>
  <c r="K111" i="1"/>
  <c r="L111" i="1" s="1"/>
  <c r="I111" i="1"/>
  <c r="H110" i="1"/>
  <c r="K110" i="1" s="1"/>
  <c r="K109" i="1"/>
  <c r="L109" i="1" s="1"/>
  <c r="P109" i="1" s="1"/>
  <c r="I109" i="1"/>
  <c r="K108" i="1"/>
  <c r="L108" i="1" s="1"/>
  <c r="P108" i="1" s="1"/>
  <c r="I108" i="1"/>
  <c r="K107" i="1"/>
  <c r="L107" i="1" s="1"/>
  <c r="I107" i="1"/>
  <c r="K106" i="1"/>
  <c r="L106" i="1" s="1"/>
  <c r="I106" i="1"/>
  <c r="H105" i="1"/>
  <c r="G105" i="1"/>
  <c r="H101" i="1"/>
  <c r="I101" i="1" s="1"/>
  <c r="H100" i="1"/>
  <c r="G100" i="1"/>
  <c r="H98" i="1"/>
  <c r="K98" i="1" s="1"/>
  <c r="L98" i="1" s="1"/>
  <c r="P98" i="1" s="1"/>
  <c r="K97" i="1"/>
  <c r="L97" i="1" s="1"/>
  <c r="P97" i="1" s="1"/>
  <c r="I97" i="1"/>
  <c r="K96" i="1"/>
  <c r="L96" i="1" s="1"/>
  <c r="P96" i="1" s="1"/>
  <c r="I96" i="1"/>
  <c r="H95" i="1"/>
  <c r="G95" i="1"/>
  <c r="H91" i="1"/>
  <c r="G92" i="1" s="1"/>
  <c r="H90" i="1"/>
  <c r="G90" i="1"/>
  <c r="H86" i="1"/>
  <c r="H85" i="1"/>
  <c r="G85" i="1"/>
  <c r="L84" i="1"/>
  <c r="O84" i="1" s="1"/>
  <c r="H81" i="1"/>
  <c r="I81" i="1" s="1"/>
  <c r="H80" i="1"/>
  <c r="G80" i="1"/>
  <c r="H76" i="1"/>
  <c r="I76" i="1" s="1"/>
  <c r="H75" i="1"/>
  <c r="G75" i="1"/>
  <c r="H71" i="1"/>
  <c r="I71" i="1" s="1"/>
  <c r="H70" i="1"/>
  <c r="G70" i="1"/>
  <c r="H66" i="1"/>
  <c r="I66" i="1" s="1"/>
  <c r="H65" i="1"/>
  <c r="G65" i="1"/>
  <c r="G63" i="1"/>
  <c r="H63" i="1" s="1"/>
  <c r="K63" i="1" s="1"/>
  <c r="L63" i="1" s="1"/>
  <c r="P63" i="1" s="1"/>
  <c r="H61" i="1"/>
  <c r="G62" i="1" s="1"/>
  <c r="H60" i="1"/>
  <c r="G60" i="1"/>
  <c r="K59" i="1"/>
  <c r="L59" i="1" s="1"/>
  <c r="I59" i="1"/>
  <c r="K58" i="1"/>
  <c r="L58" i="1" s="1"/>
  <c r="I58" i="1"/>
  <c r="K57" i="1"/>
  <c r="L57" i="1" s="1"/>
  <c r="P57" i="1" s="1"/>
  <c r="I57" i="1"/>
  <c r="K56" i="1"/>
  <c r="L56" i="1" s="1"/>
  <c r="P56" i="1" s="1"/>
  <c r="I56" i="1"/>
  <c r="K55" i="1"/>
  <c r="L55" i="1" s="1"/>
  <c r="I55" i="1"/>
  <c r="D55" i="1"/>
  <c r="D56" i="1" s="1"/>
  <c r="D57" i="1" s="1"/>
  <c r="D58" i="1" s="1"/>
  <c r="D59" i="1" s="1"/>
  <c r="D60" i="1" s="1"/>
  <c r="K54" i="1"/>
  <c r="L54" i="1" s="1"/>
  <c r="P54" i="1" s="1"/>
  <c r="I54" i="1"/>
  <c r="H53" i="1"/>
  <c r="G53" i="1"/>
  <c r="K52" i="1"/>
  <c r="L52" i="1" s="1"/>
  <c r="P52" i="1" s="1"/>
  <c r="I52" i="1"/>
  <c r="K51" i="1"/>
  <c r="L51" i="1" s="1"/>
  <c r="P51" i="1" s="1"/>
  <c r="I51" i="1"/>
  <c r="K50" i="1"/>
  <c r="L50" i="1" s="1"/>
  <c r="P50" i="1" s="1"/>
  <c r="I50" i="1"/>
  <c r="K49" i="1"/>
  <c r="L49" i="1" s="1"/>
  <c r="P49" i="1" s="1"/>
  <c r="I49" i="1"/>
  <c r="K48" i="1"/>
  <c r="L48" i="1" s="1"/>
  <c r="P48" i="1" s="1"/>
  <c r="I48" i="1"/>
  <c r="K47" i="1"/>
  <c r="L47" i="1" s="1"/>
  <c r="P47" i="1" s="1"/>
  <c r="I47" i="1"/>
  <c r="K46" i="1"/>
  <c r="L46" i="1" s="1"/>
  <c r="P46" i="1" s="1"/>
  <c r="I46" i="1"/>
  <c r="K45" i="1"/>
  <c r="L45" i="1" s="1"/>
  <c r="I45" i="1"/>
  <c r="H44" i="1"/>
  <c r="G44" i="1"/>
  <c r="K43" i="1"/>
  <c r="L43" i="1" s="1"/>
  <c r="P43" i="1" s="1"/>
  <c r="I43" i="1"/>
  <c r="K42" i="1"/>
  <c r="I42" i="1"/>
  <c r="K41" i="1"/>
  <c r="L41" i="1" s="1"/>
  <c r="P41" i="1" s="1"/>
  <c r="I41" i="1"/>
  <c r="K40" i="1"/>
  <c r="L40" i="1" s="1"/>
  <c r="P40" i="1" s="1"/>
  <c r="I40" i="1"/>
  <c r="L38" i="1"/>
  <c r="K37" i="1"/>
  <c r="L37" i="1" s="1"/>
  <c r="P37" i="1" s="1"/>
  <c r="I37" i="1"/>
  <c r="K36" i="1"/>
  <c r="L36" i="1" s="1"/>
  <c r="P36" i="1" s="1"/>
  <c r="I36" i="1"/>
  <c r="K35" i="1"/>
  <c r="I35" i="1"/>
  <c r="H34" i="1"/>
  <c r="G34" i="1"/>
  <c r="K33" i="1"/>
  <c r="L33" i="1" s="1"/>
  <c r="P33" i="1" s="1"/>
  <c r="I33" i="1"/>
  <c r="K32" i="1"/>
  <c r="L32" i="1" s="1"/>
  <c r="I32" i="1"/>
  <c r="K31" i="1"/>
  <c r="L31" i="1" s="1"/>
  <c r="I31" i="1"/>
  <c r="K30" i="1"/>
  <c r="I30" i="1"/>
  <c r="H29" i="1"/>
  <c r="G29" i="1"/>
  <c r="K28" i="1"/>
  <c r="L28" i="1" s="1"/>
  <c r="P28" i="1" s="1"/>
  <c r="I28" i="1"/>
  <c r="K27" i="1"/>
  <c r="L27" i="1" s="1"/>
  <c r="P27" i="1" s="1"/>
  <c r="I27" i="1"/>
  <c r="K26" i="1"/>
  <c r="L26" i="1" s="1"/>
  <c r="I26" i="1"/>
  <c r="K25" i="1"/>
  <c r="L25" i="1" s="1"/>
  <c r="P25" i="1" s="1"/>
  <c r="I25" i="1"/>
  <c r="K24" i="1"/>
  <c r="L24" i="1" s="1"/>
  <c r="P24" i="1" s="1"/>
  <c r="I24" i="1"/>
  <c r="K23" i="1"/>
  <c r="L23" i="1" s="1"/>
  <c r="P23" i="1" s="1"/>
  <c r="I23" i="1"/>
  <c r="K22" i="1"/>
  <c r="L22" i="1" s="1"/>
  <c r="I22" i="1"/>
  <c r="K21" i="1"/>
  <c r="L21" i="1" s="1"/>
  <c r="P21" i="1" s="1"/>
  <c r="I21" i="1"/>
  <c r="K20" i="1"/>
  <c r="L20" i="1" s="1"/>
  <c r="P20" i="1" s="1"/>
  <c r="I20" i="1"/>
  <c r="K19" i="1"/>
  <c r="L19" i="1" s="1"/>
  <c r="P19" i="1" s="1"/>
  <c r="I19" i="1"/>
  <c r="K18" i="1"/>
  <c r="L18" i="1" s="1"/>
  <c r="I18" i="1"/>
  <c r="K17" i="1"/>
  <c r="L17" i="1" s="1"/>
  <c r="P17" i="1" s="1"/>
  <c r="I17" i="1"/>
  <c r="K16" i="1"/>
  <c r="L16" i="1" s="1"/>
  <c r="P16" i="1" s="1"/>
  <c r="I16" i="1"/>
  <c r="K15" i="1"/>
  <c r="L15" i="1" s="1"/>
  <c r="P15" i="1" s="1"/>
  <c r="I15" i="1"/>
  <c r="K14" i="1"/>
  <c r="L14" i="1" s="1"/>
  <c r="I14" i="1"/>
  <c r="K13" i="1"/>
  <c r="L13" i="1" s="1"/>
  <c r="I13" i="1"/>
  <c r="L11" i="1"/>
  <c r="P11" i="1" s="1"/>
  <c r="L10" i="1"/>
  <c r="P10" i="1" s="1"/>
  <c r="K9" i="1"/>
  <c r="L9" i="1" s="1"/>
  <c r="I9" i="1"/>
  <c r="K8" i="1"/>
  <c r="L8" i="1" s="1"/>
  <c r="P8" i="1" s="1"/>
  <c r="I8" i="1"/>
  <c r="L6" i="1"/>
  <c r="P6" i="1" s="1"/>
  <c r="L5" i="1"/>
  <c r="P5" i="1" s="1"/>
  <c r="K4" i="1"/>
  <c r="I4" i="1"/>
  <c r="K3" i="1"/>
  <c r="L3" i="1" s="1"/>
  <c r="P3" i="1" s="1"/>
  <c r="I3" i="1"/>
  <c r="O97" i="1" l="1"/>
  <c r="O173" i="1"/>
  <c r="K179" i="1"/>
  <c r="O192" i="1"/>
  <c r="J244" i="1"/>
  <c r="K80" i="1"/>
  <c r="O200" i="1"/>
  <c r="J259" i="1"/>
  <c r="J264" i="1"/>
  <c r="O40" i="1"/>
  <c r="O50" i="1"/>
  <c r="O125" i="1"/>
  <c r="K209" i="1"/>
  <c r="J239" i="1"/>
  <c r="K105" i="1"/>
  <c r="O156" i="1"/>
  <c r="O203" i="1"/>
  <c r="P215" i="1"/>
  <c r="L219" i="1"/>
  <c r="P230" i="1"/>
  <c r="L234" i="1"/>
  <c r="O221" i="1"/>
  <c r="L224" i="1"/>
  <c r="J224" i="1" s="1"/>
  <c r="O6" i="1"/>
  <c r="K66" i="1"/>
  <c r="L66" i="1" s="1"/>
  <c r="O66" i="1" s="1"/>
  <c r="K71" i="1"/>
  <c r="L71" i="1" s="1"/>
  <c r="P71" i="1" s="1"/>
  <c r="K90" i="1"/>
  <c r="K120" i="1"/>
  <c r="K164" i="1"/>
  <c r="L229" i="1"/>
  <c r="J229" i="1" s="1"/>
  <c r="O47" i="1"/>
  <c r="O51" i="1"/>
  <c r="K75" i="1"/>
  <c r="K101" i="1"/>
  <c r="L101" i="1" s="1"/>
  <c r="P101" i="1" s="1"/>
  <c r="K174" i="1"/>
  <c r="O176" i="1"/>
  <c r="O227" i="1"/>
  <c r="O232" i="1"/>
  <c r="I279" i="1"/>
  <c r="I274" i="1"/>
  <c r="I269" i="1"/>
  <c r="I264" i="1"/>
  <c r="I259" i="1"/>
  <c r="I254" i="1"/>
  <c r="I249" i="1"/>
  <c r="I244" i="1"/>
  <c r="I239" i="1"/>
  <c r="O233" i="1"/>
  <c r="O231" i="1"/>
  <c r="O230" i="1"/>
  <c r="O228" i="1"/>
  <c r="O226" i="1"/>
  <c r="O225" i="1"/>
  <c r="O223" i="1"/>
  <c r="O222" i="1"/>
  <c r="O220" i="1"/>
  <c r="O218" i="1"/>
  <c r="O217" i="1"/>
  <c r="O216" i="1"/>
  <c r="O215" i="1"/>
  <c r="K12" i="1"/>
  <c r="O16" i="1"/>
  <c r="O24" i="1"/>
  <c r="K60" i="1"/>
  <c r="L60" i="1" s="1"/>
  <c r="K65" i="1"/>
  <c r="K70" i="1"/>
  <c r="K95" i="1"/>
  <c r="K100" i="1"/>
  <c r="O113" i="1"/>
  <c r="O183" i="1"/>
  <c r="O187" i="1"/>
  <c r="O158" i="1"/>
  <c r="K7" i="1"/>
  <c r="O15" i="1"/>
  <c r="O19" i="1"/>
  <c r="O23" i="1"/>
  <c r="O27" i="1"/>
  <c r="O37" i="1"/>
  <c r="K154" i="1"/>
  <c r="L115" i="1"/>
  <c r="P111" i="1"/>
  <c r="K62" i="1"/>
  <c r="L62" i="1" s="1"/>
  <c r="P62" i="1" s="1"/>
  <c r="I62" i="1"/>
  <c r="O111" i="1"/>
  <c r="O142" i="1"/>
  <c r="O155" i="1"/>
  <c r="O157" i="1"/>
  <c r="O177" i="1"/>
  <c r="O188" i="1"/>
  <c r="P197" i="1"/>
  <c r="O206" i="1"/>
  <c r="O11" i="1"/>
  <c r="O165" i="1"/>
  <c r="K39" i="1"/>
  <c r="L129" i="1"/>
  <c r="O128" i="1"/>
  <c r="O131" i="1"/>
  <c r="O140" i="1"/>
  <c r="I61" i="1"/>
  <c r="O201" i="1"/>
  <c r="O8" i="1"/>
  <c r="K61" i="1"/>
  <c r="L61" i="1" s="1"/>
  <c r="P61" i="1" s="1"/>
  <c r="K76" i="1"/>
  <c r="L76" i="1" s="1"/>
  <c r="O76" i="1" s="1"/>
  <c r="O96" i="1"/>
  <c r="O17" i="1"/>
  <c r="O25" i="1"/>
  <c r="O48" i="1"/>
  <c r="O52" i="1"/>
  <c r="K53" i="1"/>
  <c r="L53" i="1" s="1"/>
  <c r="O56" i="1"/>
  <c r="K81" i="1"/>
  <c r="L81" i="1" s="1"/>
  <c r="K124" i="1"/>
  <c r="O123" i="1"/>
  <c r="O126" i="1"/>
  <c r="O127" i="1"/>
  <c r="O130" i="1"/>
  <c r="O146" i="1"/>
  <c r="O148" i="1"/>
  <c r="K149" i="1"/>
  <c r="O161" i="1"/>
  <c r="P14" i="1"/>
  <c r="O14" i="1"/>
  <c r="P18" i="1"/>
  <c r="O18" i="1"/>
  <c r="P22" i="1"/>
  <c r="O22" i="1"/>
  <c r="P26" i="1"/>
  <c r="O26" i="1"/>
  <c r="P9" i="1"/>
  <c r="O9" i="1"/>
  <c r="L12" i="1"/>
  <c r="L30" i="1"/>
  <c r="K34" i="1"/>
  <c r="P31" i="1"/>
  <c r="O31" i="1"/>
  <c r="I86" i="1"/>
  <c r="K86" i="1"/>
  <c r="L86" i="1" s="1"/>
  <c r="H92" i="1"/>
  <c r="G93" i="1" s="1"/>
  <c r="I118" i="1"/>
  <c r="K118" i="1"/>
  <c r="L118" i="1" s="1"/>
  <c r="P118" i="1" s="1"/>
  <c r="P171" i="1"/>
  <c r="O171" i="1"/>
  <c r="P178" i="1"/>
  <c r="O178" i="1"/>
  <c r="P195" i="1"/>
  <c r="L199" i="1"/>
  <c r="O195" i="1"/>
  <c r="L4" i="1"/>
  <c r="O10" i="1"/>
  <c r="L29" i="1"/>
  <c r="P13" i="1"/>
  <c r="O20" i="1"/>
  <c r="O28" i="1"/>
  <c r="O38" i="1"/>
  <c r="P38" i="1"/>
  <c r="K44" i="1"/>
  <c r="O49" i="1"/>
  <c r="P58" i="1"/>
  <c r="O58" i="1"/>
  <c r="G87" i="1"/>
  <c r="P163" i="1"/>
  <c r="O163" i="1"/>
  <c r="L174" i="1"/>
  <c r="P170" i="1"/>
  <c r="O170" i="1"/>
  <c r="L179" i="1"/>
  <c r="P175" i="1"/>
  <c r="P181" i="1"/>
  <c r="O181" i="1"/>
  <c r="P185" i="1"/>
  <c r="L189" i="1"/>
  <c r="O185" i="1"/>
  <c r="P196" i="1"/>
  <c r="O196" i="1"/>
  <c r="O3" i="1"/>
  <c r="O13" i="1"/>
  <c r="O21" i="1"/>
  <c r="P32" i="1"/>
  <c r="O32" i="1"/>
  <c r="L42" i="1"/>
  <c r="L44" i="1" s="1"/>
  <c r="P45" i="1"/>
  <c r="O45" i="1"/>
  <c r="P55" i="1"/>
  <c r="O55" i="1"/>
  <c r="P107" i="1"/>
  <c r="O107" i="1"/>
  <c r="P137" i="1"/>
  <c r="O137" i="1"/>
  <c r="L144" i="1"/>
  <c r="P152" i="1"/>
  <c r="O152" i="1"/>
  <c r="P190" i="1"/>
  <c r="L194" i="1"/>
  <c r="O190" i="1"/>
  <c r="L209" i="1"/>
  <c r="P205" i="1"/>
  <c r="L214" i="1"/>
  <c r="P210" i="1"/>
  <c r="O210" i="1"/>
  <c r="O5" i="1"/>
  <c r="O33" i="1"/>
  <c r="O36" i="1"/>
  <c r="O41" i="1"/>
  <c r="O46" i="1"/>
  <c r="O54" i="1"/>
  <c r="O57" i="1"/>
  <c r="P59" i="1"/>
  <c r="O59" i="1"/>
  <c r="I91" i="1"/>
  <c r="K91" i="1"/>
  <c r="L91" i="1" s="1"/>
  <c r="O108" i="1"/>
  <c r="K117" i="1"/>
  <c r="L117" i="1" s="1"/>
  <c r="P117" i="1" s="1"/>
  <c r="I117" i="1"/>
  <c r="L134" i="1"/>
  <c r="O132" i="1"/>
  <c r="L110" i="1"/>
  <c r="L139" i="1"/>
  <c r="L154" i="1"/>
  <c r="L164" i="1"/>
  <c r="O172" i="1"/>
  <c r="L184" i="1"/>
  <c r="P180" i="1"/>
  <c r="O191" i="1"/>
  <c r="I63" i="1"/>
  <c r="O63" i="1" s="1"/>
  <c r="G64" i="1"/>
  <c r="I98" i="1"/>
  <c r="O98" i="1" s="1"/>
  <c r="G99" i="1"/>
  <c r="O106" i="1"/>
  <c r="L121" i="1"/>
  <c r="O135" i="1"/>
  <c r="O150" i="1"/>
  <c r="P160" i="1"/>
  <c r="O162" i="1"/>
  <c r="O166" i="1"/>
  <c r="O180" i="1"/>
  <c r="O182" i="1"/>
  <c r="O186" i="1"/>
  <c r="O198" i="1"/>
  <c r="P198" i="1"/>
  <c r="L204" i="1"/>
  <c r="O207" i="1"/>
  <c r="O212" i="1"/>
  <c r="K29" i="1"/>
  <c r="L35" i="1"/>
  <c r="O43" i="1"/>
  <c r="G67" i="1"/>
  <c r="G72" i="1"/>
  <c r="G77" i="1"/>
  <c r="G82" i="1"/>
  <c r="P84" i="1"/>
  <c r="G102" i="1"/>
  <c r="P106" i="1"/>
  <c r="O109" i="1"/>
  <c r="O112" i="1"/>
  <c r="O114" i="1"/>
  <c r="O116" i="1"/>
  <c r="O119" i="1"/>
  <c r="P125" i="1"/>
  <c r="P135" i="1"/>
  <c r="O136" i="1"/>
  <c r="O138" i="1"/>
  <c r="O141" i="1"/>
  <c r="O143" i="1"/>
  <c r="O145" i="1"/>
  <c r="O147" i="1"/>
  <c r="L149" i="1"/>
  <c r="O151" i="1"/>
  <c r="O153" i="1"/>
  <c r="L159" i="1"/>
  <c r="P155" i="1"/>
  <c r="O160" i="1"/>
  <c r="O167" i="1"/>
  <c r="H168" i="1"/>
  <c r="H169" i="1" s="1"/>
  <c r="K169" i="1" s="1"/>
  <c r="O175" i="1"/>
  <c r="O193" i="1"/>
  <c r="O202" i="1"/>
  <c r="O205" i="1"/>
  <c r="O208" i="1"/>
  <c r="O213" i="1"/>
  <c r="O122" i="1"/>
  <c r="O133" i="1"/>
  <c r="O211" i="1"/>
  <c r="P76" i="1" l="1"/>
  <c r="O71" i="1"/>
  <c r="J129" i="1"/>
  <c r="I168" i="1"/>
  <c r="K92" i="1"/>
  <c r="L92" i="1" s="1"/>
  <c r="P92" i="1" s="1"/>
  <c r="O101" i="1"/>
  <c r="J234" i="1"/>
  <c r="P66" i="1"/>
  <c r="J219" i="1"/>
  <c r="O117" i="1"/>
  <c r="J53" i="1"/>
  <c r="J115" i="1"/>
  <c r="I234" i="1"/>
  <c r="I229" i="1"/>
  <c r="I224" i="1"/>
  <c r="I219" i="1"/>
  <c r="I92" i="1"/>
  <c r="O92" i="1" s="1"/>
  <c r="O61" i="1"/>
  <c r="O62" i="1"/>
  <c r="I129" i="1"/>
  <c r="J60" i="1"/>
  <c r="O91" i="1"/>
  <c r="K168" i="1"/>
  <c r="L168" i="1" s="1"/>
  <c r="P168" i="1" s="1"/>
  <c r="I53" i="1"/>
  <c r="I60" i="1"/>
  <c r="I115" i="1"/>
  <c r="H82" i="1"/>
  <c r="G83" i="1" s="1"/>
  <c r="J139" i="1"/>
  <c r="I139" i="1"/>
  <c r="J214" i="1"/>
  <c r="I214" i="1"/>
  <c r="I194" i="1"/>
  <c r="J194" i="1"/>
  <c r="I144" i="1"/>
  <c r="J144" i="1"/>
  <c r="I189" i="1"/>
  <c r="J189" i="1"/>
  <c r="J174" i="1"/>
  <c r="I174" i="1"/>
  <c r="P4" i="1"/>
  <c r="O4" i="1"/>
  <c r="L7" i="1"/>
  <c r="H77" i="1"/>
  <c r="G78" i="1" s="1"/>
  <c r="I99" i="1"/>
  <c r="K99" i="1"/>
  <c r="L99" i="1" s="1"/>
  <c r="J110" i="1"/>
  <c r="I110" i="1"/>
  <c r="J179" i="1"/>
  <c r="I179" i="1"/>
  <c r="J12" i="1"/>
  <c r="I12" i="1"/>
  <c r="J149" i="1"/>
  <c r="I149" i="1"/>
  <c r="H102" i="1"/>
  <c r="G103" i="1" s="1"/>
  <c r="H72" i="1"/>
  <c r="G73" i="1" s="1"/>
  <c r="P35" i="1"/>
  <c r="L39" i="1"/>
  <c r="O35" i="1"/>
  <c r="I204" i="1"/>
  <c r="J204" i="1"/>
  <c r="J164" i="1"/>
  <c r="I164" i="1"/>
  <c r="I209" i="1"/>
  <c r="J209" i="1"/>
  <c r="H87" i="1"/>
  <c r="G88" i="1" s="1"/>
  <c r="J29" i="1"/>
  <c r="I29" i="1"/>
  <c r="I199" i="1"/>
  <c r="J199" i="1"/>
  <c r="P86" i="1"/>
  <c r="I159" i="1"/>
  <c r="J159" i="1"/>
  <c r="L120" i="1"/>
  <c r="H67" i="1"/>
  <c r="G68" i="1" s="1"/>
  <c r="P121" i="1"/>
  <c r="O121" i="1"/>
  <c r="L124" i="1"/>
  <c r="I64" i="1"/>
  <c r="K64" i="1"/>
  <c r="L64" i="1" s="1"/>
  <c r="I184" i="1"/>
  <c r="J184" i="1"/>
  <c r="I154" i="1"/>
  <c r="J154" i="1"/>
  <c r="I134" i="1"/>
  <c r="J134" i="1"/>
  <c r="P91" i="1"/>
  <c r="P42" i="1"/>
  <c r="J44" i="1" s="1"/>
  <c r="O42" i="1"/>
  <c r="I44" i="1" s="1"/>
  <c r="P81" i="1"/>
  <c r="O81" i="1"/>
  <c r="O118" i="1"/>
  <c r="H93" i="1"/>
  <c r="G94" i="1" s="1"/>
  <c r="O86" i="1"/>
  <c r="P30" i="1"/>
  <c r="L34" i="1"/>
  <c r="O30" i="1"/>
  <c r="I87" i="1" l="1"/>
  <c r="I72" i="1"/>
  <c r="K87" i="1"/>
  <c r="L87" i="1" s="1"/>
  <c r="P87" i="1" s="1"/>
  <c r="K72" i="1"/>
  <c r="L72" i="1" s="1"/>
  <c r="P72" i="1" s="1"/>
  <c r="K93" i="1"/>
  <c r="L93" i="1" s="1"/>
  <c r="P93" i="1" s="1"/>
  <c r="L169" i="1"/>
  <c r="J169" i="1" s="1"/>
  <c r="I67" i="1"/>
  <c r="K67" i="1"/>
  <c r="L67" i="1" s="1"/>
  <c r="P67" i="1" s="1"/>
  <c r="K102" i="1"/>
  <c r="L102" i="1" s="1"/>
  <c r="P102" i="1" s="1"/>
  <c r="O168" i="1"/>
  <c r="I169" i="1" s="1"/>
  <c r="J124" i="1"/>
  <c r="I124" i="1"/>
  <c r="J7" i="1"/>
  <c r="I7" i="1"/>
  <c r="I39" i="1"/>
  <c r="J39" i="1"/>
  <c r="H78" i="1"/>
  <c r="G79" i="1" s="1"/>
  <c r="H83" i="1"/>
  <c r="K83" i="1" s="1"/>
  <c r="L83" i="1" s="1"/>
  <c r="P83" i="1" s="1"/>
  <c r="I34" i="1"/>
  <c r="J34" i="1"/>
  <c r="I94" i="1"/>
  <c r="K94" i="1"/>
  <c r="L94" i="1" s="1"/>
  <c r="P94" i="1" s="1"/>
  <c r="P64" i="1"/>
  <c r="L65" i="1"/>
  <c r="I120" i="1"/>
  <c r="J120" i="1"/>
  <c r="H103" i="1"/>
  <c r="G104" i="1" s="1"/>
  <c r="P99" i="1"/>
  <c r="L100" i="1"/>
  <c r="I77" i="1"/>
  <c r="I82" i="1"/>
  <c r="I93" i="1"/>
  <c r="O64" i="1"/>
  <c r="H68" i="1"/>
  <c r="G69" i="1" s="1"/>
  <c r="H88" i="1"/>
  <c r="G89" i="1" s="1"/>
  <c r="H73" i="1"/>
  <c r="G74" i="1" s="1"/>
  <c r="I102" i="1"/>
  <c r="O99" i="1"/>
  <c r="K77" i="1"/>
  <c r="L77" i="1" s="1"/>
  <c r="K82" i="1"/>
  <c r="O93" i="1" l="1"/>
  <c r="O72" i="1"/>
  <c r="O87" i="1"/>
  <c r="O102" i="1"/>
  <c r="K78" i="1"/>
  <c r="L78" i="1" s="1"/>
  <c r="P78" i="1" s="1"/>
  <c r="I78" i="1"/>
  <c r="I68" i="1"/>
  <c r="K88" i="1"/>
  <c r="L88" i="1" s="1"/>
  <c r="P88" i="1" s="1"/>
  <c r="O67" i="1"/>
  <c r="K68" i="1"/>
  <c r="L68" i="1" s="1"/>
  <c r="P68" i="1" s="1"/>
  <c r="O77" i="1"/>
  <c r="I104" i="1"/>
  <c r="K104" i="1"/>
  <c r="L104" i="1" s="1"/>
  <c r="P104" i="1" s="1"/>
  <c r="L82" i="1"/>
  <c r="O82" i="1" s="1"/>
  <c r="K85" i="1"/>
  <c r="I74" i="1"/>
  <c r="K74" i="1"/>
  <c r="L74" i="1" s="1"/>
  <c r="P74" i="1" s="1"/>
  <c r="I89" i="1"/>
  <c r="K89" i="1"/>
  <c r="L89" i="1" s="1"/>
  <c r="P89" i="1" s="1"/>
  <c r="I103" i="1"/>
  <c r="J65" i="1"/>
  <c r="I65" i="1"/>
  <c r="O94" i="1"/>
  <c r="I83" i="1"/>
  <c r="O83" i="1" s="1"/>
  <c r="P77" i="1"/>
  <c r="I73" i="1"/>
  <c r="I88" i="1"/>
  <c r="J100" i="1"/>
  <c r="I100" i="1"/>
  <c r="K103" i="1"/>
  <c r="L103" i="1" s="1"/>
  <c r="K73" i="1"/>
  <c r="L73" i="1" s="1"/>
  <c r="I69" i="1"/>
  <c r="K69" i="1"/>
  <c r="L69" i="1" s="1"/>
  <c r="L95" i="1"/>
  <c r="I79" i="1"/>
  <c r="K79" i="1"/>
  <c r="L79" i="1" s="1"/>
  <c r="P79" i="1" s="1"/>
  <c r="O88" i="1" l="1"/>
  <c r="O78" i="1"/>
  <c r="O103" i="1"/>
  <c r="O74" i="1"/>
  <c r="O104" i="1"/>
  <c r="O79" i="1"/>
  <c r="L80" i="1"/>
  <c r="J80" i="1" s="1"/>
  <c r="O68" i="1"/>
  <c r="P73" i="1"/>
  <c r="L75" i="1"/>
  <c r="J95" i="1"/>
  <c r="I95" i="1"/>
  <c r="P103" i="1"/>
  <c r="L105" i="1"/>
  <c r="O73" i="1"/>
  <c r="P69" i="1"/>
  <c r="L70" i="1"/>
  <c r="O89" i="1"/>
  <c r="P82" i="1"/>
  <c r="L85" i="1"/>
  <c r="L90" i="1"/>
  <c r="O69" i="1"/>
  <c r="J85" i="1" l="1"/>
  <c r="I80" i="1"/>
  <c r="J90" i="1"/>
  <c r="I90" i="1"/>
  <c r="J105" i="1"/>
  <c r="I105" i="1"/>
  <c r="J75" i="1"/>
  <c r="I75" i="1"/>
  <c r="J70" i="1"/>
  <c r="I70" i="1"/>
  <c r="K241" i="13" l="1"/>
  <c r="K240" i="13"/>
  <c r="L240" i="13" s="1"/>
  <c r="K239" i="13"/>
  <c r="L239" i="13" s="1"/>
  <c r="I239" i="13"/>
  <c r="L238" i="13"/>
  <c r="P238" i="13" s="1"/>
  <c r="K238" i="13"/>
  <c r="I238" i="13"/>
  <c r="K237" i="13"/>
  <c r="L237" i="13" s="1"/>
  <c r="I237" i="13"/>
  <c r="K236" i="13"/>
  <c r="K235" i="13"/>
  <c r="L235" i="13" s="1"/>
  <c r="I235" i="13"/>
  <c r="P234" i="13"/>
  <c r="L234" i="13"/>
  <c r="K234" i="13"/>
  <c r="I234" i="13"/>
  <c r="O234" i="13" s="1"/>
  <c r="K233" i="13"/>
  <c r="L233" i="13" s="1"/>
  <c r="I233" i="13"/>
  <c r="K232" i="13"/>
  <c r="L232" i="13" s="1"/>
  <c r="I232" i="13"/>
  <c r="H231" i="13"/>
  <c r="G231" i="13"/>
  <c r="H227" i="13"/>
  <c r="G228" i="13" s="1"/>
  <c r="H226" i="13"/>
  <c r="G226" i="13"/>
  <c r="K225" i="13"/>
  <c r="L225" i="13" s="1"/>
  <c r="I225" i="13"/>
  <c r="K224" i="13"/>
  <c r="L224" i="13" s="1"/>
  <c r="P224" i="13" s="1"/>
  <c r="I224" i="13"/>
  <c r="K223" i="13"/>
  <c r="L223" i="13" s="1"/>
  <c r="P223" i="13" s="1"/>
  <c r="I223" i="13"/>
  <c r="O223" i="13" s="1"/>
  <c r="K222" i="13"/>
  <c r="L222" i="13" s="1"/>
  <c r="I222" i="13"/>
  <c r="G221" i="13"/>
  <c r="H220" i="13"/>
  <c r="H221" i="13" s="1"/>
  <c r="K219" i="13"/>
  <c r="L219" i="13" s="1"/>
  <c r="P219" i="13" s="1"/>
  <c r="I219" i="13"/>
  <c r="K218" i="13"/>
  <c r="L218" i="13" s="1"/>
  <c r="P218" i="13" s="1"/>
  <c r="I218" i="13"/>
  <c r="L217" i="13"/>
  <c r="P217" i="13" s="1"/>
  <c r="K217" i="13"/>
  <c r="I217" i="13"/>
  <c r="K215" i="13"/>
  <c r="L215" i="13" s="1"/>
  <c r="P215" i="13" s="1"/>
  <c r="I215" i="13"/>
  <c r="K214" i="13"/>
  <c r="L214" i="13" s="1"/>
  <c r="P214" i="13" s="1"/>
  <c r="I214" i="13"/>
  <c r="K213" i="13"/>
  <c r="L213" i="13" s="1"/>
  <c r="P213" i="13" s="1"/>
  <c r="I213" i="13"/>
  <c r="K212" i="13"/>
  <c r="I212" i="13"/>
  <c r="K211" i="13"/>
  <c r="H211" i="13"/>
  <c r="K210" i="13"/>
  <c r="L210" i="13" s="1"/>
  <c r="P210" i="13" s="1"/>
  <c r="I210" i="13"/>
  <c r="K209" i="13"/>
  <c r="L209" i="13" s="1"/>
  <c r="I209" i="13"/>
  <c r="K208" i="13"/>
  <c r="L208" i="13" s="1"/>
  <c r="P208" i="13" s="1"/>
  <c r="I208" i="13"/>
  <c r="K207" i="13"/>
  <c r="L207" i="13" s="1"/>
  <c r="I207" i="13"/>
  <c r="H206" i="13"/>
  <c r="G206" i="13"/>
  <c r="K205" i="13"/>
  <c r="L205" i="13" s="1"/>
  <c r="I205" i="13"/>
  <c r="K204" i="13"/>
  <c r="L204" i="13" s="1"/>
  <c r="P204" i="13" s="1"/>
  <c r="I204" i="13"/>
  <c r="O204" i="13" s="1"/>
  <c r="K203" i="13"/>
  <c r="L203" i="13" s="1"/>
  <c r="P203" i="13" s="1"/>
  <c r="I203" i="13"/>
  <c r="H202" i="13"/>
  <c r="K202" i="13" s="1"/>
  <c r="H201" i="13"/>
  <c r="G201" i="13"/>
  <c r="K200" i="13"/>
  <c r="L200" i="13" s="1"/>
  <c r="K199" i="13"/>
  <c r="L199" i="13" s="1"/>
  <c r="K198" i="13"/>
  <c r="L198" i="13" s="1"/>
  <c r="K197" i="13"/>
  <c r="L197" i="13" s="1"/>
  <c r="H196" i="13"/>
  <c r="G196" i="13"/>
  <c r="H192" i="13"/>
  <c r="G193" i="13" s="1"/>
  <c r="G191" i="13"/>
  <c r="K191" i="13" s="1"/>
  <c r="L191" i="13" s="1"/>
  <c r="P191" i="13" s="1"/>
  <c r="H187" i="13"/>
  <c r="G188" i="13" s="1"/>
  <c r="G186" i="13"/>
  <c r="K186" i="13" s="1"/>
  <c r="L186" i="13" s="1"/>
  <c r="H182" i="13"/>
  <c r="G183" i="13" s="1"/>
  <c r="G181" i="13"/>
  <c r="K181" i="13" s="1"/>
  <c r="L181" i="13" s="1"/>
  <c r="G180" i="13"/>
  <c r="K180" i="13" s="1"/>
  <c r="L180" i="13" s="1"/>
  <c r="G179" i="13"/>
  <c r="K179" i="13" s="1"/>
  <c r="L179" i="13" s="1"/>
  <c r="K177" i="13"/>
  <c r="L177" i="13" s="1"/>
  <c r="H177" i="13"/>
  <c r="G178" i="13" s="1"/>
  <c r="K178" i="13" s="1"/>
  <c r="L178" i="13" s="1"/>
  <c r="G176" i="13"/>
  <c r="I176" i="13" s="1"/>
  <c r="H172" i="13"/>
  <c r="G173" i="13" s="1"/>
  <c r="K171" i="13"/>
  <c r="L171" i="13" s="1"/>
  <c r="P171" i="13" s="1"/>
  <c r="G171" i="13"/>
  <c r="I171" i="13" s="1"/>
  <c r="H167" i="13"/>
  <c r="I167" i="13" s="1"/>
  <c r="K166" i="13"/>
  <c r="L166" i="13" s="1"/>
  <c r="P166" i="13" s="1"/>
  <c r="G166" i="13"/>
  <c r="I166" i="13" s="1"/>
  <c r="H162" i="13"/>
  <c r="G163" i="13" s="1"/>
  <c r="G161" i="13"/>
  <c r="I161" i="13" s="1"/>
  <c r="H157" i="13"/>
  <c r="G158" i="13" s="1"/>
  <c r="G156" i="13"/>
  <c r="K156" i="13" s="1"/>
  <c r="L156" i="13" s="1"/>
  <c r="H152" i="13"/>
  <c r="I152" i="13" s="1"/>
  <c r="H151" i="13"/>
  <c r="G151" i="13"/>
  <c r="E151" i="13"/>
  <c r="A151" i="13"/>
  <c r="K147" i="13"/>
  <c r="L147" i="13" s="1"/>
  <c r="H147" i="13"/>
  <c r="I147" i="13" s="1"/>
  <c r="G146" i="13"/>
  <c r="K146" i="13" s="1"/>
  <c r="L146" i="13" s="1"/>
  <c r="P146" i="13" s="1"/>
  <c r="K145" i="13"/>
  <c r="L145" i="13" s="1"/>
  <c r="P145" i="13" s="1"/>
  <c r="I145" i="13"/>
  <c r="G144" i="13"/>
  <c r="K144" i="13" s="1"/>
  <c r="L144" i="13" s="1"/>
  <c r="P144" i="13" s="1"/>
  <c r="G143" i="13"/>
  <c r="K143" i="13" s="1"/>
  <c r="L143" i="13" s="1"/>
  <c r="P143" i="13" s="1"/>
  <c r="K142" i="13"/>
  <c r="L142" i="13" s="1"/>
  <c r="P142" i="13" s="1"/>
  <c r="I142" i="13"/>
  <c r="G141" i="13"/>
  <c r="I141" i="13" s="1"/>
  <c r="H137" i="13"/>
  <c r="G138" i="13" s="1"/>
  <c r="K136" i="13"/>
  <c r="L136" i="13" s="1"/>
  <c r="P136" i="13" s="1"/>
  <c r="I136" i="13"/>
  <c r="L135" i="13"/>
  <c r="P135" i="13" s="1"/>
  <c r="K135" i="13"/>
  <c r="I135" i="13"/>
  <c r="K134" i="13"/>
  <c r="L134" i="13" s="1"/>
  <c r="P134" i="13" s="1"/>
  <c r="I134" i="13"/>
  <c r="K133" i="13"/>
  <c r="L133" i="13" s="1"/>
  <c r="P133" i="13" s="1"/>
  <c r="I133" i="13"/>
  <c r="O133" i="13" s="1"/>
  <c r="K132" i="13"/>
  <c r="L132" i="13" s="1"/>
  <c r="P132" i="13" s="1"/>
  <c r="I132" i="13"/>
  <c r="K131" i="13"/>
  <c r="L131" i="13" s="1"/>
  <c r="I131" i="13"/>
  <c r="K130" i="13"/>
  <c r="L130" i="13" s="1"/>
  <c r="P130" i="13" s="1"/>
  <c r="I130" i="13"/>
  <c r="K129" i="13"/>
  <c r="L129" i="13" s="1"/>
  <c r="I129" i="13"/>
  <c r="K128" i="13"/>
  <c r="L128" i="13" s="1"/>
  <c r="P128" i="13" s="1"/>
  <c r="I128" i="13"/>
  <c r="K127" i="13"/>
  <c r="L127" i="13" s="1"/>
  <c r="I127" i="13"/>
  <c r="H126" i="13"/>
  <c r="K126" i="13" s="1"/>
  <c r="G126" i="13"/>
  <c r="K125" i="13"/>
  <c r="L125" i="13" s="1"/>
  <c r="P125" i="13" s="1"/>
  <c r="I125" i="13"/>
  <c r="K124" i="13"/>
  <c r="L124" i="13" s="1"/>
  <c r="I124" i="13"/>
  <c r="K123" i="13"/>
  <c r="L123" i="13" s="1"/>
  <c r="P123" i="13" s="1"/>
  <c r="I123" i="13"/>
  <c r="K122" i="13"/>
  <c r="L122" i="13" s="1"/>
  <c r="I122" i="13"/>
  <c r="H121" i="13"/>
  <c r="G121" i="13"/>
  <c r="K120" i="13"/>
  <c r="L120" i="13" s="1"/>
  <c r="I120" i="13"/>
  <c r="K119" i="13"/>
  <c r="K121" i="13" s="1"/>
  <c r="I119" i="13"/>
  <c r="H118" i="13"/>
  <c r="G118" i="13"/>
  <c r="K117" i="13"/>
  <c r="L117" i="13" s="1"/>
  <c r="I117" i="13"/>
  <c r="K116" i="13"/>
  <c r="I116" i="13"/>
  <c r="H115" i="13"/>
  <c r="G115" i="13"/>
  <c r="K114" i="13"/>
  <c r="L114" i="13" s="1"/>
  <c r="I114" i="13"/>
  <c r="K113" i="13"/>
  <c r="K115" i="13" s="1"/>
  <c r="I113" i="13"/>
  <c r="H112" i="13"/>
  <c r="G112" i="13"/>
  <c r="K111" i="13"/>
  <c r="L111" i="13" s="1"/>
  <c r="I111" i="13"/>
  <c r="K110" i="13"/>
  <c r="I110" i="13"/>
  <c r="H109" i="13"/>
  <c r="G109" i="13"/>
  <c r="K108" i="13"/>
  <c r="L108" i="13" s="1"/>
  <c r="I108" i="13"/>
  <c r="K107" i="13"/>
  <c r="K109" i="13" s="1"/>
  <c r="I107" i="13"/>
  <c r="H106" i="13"/>
  <c r="G106" i="13"/>
  <c r="K105" i="13"/>
  <c r="L105" i="13" s="1"/>
  <c r="I105" i="13"/>
  <c r="K104" i="13"/>
  <c r="I104" i="13"/>
  <c r="G103" i="13"/>
  <c r="K103" i="13" s="1"/>
  <c r="K102" i="13"/>
  <c r="L102" i="13" s="1"/>
  <c r="P102" i="13" s="1"/>
  <c r="I102" i="13"/>
  <c r="K101" i="13"/>
  <c r="L101" i="13" s="1"/>
  <c r="I101" i="13"/>
  <c r="K99" i="13"/>
  <c r="L99" i="13" s="1"/>
  <c r="P99" i="13" s="1"/>
  <c r="I99" i="13"/>
  <c r="L98" i="13"/>
  <c r="P98" i="13" s="1"/>
  <c r="K98" i="13"/>
  <c r="I98" i="13"/>
  <c r="K97" i="13"/>
  <c r="L97" i="13" s="1"/>
  <c r="P97" i="13" s="1"/>
  <c r="I97" i="13"/>
  <c r="K96" i="13"/>
  <c r="I96" i="13"/>
  <c r="K94" i="13"/>
  <c r="L94" i="13" s="1"/>
  <c r="P94" i="13" s="1"/>
  <c r="I94" i="13"/>
  <c r="O94" i="13" s="1"/>
  <c r="K93" i="13"/>
  <c r="L93" i="13" s="1"/>
  <c r="P93" i="13" s="1"/>
  <c r="I93" i="13"/>
  <c r="K92" i="13"/>
  <c r="L92" i="13" s="1"/>
  <c r="P92" i="13" s="1"/>
  <c r="I92" i="13"/>
  <c r="K91" i="13"/>
  <c r="K95" i="13" s="1"/>
  <c r="I91" i="13"/>
  <c r="K89" i="13"/>
  <c r="L89" i="13" s="1"/>
  <c r="K88" i="13"/>
  <c r="L88" i="13" s="1"/>
  <c r="I88" i="13"/>
  <c r="K87" i="13"/>
  <c r="L87" i="13" s="1"/>
  <c r="P87" i="13" s="1"/>
  <c r="I87" i="13"/>
  <c r="K86" i="13"/>
  <c r="I86" i="13"/>
  <c r="K84" i="13"/>
  <c r="L84" i="13" s="1"/>
  <c r="P84" i="13" s="1"/>
  <c r="I84" i="13"/>
  <c r="O84" i="13" s="1"/>
  <c r="K83" i="13"/>
  <c r="L83" i="13" s="1"/>
  <c r="P83" i="13" s="1"/>
  <c r="I83" i="13"/>
  <c r="K82" i="13"/>
  <c r="L82" i="13" s="1"/>
  <c r="I82" i="13"/>
  <c r="K81" i="13"/>
  <c r="K85" i="13" s="1"/>
  <c r="I81" i="13"/>
  <c r="K79" i="13"/>
  <c r="L79" i="13" s="1"/>
  <c r="P79" i="13" s="1"/>
  <c r="I79" i="13"/>
  <c r="K78" i="13"/>
  <c r="L78" i="13" s="1"/>
  <c r="P78" i="13" s="1"/>
  <c r="I78" i="13"/>
  <c r="K77" i="13"/>
  <c r="L77" i="13" s="1"/>
  <c r="P77" i="13" s="1"/>
  <c r="I77" i="13"/>
  <c r="K76" i="13"/>
  <c r="I76" i="13"/>
  <c r="K74" i="13"/>
  <c r="L74" i="13" s="1"/>
  <c r="P74" i="13" s="1"/>
  <c r="I74" i="13"/>
  <c r="L73" i="13"/>
  <c r="P73" i="13" s="1"/>
  <c r="K73" i="13"/>
  <c r="I73" i="13"/>
  <c r="K72" i="13"/>
  <c r="L72" i="13" s="1"/>
  <c r="I72" i="13"/>
  <c r="K71" i="13"/>
  <c r="L71" i="13" s="1"/>
  <c r="P71" i="13" s="1"/>
  <c r="I71" i="13"/>
  <c r="H70" i="13"/>
  <c r="G70" i="13"/>
  <c r="K69" i="13"/>
  <c r="L69" i="13" s="1"/>
  <c r="I69" i="13"/>
  <c r="I70" i="13" s="1"/>
  <c r="K68" i="13"/>
  <c r="L68" i="13" s="1"/>
  <c r="K67" i="13"/>
  <c r="L67" i="13" s="1"/>
  <c r="P67" i="13" s="1"/>
  <c r="I67" i="13"/>
  <c r="K66" i="13"/>
  <c r="I66" i="13"/>
  <c r="K64" i="13"/>
  <c r="L64" i="13" s="1"/>
  <c r="P64" i="13" s="1"/>
  <c r="I64" i="13"/>
  <c r="K63" i="13"/>
  <c r="L63" i="13" s="1"/>
  <c r="P63" i="13" s="1"/>
  <c r="I63" i="13"/>
  <c r="K62" i="13"/>
  <c r="L62" i="13" s="1"/>
  <c r="P62" i="13" s="1"/>
  <c r="I62" i="13"/>
  <c r="K61" i="13"/>
  <c r="I61" i="13"/>
  <c r="K59" i="13"/>
  <c r="L59" i="13" s="1"/>
  <c r="P59" i="13" s="1"/>
  <c r="I59" i="13"/>
  <c r="L58" i="13"/>
  <c r="P58" i="13" s="1"/>
  <c r="K58" i="13"/>
  <c r="I58" i="13"/>
  <c r="K57" i="13"/>
  <c r="L57" i="13" s="1"/>
  <c r="P57" i="13" s="1"/>
  <c r="I57" i="13"/>
  <c r="K56" i="13"/>
  <c r="I56" i="13"/>
  <c r="H55" i="13"/>
  <c r="K54" i="13"/>
  <c r="L54" i="13" s="1"/>
  <c r="P54" i="13" s="1"/>
  <c r="I54" i="13"/>
  <c r="K53" i="13"/>
  <c r="L53" i="13" s="1"/>
  <c r="I53" i="13"/>
  <c r="K52" i="13"/>
  <c r="L52" i="13" s="1"/>
  <c r="P52" i="13" s="1"/>
  <c r="I52" i="13"/>
  <c r="K51" i="13"/>
  <c r="I51" i="13"/>
  <c r="H50" i="13"/>
  <c r="K49" i="13"/>
  <c r="L49" i="13" s="1"/>
  <c r="P49" i="13" s="1"/>
  <c r="I49" i="13"/>
  <c r="K48" i="13"/>
  <c r="L48" i="13" s="1"/>
  <c r="I48" i="13"/>
  <c r="K47" i="13"/>
  <c r="L47" i="13" s="1"/>
  <c r="P47" i="13" s="1"/>
  <c r="I47" i="13"/>
  <c r="K46" i="13"/>
  <c r="I46" i="13"/>
  <c r="H45" i="13"/>
  <c r="B45" i="13"/>
  <c r="K44" i="13"/>
  <c r="L44" i="13" s="1"/>
  <c r="I44" i="13"/>
  <c r="K43" i="13"/>
  <c r="L43" i="13" s="1"/>
  <c r="P43" i="13" s="1"/>
  <c r="I43" i="13"/>
  <c r="K42" i="13"/>
  <c r="L42" i="13" s="1"/>
  <c r="P42" i="13" s="1"/>
  <c r="I42" i="13"/>
  <c r="K41" i="13"/>
  <c r="L41" i="13" s="1"/>
  <c r="I41" i="13"/>
  <c r="H40" i="13"/>
  <c r="G40" i="13"/>
  <c r="B40" i="13"/>
  <c r="K39" i="13"/>
  <c r="L39" i="13" s="1"/>
  <c r="P39" i="13" s="1"/>
  <c r="I39" i="13"/>
  <c r="K38" i="13"/>
  <c r="L38" i="13" s="1"/>
  <c r="P38" i="13" s="1"/>
  <c r="I38" i="13"/>
  <c r="K37" i="13"/>
  <c r="L37" i="13" s="1"/>
  <c r="P37" i="13" s="1"/>
  <c r="I37" i="13"/>
  <c r="K36" i="13"/>
  <c r="L36" i="13" s="1"/>
  <c r="I36" i="13"/>
  <c r="H35" i="13"/>
  <c r="G35" i="13"/>
  <c r="K34" i="13"/>
  <c r="L34" i="13" s="1"/>
  <c r="I34" i="13"/>
  <c r="K33" i="13"/>
  <c r="L33" i="13" s="1"/>
  <c r="P33" i="13" s="1"/>
  <c r="I33" i="13"/>
  <c r="K32" i="13"/>
  <c r="I32" i="13"/>
  <c r="H31" i="13"/>
  <c r="G31" i="13"/>
  <c r="K30" i="13"/>
  <c r="L30" i="13" s="1"/>
  <c r="I30" i="13"/>
  <c r="K29" i="13"/>
  <c r="L29" i="13" s="1"/>
  <c r="P29" i="13" s="1"/>
  <c r="I29" i="13"/>
  <c r="K28" i="13"/>
  <c r="L28" i="13" s="1"/>
  <c r="P28" i="13" s="1"/>
  <c r="I28" i="13"/>
  <c r="O28" i="13" s="1"/>
  <c r="K27" i="13"/>
  <c r="K31" i="13" s="1"/>
  <c r="I27" i="13"/>
  <c r="H26" i="13"/>
  <c r="G26" i="13"/>
  <c r="K25" i="13"/>
  <c r="L25" i="13" s="1"/>
  <c r="I25" i="13"/>
  <c r="K24" i="13"/>
  <c r="L24" i="13" s="1"/>
  <c r="P24" i="13" s="1"/>
  <c r="I24" i="13"/>
  <c r="K23" i="13"/>
  <c r="L23" i="13" s="1"/>
  <c r="P23" i="13" s="1"/>
  <c r="I23" i="13"/>
  <c r="K22" i="13"/>
  <c r="L22" i="13" s="1"/>
  <c r="I22" i="13"/>
  <c r="H21" i="13"/>
  <c r="G21" i="13"/>
  <c r="K20" i="13"/>
  <c r="L20" i="13" s="1"/>
  <c r="I20" i="13"/>
  <c r="K19" i="13"/>
  <c r="L19" i="13" s="1"/>
  <c r="P19" i="13" s="1"/>
  <c r="I19" i="13"/>
  <c r="K18" i="13"/>
  <c r="L18" i="13" s="1"/>
  <c r="P18" i="13" s="1"/>
  <c r="I18" i="13"/>
  <c r="O18" i="13" s="1"/>
  <c r="K17" i="13"/>
  <c r="I17" i="13"/>
  <c r="H16" i="13"/>
  <c r="G16" i="13"/>
  <c r="K15" i="13"/>
  <c r="L15" i="13" s="1"/>
  <c r="I15" i="13"/>
  <c r="K14" i="13"/>
  <c r="L14" i="13" s="1"/>
  <c r="P14" i="13" s="1"/>
  <c r="I14" i="13"/>
  <c r="K13" i="13"/>
  <c r="L13" i="13" s="1"/>
  <c r="P13" i="13" s="1"/>
  <c r="I13" i="13"/>
  <c r="K12" i="13"/>
  <c r="L12" i="13" s="1"/>
  <c r="I12" i="13"/>
  <c r="H11" i="13"/>
  <c r="G11" i="13"/>
  <c r="K10" i="13"/>
  <c r="L10" i="13" s="1"/>
  <c r="I10" i="13"/>
  <c r="K9" i="13"/>
  <c r="L9" i="13" s="1"/>
  <c r="P9" i="13" s="1"/>
  <c r="I9" i="13"/>
  <c r="K8" i="13"/>
  <c r="L8" i="13" s="1"/>
  <c r="I8" i="13"/>
  <c r="K7" i="13"/>
  <c r="L7" i="13" s="1"/>
  <c r="P7" i="13" s="1"/>
  <c r="I7" i="13"/>
  <c r="B6" i="13"/>
  <c r="K5" i="13"/>
  <c r="L5" i="13" s="1"/>
  <c r="P5" i="13" s="1"/>
  <c r="I5" i="13"/>
  <c r="K4" i="13"/>
  <c r="L4" i="13" s="1"/>
  <c r="I4" i="13"/>
  <c r="K3" i="13"/>
  <c r="L3" i="13" s="1"/>
  <c r="P3" i="13" s="1"/>
  <c r="I3" i="13"/>
  <c r="K2" i="13"/>
  <c r="I2" i="13"/>
  <c r="O22" i="13" l="1"/>
  <c r="O97" i="13"/>
  <c r="K141" i="13"/>
  <c r="L141" i="13" s="1"/>
  <c r="P141" i="13" s="1"/>
  <c r="I146" i="13"/>
  <c r="O146" i="13" s="1"/>
  <c r="K161" i="13"/>
  <c r="L161" i="13" s="1"/>
  <c r="P161" i="13" s="1"/>
  <c r="O208" i="13"/>
  <c r="K35" i="13"/>
  <c r="O58" i="13"/>
  <c r="O73" i="13"/>
  <c r="K151" i="13"/>
  <c r="K176" i="13"/>
  <c r="L176" i="13" s="1"/>
  <c r="P176" i="13" s="1"/>
  <c r="I191" i="13"/>
  <c r="O191" i="13" s="1"/>
  <c r="O203" i="13"/>
  <c r="K216" i="13"/>
  <c r="K221" i="13"/>
  <c r="K21" i="13"/>
  <c r="O29" i="13"/>
  <c r="O37" i="13"/>
  <c r="O63" i="13"/>
  <c r="O132" i="13"/>
  <c r="O134" i="13"/>
  <c r="O166" i="13"/>
  <c r="O215" i="13"/>
  <c r="O224" i="13"/>
  <c r="O5" i="13"/>
  <c r="O7" i="13"/>
  <c r="O13" i="13"/>
  <c r="K26" i="13"/>
  <c r="L27" i="13"/>
  <c r="O42" i="13"/>
  <c r="O49" i="13"/>
  <c r="O54" i="13"/>
  <c r="O57" i="13"/>
  <c r="O62" i="13"/>
  <c r="O79" i="13"/>
  <c r="K90" i="13"/>
  <c r="O92" i="13"/>
  <c r="K106" i="13"/>
  <c r="K112" i="13"/>
  <c r="K118" i="13"/>
  <c r="O128" i="13"/>
  <c r="I144" i="13"/>
  <c r="O144" i="13" s="1"/>
  <c r="G148" i="13"/>
  <c r="H148" i="13" s="1"/>
  <c r="K196" i="13"/>
  <c r="O210" i="13"/>
  <c r="O213" i="13"/>
  <c r="O219" i="13"/>
  <c r="K231" i="13"/>
  <c r="K6" i="13"/>
  <c r="O12" i="13"/>
  <c r="O41" i="13"/>
  <c r="K50" i="13"/>
  <c r="K55" i="13"/>
  <c r="K60" i="13"/>
  <c r="K65" i="13"/>
  <c r="K70" i="13"/>
  <c r="O71" i="13"/>
  <c r="K80" i="13"/>
  <c r="O78" i="13"/>
  <c r="O217" i="13"/>
  <c r="K226" i="13"/>
  <c r="L226" i="13" s="1"/>
  <c r="O3" i="13"/>
  <c r="O9" i="13"/>
  <c r="K16" i="13"/>
  <c r="O14" i="13"/>
  <c r="L17" i="13"/>
  <c r="L21" i="13" s="1"/>
  <c r="O23" i="13"/>
  <c r="K45" i="13"/>
  <c r="O43" i="13"/>
  <c r="O47" i="13"/>
  <c r="O52" i="13"/>
  <c r="L56" i="13"/>
  <c r="O56" i="13" s="1"/>
  <c r="L61" i="13"/>
  <c r="O64" i="13"/>
  <c r="O67" i="13"/>
  <c r="K75" i="13"/>
  <c r="O74" i="13"/>
  <c r="O77" i="13"/>
  <c r="K100" i="13"/>
  <c r="O99" i="13"/>
  <c r="O130" i="13"/>
  <c r="O136" i="13"/>
  <c r="O145" i="13"/>
  <c r="K201" i="13"/>
  <c r="O232" i="13"/>
  <c r="P239" i="13"/>
  <c r="O239" i="13"/>
  <c r="P240" i="13"/>
  <c r="O240" i="13"/>
  <c r="L241" i="13"/>
  <c r="P237" i="13"/>
  <c r="O237" i="13"/>
  <c r="O238" i="13"/>
  <c r="P233" i="13"/>
  <c r="O233" i="13"/>
  <c r="L236" i="13"/>
  <c r="P235" i="13"/>
  <c r="O235" i="13"/>
  <c r="P232" i="13"/>
  <c r="H228" i="13"/>
  <c r="G229" i="13" s="1"/>
  <c r="I227" i="13"/>
  <c r="O227" i="13" s="1"/>
  <c r="K227" i="13"/>
  <c r="L227" i="13" s="1"/>
  <c r="O222" i="13"/>
  <c r="P225" i="13"/>
  <c r="O225" i="13"/>
  <c r="P222" i="13"/>
  <c r="O218" i="13"/>
  <c r="I220" i="13"/>
  <c r="K220" i="13"/>
  <c r="L220" i="13" s="1"/>
  <c r="P220" i="13" s="1"/>
  <c r="O214" i="13"/>
  <c r="L212" i="13"/>
  <c r="L211" i="13"/>
  <c r="P207" i="13"/>
  <c r="O207" i="13"/>
  <c r="P209" i="13"/>
  <c r="O209" i="13"/>
  <c r="P205" i="13"/>
  <c r="O205" i="13"/>
  <c r="K206" i="13"/>
  <c r="L202" i="13"/>
  <c r="I202" i="13"/>
  <c r="L201" i="13"/>
  <c r="O197" i="13"/>
  <c r="P197" i="13"/>
  <c r="P199" i="13"/>
  <c r="O199" i="13"/>
  <c r="O200" i="13"/>
  <c r="P200" i="13"/>
  <c r="O198" i="13"/>
  <c r="P198" i="13"/>
  <c r="H193" i="13"/>
  <c r="G194" i="13" s="1"/>
  <c r="I192" i="13"/>
  <c r="K192" i="13"/>
  <c r="L192" i="13" s="1"/>
  <c r="H188" i="13"/>
  <c r="G189" i="13" s="1"/>
  <c r="I187" i="13"/>
  <c r="K187" i="13"/>
  <c r="L187" i="13" s="1"/>
  <c r="P187" i="13" s="1"/>
  <c r="H183" i="13"/>
  <c r="G184" i="13" s="1"/>
  <c r="P186" i="13"/>
  <c r="O186" i="13"/>
  <c r="K182" i="13"/>
  <c r="L182" i="13" s="1"/>
  <c r="P177" i="13"/>
  <c r="O177" i="13"/>
  <c r="P180" i="13"/>
  <c r="O180" i="13"/>
  <c r="P179" i="13"/>
  <c r="O179" i="13"/>
  <c r="O178" i="13"/>
  <c r="P178" i="13"/>
  <c r="P181" i="13"/>
  <c r="O181" i="13"/>
  <c r="H173" i="13"/>
  <c r="G174" i="13" s="1"/>
  <c r="I173" i="13"/>
  <c r="I172" i="13"/>
  <c r="K172" i="13"/>
  <c r="L172" i="13" s="1"/>
  <c r="P172" i="13" s="1"/>
  <c r="O171" i="13"/>
  <c r="K167" i="13"/>
  <c r="L167" i="13" s="1"/>
  <c r="P167" i="13" s="1"/>
  <c r="G168" i="13"/>
  <c r="H163" i="13"/>
  <c r="G164" i="13" s="1"/>
  <c r="I162" i="13"/>
  <c r="K162" i="13"/>
  <c r="L162" i="13" s="1"/>
  <c r="P162" i="13" s="1"/>
  <c r="H158" i="13"/>
  <c r="G159" i="13" s="1"/>
  <c r="K158" i="13"/>
  <c r="L158" i="13" s="1"/>
  <c r="P158" i="13" s="1"/>
  <c r="I158" i="13"/>
  <c r="O158" i="13" s="1"/>
  <c r="I157" i="13"/>
  <c r="O157" i="13" s="1"/>
  <c r="K157" i="13"/>
  <c r="L157" i="13" s="1"/>
  <c r="P157" i="13" s="1"/>
  <c r="P156" i="13"/>
  <c r="O156" i="13"/>
  <c r="K152" i="13"/>
  <c r="L152" i="13" s="1"/>
  <c r="P152" i="13" s="1"/>
  <c r="G153" i="13"/>
  <c r="O147" i="13"/>
  <c r="P147" i="13"/>
  <c r="O142" i="13"/>
  <c r="I143" i="13"/>
  <c r="O143" i="13" s="1"/>
  <c r="H138" i="13"/>
  <c r="G139" i="13" s="1"/>
  <c r="I137" i="13"/>
  <c r="K137" i="13"/>
  <c r="L137" i="13" s="1"/>
  <c r="P137" i="13" s="1"/>
  <c r="O135" i="13"/>
  <c r="P127" i="13"/>
  <c r="O127" i="13"/>
  <c r="P129" i="13"/>
  <c r="O129" i="13"/>
  <c r="P131" i="13"/>
  <c r="O131" i="13"/>
  <c r="L126" i="13"/>
  <c r="P122" i="13"/>
  <c r="O122" i="13"/>
  <c r="P124" i="13"/>
  <c r="O124" i="13"/>
  <c r="O123" i="13"/>
  <c r="O125" i="13"/>
  <c r="O120" i="13"/>
  <c r="P120" i="13"/>
  <c r="L119" i="13"/>
  <c r="O119" i="13" s="1"/>
  <c r="P117" i="13"/>
  <c r="O117" i="13"/>
  <c r="L116" i="13"/>
  <c r="P114" i="13"/>
  <c r="O114" i="13"/>
  <c r="L113" i="13"/>
  <c r="P111" i="13"/>
  <c r="O111" i="13"/>
  <c r="L110" i="13"/>
  <c r="P108" i="13"/>
  <c r="O108" i="13"/>
  <c r="L107" i="13"/>
  <c r="O107" i="13" s="1"/>
  <c r="P105" i="13"/>
  <c r="O105" i="13"/>
  <c r="L104" i="13"/>
  <c r="O104" i="13" s="1"/>
  <c r="L103" i="13"/>
  <c r="P101" i="13"/>
  <c r="O101" i="13"/>
  <c r="O102" i="13"/>
  <c r="O98" i="13"/>
  <c r="L96" i="13"/>
  <c r="O93" i="13"/>
  <c r="L91" i="13"/>
  <c r="O88" i="13"/>
  <c r="P88" i="13"/>
  <c r="O87" i="13"/>
  <c r="P89" i="13"/>
  <c r="O89" i="13"/>
  <c r="L86" i="13"/>
  <c r="P82" i="13"/>
  <c r="O82" i="13"/>
  <c r="O83" i="13"/>
  <c r="L81" i="13"/>
  <c r="O81" i="13" s="1"/>
  <c r="L76" i="13"/>
  <c r="O72" i="13"/>
  <c r="P72" i="13"/>
  <c r="L75" i="13"/>
  <c r="O68" i="13"/>
  <c r="P68" i="13"/>
  <c r="P69" i="13"/>
  <c r="O69" i="13"/>
  <c r="L66" i="13"/>
  <c r="O59" i="13"/>
  <c r="P53" i="13"/>
  <c r="O53" i="13"/>
  <c r="L51" i="13"/>
  <c r="P48" i="13"/>
  <c r="O48" i="13"/>
  <c r="L46" i="13"/>
  <c r="P44" i="13"/>
  <c r="O44" i="13"/>
  <c r="L45" i="13"/>
  <c r="P41" i="13"/>
  <c r="L40" i="13"/>
  <c r="P36" i="13"/>
  <c r="O36" i="13"/>
  <c r="O38" i="13"/>
  <c r="O39" i="13"/>
  <c r="K40" i="13"/>
  <c r="P34" i="13"/>
  <c r="O34" i="13"/>
  <c r="O33" i="13"/>
  <c r="L32" i="13"/>
  <c r="O32" i="13" s="1"/>
  <c r="P30" i="13"/>
  <c r="O30" i="13"/>
  <c r="L31" i="13"/>
  <c r="O27" i="13"/>
  <c r="P27" i="13"/>
  <c r="O25" i="13"/>
  <c r="P25" i="13"/>
  <c r="O24" i="13"/>
  <c r="L26" i="13"/>
  <c r="P22" i="13"/>
  <c r="P20" i="13"/>
  <c r="O20" i="13"/>
  <c r="O19" i="13"/>
  <c r="P17" i="13"/>
  <c r="P15" i="13"/>
  <c r="O15" i="13"/>
  <c r="L16" i="13"/>
  <c r="P12" i="13"/>
  <c r="P8" i="13"/>
  <c r="O8" i="13"/>
  <c r="L11" i="13"/>
  <c r="P10" i="13"/>
  <c r="O10" i="13"/>
  <c r="K11" i="13"/>
  <c r="O4" i="13"/>
  <c r="P4" i="13"/>
  <c r="L2" i="13"/>
  <c r="G149" i="13" l="1"/>
  <c r="K148" i="13"/>
  <c r="L148" i="13" s="1"/>
  <c r="P148" i="13" s="1"/>
  <c r="K173" i="13"/>
  <c r="L173" i="13" s="1"/>
  <c r="P173" i="13" s="1"/>
  <c r="O192" i="13"/>
  <c r="O17" i="13"/>
  <c r="O176" i="13"/>
  <c r="O173" i="13"/>
  <c r="I148" i="13"/>
  <c r="O148" i="13" s="1"/>
  <c r="I193" i="13"/>
  <c r="O193" i="13" s="1"/>
  <c r="J226" i="13"/>
  <c r="O141" i="13"/>
  <c r="O161" i="13"/>
  <c r="O172" i="13"/>
  <c r="K193" i="13"/>
  <c r="L193" i="13" s="1"/>
  <c r="P193" i="13" s="1"/>
  <c r="J21" i="13"/>
  <c r="O137" i="13"/>
  <c r="L65" i="13"/>
  <c r="P61" i="13"/>
  <c r="O61" i="13"/>
  <c r="I138" i="13"/>
  <c r="K163" i="13"/>
  <c r="L163" i="13" s="1"/>
  <c r="P163" i="13" s="1"/>
  <c r="L60" i="13"/>
  <c r="J60" i="13" s="1"/>
  <c r="P56" i="13"/>
  <c r="K138" i="13"/>
  <c r="L138" i="13" s="1"/>
  <c r="P138" i="13" s="1"/>
  <c r="K183" i="13"/>
  <c r="L183" i="13" s="1"/>
  <c r="P183" i="13" s="1"/>
  <c r="K188" i="13"/>
  <c r="L188" i="13" s="1"/>
  <c r="J241" i="13"/>
  <c r="I241" i="13"/>
  <c r="J236" i="13"/>
  <c r="I236" i="13"/>
  <c r="I226" i="13"/>
  <c r="K228" i="13"/>
  <c r="L228" i="13" s="1"/>
  <c r="P228" i="13" s="1"/>
  <c r="H229" i="13"/>
  <c r="G230" i="13" s="1"/>
  <c r="P227" i="13"/>
  <c r="I228" i="13"/>
  <c r="O228" i="13" s="1"/>
  <c r="O220" i="13"/>
  <c r="L221" i="13"/>
  <c r="L216" i="13"/>
  <c r="P212" i="13"/>
  <c r="O212" i="13"/>
  <c r="J211" i="13"/>
  <c r="I211" i="13"/>
  <c r="L206" i="13"/>
  <c r="P202" i="13"/>
  <c r="O202" i="13"/>
  <c r="I201" i="13"/>
  <c r="J201" i="13"/>
  <c r="P192" i="13"/>
  <c r="H194" i="13"/>
  <c r="G195" i="13" s="1"/>
  <c r="O187" i="13"/>
  <c r="O188" i="13"/>
  <c r="P188" i="13"/>
  <c r="I189" i="13"/>
  <c r="H189" i="13"/>
  <c r="G190" i="13" s="1"/>
  <c r="K189" i="13"/>
  <c r="L189" i="13" s="1"/>
  <c r="P189" i="13" s="1"/>
  <c r="O182" i="13"/>
  <c r="P182" i="13"/>
  <c r="H184" i="13"/>
  <c r="G185" i="13" s="1"/>
  <c r="K185" i="13" s="1"/>
  <c r="L185" i="13" s="1"/>
  <c r="H174" i="13"/>
  <c r="G175" i="13" s="1"/>
  <c r="H168" i="13"/>
  <c r="G169" i="13" s="1"/>
  <c r="I168" i="13"/>
  <c r="O167" i="13"/>
  <c r="O162" i="13"/>
  <c r="H164" i="13"/>
  <c r="G165" i="13" s="1"/>
  <c r="O163" i="13"/>
  <c r="H159" i="13"/>
  <c r="G160" i="13" s="1"/>
  <c r="H153" i="13"/>
  <c r="G154" i="13" s="1"/>
  <c r="O152" i="13"/>
  <c r="I149" i="13"/>
  <c r="H149" i="13"/>
  <c r="G150" i="13" s="1"/>
  <c r="I139" i="13"/>
  <c r="H139" i="13"/>
  <c r="G140" i="13" s="1"/>
  <c r="I126" i="13"/>
  <c r="L121" i="13"/>
  <c r="P119" i="13"/>
  <c r="L118" i="13"/>
  <c r="P116" i="13"/>
  <c r="O116" i="13"/>
  <c r="L115" i="13"/>
  <c r="P113" i="13"/>
  <c r="O113" i="13"/>
  <c r="L112" i="13"/>
  <c r="P110" i="13"/>
  <c r="O110" i="13"/>
  <c r="L109" i="13"/>
  <c r="P107" i="13"/>
  <c r="L106" i="13"/>
  <c r="P104" i="13"/>
  <c r="J103" i="13"/>
  <c r="I103" i="13"/>
  <c r="L100" i="13"/>
  <c r="P96" i="13"/>
  <c r="O96" i="13"/>
  <c r="L95" i="13"/>
  <c r="P91" i="13"/>
  <c r="O91" i="13"/>
  <c r="L90" i="13"/>
  <c r="P86" i="13"/>
  <c r="O86" i="13"/>
  <c r="L85" i="13"/>
  <c r="P81" i="13"/>
  <c r="L80" i="13"/>
  <c r="P76" i="13"/>
  <c r="O76" i="13"/>
  <c r="I75" i="13"/>
  <c r="J75" i="13"/>
  <c r="L70" i="13"/>
  <c r="P66" i="13"/>
  <c r="O66" i="13"/>
  <c r="L55" i="13"/>
  <c r="P51" i="13"/>
  <c r="O51" i="13"/>
  <c r="L50" i="13"/>
  <c r="P46" i="13"/>
  <c r="O46" i="13"/>
  <c r="J45" i="13"/>
  <c r="I45" i="13"/>
  <c r="J40" i="13"/>
  <c r="I40" i="13"/>
  <c r="L35" i="13"/>
  <c r="P32" i="13"/>
  <c r="I31" i="13"/>
  <c r="J31" i="13"/>
  <c r="I21" i="13"/>
  <c r="I26" i="13"/>
  <c r="J26" i="13"/>
  <c r="J16" i="13"/>
  <c r="I16" i="13"/>
  <c r="J11" i="13"/>
  <c r="I11" i="13"/>
  <c r="L6" i="13"/>
  <c r="P2" i="13"/>
  <c r="O2" i="13"/>
  <c r="I159" i="13" l="1"/>
  <c r="O159" i="13" s="1"/>
  <c r="K149" i="13"/>
  <c r="L149" i="13" s="1"/>
  <c r="P149" i="13" s="1"/>
  <c r="K159" i="13"/>
  <c r="L159" i="13" s="1"/>
  <c r="P159" i="13" s="1"/>
  <c r="J65" i="13"/>
  <c r="I65" i="13"/>
  <c r="K168" i="13"/>
  <c r="L168" i="13" s="1"/>
  <c r="P168" i="13" s="1"/>
  <c r="I174" i="13"/>
  <c r="O138" i="13"/>
  <c r="O183" i="13"/>
  <c r="O189" i="13"/>
  <c r="K229" i="13"/>
  <c r="L229" i="13" s="1"/>
  <c r="L231" i="13" s="1"/>
  <c r="I153" i="13"/>
  <c r="K174" i="13"/>
  <c r="L174" i="13" s="1"/>
  <c r="P174" i="13" s="1"/>
  <c r="K184" i="13"/>
  <c r="L184" i="13" s="1"/>
  <c r="P184" i="13" s="1"/>
  <c r="I60" i="13"/>
  <c r="K230" i="13"/>
  <c r="L230" i="13" s="1"/>
  <c r="P230" i="13" s="1"/>
  <c r="I230" i="13"/>
  <c r="O230" i="13" s="1"/>
  <c r="P229" i="13"/>
  <c r="O229" i="13"/>
  <c r="J221" i="13"/>
  <c r="I221" i="13"/>
  <c r="J216" i="13"/>
  <c r="I216" i="13"/>
  <c r="J206" i="13"/>
  <c r="I206" i="13"/>
  <c r="I194" i="13"/>
  <c r="K195" i="13"/>
  <c r="L195" i="13" s="1"/>
  <c r="P195" i="13" s="1"/>
  <c r="I195" i="13"/>
  <c r="O195" i="13" s="1"/>
  <c r="K194" i="13"/>
  <c r="L194" i="13" s="1"/>
  <c r="I190" i="13"/>
  <c r="O190" i="13" s="1"/>
  <c r="K190" i="13"/>
  <c r="L190" i="13" s="1"/>
  <c r="P190" i="13" s="1"/>
  <c r="P185" i="13"/>
  <c r="O185" i="13"/>
  <c r="O184" i="13"/>
  <c r="K175" i="13"/>
  <c r="L175" i="13" s="1"/>
  <c r="P175" i="13" s="1"/>
  <c r="I175" i="13"/>
  <c r="I169" i="13"/>
  <c r="H169" i="13"/>
  <c r="G170" i="13" s="1"/>
  <c r="K164" i="13"/>
  <c r="L164" i="13" s="1"/>
  <c r="P164" i="13" s="1"/>
  <c r="I164" i="13"/>
  <c r="O164" i="13" s="1"/>
  <c r="K165" i="13"/>
  <c r="L165" i="13" s="1"/>
  <c r="P165" i="13" s="1"/>
  <c r="I165" i="13"/>
  <c r="K160" i="13"/>
  <c r="L160" i="13" s="1"/>
  <c r="P160" i="13" s="1"/>
  <c r="I160" i="13"/>
  <c r="O160" i="13" s="1"/>
  <c r="I154" i="13"/>
  <c r="H154" i="13"/>
  <c r="G155" i="13" s="1"/>
  <c r="K155" i="13" s="1"/>
  <c r="L155" i="13" s="1"/>
  <c r="K153" i="13"/>
  <c r="L153" i="13" s="1"/>
  <c r="P153" i="13" s="1"/>
  <c r="I150" i="13"/>
  <c r="K150" i="13"/>
  <c r="L150" i="13" s="1"/>
  <c r="K140" i="13"/>
  <c r="L140" i="13" s="1"/>
  <c r="P140" i="13" s="1"/>
  <c r="I140" i="13"/>
  <c r="K139" i="13"/>
  <c r="L139" i="13" s="1"/>
  <c r="P139" i="13" s="1"/>
  <c r="I121" i="13"/>
  <c r="J121" i="13"/>
  <c r="I118" i="13"/>
  <c r="J118" i="13"/>
  <c r="I115" i="13"/>
  <c r="J115" i="13"/>
  <c r="I112" i="13"/>
  <c r="J112" i="13"/>
  <c r="I109" i="13"/>
  <c r="J109" i="13"/>
  <c r="I106" i="13"/>
  <c r="J106" i="13"/>
  <c r="J100" i="13"/>
  <c r="I100" i="13"/>
  <c r="J95" i="13"/>
  <c r="I95" i="13"/>
  <c r="I85" i="13"/>
  <c r="J85" i="13"/>
  <c r="J80" i="13"/>
  <c r="I80" i="13"/>
  <c r="J70" i="13"/>
  <c r="J55" i="13"/>
  <c r="I55" i="13"/>
  <c r="J50" i="13"/>
  <c r="I50" i="13"/>
  <c r="J35" i="13"/>
  <c r="I35" i="13"/>
  <c r="I6" i="13"/>
  <c r="J6" i="13"/>
  <c r="O149" i="13" l="1"/>
  <c r="O140" i="13"/>
  <c r="O153" i="13"/>
  <c r="O139" i="13"/>
  <c r="O165" i="13"/>
  <c r="O175" i="13"/>
  <c r="O174" i="13"/>
  <c r="O168" i="13"/>
  <c r="J231" i="13"/>
  <c r="I231" i="13"/>
  <c r="P194" i="13"/>
  <c r="L196" i="13"/>
  <c r="O194" i="13"/>
  <c r="K170" i="13"/>
  <c r="L170" i="13" s="1"/>
  <c r="P170" i="13" s="1"/>
  <c r="I170" i="13"/>
  <c r="O170" i="13" s="1"/>
  <c r="K169" i="13"/>
  <c r="L169" i="13" s="1"/>
  <c r="P169" i="13" s="1"/>
  <c r="P155" i="13"/>
  <c r="O155" i="13"/>
  <c r="K154" i="13"/>
  <c r="L154" i="13" s="1"/>
  <c r="P154" i="13" s="1"/>
  <c r="P150" i="13"/>
  <c r="L151" i="13"/>
  <c r="O150" i="13"/>
  <c r="O169" i="13" l="1"/>
  <c r="J196" i="13"/>
  <c r="I196" i="13"/>
  <c r="O154" i="13"/>
  <c r="J151" i="13"/>
  <c r="I151" i="13"/>
</calcChain>
</file>

<file path=xl/comments1.xml><?xml version="1.0" encoding="utf-8"?>
<comments xmlns="http://schemas.openxmlformats.org/spreadsheetml/2006/main">
  <authors>
    <author>Graciolli Junior, S.</author>
  </authors>
  <commentList>
    <comment ref="Q4" authorId="0" shapeId="0">
      <text>
        <r>
          <rPr>
            <sz val="9"/>
            <color indexed="81"/>
            <rFont val="Tahoma"/>
            <charset val="1"/>
          </rPr>
          <t>Corpus Christi</t>
        </r>
      </text>
    </comment>
    <comment ref="Y5" authorId="0" shapeId="0">
      <text>
        <r>
          <rPr>
            <sz val="9"/>
            <color indexed="81"/>
            <rFont val="Tahoma"/>
            <charset val="1"/>
          </rPr>
          <t xml:space="preserve">ID75 - VI (100,0%)_x000D_
Macro Desconto de Marketing - Garantia da Receita
</t>
        </r>
      </text>
    </comment>
    <comment ref="AF5" authorId="0" shapeId="0">
      <text>
        <r>
          <rPr>
            <sz val="9"/>
            <color indexed="81"/>
            <rFont val="Tahoma"/>
            <charset val="1"/>
          </rPr>
          <t>ID81 - Aline - Fase 2 (0,0%)_x000D_
Consulta de OS Rettar</t>
        </r>
      </text>
    </comment>
    <comment ref="AL5" authorId="0" shapeId="0">
      <text>
        <r>
          <rPr>
            <sz val="9"/>
            <color indexed="81"/>
            <rFont val="Tahoma"/>
            <charset val="1"/>
          </rPr>
          <t>ID92 - Aline - Fase 2 (0,0%)_x000D_
Religue e Desligue do Speedy</t>
        </r>
      </text>
    </comment>
    <comment ref="AQ5" authorId="0" shapeId="0">
      <text>
        <r>
          <rPr>
            <sz val="9"/>
            <color indexed="81"/>
            <rFont val="Tahoma"/>
            <charset val="1"/>
          </rPr>
          <t>ID84 - Aline - Fase 2 (0,0%)_x000D_
Conferência de Cadastro de Clientes
ID373 - Melissa (0,0%)_x000D_
MANUTENÇÃO DE PACOTES DE DADOS</t>
        </r>
      </text>
    </comment>
    <comment ref="AE6" authorId="0" shapeId="0">
      <text>
        <r>
          <rPr>
            <sz val="9"/>
            <color indexed="81"/>
            <rFont val="Tahoma"/>
            <charset val="1"/>
          </rPr>
          <t>ID258 - Olga (29,4%)_x000D_
Emissão de Nota Fiscal (validação) - Redução de erros</t>
        </r>
      </text>
    </comment>
    <comment ref="M7" authorId="0" shapeId="0">
      <text>
        <r>
          <rPr>
            <sz val="9"/>
            <color indexed="81"/>
            <rFont val="Tahoma"/>
            <charset val="1"/>
          </rPr>
          <t xml:space="preserve">ID83.4 - Olga (95,2%)_x000D_
Controle e Envio de Débito Automático SIA e NSIA
</t>
        </r>
      </text>
    </comment>
    <comment ref="W7" authorId="0" shapeId="0">
      <text>
        <r>
          <rPr>
            <sz val="9"/>
            <color indexed="81"/>
            <rFont val="Tahoma"/>
            <charset val="1"/>
          </rPr>
          <t xml:space="preserve">ID83.5 - Olga (96,7%)_x000D_
Controle e Envio de Débito Automático Painel </t>
        </r>
      </text>
    </comment>
    <comment ref="AG7" authorId="0" shapeId="0">
      <text>
        <r>
          <rPr>
            <sz val="9"/>
            <color indexed="81"/>
            <rFont val="Tahoma"/>
            <charset val="1"/>
          </rPr>
          <t>ID82.5 - Olga (15,4%)_x000D_
Macro Controle de Arquivos Bancários S.I.A/NSIA</t>
        </r>
      </text>
    </comment>
    <comment ref="AV7" authorId="0" shapeId="0">
      <text>
        <r>
          <rPr>
            <sz val="9"/>
            <color indexed="81"/>
            <rFont val="Tahoma"/>
            <charset val="1"/>
          </rPr>
          <t>ID372 - Melissa (0,0%)_x000D_
PRORROGAÇÃO DE 2A VIA</t>
        </r>
      </text>
    </comment>
    <comment ref="W8" authorId="0" shapeId="0">
      <text>
        <r>
          <rPr>
            <sz val="9"/>
            <color indexed="81"/>
            <rFont val="Tahoma"/>
            <charset val="1"/>
          </rPr>
          <t>ID268 - Olga (100,0%)_x000D_
Controle de gestão documental Financeiro - fase 1
ID265 - Olga (100,0%)_x000D_
Organização de Arquivos no Explorer</t>
        </r>
      </text>
    </comment>
    <comment ref="AQ8" authorId="0" shapeId="0">
      <text>
        <r>
          <rPr>
            <sz val="9"/>
            <color indexed="81"/>
            <rFont val="Tahoma"/>
            <charset val="1"/>
          </rPr>
          <t>ID266 - Olga (0,0%)_x000D_
Upload de arquivos para o BGI - realização da carga dos arquivos</t>
        </r>
      </text>
    </comment>
    <comment ref="BK8" authorId="0" shapeId="0">
      <text>
        <r>
          <rPr>
            <sz val="9"/>
            <color indexed="81"/>
            <rFont val="Tahoma"/>
            <charset val="1"/>
          </rPr>
          <t>Férias - 20/07/2015 à 07/08/2015</t>
        </r>
      </text>
    </comment>
    <comment ref="AB9" authorId="0" shapeId="0">
      <text>
        <r>
          <rPr>
            <sz val="9"/>
            <color indexed="81"/>
            <rFont val="Tahoma"/>
            <charset val="1"/>
          </rPr>
          <t>ID161 - Olga (81,3%)_x000D_
Automação do Cálculo de Comissionamento  Movel Campanhas</t>
        </r>
      </text>
    </comment>
    <comment ref="T10" authorId="0" shapeId="0">
      <text>
        <r>
          <rPr>
            <sz val="9"/>
            <color indexed="81"/>
            <rFont val="Tahoma"/>
            <charset val="1"/>
          </rPr>
          <t>ID77 - Aline - Fase 2 (100,0%)_x000D_
Instalação de VM nas máquinas</t>
        </r>
      </text>
    </comment>
    <comment ref="AB10" authorId="0" shapeId="0">
      <text>
        <r>
          <rPr>
            <sz val="9"/>
            <color indexed="81"/>
            <rFont val="Tahoma"/>
            <charset val="1"/>
          </rPr>
          <t>ID257 - Olga (0,0%)_x000D_
Sistema de Gestão de Acompanhamento das Postagem (SISGAP)</t>
        </r>
      </text>
    </comment>
    <comment ref="AV10" authorId="0" shapeId="0">
      <text>
        <r>
          <rPr>
            <sz val="9"/>
            <color indexed="81"/>
            <rFont val="Tahoma"/>
            <charset val="1"/>
          </rPr>
          <t>ID379 - Melissa (0,0%)_x000D_
MONITORAMENTO DE CADASTRO</t>
        </r>
      </text>
    </comment>
    <comment ref="BK10" authorId="0" shapeId="0">
      <text>
        <r>
          <rPr>
            <sz val="9"/>
            <color indexed="81"/>
            <rFont val="Tahoma"/>
            <charset val="1"/>
          </rPr>
          <t>ID377 - Melissa (0,0%)_x000D_
ANÁLISE DE CONTAS</t>
        </r>
      </text>
    </comment>
    <comment ref="M11" authorId="0" shapeId="0">
      <text>
        <r>
          <rPr>
            <sz val="9"/>
            <color indexed="81"/>
            <rFont val="Tahoma"/>
            <charset val="1"/>
          </rPr>
          <t xml:space="preserve">ID82.1 - Olga (95,8%)_x000D_
Macro Controle de Arquivos Bancários Atlys
</t>
        </r>
      </text>
    </comment>
    <comment ref="AG11" authorId="0" shapeId="0">
      <text>
        <r>
          <rPr>
            <sz val="9"/>
            <color indexed="81"/>
            <rFont val="Tahoma"/>
            <charset val="1"/>
          </rPr>
          <t>ID82.4 - Olga (42,6%)_x000D_
Macro Controle de Arquivos Bancários SAP</t>
        </r>
      </text>
    </comment>
    <comment ref="AV11" authorId="0" shapeId="0">
      <text>
        <r>
          <rPr>
            <sz val="9"/>
            <color indexed="81"/>
            <rFont val="Tahoma"/>
            <charset val="1"/>
          </rPr>
          <t>ID374 - Melissa (0,0%)_x000D_
CANCELAMENTO / IMPUGNAÇÃO DE FATURA</t>
        </r>
      </text>
    </comment>
    <comment ref="W12" authorId="0" shapeId="0">
      <text>
        <r>
          <rPr>
            <sz val="9"/>
            <color indexed="81"/>
            <rFont val="Tahoma"/>
            <charset val="1"/>
          </rPr>
          <t xml:space="preserve">ID82.3 - Olga (100,0%)_x000D_
Macro Controle de Arquivos Bancários Sistemas Legados
</t>
        </r>
      </text>
    </comment>
    <comment ref="AI12" authorId="0" shapeId="0">
      <text>
        <r>
          <rPr>
            <sz val="9"/>
            <color indexed="81"/>
            <rFont val="Tahoma"/>
            <charset val="1"/>
          </rPr>
          <t xml:space="preserve">ID193 - Olga (20,0%)_x000D_
Envio de Comprovantes </t>
        </r>
      </text>
    </comment>
    <comment ref="AX12" authorId="0" shapeId="0">
      <text>
        <r>
          <rPr>
            <sz val="9"/>
            <color indexed="81"/>
            <rFont val="Tahoma"/>
            <charset val="1"/>
          </rPr>
          <t>ID383 - Melissa (0,0%)_x000D_
ADESÃO SEGMENTO ÚNICO</t>
        </r>
      </text>
    </comment>
    <comment ref="X13" authorId="0" shapeId="0">
      <text>
        <r>
          <rPr>
            <sz val="9"/>
            <color indexed="81"/>
            <rFont val="Tahoma"/>
            <charset val="1"/>
          </rPr>
          <t>ID5,7 - Aline - Fase 1 (100,0%)_x000D_
Desligue Parcial Atelecom e Inserir Restrição no CSO</t>
        </r>
      </text>
    </comment>
    <comment ref="AQ13" authorId="0" shapeId="0">
      <text>
        <r>
          <rPr>
            <sz val="9"/>
            <color indexed="81"/>
            <rFont val="Tahoma"/>
            <charset val="1"/>
          </rPr>
          <t>ID82.7 - Olga (16,7%)_x000D_
Macro Controle de Arquivos Bancários Integração</t>
        </r>
      </text>
    </comment>
    <comment ref="BF13" authorId="0" shapeId="0">
      <text>
        <r>
          <rPr>
            <sz val="9"/>
            <color indexed="81"/>
            <rFont val="Tahoma"/>
            <charset val="1"/>
          </rPr>
          <t>ID384 - Melissa (0,0%)_x000D_
RETIRADA DE PRODUTO</t>
        </r>
      </text>
    </comment>
    <comment ref="AB14" authorId="0" shapeId="0">
      <text>
        <r>
          <rPr>
            <sz val="9"/>
            <color indexed="81"/>
            <rFont val="Tahoma"/>
            <charset val="1"/>
          </rPr>
          <t xml:space="preserve">ID106 - Olga (98,7%)_x000D_
Negociações Crystal
</t>
        </r>
      </text>
    </comment>
    <comment ref="AQ14" authorId="0" shapeId="0">
      <text>
        <r>
          <rPr>
            <sz val="9"/>
            <color indexed="81"/>
            <rFont val="Tahoma"/>
            <charset val="1"/>
          </rPr>
          <t>Férias - 22/06/2015 à 10/07/2015</t>
        </r>
      </text>
    </comment>
    <comment ref="R15" authorId="0" shapeId="0">
      <text>
        <r>
          <rPr>
            <sz val="9"/>
            <color indexed="81"/>
            <rFont val="Tahoma"/>
            <charset val="1"/>
          </rPr>
          <t>ID78 - Aline - Fase 2 (100,0%)_x000D_
Melhoria de Performance na Macro do ID 65 Baixas por Pagamentos Manuais – FPAG</t>
        </r>
      </text>
    </comment>
    <comment ref="AC15" authorId="0" shapeId="0">
      <text>
        <r>
          <rPr>
            <sz val="9"/>
            <color indexed="81"/>
            <rFont val="Tahoma"/>
            <charset val="1"/>
          </rPr>
          <t>ID80 - Aline - Fase 2 (33,3%)_x000D_
Termos de Quitação - Confirma Dados Cadastrais</t>
        </r>
      </text>
    </comment>
    <comment ref="AH15" authorId="0" shapeId="0">
      <text>
        <r>
          <rPr>
            <sz val="9"/>
            <color indexed="81"/>
            <rFont val="Tahoma"/>
            <charset val="1"/>
          </rPr>
          <t>ID83 - Aline - Fase 2 (0,0%)_x000D_
Levantar o Volume de Ações Diárias</t>
        </r>
      </text>
    </comment>
    <comment ref="AL15" authorId="0" shapeId="0">
      <text>
        <r>
          <rPr>
            <sz val="9"/>
            <color indexed="81"/>
            <rFont val="Tahoma"/>
            <charset val="1"/>
          </rPr>
          <t>ID85 - Aline - Fase 2 (0,0%)_x000D_
Exclusão de Créditos Indevidos da FCA6</t>
        </r>
      </text>
    </comment>
    <comment ref="BA15" authorId="0" shapeId="0">
      <text>
        <r>
          <rPr>
            <sz val="9"/>
            <color indexed="81"/>
            <rFont val="Tahoma"/>
            <charset val="1"/>
          </rPr>
          <t>ID385 - Melissa (0,0%)_x000D_
MIGRAÇÃO DE PRODUTO</t>
        </r>
      </text>
    </comment>
    <comment ref="Z16" authorId="0" shapeId="0">
      <text>
        <r>
          <rPr>
            <sz val="9"/>
            <color indexed="81"/>
            <rFont val="Tahoma"/>
            <charset val="1"/>
          </rPr>
          <t>ID10 - Aline - Fase 1 (93,9%)_x000D_
Análise do Age</t>
        </r>
      </text>
    </comment>
    <comment ref="AQ16" authorId="0" shapeId="0">
      <text>
        <r>
          <rPr>
            <sz val="9"/>
            <color indexed="81"/>
            <rFont val="Tahoma"/>
            <charset val="1"/>
          </rPr>
          <t>ID14 - Aline (0,0%)_x000D_
Compensações Massivas</t>
        </r>
      </text>
    </comment>
    <comment ref="BF16" authorId="0" shapeId="0">
      <text>
        <r>
          <rPr>
            <sz val="9"/>
            <color indexed="81"/>
            <rFont val="Tahoma"/>
            <charset val="1"/>
          </rPr>
          <t>ID376 - Melissa (0,0%)_x000D_
CORREÇÃO DE PARCELAMENTO</t>
        </r>
      </text>
    </comment>
    <comment ref="AG17" authorId="0" shapeId="0">
      <text>
        <r>
          <rPr>
            <sz val="9"/>
            <color indexed="81"/>
            <rFont val="Tahoma"/>
            <charset val="1"/>
          </rPr>
          <t>ID251 - Olga (68,4%)_x000D_
Automação Microsiga</t>
        </r>
      </text>
    </comment>
    <comment ref="AV17" authorId="0" shapeId="0">
      <text>
        <r>
          <rPr>
            <sz val="9"/>
            <color indexed="81"/>
            <rFont val="Tahoma"/>
            <charset val="1"/>
          </rPr>
          <t>ID375 - Melissa (0,0%)_x000D_
IDENTIFICAÇÃO DE PARCELAMENTO</t>
        </r>
      </text>
    </comment>
    <comment ref="BK17" authorId="0" shapeId="0">
      <text>
        <r>
          <rPr>
            <sz val="9"/>
            <color indexed="81"/>
            <rFont val="Tahoma"/>
            <charset val="1"/>
          </rPr>
          <t>ID380 - Melissa (0,0%)_x000D_
CORREÇÃO / RENEGOCIAÇÃO CADASTRAL</t>
        </r>
      </text>
    </comment>
    <comment ref="AG18" authorId="0" shapeId="0">
      <text>
        <r>
          <rPr>
            <sz val="9"/>
            <color indexed="81"/>
            <rFont val="Tahoma"/>
            <charset val="1"/>
          </rPr>
          <t>ID82.6 - Olga (15,0%)_x000D_
Macro Controle de Arquivos Bancários Microsiga</t>
        </r>
      </text>
    </comment>
    <comment ref="AV18" authorId="0" shapeId="0">
      <text>
        <r>
          <rPr>
            <sz val="9"/>
            <color indexed="81"/>
            <rFont val="Tahoma"/>
            <charset val="1"/>
          </rPr>
          <t>ID386 - Melissa (0,0%)_x000D_
DISJUNTORES</t>
        </r>
      </text>
    </comment>
    <comment ref="BK18" authorId="0" shapeId="0">
      <text>
        <r>
          <rPr>
            <sz val="9"/>
            <color indexed="81"/>
            <rFont val="Tahoma"/>
            <charset val="1"/>
          </rPr>
          <t>ID378 - Melissa (0,0%)_x000D_
CUSTOMIZADOR DE BASES</t>
        </r>
      </text>
    </comment>
    <comment ref="X19" authorId="0" shapeId="0">
      <text>
        <r>
          <rPr>
            <sz val="9"/>
            <color indexed="81"/>
            <rFont val="Tahoma"/>
            <charset val="1"/>
          </rPr>
          <t xml:space="preserve">ID109 - Olga (100,0%)_x000D_
Automação Repasse 2 </t>
        </r>
      </text>
    </comment>
    <comment ref="BB19" authorId="0" shapeId="0">
      <text>
        <r>
          <rPr>
            <sz val="9"/>
            <color indexed="81"/>
            <rFont val="Tahoma"/>
            <charset val="1"/>
          </rPr>
          <t>ID110 - Olga (3,3%)_x000D_
Automação Repasse 3</t>
        </r>
      </text>
    </comment>
    <comment ref="AE20" authorId="0" shapeId="0">
      <text>
        <r>
          <rPr>
            <sz val="9"/>
            <color indexed="81"/>
            <rFont val="Tahoma"/>
            <charset val="1"/>
          </rPr>
          <t>ID219 - Olga (34,9%)_x000D_
Controle de gestão documental Operacional - fase 1</t>
        </r>
      </text>
    </comment>
    <comment ref="AG21" authorId="0" shapeId="0">
      <text>
        <r>
          <rPr>
            <sz val="9"/>
            <color indexed="81"/>
            <rFont val="Tahoma"/>
            <charset val="1"/>
          </rPr>
          <t>ID176 - Olga (84,4%)_x000D_
Conciliação de Lançamentos Intercompany</t>
        </r>
      </text>
    </comment>
  </commentList>
</comments>
</file>

<file path=xl/sharedStrings.xml><?xml version="1.0" encoding="utf-8"?>
<sst xmlns="http://schemas.openxmlformats.org/spreadsheetml/2006/main" count="5172" uniqueCount="745">
  <si>
    <t>Atividades</t>
  </si>
  <si>
    <t>Data inicio</t>
  </si>
  <si>
    <t>Data Fim</t>
  </si>
  <si>
    <t>Planejado %</t>
  </si>
  <si>
    <t>Completo %</t>
  </si>
  <si>
    <t>Tempo (H)</t>
  </si>
  <si>
    <t>Dias</t>
  </si>
  <si>
    <t>Levantamento de Requsitos</t>
  </si>
  <si>
    <t>Testes</t>
  </si>
  <si>
    <t>Levantamento dos requisitos</t>
  </si>
  <si>
    <t>Desenvolvimento das automações</t>
  </si>
  <si>
    <t>Treinamento aos usuários</t>
  </si>
  <si>
    <t>Luiz</t>
  </si>
  <si>
    <t>TBD</t>
  </si>
  <si>
    <t>Fabio</t>
  </si>
  <si>
    <t>Thiago</t>
  </si>
  <si>
    <t>Cosolidação de Dados do Portal Empresas</t>
  </si>
  <si>
    <t>Verificação de Dividas Microsiga</t>
  </si>
  <si>
    <t>Capturar relatório de Endereço no portal ENOVA</t>
  </si>
  <si>
    <t>Captura Dados de tronco ramal do portal ENOVA</t>
  </si>
  <si>
    <t>Confirmar clientes ativos no Portal ENOVA</t>
  </si>
  <si>
    <t>Efetiva desligue parcoial no Portal ENOVA</t>
  </si>
  <si>
    <t>Consulta Situação Cadatral no CSO</t>
  </si>
  <si>
    <t>Consulta DDD no CSO</t>
  </si>
  <si>
    <t>Desligue Parcial no SADDR</t>
  </si>
  <si>
    <t>Efetiva desligue parcoial no STAFFWARE</t>
  </si>
  <si>
    <t>Reprovar Evento no Portal Empresa</t>
  </si>
  <si>
    <t>Registrar contato no Portal  Empresa</t>
  </si>
  <si>
    <t>Incluir Restrição no CSO</t>
  </si>
  <si>
    <t>Demanda</t>
  </si>
  <si>
    <t>ID</t>
  </si>
  <si>
    <t>Desligue Parcial Atelecom e Inserir Restrição no CSO</t>
  </si>
  <si>
    <t>Análise do Age</t>
  </si>
  <si>
    <t>Compensações Massivas</t>
  </si>
  <si>
    <t>TOTAL</t>
  </si>
  <si>
    <t>Torre</t>
  </si>
  <si>
    <t>Projetos</t>
  </si>
  <si>
    <t>Arrecadação</t>
  </si>
  <si>
    <t>Aline - Fase 1</t>
  </si>
  <si>
    <t>Contas a Receber</t>
  </si>
  <si>
    <t>Cobrança</t>
  </si>
  <si>
    <t>20/04/2015</t>
  </si>
  <si>
    <t>Atualização da FBL5N no SAP nas inserções finalizadas</t>
  </si>
  <si>
    <t>Elton</t>
  </si>
  <si>
    <t xml:space="preserve"> Ferramenta de Insumos</t>
  </si>
  <si>
    <t>Ricardo</t>
  </si>
  <si>
    <t>Aline - Fase 2</t>
  </si>
  <si>
    <t>Faturamento</t>
  </si>
  <si>
    <t>Baixas por Pagamentos Manuais - FT01</t>
  </si>
  <si>
    <t>Conciliação de Lançamentos Intercompany</t>
  </si>
  <si>
    <t>Levantamento de Requisitos - Importação de dados</t>
  </si>
  <si>
    <t>Homologação com usuário</t>
  </si>
  <si>
    <t>Acompanhamento pós implantação</t>
  </si>
  <si>
    <t>Olga</t>
  </si>
  <si>
    <t>Contabilidade</t>
  </si>
  <si>
    <t>Solução de Impressão de Notas Fiscais MICROSIGA</t>
  </si>
  <si>
    <t>Automação Microsiga</t>
  </si>
  <si>
    <t>Levantamento de Requisitos</t>
  </si>
  <si>
    <t>Importação e tratamento de dados - Arquivo TXT</t>
  </si>
  <si>
    <t>Desenvolvimento Macro - Dados Bancários - Bradesco</t>
  </si>
  <si>
    <t>Desenvolvimento Macro - Dados Bancários -  Banco do Brasil</t>
  </si>
  <si>
    <t>Desenvolvimento Macro - Dados Bancários -  Itaú</t>
  </si>
  <si>
    <t>Patrimonio</t>
  </si>
  <si>
    <t>Consolidação dos arquivos(demanda consolidador de arquivos)</t>
  </si>
  <si>
    <t>Desenvolvimento de macro para guardar o histórico de documentaçao</t>
  </si>
  <si>
    <t>Desenvolvimento das visões gerenciais(acompanhamento mês a mês)</t>
  </si>
  <si>
    <t>Controle de gastos com impressão fase 3</t>
  </si>
  <si>
    <t xml:space="preserve">Negociações Crystal
</t>
  </si>
  <si>
    <t>Ciclo da Receita</t>
  </si>
  <si>
    <t xml:space="preserve">Macro Controle de Arquivos Bancários Atlys
</t>
  </si>
  <si>
    <t xml:space="preserve">Controle e Envio de Débito Automático SIA e NSIA
</t>
  </si>
  <si>
    <t xml:space="preserve">Serasa Expirian
</t>
  </si>
  <si>
    <t xml:space="preserve">Controle e Envio de Débito Automático Painel 
</t>
  </si>
  <si>
    <t xml:space="preserve">Controle e Envio de Débito Automático Painel </t>
  </si>
  <si>
    <t xml:space="preserve">Automatização Suporte Operação RJ
</t>
  </si>
  <si>
    <t>Macro Controle de Arquivos Bancários SAP</t>
  </si>
  <si>
    <t>Macro Controle de Arquivos Bancários S.I.A/NSIA</t>
  </si>
  <si>
    <t xml:space="preserve">Automação Repasse 2 </t>
  </si>
  <si>
    <t>Automação Repasse 3</t>
  </si>
  <si>
    <t>ID5,7</t>
  </si>
  <si>
    <t>ID10</t>
  </si>
  <si>
    <t>ID14</t>
  </si>
  <si>
    <t>ID23</t>
  </si>
  <si>
    <t>ID61</t>
  </si>
  <si>
    <t>ID66</t>
  </si>
  <si>
    <t>ID73</t>
  </si>
  <si>
    <t>ID176</t>
  </si>
  <si>
    <t>ID251</t>
  </si>
  <si>
    <t>ID253</t>
  </si>
  <si>
    <t>ID219</t>
  </si>
  <si>
    <t>ID106</t>
  </si>
  <si>
    <t>ID82.1</t>
  </si>
  <si>
    <t>ID83.4</t>
  </si>
  <si>
    <t>ID39</t>
  </si>
  <si>
    <t>ID83.5</t>
  </si>
  <si>
    <t>ID254</t>
  </si>
  <si>
    <t>calc1</t>
  </si>
  <si>
    <t>calc2</t>
  </si>
  <si>
    <t>Responsável EID</t>
  </si>
  <si>
    <t>Responsável NOME</t>
  </si>
  <si>
    <t>a.dasilva</t>
  </si>
  <si>
    <t>claudio.r.silva</t>
  </si>
  <si>
    <t>CLAUDIO SILVA</t>
  </si>
  <si>
    <t>cleber.alonso</t>
  </si>
  <si>
    <t>CLEOBER ALONSO</t>
  </si>
  <si>
    <t>elton.sahid</t>
  </si>
  <si>
    <t>ELTON SAHID</t>
  </si>
  <si>
    <t>fabio.adriano.silva</t>
  </si>
  <si>
    <t>FABIO ADRIANO SILVA</t>
  </si>
  <si>
    <t>l.a.junior</t>
  </si>
  <si>
    <t>LUIZ JUNIOR</t>
  </si>
  <si>
    <t>meire.ribeiro</t>
  </si>
  <si>
    <t>MEIRE RIBEIRO</t>
  </si>
  <si>
    <t>s.graziollijunior</t>
  </si>
  <si>
    <t>SIDNEI GRAZIOLLI</t>
  </si>
  <si>
    <t>fabio.taba</t>
  </si>
  <si>
    <t>FABIO TABA</t>
  </si>
  <si>
    <t>t.silvestresaldanha</t>
  </si>
  <si>
    <t>THIAGO SALDANHA</t>
  </si>
  <si>
    <t>w.valadao.bernadino</t>
  </si>
  <si>
    <t>WESLEY BERNADINO</t>
  </si>
  <si>
    <t>jose.carlos.ribeiro</t>
  </si>
  <si>
    <t>JOSE CARLOS RIBEIRO</t>
  </si>
  <si>
    <t>marcelo.sena</t>
  </si>
  <si>
    <t>MARCELO SENA</t>
  </si>
  <si>
    <t>AILTON ZACARIAS</t>
  </si>
  <si>
    <t>r.dossantos</t>
  </si>
  <si>
    <t>RICARDO SANTOS</t>
  </si>
  <si>
    <t>andre.m.almeida</t>
  </si>
  <si>
    <t>ANDRE ALMEIDA</t>
  </si>
  <si>
    <t>f.aparecidodasilva</t>
  </si>
  <si>
    <t>FABIO APARECIDO SILVA</t>
  </si>
  <si>
    <t>william.carestiato</t>
  </si>
  <si>
    <t>WILLIAM CARESTIATO</t>
  </si>
  <si>
    <t>Total:</t>
  </si>
  <si>
    <t xml:space="preserve">Automação do Cálculo do Comissionamento Móvel Campanhas
</t>
  </si>
  <si>
    <t>F&amp;A - Móvel</t>
  </si>
  <si>
    <t>ID161</t>
  </si>
  <si>
    <t>d.bueno</t>
  </si>
  <si>
    <t>DANIEL BUENO</t>
  </si>
  <si>
    <t>RECURSO</t>
  </si>
  <si>
    <t>EID</t>
  </si>
  <si>
    <t>Data</t>
  </si>
  <si>
    <t>Descrição</t>
  </si>
  <si>
    <t xml:space="preserve">Confraternização Universal </t>
  </si>
  <si>
    <t>Tiradentes</t>
  </si>
  <si>
    <t>Dia do Trabalho</t>
  </si>
  <si>
    <t>Independência do Brasil</t>
  </si>
  <si>
    <t>Nossa Senhora Aparecida</t>
  </si>
  <si>
    <t>Finados</t>
  </si>
  <si>
    <t>Proclamação da República</t>
  </si>
  <si>
    <t>Carnaval</t>
  </si>
  <si>
    <t>Sexta-feira da Paixão</t>
  </si>
  <si>
    <t>Páscoa</t>
  </si>
  <si>
    <t>Corpus Christi</t>
  </si>
  <si>
    <t>Natal</t>
  </si>
  <si>
    <t>Macro Controle de Arquivos Bancários Microsiga</t>
  </si>
  <si>
    <t>Macro Controle de Arquivos Bancários Integração</t>
  </si>
  <si>
    <t>Recurso</t>
  </si>
  <si>
    <t>ID01</t>
  </si>
  <si>
    <t>Rejeitados Legado</t>
  </si>
  <si>
    <t>25/03/2015</t>
  </si>
  <si>
    <t>15/04/2015</t>
  </si>
  <si>
    <t>ID03</t>
  </si>
  <si>
    <t>Compensações de PDTI</t>
  </si>
  <si>
    <t>ID04</t>
  </si>
  <si>
    <t xml:space="preserve"> Baixa Manual no Microsiga</t>
  </si>
  <si>
    <t>ID06</t>
  </si>
  <si>
    <t>Baixa do CA e análise do Age</t>
  </si>
  <si>
    <t>ID09</t>
  </si>
  <si>
    <t xml:space="preserve">Robô abre a o BC (solicitação para retirar a restrição 44) no CSO </t>
  </si>
  <si>
    <t>Robô abre a o BC (solicitação para retirar a restrição 44) no CSO</t>
  </si>
  <si>
    <t>ID11</t>
  </si>
  <si>
    <t>Baixas por Pagamentos Manuais</t>
  </si>
  <si>
    <t>ID12</t>
  </si>
  <si>
    <t xml:space="preserve">Inserção Parcelamento
</t>
  </si>
  <si>
    <t>Inserção Parcelamento</t>
  </si>
  <si>
    <t>ID15</t>
  </si>
  <si>
    <t>Inserção de Críticas</t>
  </si>
  <si>
    <t>ID16</t>
  </si>
  <si>
    <t xml:space="preserve"> Inclui_DCH</t>
  </si>
  <si>
    <t>ID17</t>
  </si>
  <si>
    <t xml:space="preserve"> Inclui_PRV</t>
  </si>
  <si>
    <t>ID18</t>
  </si>
  <si>
    <t xml:space="preserve"> Robô Entire</t>
  </si>
  <si>
    <t>ID19</t>
  </si>
  <si>
    <t xml:space="preserve"> Robô Unifica</t>
  </si>
  <si>
    <t>ID24</t>
  </si>
  <si>
    <t xml:space="preserve"> SMART</t>
  </si>
  <si>
    <t>ID25</t>
  </si>
  <si>
    <t xml:space="preserve"> PRINT NF</t>
  </si>
  <si>
    <t>ID37</t>
  </si>
  <si>
    <t xml:space="preserve"> FAT_CUSTOMIZADO</t>
  </si>
  <si>
    <t>ID40</t>
  </si>
  <si>
    <t xml:space="preserve"> EMISSAO BOLETO BB</t>
  </si>
  <si>
    <t>ID41</t>
  </si>
  <si>
    <t xml:space="preserve"> 2A VIA NF</t>
  </si>
  <si>
    <t>ID42</t>
  </si>
  <si>
    <t xml:space="preserve"> DETALHA FATURA CSO</t>
  </si>
  <si>
    <t>ID43</t>
  </si>
  <si>
    <t xml:space="preserve"> Criação de documento PDTI</t>
  </si>
  <si>
    <t>ID44</t>
  </si>
  <si>
    <t xml:space="preserve">Ordens
</t>
  </si>
  <si>
    <t>ID45</t>
  </si>
  <si>
    <t>MeiMag</t>
  </si>
  <si>
    <t>ID46</t>
  </si>
  <si>
    <t>SGDF</t>
  </si>
  <si>
    <t>ID47</t>
  </si>
  <si>
    <t>Altera Preço (VA42)</t>
  </si>
  <si>
    <t>ID48</t>
  </si>
  <si>
    <t>Altera Valor (VA02)</t>
  </si>
  <si>
    <t>ID49</t>
  </si>
  <si>
    <t xml:space="preserve">Demonstrativo SN (ZSD131)
</t>
  </si>
  <si>
    <t>ID50</t>
  </si>
  <si>
    <t>Demonstrativo ADQ_SL (ZSD105)</t>
  </si>
  <si>
    <t>ID51</t>
  </si>
  <si>
    <t>InsereID_Centro de Custo</t>
  </si>
  <si>
    <t>ID52</t>
  </si>
  <si>
    <t>Data Fim Nacional</t>
  </si>
  <si>
    <t>ID53</t>
  </si>
  <si>
    <t>Soluções e Adquira</t>
  </si>
  <si>
    <t>ID54</t>
  </si>
  <si>
    <t>Consulta O010</t>
  </si>
  <si>
    <t>ID60</t>
  </si>
  <si>
    <t>Alteração Print NF</t>
  </si>
  <si>
    <t>ID62</t>
  </si>
  <si>
    <t>Lançamentos SAP</t>
  </si>
  <si>
    <t>ID63</t>
  </si>
  <si>
    <t>Baixas por Pagamentos Manuais - FAC0</t>
  </si>
  <si>
    <t>ID64</t>
  </si>
  <si>
    <t>Baixas por Pagamentos Manuais - FCA6</t>
  </si>
  <si>
    <t>ID65</t>
  </si>
  <si>
    <t>Baixas por Pagamentos Manuais - FPAG</t>
  </si>
  <si>
    <t>ID67</t>
  </si>
  <si>
    <t>2 Via NF -  Busca de NF sistema Externo</t>
  </si>
  <si>
    <t>ID68</t>
  </si>
  <si>
    <t>Robô FCTA  - Buscar informações sobre  débitos</t>
  </si>
  <si>
    <t>ID70</t>
  </si>
  <si>
    <t xml:space="preserve">Robô FCA6 Consolidada - Consolida o status do credito </t>
  </si>
  <si>
    <t>ID71</t>
  </si>
  <si>
    <t xml:space="preserve">Robô  FCA6 identifica - Busca o status do credito </t>
  </si>
  <si>
    <t>ID72</t>
  </si>
  <si>
    <t xml:space="preserve">Print NF Ajustes </t>
  </si>
  <si>
    <t>ID13.1</t>
  </si>
  <si>
    <t xml:space="preserve">Sistema de Gestão de Qualidade (SGQD)  </t>
  </si>
  <si>
    <t>Desenvolvimento no Atis</t>
  </si>
  <si>
    <t>Desenvolvimento no Banner</t>
  </si>
  <si>
    <t>Sistema de Gestão de Qualidade (SGQD)</t>
  </si>
  <si>
    <t>Desenvolvimento no CSO</t>
  </si>
  <si>
    <t>ID20,21,22</t>
  </si>
  <si>
    <t>Fatuamento massivo</t>
  </si>
  <si>
    <t>Faturamento Massivo</t>
  </si>
  <si>
    <t>ID29,30 &amp;36</t>
  </si>
  <si>
    <t xml:space="preserve"> 29, 30 &amp; 36: DATA_FIM</t>
  </si>
  <si>
    <t>ID74</t>
  </si>
  <si>
    <t>Configuração Banco Access</t>
  </si>
  <si>
    <t>allen.prado.simoes</t>
  </si>
  <si>
    <t>ALLEN PRADO</t>
  </si>
  <si>
    <t>ID82.3</t>
  </si>
  <si>
    <t xml:space="preserve">Macro Controle de Arquivos Bancários Sistemas Legados
</t>
  </si>
  <si>
    <t>ID75</t>
  </si>
  <si>
    <t xml:space="preserve">Macro Desconto de Marketing - Garantia da Receita
</t>
  </si>
  <si>
    <t>VI</t>
  </si>
  <si>
    <t>ID82.4</t>
  </si>
  <si>
    <t>ID82.5</t>
  </si>
  <si>
    <t>Melhoria de Performance na Macro ID 01 Rejeitado Legado</t>
  </si>
  <si>
    <t>29/05/2015</t>
  </si>
  <si>
    <t>22/05/2015</t>
  </si>
  <si>
    <t>ID76</t>
  </si>
  <si>
    <t>Cliente</t>
  </si>
  <si>
    <t>COMGÁS</t>
  </si>
  <si>
    <t>STATUS</t>
  </si>
  <si>
    <t>ATIVO</t>
  </si>
  <si>
    <t>PID</t>
  </si>
  <si>
    <t>NOME</t>
  </si>
  <si>
    <t>SOBRENOME</t>
  </si>
  <si>
    <t>GAUS</t>
  </si>
  <si>
    <t>Celular</t>
  </si>
  <si>
    <t>Função</t>
  </si>
  <si>
    <t>Terceiro?</t>
  </si>
  <si>
    <t>Empresa</t>
  </si>
  <si>
    <t>Roll On</t>
  </si>
  <si>
    <t>Acesso SVN</t>
  </si>
  <si>
    <t>Acesso a VPN</t>
  </si>
  <si>
    <t>fernandocesar.vidoto</t>
  </si>
  <si>
    <t>N0747978</t>
  </si>
  <si>
    <t>César Vidoto</t>
  </si>
  <si>
    <t>11 98771-1704</t>
  </si>
  <si>
    <t>Analista</t>
  </si>
  <si>
    <t>RandsTad</t>
  </si>
  <si>
    <t>OK</t>
  </si>
  <si>
    <t>marcio.santos</t>
  </si>
  <si>
    <t>Marcio</t>
  </si>
  <si>
    <t>Santos</t>
  </si>
  <si>
    <t>13 98125-8321</t>
  </si>
  <si>
    <t>Accenture</t>
  </si>
  <si>
    <t>NOK</t>
  </si>
  <si>
    <t>N/A</t>
  </si>
  <si>
    <t>Adriano</t>
  </si>
  <si>
    <t>11 96164-8774</t>
  </si>
  <si>
    <t>angelo.r.perrone</t>
  </si>
  <si>
    <t>Angelo</t>
  </si>
  <si>
    <t>Perrone</t>
  </si>
  <si>
    <t>11 97184-3374</t>
  </si>
  <si>
    <t>eder.lima</t>
  </si>
  <si>
    <t>Comgás</t>
  </si>
  <si>
    <t>Eder</t>
  </si>
  <si>
    <t>Eder de Carvalho Lima</t>
  </si>
  <si>
    <t>11 99115-3196</t>
  </si>
  <si>
    <t>Lider</t>
  </si>
  <si>
    <t>N0759437</t>
  </si>
  <si>
    <t>Cleober</t>
  </si>
  <si>
    <t>Carvalho Alonso Fernandes</t>
  </si>
  <si>
    <t>11 96378-4510</t>
  </si>
  <si>
    <t>werbeson.faustino</t>
  </si>
  <si>
    <t>Werbeson</t>
  </si>
  <si>
    <t>Faustino</t>
  </si>
  <si>
    <t>11 98981-7034</t>
  </si>
  <si>
    <t xml:space="preserve">Jose </t>
  </si>
  <si>
    <t>Carlos</t>
  </si>
  <si>
    <t>11 98738-6014</t>
  </si>
  <si>
    <t>Daniel</t>
  </si>
  <si>
    <t>Bueno</t>
  </si>
  <si>
    <t>21 99488-0048</t>
  </si>
  <si>
    <t>Willian</t>
  </si>
  <si>
    <t>Carestiato</t>
  </si>
  <si>
    <t>21 98718-1987</t>
  </si>
  <si>
    <t>e.souza.santos.filho</t>
  </si>
  <si>
    <t>Evaristo</t>
  </si>
  <si>
    <t>Souza</t>
  </si>
  <si>
    <t>Avanade</t>
  </si>
  <si>
    <t>ACN</t>
  </si>
  <si>
    <t>Meire</t>
  </si>
  <si>
    <t>Ribeiro</t>
  </si>
  <si>
    <t>11 95358-5504</t>
  </si>
  <si>
    <t>edenilson.santos</t>
  </si>
  <si>
    <t>N0776717</t>
  </si>
  <si>
    <t>Edenilson</t>
  </si>
  <si>
    <t>11 98158-0987</t>
  </si>
  <si>
    <t>carolina.santore</t>
  </si>
  <si>
    <t>Carolina</t>
  </si>
  <si>
    <t>Santore</t>
  </si>
  <si>
    <t>21 98483-6755</t>
  </si>
  <si>
    <t>cassiano.p.fonseca</t>
  </si>
  <si>
    <t>Cassiano</t>
  </si>
  <si>
    <t>Fonseca</t>
  </si>
  <si>
    <t xml:space="preserve">21 99608-9740
21 98092-9700 </t>
  </si>
  <si>
    <t>alexandre.malheiro</t>
  </si>
  <si>
    <t>Alexandre</t>
  </si>
  <si>
    <t>Malheiro</t>
  </si>
  <si>
    <t>21 98762-6410</t>
  </si>
  <si>
    <t>Gerente</t>
  </si>
  <si>
    <t>mario.j.campos.filho</t>
  </si>
  <si>
    <t>Mario</t>
  </si>
  <si>
    <t>Jorge Campos Filho</t>
  </si>
  <si>
    <t>paloma.c.sousa</t>
  </si>
  <si>
    <t>Paloma</t>
  </si>
  <si>
    <t>Sousa</t>
  </si>
  <si>
    <t>Roberto</t>
  </si>
  <si>
    <t>Mayer</t>
  </si>
  <si>
    <t>Wesley</t>
  </si>
  <si>
    <t>Valadao Bernadino</t>
  </si>
  <si>
    <t>Taba</t>
  </si>
  <si>
    <t>PJ - K2</t>
  </si>
  <si>
    <t>Junior</t>
  </si>
  <si>
    <t>Marcelo</t>
  </si>
  <si>
    <t>Sena</t>
  </si>
  <si>
    <t>Andre</t>
  </si>
  <si>
    <t>Almeida</t>
  </si>
  <si>
    <t>Claudio</t>
  </si>
  <si>
    <t>Silva</t>
  </si>
  <si>
    <t>Sidney</t>
  </si>
  <si>
    <t>Graziolli</t>
  </si>
  <si>
    <t>Sahid</t>
  </si>
  <si>
    <t>Saldanha</t>
  </si>
  <si>
    <t>fabio</t>
  </si>
  <si>
    <t>Aparecido</t>
  </si>
  <si>
    <t>bruno.c.e.oliveira</t>
  </si>
  <si>
    <t>Bruno</t>
  </si>
  <si>
    <t>Oliveira</t>
  </si>
  <si>
    <t>felipe.vilar</t>
  </si>
  <si>
    <t>Felipe</t>
  </si>
  <si>
    <t>Vilar</t>
  </si>
  <si>
    <t>felipe.passos</t>
  </si>
  <si>
    <t>Passos</t>
  </si>
  <si>
    <t>luiz.a.freire.araujo</t>
  </si>
  <si>
    <t>Araujo</t>
  </si>
  <si>
    <t>p.bonomo</t>
  </si>
  <si>
    <t>Peeter</t>
  </si>
  <si>
    <t>Bonomo</t>
  </si>
  <si>
    <t>danilo.de.oliveira</t>
  </si>
  <si>
    <t>Danilo</t>
  </si>
  <si>
    <t>thaysa.helene.coelho</t>
  </si>
  <si>
    <t>Thaysa</t>
  </si>
  <si>
    <t>Coelho</t>
  </si>
  <si>
    <t>leonardo.cidade</t>
  </si>
  <si>
    <t>Leonardo</t>
  </si>
  <si>
    <t>Cidade</t>
  </si>
  <si>
    <t>monalisa.coura</t>
  </si>
  <si>
    <t>Monalisa</t>
  </si>
  <si>
    <t>Coura</t>
  </si>
  <si>
    <t>constantina.t.lima</t>
  </si>
  <si>
    <t>Constantina</t>
  </si>
  <si>
    <t>Lima</t>
  </si>
  <si>
    <t>regina.m.silva</t>
  </si>
  <si>
    <t>Regina</t>
  </si>
  <si>
    <t>ricardo.x.ferreira</t>
  </si>
  <si>
    <t>Ferreira</t>
  </si>
  <si>
    <t>roberto.andrusievicz</t>
  </si>
  <si>
    <t>Andrusievicz</t>
  </si>
  <si>
    <t>karina.goncalves</t>
  </si>
  <si>
    <t>Telefônica</t>
  </si>
  <si>
    <t>Karina</t>
  </si>
  <si>
    <t>Gonçalves</t>
  </si>
  <si>
    <t>ricardo.da.silva</t>
  </si>
  <si>
    <t>gabriela.delgado</t>
  </si>
  <si>
    <t>Gabriela</t>
  </si>
  <si>
    <t>Delgado</t>
  </si>
  <si>
    <t>fabio.donizeti.silva</t>
  </si>
  <si>
    <t>Donizete</t>
  </si>
  <si>
    <t>anselmo.t.matsukura</t>
  </si>
  <si>
    <t>Anselmo</t>
  </si>
  <si>
    <t>Toshio</t>
  </si>
  <si>
    <t>flavia.de.carvalho</t>
  </si>
  <si>
    <t>Flavia</t>
  </si>
  <si>
    <t>Carvalho</t>
  </si>
  <si>
    <t>edmar.m.pinheiro</t>
  </si>
  <si>
    <t>Edmar</t>
  </si>
  <si>
    <t>Pinheiro</t>
  </si>
  <si>
    <t>wellington.germano</t>
  </si>
  <si>
    <t>Wellington</t>
  </si>
  <si>
    <t>Germano</t>
  </si>
  <si>
    <t>ibere.g.jones</t>
  </si>
  <si>
    <t>Ibere</t>
  </si>
  <si>
    <t>Jones</t>
  </si>
  <si>
    <t>a.godinhopalmeira</t>
  </si>
  <si>
    <t>Albert</t>
  </si>
  <si>
    <t>Palmeira</t>
  </si>
  <si>
    <t>INATIVO</t>
  </si>
  <si>
    <t>Fernando</t>
  </si>
  <si>
    <t>FERNANDO CÉSAR VIDOTO</t>
  </si>
  <si>
    <t>MARCIO SANTOS</t>
  </si>
  <si>
    <t>ANGELO PERRONE</t>
  </si>
  <si>
    <t>WERBESON FAUSTINO</t>
  </si>
  <si>
    <t>EDENILSON SANTOS</t>
  </si>
  <si>
    <t>CAROLINA SANTORE</t>
  </si>
  <si>
    <t>CASSIANO FONSECA</t>
  </si>
  <si>
    <t>ALEXANDRE MALHEIRO</t>
  </si>
  <si>
    <t>MARIO JORGE CAMPOS FILHO</t>
  </si>
  <si>
    <t>PALOMA SOUSA</t>
  </si>
  <si>
    <t>ROBERTO MAYER</t>
  </si>
  <si>
    <t>BRUNO OLIVEIRA</t>
  </si>
  <si>
    <t>FELIPE VILAR</t>
  </si>
  <si>
    <t>FELIPE PASSOS</t>
  </si>
  <si>
    <t>PEETER BONOMO</t>
  </si>
  <si>
    <t>DANILO OLIVEIRA</t>
  </si>
  <si>
    <t>THAYSA COELHO</t>
  </si>
  <si>
    <t>LEONARDO CIDADE</t>
  </si>
  <si>
    <t>MONALISA COURA</t>
  </si>
  <si>
    <t>CONSTANTINA LIMA</t>
  </si>
  <si>
    <t>REGINA SILVA</t>
  </si>
  <si>
    <t>RICARDO FERREIRA</t>
  </si>
  <si>
    <t>ROBERTO ANDRUSIEVICZ</t>
  </si>
  <si>
    <t>KARINA GONÇALVES</t>
  </si>
  <si>
    <t>RICARDO SILVA</t>
  </si>
  <si>
    <t>GABRIELA DELGADO</t>
  </si>
  <si>
    <t>FABIO DONIZETE</t>
  </si>
  <si>
    <t>ANSELMO TOSHIO</t>
  </si>
  <si>
    <t>FLAVIA CARVALHO</t>
  </si>
  <si>
    <t>EDMAR PINHEIRO</t>
  </si>
  <si>
    <t>WELLINGTON GERMANO</t>
  </si>
  <si>
    <t>IBERE JONES</t>
  </si>
  <si>
    <t>ALBERT PALMEIRA</t>
  </si>
  <si>
    <t>RICARDO SABROZA</t>
  </si>
  <si>
    <t>ANDERSON GREMIÃO</t>
  </si>
  <si>
    <t>GLAUCIO SOUZA</t>
  </si>
  <si>
    <t>DIEGO ALEXANDRE</t>
  </si>
  <si>
    <t>DANIEL SOUZA</t>
  </si>
  <si>
    <t>ADELMO ALTIBO</t>
  </si>
  <si>
    <t>SERGIO PORCIUNCULA</t>
  </si>
  <si>
    <t>THIAGO NASCIMENTO</t>
  </si>
  <si>
    <t>MARCELO BARBIERI</t>
  </si>
  <si>
    <t>TELEFÔNICA</t>
  </si>
  <si>
    <t>SANTANDER</t>
  </si>
  <si>
    <t>ANALYTICS</t>
  </si>
  <si>
    <t>EXIBIR</t>
  </si>
  <si>
    <t>PROJETO</t>
  </si>
  <si>
    <t>X</t>
  </si>
  <si>
    <t xml:space="preserve"> </t>
  </si>
  <si>
    <t>Controle de gestão documental Operacional - fase 1</t>
  </si>
  <si>
    <t>ID82.6</t>
  </si>
  <si>
    <t>03/06/2015</t>
  </si>
  <si>
    <t>ID82.7</t>
  </si>
  <si>
    <t>29/06/2015</t>
  </si>
  <si>
    <t>ID109</t>
  </si>
  <si>
    <t>Automação Cobrança Mailling PF</t>
  </si>
  <si>
    <t>Desenvolvimento da Funcional</t>
  </si>
  <si>
    <t>Validação do Usuário</t>
  </si>
  <si>
    <t>12/05/2015</t>
  </si>
  <si>
    <t>ID258</t>
  </si>
  <si>
    <t>Emissão de Nota Fiscal (validação) - Redução de erros</t>
  </si>
  <si>
    <t>24/06/2015</t>
  </si>
  <si>
    <t>04/06/2015</t>
  </si>
  <si>
    <t>ID268</t>
  </si>
  <si>
    <t>Controle de gestão documental Financeiro - fase 1</t>
  </si>
  <si>
    <t>12/06/2015</t>
  </si>
  <si>
    <t>ID193</t>
  </si>
  <si>
    <t xml:space="preserve">Envio de Comprovantes </t>
  </si>
  <si>
    <t>30/06/2015</t>
  </si>
  <si>
    <t>27/05/2015</t>
  </si>
  <si>
    <t>ID77</t>
  </si>
  <si>
    <t>Instalação de VM nas máquinas</t>
  </si>
  <si>
    <t>01/06/2015</t>
  </si>
  <si>
    <t>ID78</t>
  </si>
  <si>
    <t>Melhoria de Performance na Macro do ID 65 Baixas por Pagamentos Manuais – FPAG</t>
  </si>
  <si>
    <t>ID79</t>
  </si>
  <si>
    <t>Melhoria de Performance na Macro do ID 54 Consulta O010</t>
  </si>
  <si>
    <t>ID80</t>
  </si>
  <si>
    <t>19/06/2015</t>
  </si>
  <si>
    <t>15/06/2015</t>
  </si>
  <si>
    <t>ID81</t>
  </si>
  <si>
    <t>Consulta de OS Rettar</t>
  </si>
  <si>
    <t>Religue e Desligue do Speedy</t>
  </si>
  <si>
    <t>22/06/2015</t>
  </si>
  <si>
    <t>16/06/2015</t>
  </si>
  <si>
    <t>ID83</t>
  </si>
  <si>
    <t>Levantar o Volume de Ações Diárias</t>
  </si>
  <si>
    <t>ID84</t>
  </si>
  <si>
    <t>Conferência de Cadastro de Clientes</t>
  </si>
  <si>
    <t>ID85</t>
  </si>
  <si>
    <t>Exclusão de Créditos Indevidos da FCA6</t>
  </si>
  <si>
    <t>03/07/2015</t>
  </si>
  <si>
    <t>ID265</t>
  </si>
  <si>
    <t>Organização de Arquivos no Explorer</t>
  </si>
  <si>
    <t>Linha do Tempo</t>
  </si>
  <si>
    <t xml:space="preserve">Validação unificada do tráfego
</t>
  </si>
  <si>
    <t>Automação do Cálculo de Comissionamento  Movel Campanhas</t>
  </si>
  <si>
    <t>Comissionamento</t>
  </si>
  <si>
    <t>Automação do Cálculo de Comissionamento  Móvel PJ</t>
  </si>
  <si>
    <t>Automatização da apropriação dos extratos bancários.</t>
  </si>
  <si>
    <t>Automatização da emissão de nota fiscal eletronica do Rio</t>
  </si>
  <si>
    <t>Notas Fiscais da Aline</t>
  </si>
  <si>
    <t>Geração de e-mails automáticos para destinatários pré-definidos</t>
  </si>
  <si>
    <t>Automação da Conferência das NFs (via BRSCAN)</t>
  </si>
  <si>
    <t>Janela Única</t>
  </si>
  <si>
    <t xml:space="preserve">Automatização parcial da Análise Tributária
</t>
  </si>
  <si>
    <t xml:space="preserve"> Solução BrSCAN Integrada com o SAP</t>
  </si>
  <si>
    <t>Analise de Crédito</t>
  </si>
  <si>
    <t>BASE BGI - Gestão de Imóvel - Fase 2</t>
  </si>
  <si>
    <t>Entradas de NFs via OCR</t>
  </si>
  <si>
    <t xml:space="preserve">Portal do Parceiro </t>
  </si>
  <si>
    <t>Oi</t>
  </si>
  <si>
    <t>OI</t>
  </si>
  <si>
    <t>EDER DE CARVALHO LIMA</t>
  </si>
  <si>
    <t xml:space="preserve"> Ciclo da Receita</t>
  </si>
  <si>
    <t>Comissionamento Fixa</t>
  </si>
  <si>
    <t xml:space="preserve"> Comissionamento Movel</t>
  </si>
  <si>
    <t>VBA</t>
  </si>
  <si>
    <t>Access</t>
  </si>
  <si>
    <t>Espanhol</t>
  </si>
  <si>
    <t>Inglês</t>
  </si>
  <si>
    <t>.NET / C#</t>
  </si>
  <si>
    <t>.NET / VB</t>
  </si>
  <si>
    <t>.NET / ASP</t>
  </si>
  <si>
    <t>Entity Framework</t>
  </si>
  <si>
    <t>MVC</t>
  </si>
  <si>
    <t>Design Patterns</t>
  </si>
  <si>
    <t>UML</t>
  </si>
  <si>
    <t>ASP</t>
  </si>
  <si>
    <t>C/C++</t>
  </si>
  <si>
    <t>HTML</t>
  </si>
  <si>
    <t>J2ME</t>
  </si>
  <si>
    <t>J2EE</t>
  </si>
  <si>
    <t>Java</t>
  </si>
  <si>
    <t>Javascript</t>
  </si>
  <si>
    <t>Linux</t>
  </si>
  <si>
    <t>MySQL</t>
  </si>
  <si>
    <t>Oracle</t>
  </si>
  <si>
    <t>PHP</t>
  </si>
  <si>
    <t>PL/SQL</t>
  </si>
  <si>
    <t>SQL Server</t>
  </si>
  <si>
    <t>UNIX</t>
  </si>
  <si>
    <t>VB 6.0</t>
  </si>
  <si>
    <t>VBScript</t>
  </si>
  <si>
    <t>Business Intelligence</t>
  </si>
  <si>
    <t>Dashboards</t>
  </si>
  <si>
    <t>Sharepoint</t>
  </si>
  <si>
    <t>ID92</t>
  </si>
  <si>
    <t>Role ID</t>
  </si>
  <si>
    <t>OK - Randstad</t>
  </si>
  <si>
    <t>OK - Operação</t>
  </si>
  <si>
    <t>OK - K2</t>
  </si>
  <si>
    <t>OK - Avanade</t>
  </si>
  <si>
    <t>OK - Analytics</t>
  </si>
  <si>
    <t>Role Id ainda não foi associada ao Recurso</t>
  </si>
  <si>
    <t>OK - Infobase</t>
  </si>
  <si>
    <t>Walter Fonseca Barbosa</t>
  </si>
  <si>
    <t>Nathalie N. Raz</t>
  </si>
  <si>
    <t>Jenyffer - Level 12</t>
  </si>
  <si>
    <t>Vaga aberta para contratação. Recurso já atuando pela K2</t>
  </si>
  <si>
    <t>Rogério Irureta</t>
  </si>
  <si>
    <t>OK - Infraestrutura</t>
  </si>
  <si>
    <t>Kristine - Level 10</t>
  </si>
  <si>
    <t>Vaga aberta para contratação.</t>
  </si>
  <si>
    <t>Max Pierre</t>
  </si>
  <si>
    <t>Pendente transferência para TGP for BPO</t>
  </si>
  <si>
    <t>Rafael Gama</t>
  </si>
  <si>
    <t>Enio Lima - Level 13</t>
  </si>
  <si>
    <t>Alexandro Ailva</t>
  </si>
  <si>
    <t>TIM</t>
  </si>
  <si>
    <t>Iara</t>
  </si>
  <si>
    <t>Victorino</t>
  </si>
  <si>
    <t>OBS</t>
  </si>
  <si>
    <t/>
  </si>
  <si>
    <t>Férias - Início</t>
  </si>
  <si>
    <t>Férias - Fim</t>
  </si>
  <si>
    <t>F</t>
  </si>
  <si>
    <t>10/07/2015</t>
  </si>
  <si>
    <t>Termos de Quitação - Confirma Dados Cadastrais</t>
  </si>
  <si>
    <t>ID110</t>
  </si>
  <si>
    <t>27/07/2015</t>
  </si>
  <si>
    <t>ID257</t>
  </si>
  <si>
    <t>Sistema de Gestão de Acompanhamento das Postagem (SISGAP)</t>
  </si>
  <si>
    <t>10/06/2015</t>
  </si>
  <si>
    <t>Aline</t>
  </si>
  <si>
    <t>ID266</t>
  </si>
  <si>
    <t>Upload de arquivos para o BGI - realização da carga dos arquivos</t>
  </si>
  <si>
    <t>Automação de PNI</t>
  </si>
  <si>
    <t>Baixa pagamento  Microsiga</t>
  </si>
  <si>
    <t>Baixa pagamento SAP 4.6 e 6.5</t>
  </si>
  <si>
    <t>Automatização do CAR manual</t>
  </si>
  <si>
    <t>Padronizar a entrada do Termo de Quitação e automatizar as consultas em telas (Atis).</t>
  </si>
  <si>
    <t>03/08/2015</t>
  </si>
  <si>
    <t>14/08/2015</t>
  </si>
  <si>
    <t>20/07/2015</t>
  </si>
  <si>
    <t>07/08/2015</t>
  </si>
  <si>
    <t>PRORROGAÇÃO DE 2A VIA</t>
  </si>
  <si>
    <t>CANCELAMENTO / IMPUGNAÇÃO DE FATURA</t>
  </si>
  <si>
    <t>IDENTIFICAÇÃO DE PARCELAMENTO</t>
  </si>
  <si>
    <t>CORREÇÃO DE PARCELAMENTO</t>
  </si>
  <si>
    <t>ANÁLISE DE CONTAS</t>
  </si>
  <si>
    <t>CUSTOMIZADOR DE BASES</t>
  </si>
  <si>
    <t>MONITORAMENTO DE CADASTRO</t>
  </si>
  <si>
    <t>CORREÇÃO / RENEGOCIAÇÃO CADASTRAL</t>
  </si>
  <si>
    <t>CADLOG</t>
  </si>
  <si>
    <t>CCTR</t>
  </si>
  <si>
    <t>ADESÃO SEGMENTO ÚNICO</t>
  </si>
  <si>
    <t>RETIRADA DE PRODUTO</t>
  </si>
  <si>
    <t>MIGRAÇÃO DE PRODUTO</t>
  </si>
  <si>
    <t>DISJUNTORES</t>
  </si>
  <si>
    <t>SISCOB</t>
  </si>
  <si>
    <t>ID163</t>
  </si>
  <si>
    <t>ID171</t>
  </si>
  <si>
    <t>ID172</t>
  </si>
  <si>
    <t>ID250</t>
  </si>
  <si>
    <t>ID173</t>
  </si>
  <si>
    <t>ID179</t>
  </si>
  <si>
    <t>ID180</t>
  </si>
  <si>
    <t>ID187</t>
  </si>
  <si>
    <t>ID241</t>
  </si>
  <si>
    <t>ID246</t>
  </si>
  <si>
    <t>ID259</t>
  </si>
  <si>
    <t>ID113</t>
  </si>
  <si>
    <t>ID261</t>
  </si>
  <si>
    <t>ID262</t>
  </si>
  <si>
    <t>ID263</t>
  </si>
  <si>
    <t>ID264</t>
  </si>
  <si>
    <t>ID226</t>
  </si>
  <si>
    <t>ID372</t>
  </si>
  <si>
    <t>ID373</t>
  </si>
  <si>
    <t>ID374</t>
  </si>
  <si>
    <t>ID375</t>
  </si>
  <si>
    <t>ID376</t>
  </si>
  <si>
    <t>ID377</t>
  </si>
  <si>
    <t>ID378</t>
  </si>
  <si>
    <t>ID379</t>
  </si>
  <si>
    <t>ID380</t>
  </si>
  <si>
    <t>ID381</t>
  </si>
  <si>
    <t>ID382</t>
  </si>
  <si>
    <t>ID383</t>
  </si>
  <si>
    <t>ID384</t>
  </si>
  <si>
    <t>ID385</t>
  </si>
  <si>
    <t>ID386</t>
  </si>
  <si>
    <t>ID387</t>
  </si>
  <si>
    <t>17/07/2015</t>
  </si>
  <si>
    <t>13/07/2015</t>
  </si>
  <si>
    <t>m.sena</t>
  </si>
  <si>
    <t>MANUTENÇÃO DE PACOTES DE DADOS</t>
  </si>
  <si>
    <t>adelmo.altibo.junior</t>
  </si>
  <si>
    <t>ACCENTURE</t>
  </si>
  <si>
    <t>N0799694</t>
  </si>
  <si>
    <t>K2</t>
  </si>
  <si>
    <t>N0809292</t>
  </si>
  <si>
    <t>anderson.b.gremiao</t>
  </si>
  <si>
    <t>AVANADE</t>
  </si>
  <si>
    <t>RANDSTAD</t>
  </si>
  <si>
    <t>daniel.souza</t>
  </si>
  <si>
    <t>TELEFONICA - IVA</t>
  </si>
  <si>
    <t>diego.a.costa</t>
  </si>
  <si>
    <t>N0794644</t>
  </si>
  <si>
    <t>N0799896</t>
  </si>
  <si>
    <t>?</t>
  </si>
  <si>
    <t>glaucio.d.souza</t>
  </si>
  <si>
    <t>LAURA BORGES QUEIROZ</t>
  </si>
  <si>
    <t>laura.borges.queiroz</t>
  </si>
  <si>
    <t>LUIZ FREIRE ARAUJO</t>
  </si>
  <si>
    <t>N0785242</t>
  </si>
  <si>
    <t>MARCELO MALVEZZI</t>
  </si>
  <si>
    <t>marcelo.malvezzi</t>
  </si>
  <si>
    <t>N0744784</t>
  </si>
  <si>
    <t>marcelo.barbieri</t>
  </si>
  <si>
    <t>INFOBASE</t>
  </si>
  <si>
    <t>N0815702</t>
  </si>
  <si>
    <t>RAPHAEL RE SANTOS</t>
  </si>
  <si>
    <t>raphael.re.santos</t>
  </si>
  <si>
    <t>ricardo.p.sabroza</t>
  </si>
  <si>
    <t>ROBERTO AUGUSTO SILVA</t>
  </si>
  <si>
    <t>roberto.q.silva</t>
  </si>
  <si>
    <t>roberto.mayer</t>
  </si>
  <si>
    <t>s.porciuncula</t>
  </si>
  <si>
    <t>N0799692</t>
  </si>
  <si>
    <t>TABATA COSTA</t>
  </si>
  <si>
    <t>tabata.costa</t>
  </si>
  <si>
    <t>thiago.nascimento</t>
  </si>
  <si>
    <t>N0795346</t>
  </si>
  <si>
    <t>WELLEN LYRA</t>
  </si>
  <si>
    <t>wellem.lyra</t>
  </si>
  <si>
    <t>IARA ALMEIDA</t>
  </si>
  <si>
    <t>i.de.jesus.almeida</t>
  </si>
  <si>
    <t>ROGERIO VITORINO</t>
  </si>
  <si>
    <t>rogerio.vitorino</t>
  </si>
  <si>
    <t>CRISTIANO SOARES</t>
  </si>
  <si>
    <t>cristiano.soares</t>
  </si>
  <si>
    <t>ELVIS ENDRIGO</t>
  </si>
  <si>
    <t>elvis.endrigo</t>
  </si>
  <si>
    <t>SAMUEL AMIRATO</t>
  </si>
  <si>
    <t>N0815695</t>
  </si>
  <si>
    <t>samuel.amirato</t>
  </si>
  <si>
    <t>GISLEINE PIMENTEL</t>
  </si>
  <si>
    <t>gisleine.a.pimentel</t>
  </si>
  <si>
    <t>Oi - Internet</t>
  </si>
  <si>
    <t>GESTÃO</t>
  </si>
  <si>
    <t>Melissa</t>
  </si>
  <si>
    <t>01/07/2015</t>
  </si>
  <si>
    <t>%Aloc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</si>
</sst>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16]d\-mmm;@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Segoe UI"/>
      <family val="2"/>
    </font>
    <font>
      <sz val="11"/>
      <color theme="1"/>
      <name val="Calibri"/>
      <family val="2"/>
    </font>
    <font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3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n">
        <color indexed="64"/>
      </left>
      <right style="medium">
        <color indexed="64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ck">
        <color indexed="64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ck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n">
        <color indexed="64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ck">
        <color auto="1"/>
      </bottom>
      <diagonal/>
    </border>
    <border>
      <left/>
      <right style="thick">
        <color indexed="64"/>
      </right>
      <top/>
      <bottom style="thick">
        <color auto="1"/>
      </bottom>
      <diagonal/>
    </border>
  </borders>
  <cellStyleXfs count="6">
    <xf numFmtId="0" fontId="0" fillId="0" borderId="0"/>
    <xf numFmtId="9" fontId="3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8" fillId="0" borderId="0"/>
    <xf numFmtId="0" fontId="3" fillId="0" borderId="0"/>
    <xf numFmtId="9" fontId="3" fillId="0" borderId="0" applyFont="0" applyFill="0" applyBorder="0" applyAlignment="0" applyProtection="0"/>
  </cellStyleXfs>
  <cellXfs count="113"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2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Fill="1" applyBorder="1"/>
    <xf numFmtId="0" fontId="1" fillId="2" borderId="1" xfId="0" applyFont="1" applyFill="1" applyBorder="1" applyAlignment="1">
      <alignment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4" borderId="1" xfId="0" applyFont="1" applyFill="1" applyBorder="1"/>
    <xf numFmtId="9" fontId="0" fillId="4" borderId="1" xfId="0" applyNumberFormat="1" applyFont="1" applyFill="1" applyBorder="1" applyAlignment="1">
      <alignment horizontal="center"/>
    </xf>
    <xf numFmtId="1" fontId="0" fillId="4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2" fillId="4" borderId="1" xfId="0" applyFont="1" applyFill="1" applyBorder="1" applyAlignment="1">
      <alignment vertical="center"/>
    </xf>
    <xf numFmtId="14" fontId="0" fillId="4" borderId="1" xfId="0" applyNumberFormat="1" applyFill="1" applyBorder="1" applyAlignment="1">
      <alignment horizontal="center"/>
    </xf>
    <xf numFmtId="9" fontId="0" fillId="4" borderId="1" xfId="0" applyNumberFormat="1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14" fontId="0" fillId="0" borderId="1" xfId="0" applyNumberFormat="1" applyFill="1" applyBorder="1" applyAlignment="1">
      <alignment horizontal="center" vertical="center"/>
    </xf>
    <xf numFmtId="14" fontId="0" fillId="4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vertical="center"/>
    </xf>
    <xf numFmtId="14" fontId="0" fillId="4" borderId="1" xfId="0" applyNumberFormat="1" applyFill="1" applyBorder="1" applyAlignment="1">
      <alignment horizontal="center" vertical="center"/>
    </xf>
    <xf numFmtId="9" fontId="0" fillId="0" borderId="1" xfId="0" applyNumberFormat="1" applyFill="1" applyBorder="1" applyAlignment="1">
      <alignment horizontal="center"/>
    </xf>
    <xf numFmtId="0" fontId="0" fillId="0" borderId="1" xfId="0" applyBorder="1" applyAlignment="1">
      <alignment horizontal="left"/>
    </xf>
    <xf numFmtId="14" fontId="0" fillId="4" borderId="1" xfId="0" applyNumberFormat="1" applyFill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top" wrapText="1"/>
    </xf>
    <xf numFmtId="0" fontId="0" fillId="4" borderId="1" xfId="0" applyFont="1" applyFill="1" applyBorder="1" applyAlignment="1">
      <alignment vertical="top" wrapText="1"/>
    </xf>
    <xf numFmtId="14" fontId="0" fillId="0" borderId="1" xfId="0" applyNumberFormat="1" applyBorder="1" applyAlignment="1">
      <alignment horizontal="center"/>
    </xf>
    <xf numFmtId="9" fontId="0" fillId="0" borderId="1" xfId="1" applyFont="1" applyBorder="1" applyAlignment="1">
      <alignment horizontal="center"/>
    </xf>
    <xf numFmtId="0" fontId="1" fillId="2" borderId="1" xfId="0" applyFont="1" applyFill="1" applyBorder="1" applyAlignment="1">
      <alignment vertical="center" wrapText="1"/>
    </xf>
    <xf numFmtId="0" fontId="1" fillId="2" borderId="0" xfId="0" applyFont="1" applyFill="1" applyAlignment="1">
      <alignment vertical="center"/>
    </xf>
    <xf numFmtId="0" fontId="0" fillId="4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left"/>
    </xf>
    <xf numFmtId="164" fontId="0" fillId="0" borderId="0" xfId="0" applyNumberFormat="1"/>
    <xf numFmtId="14" fontId="0" fillId="0" borderId="0" xfId="0" applyNumberFormat="1"/>
    <xf numFmtId="0" fontId="0" fillId="0" borderId="0" xfId="0" applyAlignment="1">
      <alignment vertical="center"/>
    </xf>
    <xf numFmtId="49" fontId="0" fillId="0" borderId="0" xfId="0" applyNumberFormat="1"/>
    <xf numFmtId="0" fontId="4" fillId="6" borderId="2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14" fontId="0" fillId="0" borderId="3" xfId="0" applyNumberFormat="1" applyBorder="1" applyAlignment="1">
      <alignment horizontal="center" vertical="center"/>
    </xf>
    <xf numFmtId="0" fontId="0" fillId="9" borderId="3" xfId="0" applyFill="1" applyBorder="1"/>
    <xf numFmtId="0" fontId="0" fillId="10" borderId="3" xfId="0" applyFill="1" applyBorder="1"/>
    <xf numFmtId="0" fontId="0" fillId="0" borderId="5" xfId="0" applyBorder="1"/>
    <xf numFmtId="0" fontId="0" fillId="9" borderId="5" xfId="0" applyFill="1" applyBorder="1"/>
    <xf numFmtId="0" fontId="0" fillId="0" borderId="6" xfId="0" applyBorder="1"/>
    <xf numFmtId="0" fontId="0" fillId="9" borderId="7" xfId="0" applyFill="1" applyBorder="1"/>
    <xf numFmtId="0" fontId="6" fillId="9" borderId="7" xfId="2" applyFill="1" applyBorder="1"/>
    <xf numFmtId="0" fontId="6" fillId="9" borderId="3" xfId="2" applyFill="1" applyBorder="1"/>
    <xf numFmtId="0" fontId="6" fillId="9" borderId="5" xfId="2" applyFill="1" applyBorder="1"/>
    <xf numFmtId="0" fontId="0" fillId="0" borderId="10" xfId="0" applyBorder="1"/>
    <xf numFmtId="164" fontId="0" fillId="0" borderId="0" xfId="0" quotePrefix="1" applyNumberFormat="1"/>
    <xf numFmtId="0" fontId="4" fillId="6" borderId="4" xfId="0" applyFont="1" applyFill="1" applyBorder="1" applyAlignment="1">
      <alignment horizontal="center"/>
    </xf>
    <xf numFmtId="0" fontId="2" fillId="7" borderId="15" xfId="0" applyFont="1" applyFill="1" applyBorder="1"/>
    <xf numFmtId="16" fontId="2" fillId="7" borderId="16" xfId="0" applyNumberFormat="1" applyFont="1" applyFill="1" applyBorder="1" applyAlignment="1">
      <alignment horizontal="center" textRotation="90"/>
    </xf>
    <xf numFmtId="16" fontId="2" fillId="7" borderId="17" xfId="0" applyNumberFormat="1" applyFont="1" applyFill="1" applyBorder="1" applyAlignment="1">
      <alignment horizontal="center" textRotation="90"/>
    </xf>
    <xf numFmtId="16" fontId="2" fillId="7" borderId="18" xfId="0" applyNumberFormat="1" applyFont="1" applyFill="1" applyBorder="1" applyAlignment="1">
      <alignment horizontal="center" textRotation="90"/>
    </xf>
    <xf numFmtId="16" fontId="2" fillId="7" borderId="19" xfId="0" applyNumberFormat="1" applyFont="1" applyFill="1" applyBorder="1" applyAlignment="1">
      <alignment horizontal="center" textRotation="90"/>
    </xf>
    <xf numFmtId="16" fontId="2" fillId="7" borderId="20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2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11" borderId="0" xfId="0" applyNumberFormat="1" applyFill="1" applyAlignment="1">
      <alignment horizontal="center"/>
    </xf>
    <xf numFmtId="0" fontId="7" fillId="11" borderId="0" xfId="0" applyFont="1" applyFill="1" applyAlignment="1">
      <alignment vertical="center"/>
    </xf>
    <xf numFmtId="0" fontId="2" fillId="12" borderId="1" xfId="0" applyFont="1" applyFill="1" applyBorder="1" applyAlignment="1">
      <alignment horizontal="left"/>
    </xf>
    <xf numFmtId="0" fontId="0" fillId="0" borderId="0" xfId="0" applyAlignment="1"/>
    <xf numFmtId="0" fontId="0" fillId="0" borderId="1" xfId="0" applyBorder="1" applyAlignment="1"/>
    <xf numFmtId="0" fontId="0" fillId="0" borderId="1" xfId="0" applyFill="1" applyBorder="1" applyAlignment="1"/>
    <xf numFmtId="0" fontId="0" fillId="4" borderId="1" xfId="0" applyFont="1" applyFill="1" applyBorder="1" applyAlignment="1"/>
    <xf numFmtId="10" fontId="0" fillId="0" borderId="1" xfId="0" applyNumberFormat="1" applyBorder="1" applyAlignment="1"/>
    <xf numFmtId="0" fontId="0" fillId="4" borderId="1" xfId="0" applyFill="1" applyBorder="1" applyAlignment="1"/>
    <xf numFmtId="0" fontId="2" fillId="4" borderId="1" xfId="0" applyFont="1" applyFill="1" applyBorder="1" applyAlignment="1"/>
    <xf numFmtId="0" fontId="0" fillId="0" borderId="1" xfId="0" applyBorder="1" applyAlignment="1">
      <alignment vertical="top"/>
    </xf>
    <xf numFmtId="0" fontId="0" fillId="0" borderId="1" xfId="0" applyBorder="1" applyAlignment="1">
      <alignment horizontal="left" vertical="top"/>
    </xf>
    <xf numFmtId="0" fontId="0" fillId="4" borderId="1" xfId="0" applyFont="1" applyFill="1" applyBorder="1" applyAlignment="1">
      <alignment vertical="top"/>
    </xf>
    <xf numFmtId="0" fontId="0" fillId="0" borderId="0" xfId="0" applyBorder="1" applyAlignment="1"/>
    <xf numFmtId="0" fontId="0" fillId="0" borderId="3" xfId="0" applyBorder="1" applyAlignment="1"/>
    <xf numFmtId="0" fontId="0" fillId="0" borderId="0" xfId="0" quotePrefix="1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0" fontId="0" fillId="11" borderId="0" xfId="0" applyFill="1" applyAlignment="1">
      <alignment vertical="top"/>
    </xf>
    <xf numFmtId="0" fontId="0" fillId="11" borderId="0" xfId="0" applyFill="1" applyAlignment="1">
      <alignment horizontal="left" vertical="top"/>
    </xf>
    <xf numFmtId="0" fontId="0" fillId="11" borderId="0" xfId="0" applyFill="1" applyAlignment="1"/>
    <xf numFmtId="0" fontId="0" fillId="0" borderId="0" xfId="0" applyFill="1" applyBorder="1"/>
    <xf numFmtId="0" fontId="0" fillId="0" borderId="23" xfId="0" applyBorder="1"/>
    <xf numFmtId="0" fontId="0" fillId="0" borderId="24" xfId="0" applyBorder="1"/>
    <xf numFmtId="0" fontId="0" fillId="9" borderId="25" xfId="0" applyFill="1" applyBorder="1"/>
    <xf numFmtId="0" fontId="0" fillId="9" borderId="26" xfId="0" applyFill="1" applyBorder="1"/>
    <xf numFmtId="0" fontId="0" fillId="9" borderId="24" xfId="0" applyFill="1" applyBorder="1"/>
    <xf numFmtId="0" fontId="0" fillId="10" borderId="25" xfId="0" applyFill="1" applyBorder="1"/>
    <xf numFmtId="0" fontId="6" fillId="9" borderId="25" xfId="2" applyFill="1" applyBorder="1"/>
    <xf numFmtId="0" fontId="6" fillId="9" borderId="26" xfId="2" applyFill="1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0" fillId="9" borderId="31" xfId="0" applyFill="1" applyBorder="1"/>
    <xf numFmtId="0" fontId="0" fillId="9" borderId="32" xfId="0" applyFill="1" applyBorder="1"/>
    <xf numFmtId="0" fontId="0" fillId="9" borderId="30" xfId="0" applyFill="1" applyBorder="1"/>
    <xf numFmtId="0" fontId="0" fillId="10" borderId="31" xfId="0" applyFill="1" applyBorder="1"/>
    <xf numFmtId="0" fontId="6" fillId="9" borderId="32" xfId="2" applyFill="1" applyBorder="1"/>
    <xf numFmtId="0" fontId="0" fillId="0" borderId="33" xfId="0" applyBorder="1"/>
    <xf numFmtId="0" fontId="0" fillId="0" borderId="2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6" borderId="2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16" fontId="5" fillId="8" borderId="12" xfId="0" applyNumberFormat="1" applyFont="1" applyFill="1" applyBorder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4" xfId="0" applyFont="1" applyFill="1" applyBorder="1" applyAlignment="1">
      <alignment horizontal="center"/>
    </xf>
  </cellXfs>
  <cellStyles count="6">
    <cellStyle name="Hyperlink" xfId="2" builtinId="8"/>
    <cellStyle name="Normal" xfId="0" builtinId="0"/>
    <cellStyle name="Normal 2" xfId="3"/>
    <cellStyle name="Normal 2 2" xfId="4"/>
    <cellStyle name="Percent" xfId="1" builtinId="5"/>
    <cellStyle name="Percent 2" xfId="5"/>
  </cellStyles>
  <dxfs count="112"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theme="0"/>
      </font>
      <fill>
        <patternFill>
          <fgColor indexed="64"/>
          <bgColor rgb="FFFFC000"/>
        </patternFill>
      </fill>
    </dxf>
    <dxf>
      <font>
        <color theme="0"/>
      </font>
      <fill>
        <patternFill>
          <fgColor indexed="64"/>
          <bgColor theme="9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theme="0"/>
      </font>
      <fill>
        <patternFill>
          <fgColor indexed="64"/>
          <bgColor theme="4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9" tint="-0.24994659260841701"/>
        </patternFill>
      </fill>
    </dxf>
  </dxfs>
  <tableStyles count="0" defaultTableStyle="TableStyleMedium9" defaultPivotStyle="PivotStyleLight16"/>
  <colors>
    <mruColors>
      <color rgb="FFAA0F33"/>
      <color rgb="FF6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mailto:werbeson.faustino@accenture.com" TargetMode="External"/><Relationship Id="rId1" Type="http://schemas.openxmlformats.org/officeDocument/2006/relationships/hyperlink" Target="mailto:d.bueno@accenture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41"/>
  <sheetViews>
    <sheetView topLeftCell="A166" zoomScale="85" zoomScaleNormal="85" workbookViewId="0">
      <selection activeCell="C243" sqref="C243"/>
    </sheetView>
  </sheetViews>
  <sheetFormatPr defaultRowHeight="15" x14ac:dyDescent="0.25"/>
  <cols>
    <col min="1" max="1" width="11.5703125" style="68" bestFit="1" customWidth="1"/>
    <col min="2" max="2" width="61.42578125" style="68" bestFit="1" customWidth="1"/>
    <col min="3" max="3" width="10.85546875" style="68" bestFit="1" customWidth="1"/>
    <col min="4" max="4" width="17.140625" style="68" bestFit="1" customWidth="1"/>
    <col min="5" max="5" width="13.7109375" style="68" bestFit="1" customWidth="1"/>
    <col min="6" max="6" width="64.5703125" style="68" bestFit="1" customWidth="1"/>
    <col min="7" max="8" width="10.85546875" style="68" bestFit="1" customWidth="1"/>
    <col min="9" max="9" width="11.85546875" style="68" bestFit="1" customWidth="1"/>
    <col min="10" max="10" width="11.7109375" style="68" bestFit="1" customWidth="1"/>
    <col min="11" max="11" width="4.85546875" style="68" bestFit="1" customWidth="1"/>
    <col min="12" max="12" width="10.28515625" style="68" bestFit="1" customWidth="1"/>
    <col min="13" max="13" width="19.42578125" style="68" bestFit="1" customWidth="1"/>
    <col min="14" max="14" width="23" style="68" bestFit="1" customWidth="1"/>
    <col min="15" max="15" width="5.28515625" style="68" bestFit="1" customWidth="1"/>
    <col min="16" max="16" width="9.28515625" style="68" bestFit="1" customWidth="1"/>
    <col min="17" max="16384" width="9.140625" style="68"/>
  </cols>
  <sheetData>
    <row r="1" spans="1:16" x14ac:dyDescent="0.25">
      <c r="A1" s="3" t="s">
        <v>30</v>
      </c>
      <c r="B1" s="3" t="s">
        <v>29</v>
      </c>
      <c r="C1" s="3" t="s">
        <v>269</v>
      </c>
      <c r="D1" s="3" t="s">
        <v>35</v>
      </c>
      <c r="E1" s="3" t="s">
        <v>36</v>
      </c>
      <c r="F1" s="3" t="s">
        <v>0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6</v>
      </c>
      <c r="L1" s="3" t="s">
        <v>5</v>
      </c>
      <c r="M1" s="3" t="s">
        <v>98</v>
      </c>
      <c r="N1" s="3" t="s">
        <v>99</v>
      </c>
      <c r="O1" s="3" t="s">
        <v>96</v>
      </c>
      <c r="P1" s="3" t="s">
        <v>97</v>
      </c>
    </row>
    <row r="2" spans="1:16" x14ac:dyDescent="0.25">
      <c r="A2" s="4" t="s">
        <v>159</v>
      </c>
      <c r="B2" s="69" t="s">
        <v>160</v>
      </c>
      <c r="C2" s="69" t="s">
        <v>411</v>
      </c>
      <c r="D2" s="69" t="s">
        <v>37</v>
      </c>
      <c r="E2" s="70" t="s">
        <v>38</v>
      </c>
      <c r="F2" s="7" t="s">
        <v>7</v>
      </c>
      <c r="G2" s="8">
        <v>42088</v>
      </c>
      <c r="H2" s="8">
        <v>42090</v>
      </c>
      <c r="I2" s="9">
        <f ca="1">IF(NETWORKDAYS(G2,TODAY())/NETWORKDAYS(G2,H2,)&lt;0,0,IF(NETWORKDAYS(G2,TODAY())/NETWORKDAYS(G2,H2,)&gt;1,1,NETWORKDAYS(G2,TODAY())/NETWORKDAYS(G2,H2,)))</f>
        <v>1</v>
      </c>
      <c r="J2" s="9">
        <v>1</v>
      </c>
      <c r="K2" s="10">
        <f>NETWORKDAYS(G2,H2)</f>
        <v>3</v>
      </c>
      <c r="L2" s="4">
        <f>K2*8</f>
        <v>24</v>
      </c>
      <c r="M2" s="4" t="s">
        <v>117</v>
      </c>
      <c r="N2" s="4" t="s">
        <v>118</v>
      </c>
      <c r="O2" s="69">
        <f ca="1">I2*L2</f>
        <v>24</v>
      </c>
      <c r="P2" s="69">
        <f>J2*L2</f>
        <v>24</v>
      </c>
    </row>
    <row r="3" spans="1:16" x14ac:dyDescent="0.25">
      <c r="A3" s="4" t="s">
        <v>159</v>
      </c>
      <c r="B3" s="69" t="s">
        <v>160</v>
      </c>
      <c r="C3" s="69" t="s">
        <v>411</v>
      </c>
      <c r="D3" s="69" t="s">
        <v>37</v>
      </c>
      <c r="E3" s="70" t="s">
        <v>38</v>
      </c>
      <c r="F3" s="7" t="s">
        <v>10</v>
      </c>
      <c r="G3" s="8">
        <v>42093</v>
      </c>
      <c r="H3" s="8">
        <v>42104</v>
      </c>
      <c r="I3" s="9">
        <f ca="1">IF(NETWORKDAYS(G3,TODAY())/NETWORKDAYS(G3,H3,)&lt;0,0,IF(NETWORKDAYS(G3,TODAY())/NETWORKDAYS(G3,H3,)&gt;1,1,NETWORKDAYS(G3,TODAY())/NETWORKDAYS(G3,H3,)))</f>
        <v>1</v>
      </c>
      <c r="J3" s="9">
        <v>1</v>
      </c>
      <c r="K3" s="10">
        <f>NETWORKDAYS(G3,H3)</f>
        <v>10</v>
      </c>
      <c r="L3" s="4">
        <f>K3*8</f>
        <v>80</v>
      </c>
      <c r="M3" s="4" t="s">
        <v>117</v>
      </c>
      <c r="N3" s="4" t="s">
        <v>118</v>
      </c>
      <c r="O3" s="69">
        <f ca="1">I3*L3</f>
        <v>80</v>
      </c>
      <c r="P3" s="69">
        <f>J3*L3</f>
        <v>80</v>
      </c>
    </row>
    <row r="4" spans="1:16" x14ac:dyDescent="0.25">
      <c r="A4" s="4" t="s">
        <v>159</v>
      </c>
      <c r="B4" s="69" t="s">
        <v>160</v>
      </c>
      <c r="C4" s="69" t="s">
        <v>411</v>
      </c>
      <c r="D4" s="69" t="s">
        <v>37</v>
      </c>
      <c r="E4" s="70" t="s">
        <v>38</v>
      </c>
      <c r="F4" s="7" t="s">
        <v>8</v>
      </c>
      <c r="G4" s="8">
        <v>42107</v>
      </c>
      <c r="H4" s="8">
        <v>42107</v>
      </c>
      <c r="I4" s="9">
        <f ca="1">IF(NETWORKDAYS(G4,TODAY())/NETWORKDAYS(G4,H4,)&lt;0,0,IF(NETWORKDAYS(G4,TODAY())/NETWORKDAYS(G4,H4,)&gt;1,1,NETWORKDAYS(G4,TODAY())/NETWORKDAYS(G4,H4,)))</f>
        <v>1</v>
      </c>
      <c r="J4" s="9">
        <v>1</v>
      </c>
      <c r="K4" s="10">
        <f>NETWORKDAYS(G4,H4)</f>
        <v>1</v>
      </c>
      <c r="L4" s="4">
        <f>K4*8</f>
        <v>8</v>
      </c>
      <c r="M4" s="4" t="s">
        <v>117</v>
      </c>
      <c r="N4" s="4" t="s">
        <v>118</v>
      </c>
      <c r="O4" s="69">
        <f ca="1">I4*L4</f>
        <v>8</v>
      </c>
      <c r="P4" s="69">
        <f>J4*L4</f>
        <v>8</v>
      </c>
    </row>
    <row r="5" spans="1:16" x14ac:dyDescent="0.25">
      <c r="A5" s="4" t="s">
        <v>159</v>
      </c>
      <c r="B5" s="69" t="s">
        <v>160</v>
      </c>
      <c r="C5" s="69" t="s">
        <v>411</v>
      </c>
      <c r="D5" s="69" t="s">
        <v>37</v>
      </c>
      <c r="E5" s="70" t="s">
        <v>38</v>
      </c>
      <c r="F5" s="7" t="s">
        <v>11</v>
      </c>
      <c r="G5" s="8">
        <v>42108</v>
      </c>
      <c r="H5" s="8">
        <v>42109</v>
      </c>
      <c r="I5" s="9">
        <f ca="1">IF(NETWORKDAYS(G5,TODAY())/NETWORKDAYS(G5,H5,)&lt;0,0,IF(NETWORKDAYS(G5,TODAY())/NETWORKDAYS(G5,H5,)&gt;1,1,NETWORKDAYS(G5,TODAY())/NETWORKDAYS(G5,H5,)))</f>
        <v>1</v>
      </c>
      <c r="J5" s="9">
        <v>1</v>
      </c>
      <c r="K5" s="10">
        <f>NETWORKDAYS(G5,H5)</f>
        <v>2</v>
      </c>
      <c r="L5" s="4">
        <f>K5*8</f>
        <v>16</v>
      </c>
      <c r="M5" s="4" t="s">
        <v>117</v>
      </c>
      <c r="N5" s="4" t="s">
        <v>118</v>
      </c>
      <c r="O5" s="69">
        <f ca="1">I5*L5</f>
        <v>16</v>
      </c>
      <c r="P5" s="69">
        <f>J5*L5</f>
        <v>16</v>
      </c>
    </row>
    <row r="6" spans="1:16" x14ac:dyDescent="0.25">
      <c r="A6" s="11" t="s">
        <v>159</v>
      </c>
      <c r="B6" s="71" t="str">
        <f>B5</f>
        <v>Rejeitados Legado</v>
      </c>
      <c r="C6" s="71" t="s">
        <v>411</v>
      </c>
      <c r="D6" s="71" t="s">
        <v>37</v>
      </c>
      <c r="E6" s="71" t="s">
        <v>38</v>
      </c>
      <c r="F6" s="71" t="s">
        <v>34</v>
      </c>
      <c r="G6" s="11" t="s">
        <v>161</v>
      </c>
      <c r="H6" s="11" t="s">
        <v>162</v>
      </c>
      <c r="I6" s="13">
        <f ca="1">SUM(O2:O5)/L6</f>
        <v>1</v>
      </c>
      <c r="J6" s="13">
        <f>SUM(P2:P5)/L6</f>
        <v>1</v>
      </c>
      <c r="K6" s="14">
        <f>SUM(K2:K5)</f>
        <v>16</v>
      </c>
      <c r="L6" s="11">
        <f>SUM(L2:L5)</f>
        <v>128</v>
      </c>
      <c r="M6" s="11" t="s">
        <v>117</v>
      </c>
      <c r="N6" s="11" t="s">
        <v>118</v>
      </c>
      <c r="O6" s="69"/>
      <c r="P6" s="72"/>
    </row>
    <row r="7" spans="1:16" x14ac:dyDescent="0.25">
      <c r="A7" s="4" t="s">
        <v>163</v>
      </c>
      <c r="B7" s="69" t="s">
        <v>164</v>
      </c>
      <c r="C7" s="69" t="s">
        <v>411</v>
      </c>
      <c r="D7" s="69" t="s">
        <v>37</v>
      </c>
      <c r="E7" s="69" t="s">
        <v>38</v>
      </c>
      <c r="F7" s="7" t="s">
        <v>9</v>
      </c>
      <c r="G7" s="8">
        <v>41996</v>
      </c>
      <c r="H7" s="8">
        <v>41996</v>
      </c>
      <c r="I7" s="9">
        <f ca="1">IF(NETWORKDAYS(G7,TODAY())/NETWORKDAYS(G7,H7,)&lt;0,0,IF(NETWORKDAYS(G7,TODAY())/NETWORKDAYS(G7,H7,)&gt;1,1,NETWORKDAYS(G7,TODAY())/NETWORKDAYS(G7,H7,)))</f>
        <v>1</v>
      </c>
      <c r="J7" s="9">
        <v>1</v>
      </c>
      <c r="K7" s="10">
        <f>NETWORKDAYS(G7,H7)</f>
        <v>1</v>
      </c>
      <c r="L7" s="4">
        <f>K7*8</f>
        <v>8</v>
      </c>
      <c r="M7" s="4" t="s">
        <v>115</v>
      </c>
      <c r="N7" s="4" t="s">
        <v>116</v>
      </c>
      <c r="O7" s="69">
        <f ca="1">I7*L7</f>
        <v>8</v>
      </c>
      <c r="P7" s="69">
        <f>J7*L7</f>
        <v>8</v>
      </c>
    </row>
    <row r="8" spans="1:16" x14ac:dyDescent="0.25">
      <c r="A8" s="4" t="s">
        <v>163</v>
      </c>
      <c r="B8" s="69" t="s">
        <v>164</v>
      </c>
      <c r="C8" s="69" t="s">
        <v>411</v>
      </c>
      <c r="D8" s="69" t="s">
        <v>37</v>
      </c>
      <c r="E8" s="69" t="s">
        <v>38</v>
      </c>
      <c r="F8" s="7" t="s">
        <v>10</v>
      </c>
      <c r="G8" s="8">
        <v>42010</v>
      </c>
      <c r="H8" s="8">
        <v>42027</v>
      </c>
      <c r="I8" s="9">
        <f ca="1">IF(NETWORKDAYS(G8,TODAY())/NETWORKDAYS(G8,H8,)&lt;0,0,IF(NETWORKDAYS(G8,TODAY())/NETWORKDAYS(G8,H8,)&gt;1,1,NETWORKDAYS(G8,TODAY())/NETWORKDAYS(G8,H8,)))</f>
        <v>1</v>
      </c>
      <c r="J8" s="9">
        <v>1</v>
      </c>
      <c r="K8" s="10">
        <f>NETWORKDAYS(G8,H8)</f>
        <v>14</v>
      </c>
      <c r="L8" s="4">
        <f>K8*8</f>
        <v>112</v>
      </c>
      <c r="M8" s="4" t="s">
        <v>115</v>
      </c>
      <c r="N8" s="4" t="s">
        <v>116</v>
      </c>
      <c r="O8" s="69">
        <f ca="1">I8*L8</f>
        <v>112</v>
      </c>
      <c r="P8" s="69">
        <f>J8*L8</f>
        <v>112</v>
      </c>
    </row>
    <row r="9" spans="1:16" x14ac:dyDescent="0.25">
      <c r="A9" s="4" t="s">
        <v>163</v>
      </c>
      <c r="B9" s="69" t="s">
        <v>164</v>
      </c>
      <c r="C9" s="69" t="s">
        <v>411</v>
      </c>
      <c r="D9" s="69" t="s">
        <v>37</v>
      </c>
      <c r="E9" s="69" t="s">
        <v>38</v>
      </c>
      <c r="F9" s="7" t="s">
        <v>8</v>
      </c>
      <c r="G9" s="8">
        <v>42030</v>
      </c>
      <c r="H9" s="8">
        <v>42031</v>
      </c>
      <c r="I9" s="9">
        <f ca="1">IF(NETWORKDAYS(G9,TODAY())/NETWORKDAYS(G9,H9,)&lt;0,0,IF(NETWORKDAYS(G9,TODAY())/NETWORKDAYS(G9,H9,)&gt;1,1,NETWORKDAYS(G9,TODAY())/NETWORKDAYS(G9,H9,)))</f>
        <v>1</v>
      </c>
      <c r="J9" s="9">
        <v>1</v>
      </c>
      <c r="K9" s="10">
        <f>NETWORKDAYS(G9,H9)</f>
        <v>2</v>
      </c>
      <c r="L9" s="4">
        <f>K9*8</f>
        <v>16</v>
      </c>
      <c r="M9" s="4" t="s">
        <v>115</v>
      </c>
      <c r="N9" s="4" t="s">
        <v>116</v>
      </c>
      <c r="O9" s="69">
        <f ca="1">I9*L9</f>
        <v>16</v>
      </c>
      <c r="P9" s="69">
        <f>J9*L9</f>
        <v>16</v>
      </c>
    </row>
    <row r="10" spans="1:16" x14ac:dyDescent="0.25">
      <c r="A10" s="4" t="s">
        <v>163</v>
      </c>
      <c r="B10" s="69" t="s">
        <v>164</v>
      </c>
      <c r="C10" s="69" t="s">
        <v>411</v>
      </c>
      <c r="D10" s="69" t="s">
        <v>37</v>
      </c>
      <c r="E10" s="69" t="s">
        <v>38</v>
      </c>
      <c r="F10" s="7" t="s">
        <v>11</v>
      </c>
      <c r="G10" s="8">
        <v>42031</v>
      </c>
      <c r="H10" s="8">
        <v>42032</v>
      </c>
      <c r="I10" s="9">
        <f ca="1">IF(NETWORKDAYS(G10,TODAY())/NETWORKDAYS(G10,H10,)&lt;0,0,IF(NETWORKDAYS(G10,TODAY())/NETWORKDAYS(G10,H10,)&gt;1,1,NETWORKDAYS(G10,TODAY())/NETWORKDAYS(G10,H10,)))</f>
        <v>1</v>
      </c>
      <c r="J10" s="9">
        <v>1</v>
      </c>
      <c r="K10" s="10">
        <f>NETWORKDAYS(G10,H10)</f>
        <v>2</v>
      </c>
      <c r="L10" s="4">
        <f>K10*8</f>
        <v>16</v>
      </c>
      <c r="M10" s="4" t="s">
        <v>115</v>
      </c>
      <c r="N10" s="4" t="s">
        <v>116</v>
      </c>
      <c r="O10" s="69">
        <f ca="1">I10*L10</f>
        <v>16</v>
      </c>
      <c r="P10" s="69">
        <f>J10*L10</f>
        <v>16</v>
      </c>
    </row>
    <row r="11" spans="1:16" x14ac:dyDescent="0.25">
      <c r="A11" s="15" t="s">
        <v>163</v>
      </c>
      <c r="B11" s="73" t="s">
        <v>164</v>
      </c>
      <c r="C11" s="73" t="s">
        <v>411</v>
      </c>
      <c r="D11" s="73" t="s">
        <v>37</v>
      </c>
      <c r="E11" s="73" t="s">
        <v>38</v>
      </c>
      <c r="F11" s="17" t="s">
        <v>34</v>
      </c>
      <c r="G11" s="18">
        <f>G7</f>
        <v>41996</v>
      </c>
      <c r="H11" s="18">
        <f>H10</f>
        <v>42032</v>
      </c>
      <c r="I11" s="19">
        <f ca="1">SUM(O6:O10)/L11</f>
        <v>1</v>
      </c>
      <c r="J11" s="19">
        <f>SUM(P6:P10)/L11</f>
        <v>1</v>
      </c>
      <c r="K11" s="20">
        <f>SUM(K7:K10)</f>
        <v>19</v>
      </c>
      <c r="L11" s="15">
        <f>SUM(L7:L10)</f>
        <v>152</v>
      </c>
      <c r="M11" s="15" t="s">
        <v>115</v>
      </c>
      <c r="N11" s="15" t="s">
        <v>116</v>
      </c>
      <c r="O11" s="69"/>
      <c r="P11" s="72"/>
    </row>
    <row r="12" spans="1:16" x14ac:dyDescent="0.25">
      <c r="A12" s="4" t="s">
        <v>165</v>
      </c>
      <c r="B12" s="69" t="s">
        <v>166</v>
      </c>
      <c r="C12" s="69" t="s">
        <v>411</v>
      </c>
      <c r="D12" s="69" t="s">
        <v>37</v>
      </c>
      <c r="E12" s="69" t="s">
        <v>38</v>
      </c>
      <c r="F12" s="7" t="s">
        <v>9</v>
      </c>
      <c r="G12" s="8">
        <v>42016</v>
      </c>
      <c r="H12" s="8">
        <v>42016</v>
      </c>
      <c r="I12" s="9">
        <f ca="1">IF(NETWORKDAYS(G12,TODAY())/NETWORKDAYS(G12,H12,)&lt;0,0,IF(NETWORKDAYS(G12,TODAY())/NETWORKDAYS(G12,H12,)&gt;1,1,NETWORKDAYS(G12,TODAY())/NETWORKDAYS(G12,H12,)))</f>
        <v>1</v>
      </c>
      <c r="J12" s="9">
        <v>1</v>
      </c>
      <c r="K12" s="10">
        <f>NETWORKDAYS(G12,H12)</f>
        <v>1</v>
      </c>
      <c r="L12" s="4">
        <f>K12*8</f>
        <v>8</v>
      </c>
      <c r="M12" s="4" t="s">
        <v>109</v>
      </c>
      <c r="N12" s="4" t="s">
        <v>110</v>
      </c>
      <c r="O12" s="69">
        <f ca="1">I12*L12</f>
        <v>8</v>
      </c>
      <c r="P12" s="69">
        <f>J12*L12</f>
        <v>8</v>
      </c>
    </row>
    <row r="13" spans="1:16" x14ac:dyDescent="0.25">
      <c r="A13" s="4" t="s">
        <v>165</v>
      </c>
      <c r="B13" s="69" t="s">
        <v>166</v>
      </c>
      <c r="C13" s="69" t="s">
        <v>411</v>
      </c>
      <c r="D13" s="69" t="s">
        <v>37</v>
      </c>
      <c r="E13" s="69" t="s">
        <v>38</v>
      </c>
      <c r="F13" s="7" t="s">
        <v>10</v>
      </c>
      <c r="G13" s="8">
        <v>42017</v>
      </c>
      <c r="H13" s="8">
        <v>42030</v>
      </c>
      <c r="I13" s="9">
        <f ca="1">IF(NETWORKDAYS(G13,TODAY())/NETWORKDAYS(G13,H13,)&lt;0,0,IF(NETWORKDAYS(G13,TODAY())/NETWORKDAYS(G13,H13,)&gt;1,1,NETWORKDAYS(G13,TODAY())/NETWORKDAYS(G13,H13,)))</f>
        <v>1</v>
      </c>
      <c r="J13" s="9">
        <v>1</v>
      </c>
      <c r="K13" s="10">
        <f>NETWORKDAYS(G13,H13)</f>
        <v>10</v>
      </c>
      <c r="L13" s="4">
        <f>K13*8</f>
        <v>80</v>
      </c>
      <c r="M13" s="4" t="s">
        <v>109</v>
      </c>
      <c r="N13" s="4" t="s">
        <v>110</v>
      </c>
      <c r="O13" s="69">
        <f ca="1">I13*L13</f>
        <v>80</v>
      </c>
      <c r="P13" s="69">
        <f>J13*L13</f>
        <v>80</v>
      </c>
    </row>
    <row r="14" spans="1:16" x14ac:dyDescent="0.25">
      <c r="A14" s="4" t="s">
        <v>165</v>
      </c>
      <c r="B14" s="69" t="s">
        <v>166</v>
      </c>
      <c r="C14" s="69" t="s">
        <v>411</v>
      </c>
      <c r="D14" s="69" t="s">
        <v>37</v>
      </c>
      <c r="E14" s="69" t="s">
        <v>38</v>
      </c>
      <c r="F14" s="7" t="s">
        <v>8</v>
      </c>
      <c r="G14" s="21">
        <v>42031</v>
      </c>
      <c r="H14" s="21">
        <v>42032</v>
      </c>
      <c r="I14" s="9">
        <f ca="1">IF(NETWORKDAYS(G14,TODAY())/NETWORKDAYS(G14,H14,)&lt;0,0,IF(NETWORKDAYS(G14,TODAY())/NETWORKDAYS(G14,H14,)&gt;1,1,NETWORKDAYS(G14,TODAY())/NETWORKDAYS(G14,H14,)))</f>
        <v>1</v>
      </c>
      <c r="J14" s="9">
        <v>1</v>
      </c>
      <c r="K14" s="10">
        <f>NETWORKDAYS(G14,H14)</f>
        <v>2</v>
      </c>
      <c r="L14" s="4">
        <f>K14*8</f>
        <v>16</v>
      </c>
      <c r="M14" s="4" t="s">
        <v>109</v>
      </c>
      <c r="N14" s="4" t="s">
        <v>110</v>
      </c>
      <c r="O14" s="69">
        <f ca="1">I14*L14</f>
        <v>16</v>
      </c>
      <c r="P14" s="69">
        <f>J14*L14</f>
        <v>16</v>
      </c>
    </row>
    <row r="15" spans="1:16" x14ac:dyDescent="0.25">
      <c r="A15" s="4" t="s">
        <v>165</v>
      </c>
      <c r="B15" s="69" t="s">
        <v>166</v>
      </c>
      <c r="C15" s="69" t="s">
        <v>411</v>
      </c>
      <c r="D15" s="69" t="s">
        <v>37</v>
      </c>
      <c r="E15" s="69" t="s">
        <v>38</v>
      </c>
      <c r="F15" s="7" t="s">
        <v>11</v>
      </c>
      <c r="G15" s="8">
        <v>42032</v>
      </c>
      <c r="H15" s="8">
        <v>42033</v>
      </c>
      <c r="I15" s="9">
        <f ca="1">IF(NETWORKDAYS(G15,TODAY())/NETWORKDAYS(G15,H15,)&lt;0,0,IF(NETWORKDAYS(G15,TODAY())/NETWORKDAYS(G15,H15,)&gt;1,1,NETWORKDAYS(G15,TODAY())/NETWORKDAYS(G15,H15,)))</f>
        <v>1</v>
      </c>
      <c r="J15" s="9">
        <v>1</v>
      </c>
      <c r="K15" s="10">
        <f>NETWORKDAYS(G15,H15)</f>
        <v>2</v>
      </c>
      <c r="L15" s="4">
        <f>K15*8</f>
        <v>16</v>
      </c>
      <c r="M15" s="4" t="s">
        <v>109</v>
      </c>
      <c r="N15" s="4" t="s">
        <v>110</v>
      </c>
      <c r="O15" s="69">
        <f ca="1">I15*L15</f>
        <v>16</v>
      </c>
      <c r="P15" s="69">
        <f>J15*L15</f>
        <v>16</v>
      </c>
    </row>
    <row r="16" spans="1:16" x14ac:dyDescent="0.25">
      <c r="A16" s="11" t="s">
        <v>165</v>
      </c>
      <c r="B16" s="71" t="s">
        <v>166</v>
      </c>
      <c r="C16" s="71" t="s">
        <v>411</v>
      </c>
      <c r="D16" s="71" t="s">
        <v>37</v>
      </c>
      <c r="E16" s="71" t="s">
        <v>38</v>
      </c>
      <c r="F16" s="17" t="s">
        <v>34</v>
      </c>
      <c r="G16" s="22">
        <f>G12</f>
        <v>42016</v>
      </c>
      <c r="H16" s="22">
        <f>H15</f>
        <v>42033</v>
      </c>
      <c r="I16" s="13">
        <f ca="1">SUM(O12:O15)/L16</f>
        <v>1</v>
      </c>
      <c r="J16" s="13">
        <f>SUM(P12:P15)/L16</f>
        <v>1</v>
      </c>
      <c r="K16" s="14">
        <f>SUM(K12:K15)</f>
        <v>15</v>
      </c>
      <c r="L16" s="11">
        <f>SUM(L12:L15)</f>
        <v>120</v>
      </c>
      <c r="M16" s="11" t="s">
        <v>109</v>
      </c>
      <c r="N16" s="11" t="s">
        <v>110</v>
      </c>
      <c r="O16" s="69"/>
      <c r="P16" s="72"/>
    </row>
    <row r="17" spans="1:16" x14ac:dyDescent="0.25">
      <c r="A17" s="4" t="s">
        <v>167</v>
      </c>
      <c r="B17" s="69" t="s">
        <v>168</v>
      </c>
      <c r="C17" s="69" t="s">
        <v>411</v>
      </c>
      <c r="D17" s="69" t="s">
        <v>39</v>
      </c>
      <c r="E17" s="69" t="s">
        <v>38</v>
      </c>
      <c r="F17" s="7" t="s">
        <v>9</v>
      </c>
      <c r="G17" s="8">
        <v>42009</v>
      </c>
      <c r="H17" s="8">
        <v>42012</v>
      </c>
      <c r="I17" s="9">
        <f ca="1">IF(NETWORKDAYS(G17,TODAY())/NETWORKDAYS(G17,H17,)&lt;0,0,IF(NETWORKDAYS(G17,TODAY())/NETWORKDAYS(G17,H17,)&gt;1,1,NETWORKDAYS(G17,TODAY())/NETWORKDAYS(G17,H17,)))</f>
        <v>1</v>
      </c>
      <c r="J17" s="9">
        <v>1</v>
      </c>
      <c r="K17" s="10">
        <f>NETWORKDAYS(G17,H17)</f>
        <v>4</v>
      </c>
      <c r="L17" s="4">
        <f>K17*8</f>
        <v>32</v>
      </c>
      <c r="M17" s="4" t="s">
        <v>123</v>
      </c>
      <c r="N17" s="4" t="s">
        <v>124</v>
      </c>
      <c r="O17" s="69">
        <f ca="1">I17*L17</f>
        <v>32</v>
      </c>
      <c r="P17" s="69">
        <f>J17*L17</f>
        <v>32</v>
      </c>
    </row>
    <row r="18" spans="1:16" x14ac:dyDescent="0.25">
      <c r="A18" s="4" t="s">
        <v>167</v>
      </c>
      <c r="B18" s="69" t="s">
        <v>168</v>
      </c>
      <c r="C18" s="69" t="s">
        <v>411</v>
      </c>
      <c r="D18" s="69" t="s">
        <v>39</v>
      </c>
      <c r="E18" s="69" t="s">
        <v>38</v>
      </c>
      <c r="F18" s="7" t="s">
        <v>10</v>
      </c>
      <c r="G18" s="21">
        <v>42012</v>
      </c>
      <c r="H18" s="21">
        <v>42030</v>
      </c>
      <c r="I18" s="9">
        <f ca="1">IF(NETWORKDAYS(G18,TODAY())/NETWORKDAYS(G18,H18,)&lt;0,0,IF(NETWORKDAYS(G18,TODAY())/NETWORKDAYS(G18,H18,)&gt;1,1,NETWORKDAYS(G18,TODAY())/NETWORKDAYS(G18,H18,)))</f>
        <v>1</v>
      </c>
      <c r="J18" s="9">
        <v>1</v>
      </c>
      <c r="K18" s="10">
        <f>NETWORKDAYS(G18,H18)</f>
        <v>13</v>
      </c>
      <c r="L18" s="4">
        <f>K18*8</f>
        <v>104</v>
      </c>
      <c r="M18" s="4" t="s">
        <v>123</v>
      </c>
      <c r="N18" s="4" t="s">
        <v>124</v>
      </c>
      <c r="O18" s="69">
        <f ca="1">I18*L18</f>
        <v>104</v>
      </c>
      <c r="P18" s="69">
        <f>J18*L18</f>
        <v>104</v>
      </c>
    </row>
    <row r="19" spans="1:16" x14ac:dyDescent="0.25">
      <c r="A19" s="4" t="s">
        <v>167</v>
      </c>
      <c r="B19" s="69" t="s">
        <v>168</v>
      </c>
      <c r="C19" s="69" t="s">
        <v>411</v>
      </c>
      <c r="D19" s="69" t="s">
        <v>39</v>
      </c>
      <c r="E19" s="69" t="s">
        <v>38</v>
      </c>
      <c r="F19" s="7" t="s">
        <v>8</v>
      </c>
      <c r="G19" s="21">
        <v>42031</v>
      </c>
      <c r="H19" s="21">
        <v>42032</v>
      </c>
      <c r="I19" s="9">
        <f ca="1">IF(NETWORKDAYS(G19,TODAY())/NETWORKDAYS(G19,H19,)&lt;0,0,IF(NETWORKDAYS(G19,TODAY())/NETWORKDAYS(G19,H19,)&gt;1,1,NETWORKDAYS(G19,TODAY())/NETWORKDAYS(G19,H19,)))</f>
        <v>1</v>
      </c>
      <c r="J19" s="9">
        <v>1</v>
      </c>
      <c r="K19" s="10">
        <f>NETWORKDAYS(G19,H19)</f>
        <v>2</v>
      </c>
      <c r="L19" s="4">
        <f>K19*8</f>
        <v>16</v>
      </c>
      <c r="M19" s="4" t="s">
        <v>123</v>
      </c>
      <c r="N19" s="4" t="s">
        <v>124</v>
      </c>
      <c r="O19" s="69">
        <f ca="1">I19*L19</f>
        <v>16</v>
      </c>
      <c r="P19" s="69">
        <f>J19*L19</f>
        <v>16</v>
      </c>
    </row>
    <row r="20" spans="1:16" x14ac:dyDescent="0.25">
      <c r="A20" s="4" t="s">
        <v>167</v>
      </c>
      <c r="B20" s="69" t="s">
        <v>168</v>
      </c>
      <c r="C20" s="69" t="s">
        <v>411</v>
      </c>
      <c r="D20" s="69" t="s">
        <v>39</v>
      </c>
      <c r="E20" s="69" t="s">
        <v>38</v>
      </c>
      <c r="F20" s="7" t="s">
        <v>11</v>
      </c>
      <c r="G20" s="21">
        <v>42032</v>
      </c>
      <c r="H20" s="21">
        <v>42033</v>
      </c>
      <c r="I20" s="9">
        <f ca="1">IF(NETWORKDAYS(G20,TODAY())/NETWORKDAYS(G20,H20,)&lt;0,0,IF(NETWORKDAYS(G20,TODAY())/NETWORKDAYS(G20,H20,)&gt;1,1,NETWORKDAYS(G20,TODAY())/NETWORKDAYS(G20,H20,)))</f>
        <v>1</v>
      </c>
      <c r="J20" s="9">
        <v>1</v>
      </c>
      <c r="K20" s="10">
        <f>NETWORKDAYS(G20,H20)</f>
        <v>2</v>
      </c>
      <c r="L20" s="4">
        <f>K20*8</f>
        <v>16</v>
      </c>
      <c r="M20" s="4" t="s">
        <v>123</v>
      </c>
      <c r="N20" s="4" t="s">
        <v>124</v>
      </c>
      <c r="O20" s="69">
        <f ca="1">I20*L20</f>
        <v>16</v>
      </c>
      <c r="P20" s="69">
        <f>J20*L20</f>
        <v>16</v>
      </c>
    </row>
    <row r="21" spans="1:16" x14ac:dyDescent="0.25">
      <c r="A21" s="15" t="s">
        <v>167</v>
      </c>
      <c r="B21" s="73" t="s">
        <v>168</v>
      </c>
      <c r="C21" s="73" t="s">
        <v>411</v>
      </c>
      <c r="D21" s="73" t="s">
        <v>37</v>
      </c>
      <c r="E21" s="73" t="s">
        <v>38</v>
      </c>
      <c r="F21" s="74" t="s">
        <v>34</v>
      </c>
      <c r="G21" s="18">
        <f>G17</f>
        <v>42009</v>
      </c>
      <c r="H21" s="18">
        <f>H20</f>
        <v>42033</v>
      </c>
      <c r="I21" s="19">
        <f ca="1">SUM(O17:O20)/L21</f>
        <v>1</v>
      </c>
      <c r="J21" s="19">
        <f>SUM(P17:P20)/L21</f>
        <v>1</v>
      </c>
      <c r="K21" s="20">
        <f>SUM(K17:K20)</f>
        <v>21</v>
      </c>
      <c r="L21" s="15">
        <f>SUM(L17:L20)</f>
        <v>168</v>
      </c>
      <c r="M21" s="15" t="s">
        <v>123</v>
      </c>
      <c r="N21" s="15" t="s">
        <v>124</v>
      </c>
      <c r="O21" s="69"/>
      <c r="P21" s="69"/>
    </row>
    <row r="22" spans="1:16" x14ac:dyDescent="0.25">
      <c r="A22" s="4" t="s">
        <v>169</v>
      </c>
      <c r="B22" s="69" t="s">
        <v>170</v>
      </c>
      <c r="C22" s="69" t="s">
        <v>411</v>
      </c>
      <c r="D22" s="26" t="s">
        <v>40</v>
      </c>
      <c r="E22" s="70" t="s">
        <v>38</v>
      </c>
      <c r="F22" s="7" t="s">
        <v>9</v>
      </c>
      <c r="G22" s="8">
        <v>42079</v>
      </c>
      <c r="H22" s="8">
        <v>42081</v>
      </c>
      <c r="I22" s="9">
        <f ca="1">IF(NETWORKDAYS(G22,TODAY())/NETWORKDAYS(G22,H22,)&lt;0,0,IF(NETWORKDAYS(G22,TODAY())/NETWORKDAYS(G22,H22,)&gt;1,1,NETWORKDAYS(G22,TODAY())/NETWORKDAYS(G22,H22,)))</f>
        <v>1</v>
      </c>
      <c r="J22" s="9">
        <v>1</v>
      </c>
      <c r="K22" s="10">
        <f>NETWORKDAYS(G22,H22)</f>
        <v>3</v>
      </c>
      <c r="L22" s="4">
        <f>K22*8</f>
        <v>24</v>
      </c>
      <c r="M22" s="4" t="s">
        <v>100</v>
      </c>
      <c r="N22" s="4" t="s">
        <v>125</v>
      </c>
      <c r="O22" s="69">
        <f ca="1">I22*L22</f>
        <v>24</v>
      </c>
      <c r="P22" s="69">
        <f>J22*L22</f>
        <v>24</v>
      </c>
    </row>
    <row r="23" spans="1:16" x14ac:dyDescent="0.25">
      <c r="A23" s="4" t="s">
        <v>169</v>
      </c>
      <c r="B23" s="69" t="s">
        <v>170</v>
      </c>
      <c r="C23" s="69" t="s">
        <v>411</v>
      </c>
      <c r="D23" s="26" t="s">
        <v>40</v>
      </c>
      <c r="E23" s="70" t="s">
        <v>38</v>
      </c>
      <c r="F23" s="7" t="s">
        <v>10</v>
      </c>
      <c r="G23" s="21">
        <v>42082</v>
      </c>
      <c r="H23" s="21">
        <v>42090</v>
      </c>
      <c r="I23" s="9">
        <f ca="1">IF(NETWORKDAYS(G23,TODAY())/NETWORKDAYS(G23,H23,)&lt;0,0,IF(NETWORKDAYS(G23,TODAY())/NETWORKDAYS(G23,H23,)&gt;1,1,NETWORKDAYS(G23,TODAY())/NETWORKDAYS(G23,H23,)))</f>
        <v>1</v>
      </c>
      <c r="J23" s="9">
        <v>1</v>
      </c>
      <c r="K23" s="10">
        <f>NETWORKDAYS(G23,H23)</f>
        <v>7</v>
      </c>
      <c r="L23" s="4">
        <f>K23*8</f>
        <v>56</v>
      </c>
      <c r="M23" s="4" t="s">
        <v>100</v>
      </c>
      <c r="N23" s="4" t="s">
        <v>125</v>
      </c>
      <c r="O23" s="69">
        <f ca="1">I23*L23</f>
        <v>56</v>
      </c>
      <c r="P23" s="69">
        <f>J23*L23</f>
        <v>56</v>
      </c>
    </row>
    <row r="24" spans="1:16" x14ac:dyDescent="0.25">
      <c r="A24" s="4" t="s">
        <v>169</v>
      </c>
      <c r="B24" s="69" t="s">
        <v>170</v>
      </c>
      <c r="C24" s="69" t="s">
        <v>411</v>
      </c>
      <c r="D24" s="26" t="s">
        <v>40</v>
      </c>
      <c r="E24" s="70" t="s">
        <v>38</v>
      </c>
      <c r="F24" s="7" t="s">
        <v>8</v>
      </c>
      <c r="G24" s="21">
        <v>42093</v>
      </c>
      <c r="H24" s="21">
        <v>42095</v>
      </c>
      <c r="I24" s="9">
        <f ca="1">IF(NETWORKDAYS(G24,TODAY())/NETWORKDAYS(G24,H24,)&lt;0,0,IF(NETWORKDAYS(G24,TODAY())/NETWORKDAYS(G24,H24,)&gt;1,1,NETWORKDAYS(G24,TODAY())/NETWORKDAYS(G24,H24,)))</f>
        <v>1</v>
      </c>
      <c r="J24" s="9">
        <v>1</v>
      </c>
      <c r="K24" s="10">
        <f>NETWORKDAYS(G24,H24)</f>
        <v>3</v>
      </c>
      <c r="L24" s="4">
        <f>K24*8</f>
        <v>24</v>
      </c>
      <c r="M24" s="4" t="s">
        <v>100</v>
      </c>
      <c r="N24" s="4" t="s">
        <v>125</v>
      </c>
      <c r="O24" s="69">
        <f ca="1">I24*L24</f>
        <v>24</v>
      </c>
      <c r="P24" s="69">
        <f>J24*L24</f>
        <v>24</v>
      </c>
    </row>
    <row r="25" spans="1:16" x14ac:dyDescent="0.25">
      <c r="A25" s="4" t="s">
        <v>169</v>
      </c>
      <c r="B25" s="69" t="s">
        <v>171</v>
      </c>
      <c r="C25" s="69" t="s">
        <v>411</v>
      </c>
      <c r="D25" s="26" t="s">
        <v>40</v>
      </c>
      <c r="E25" s="70" t="s">
        <v>38</v>
      </c>
      <c r="F25" s="7" t="s">
        <v>11</v>
      </c>
      <c r="G25" s="21">
        <v>42096</v>
      </c>
      <c r="H25" s="21">
        <v>42108</v>
      </c>
      <c r="I25" s="9">
        <f ca="1">IF(NETWORKDAYS(G25,TODAY())/NETWORKDAYS(G25,H25,)&lt;0,0,IF(NETWORKDAYS(G25,TODAY())/NETWORKDAYS(G25,H25,)&gt;1,1,NETWORKDAYS(G25,TODAY())/NETWORKDAYS(G25,H25,)))</f>
        <v>1</v>
      </c>
      <c r="J25" s="9">
        <v>1</v>
      </c>
      <c r="K25" s="10">
        <f>NETWORKDAYS(G25,H25)</f>
        <v>9</v>
      </c>
      <c r="L25" s="4">
        <f>K25*8</f>
        <v>72</v>
      </c>
      <c r="M25" s="4" t="s">
        <v>100</v>
      </c>
      <c r="N25" s="4" t="s">
        <v>125</v>
      </c>
      <c r="O25" s="69">
        <f ca="1">I25*L25</f>
        <v>72</v>
      </c>
      <c r="P25" s="69">
        <f>J25*L25</f>
        <v>72</v>
      </c>
    </row>
    <row r="26" spans="1:16" x14ac:dyDescent="0.25">
      <c r="A26" s="15" t="s">
        <v>169</v>
      </c>
      <c r="B26" s="73" t="s">
        <v>171</v>
      </c>
      <c r="C26" s="73" t="s">
        <v>411</v>
      </c>
      <c r="D26" s="73" t="s">
        <v>40</v>
      </c>
      <c r="E26" s="73" t="s">
        <v>38</v>
      </c>
      <c r="F26" s="73" t="s">
        <v>34</v>
      </c>
      <c r="G26" s="18">
        <f>G22</f>
        <v>42079</v>
      </c>
      <c r="H26" s="18">
        <f>H25</f>
        <v>42108</v>
      </c>
      <c r="I26" s="19">
        <f ca="1">SUM(O22:O25)/L26</f>
        <v>1</v>
      </c>
      <c r="J26" s="19">
        <f>SUM(P22:P25)/L26</f>
        <v>1</v>
      </c>
      <c r="K26" s="20">
        <f>SUM(K22:K25)</f>
        <v>22</v>
      </c>
      <c r="L26" s="15">
        <f>SUM(L22:L25)</f>
        <v>176</v>
      </c>
      <c r="M26" s="15" t="s">
        <v>100</v>
      </c>
      <c r="N26" s="15" t="s">
        <v>125</v>
      </c>
      <c r="O26" s="69"/>
      <c r="P26" s="69"/>
    </row>
    <row r="27" spans="1:16" x14ac:dyDescent="0.25">
      <c r="A27" s="4" t="s">
        <v>172</v>
      </c>
      <c r="B27" s="69" t="s">
        <v>173</v>
      </c>
      <c r="C27" s="69" t="s">
        <v>411</v>
      </c>
      <c r="D27" s="69" t="s">
        <v>37</v>
      </c>
      <c r="E27" s="70" t="s">
        <v>38</v>
      </c>
      <c r="F27" s="7" t="s">
        <v>9</v>
      </c>
      <c r="G27" s="8">
        <v>42086</v>
      </c>
      <c r="H27" s="8">
        <v>42087</v>
      </c>
      <c r="I27" s="9">
        <f ca="1">IF(NETWORKDAYS(G27,TODAY())/NETWORKDAYS(G27,H27,)&lt;0,0,IF(NETWORKDAYS(G27,TODAY())/NETWORKDAYS(G27,H27,)&gt;1,1,NETWORKDAYS(G27,TODAY())/NETWORKDAYS(G27,H27,)))</f>
        <v>1</v>
      </c>
      <c r="J27" s="9">
        <v>1</v>
      </c>
      <c r="K27" s="10">
        <f>NETWORKDAYS(G27,H27)</f>
        <v>2</v>
      </c>
      <c r="L27" s="4">
        <f>K27*8</f>
        <v>16</v>
      </c>
      <c r="M27" s="4" t="s">
        <v>130</v>
      </c>
      <c r="N27" s="4" t="s">
        <v>131</v>
      </c>
      <c r="O27" s="69">
        <f ca="1">I27*L27</f>
        <v>16</v>
      </c>
      <c r="P27" s="69">
        <f>J27*L27</f>
        <v>16</v>
      </c>
    </row>
    <row r="28" spans="1:16" x14ac:dyDescent="0.25">
      <c r="A28" s="4" t="s">
        <v>172</v>
      </c>
      <c r="B28" s="69" t="s">
        <v>173</v>
      </c>
      <c r="C28" s="69" t="s">
        <v>411</v>
      </c>
      <c r="D28" s="69" t="s">
        <v>37</v>
      </c>
      <c r="E28" s="70" t="s">
        <v>38</v>
      </c>
      <c r="F28" s="7" t="s">
        <v>10</v>
      </c>
      <c r="G28" s="21">
        <v>42087</v>
      </c>
      <c r="H28" s="21">
        <v>42115</v>
      </c>
      <c r="I28" s="9">
        <f ca="1">IF(NETWORKDAYS(G28,TODAY())/NETWORKDAYS(G28,H28,)&lt;0,0,IF(NETWORKDAYS(G28,TODAY())/NETWORKDAYS(G28,H28,)&gt;1,1,NETWORKDAYS(G28,TODAY())/NETWORKDAYS(G28,H28,)))</f>
        <v>1</v>
      </c>
      <c r="J28" s="9">
        <v>1</v>
      </c>
      <c r="K28" s="10">
        <f>NETWORKDAYS(G28,H28)</f>
        <v>21</v>
      </c>
      <c r="L28" s="4">
        <f>K28*8</f>
        <v>168</v>
      </c>
      <c r="M28" s="4" t="s">
        <v>130</v>
      </c>
      <c r="N28" s="4" t="s">
        <v>131</v>
      </c>
      <c r="O28" s="69">
        <f ca="1">I28*L28</f>
        <v>168</v>
      </c>
      <c r="P28" s="69">
        <f>J28*L28</f>
        <v>168</v>
      </c>
    </row>
    <row r="29" spans="1:16" x14ac:dyDescent="0.25">
      <c r="A29" s="4" t="s">
        <v>172</v>
      </c>
      <c r="B29" s="69" t="s">
        <v>173</v>
      </c>
      <c r="C29" s="69" t="s">
        <v>411</v>
      </c>
      <c r="D29" s="69" t="s">
        <v>37</v>
      </c>
      <c r="E29" s="70" t="s">
        <v>38</v>
      </c>
      <c r="F29" s="7" t="s">
        <v>8</v>
      </c>
      <c r="G29" s="21">
        <v>42116</v>
      </c>
      <c r="H29" s="21">
        <v>42117</v>
      </c>
      <c r="I29" s="9">
        <f ca="1">IF(NETWORKDAYS(G29,TODAY())/NETWORKDAYS(G29,H29,)&lt;0,0,IF(NETWORKDAYS(G29,TODAY())/NETWORKDAYS(G29,H29,)&gt;1,1,NETWORKDAYS(G29,TODAY())/NETWORKDAYS(G29,H29,)))</f>
        <v>1</v>
      </c>
      <c r="J29" s="9">
        <v>1</v>
      </c>
      <c r="K29" s="10">
        <f>NETWORKDAYS(G29,H29)</f>
        <v>2</v>
      </c>
      <c r="L29" s="4">
        <f>K29*8</f>
        <v>16</v>
      </c>
      <c r="M29" s="4" t="s">
        <v>130</v>
      </c>
      <c r="N29" s="4" t="s">
        <v>131</v>
      </c>
      <c r="O29" s="69">
        <f ca="1">I29*L29</f>
        <v>16</v>
      </c>
      <c r="P29" s="69">
        <f>J29*L29</f>
        <v>16</v>
      </c>
    </row>
    <row r="30" spans="1:16" x14ac:dyDescent="0.25">
      <c r="A30" s="4" t="s">
        <v>172</v>
      </c>
      <c r="B30" s="69" t="s">
        <v>173</v>
      </c>
      <c r="C30" s="69" t="s">
        <v>411</v>
      </c>
      <c r="D30" s="69" t="s">
        <v>37</v>
      </c>
      <c r="E30" s="70" t="s">
        <v>38</v>
      </c>
      <c r="F30" s="7" t="s">
        <v>11</v>
      </c>
      <c r="G30" s="21">
        <v>42118</v>
      </c>
      <c r="H30" s="21">
        <v>42118</v>
      </c>
      <c r="I30" s="9">
        <f ca="1">IF(NETWORKDAYS(G30,TODAY())/NETWORKDAYS(G30,H30,)&lt;0,0,IF(NETWORKDAYS(G30,TODAY())/NETWORKDAYS(G30,H30,)&gt;1,1,NETWORKDAYS(G30,TODAY())/NETWORKDAYS(G30,H30,)))</f>
        <v>1</v>
      </c>
      <c r="J30" s="9">
        <v>1</v>
      </c>
      <c r="K30" s="10">
        <f>NETWORKDAYS(G30,H30)</f>
        <v>1</v>
      </c>
      <c r="L30" s="4">
        <f>K30*8</f>
        <v>8</v>
      </c>
      <c r="M30" s="4" t="s">
        <v>130</v>
      </c>
      <c r="N30" s="4" t="s">
        <v>131</v>
      </c>
      <c r="O30" s="69">
        <f ca="1">I30*L30</f>
        <v>8</v>
      </c>
      <c r="P30" s="69">
        <f>J30*L30</f>
        <v>8</v>
      </c>
    </row>
    <row r="31" spans="1:16" x14ac:dyDescent="0.25">
      <c r="A31" s="15" t="s">
        <v>172</v>
      </c>
      <c r="B31" s="73" t="s">
        <v>173</v>
      </c>
      <c r="C31" s="73" t="s">
        <v>411</v>
      </c>
      <c r="D31" s="73" t="s">
        <v>37</v>
      </c>
      <c r="E31" s="73" t="s">
        <v>38</v>
      </c>
      <c r="F31" s="73" t="s">
        <v>34</v>
      </c>
      <c r="G31" s="18">
        <f>G27</f>
        <v>42086</v>
      </c>
      <c r="H31" s="18">
        <f>H30</f>
        <v>42118</v>
      </c>
      <c r="I31" s="19">
        <f ca="1">SUM(O27:O30)/L31</f>
        <v>1</v>
      </c>
      <c r="J31" s="19">
        <f>SUM(P27:P30)/L31</f>
        <v>1</v>
      </c>
      <c r="K31" s="20">
        <f>SUM(K27:K30)</f>
        <v>26</v>
      </c>
      <c r="L31" s="15">
        <f>SUM(L27:L30)</f>
        <v>208</v>
      </c>
      <c r="M31" s="15" t="s">
        <v>130</v>
      </c>
      <c r="N31" s="15" t="s">
        <v>131</v>
      </c>
      <c r="O31" s="69"/>
      <c r="P31" s="69"/>
    </row>
    <row r="32" spans="1:16" x14ac:dyDescent="0.25">
      <c r="A32" s="4" t="s">
        <v>174</v>
      </c>
      <c r="B32" s="75" t="s">
        <v>175</v>
      </c>
      <c r="C32" s="75" t="s">
        <v>411</v>
      </c>
      <c r="D32" s="69" t="s">
        <v>39</v>
      </c>
      <c r="E32" s="70" t="s">
        <v>38</v>
      </c>
      <c r="F32" s="7" t="s">
        <v>9</v>
      </c>
      <c r="G32" s="8">
        <v>42034</v>
      </c>
      <c r="H32" s="8">
        <v>42037</v>
      </c>
      <c r="I32" s="9">
        <f ca="1">IF(NETWORKDAYS(G32,TODAY())/NETWORKDAYS(G32,H32,)&lt;0,0,IF(NETWORKDAYS(G32,TODAY())/NETWORKDAYS(G32,H32,)&gt;1,1,NETWORKDAYS(G32,TODAY())/NETWORKDAYS(G32,H32,)))</f>
        <v>1</v>
      </c>
      <c r="J32" s="9">
        <v>1</v>
      </c>
      <c r="K32" s="10">
        <f>NETWORKDAYS(G32,H32)</f>
        <v>2</v>
      </c>
      <c r="L32" s="4">
        <f>K32*8</f>
        <v>16</v>
      </c>
      <c r="M32" s="4" t="s">
        <v>109</v>
      </c>
      <c r="N32" s="4" t="s">
        <v>110</v>
      </c>
      <c r="O32" s="69">
        <f ca="1">I32*L32</f>
        <v>16</v>
      </c>
      <c r="P32" s="69">
        <f>J32*L32</f>
        <v>16</v>
      </c>
    </row>
    <row r="33" spans="1:16" x14ac:dyDescent="0.25">
      <c r="A33" s="4" t="s">
        <v>174</v>
      </c>
      <c r="B33" s="75" t="s">
        <v>175</v>
      </c>
      <c r="C33" s="75" t="s">
        <v>411</v>
      </c>
      <c r="D33" s="69" t="s">
        <v>39</v>
      </c>
      <c r="E33" s="70" t="s">
        <v>38</v>
      </c>
      <c r="F33" s="7" t="s">
        <v>10</v>
      </c>
      <c r="G33" s="21">
        <v>42038</v>
      </c>
      <c r="H33" s="21">
        <v>42068</v>
      </c>
      <c r="I33" s="9">
        <f ca="1">IF(NETWORKDAYS(G33,TODAY())/NETWORKDAYS(G33,H33,)&lt;0,0,IF(NETWORKDAYS(G33,TODAY())/NETWORKDAYS(G33,H33,)&gt;1,1,NETWORKDAYS(G33,TODAY())/NETWORKDAYS(G33,H33,)))</f>
        <v>1</v>
      </c>
      <c r="J33" s="9">
        <v>1</v>
      </c>
      <c r="K33" s="10">
        <f>NETWORKDAYS(G33,H33)</f>
        <v>23</v>
      </c>
      <c r="L33" s="4">
        <f>K33*8</f>
        <v>184</v>
      </c>
      <c r="M33" s="4" t="s">
        <v>109</v>
      </c>
      <c r="N33" s="4" t="s">
        <v>110</v>
      </c>
      <c r="O33" s="69">
        <f ca="1">I33*L33</f>
        <v>184</v>
      </c>
      <c r="P33" s="69">
        <f>J33*L33</f>
        <v>184</v>
      </c>
    </row>
    <row r="34" spans="1:16" x14ac:dyDescent="0.25">
      <c r="A34" s="4" t="s">
        <v>174</v>
      </c>
      <c r="B34" s="75" t="s">
        <v>175</v>
      </c>
      <c r="C34" s="75" t="s">
        <v>411</v>
      </c>
      <c r="D34" s="69" t="s">
        <v>39</v>
      </c>
      <c r="E34" s="70" t="s">
        <v>38</v>
      </c>
      <c r="F34" s="7" t="s">
        <v>11</v>
      </c>
      <c r="G34" s="21">
        <v>42068</v>
      </c>
      <c r="H34" s="21">
        <v>42069</v>
      </c>
      <c r="I34" s="9">
        <f ca="1">IF(NETWORKDAYS(G34,TODAY())/NETWORKDAYS(G34,H34,)&lt;0,0,IF(NETWORKDAYS(G34,TODAY())/NETWORKDAYS(G34,H34,)&gt;1,1,NETWORKDAYS(G34,TODAY())/NETWORKDAYS(G34,H34,)))</f>
        <v>1</v>
      </c>
      <c r="J34" s="9">
        <v>1</v>
      </c>
      <c r="K34" s="10">
        <f>NETWORKDAYS(G34,H34)</f>
        <v>2</v>
      </c>
      <c r="L34" s="4">
        <f>K34*8</f>
        <v>16</v>
      </c>
      <c r="M34" s="4" t="s">
        <v>109</v>
      </c>
      <c r="N34" s="4" t="s">
        <v>110</v>
      </c>
      <c r="O34" s="69">
        <f ca="1">I34*L34</f>
        <v>16</v>
      </c>
      <c r="P34" s="69">
        <f>J34*L34</f>
        <v>16</v>
      </c>
    </row>
    <row r="35" spans="1:16" x14ac:dyDescent="0.25">
      <c r="A35" s="15" t="s">
        <v>174</v>
      </c>
      <c r="B35" s="73" t="s">
        <v>176</v>
      </c>
      <c r="C35" s="73" t="s">
        <v>411</v>
      </c>
      <c r="D35" s="73" t="s">
        <v>39</v>
      </c>
      <c r="E35" s="73" t="s">
        <v>38</v>
      </c>
      <c r="F35" s="74" t="s">
        <v>34</v>
      </c>
      <c r="G35" s="18">
        <f>G32</f>
        <v>42034</v>
      </c>
      <c r="H35" s="18">
        <f>H34</f>
        <v>42069</v>
      </c>
      <c r="I35" s="19">
        <f ca="1">SUM(O32:O34)/L35</f>
        <v>1</v>
      </c>
      <c r="J35" s="19">
        <f>SUM(P32:P34)/L35</f>
        <v>1</v>
      </c>
      <c r="K35" s="20">
        <f>SUM(K32:K34)</f>
        <v>27</v>
      </c>
      <c r="L35" s="15">
        <f>SUM(L32:L34)</f>
        <v>216</v>
      </c>
      <c r="M35" s="15" t="s">
        <v>109</v>
      </c>
      <c r="N35" s="15" t="s">
        <v>110</v>
      </c>
      <c r="O35" s="69"/>
      <c r="P35" s="69"/>
    </row>
    <row r="36" spans="1:16" x14ac:dyDescent="0.25">
      <c r="A36" s="4" t="s">
        <v>177</v>
      </c>
      <c r="B36" s="69" t="s">
        <v>178</v>
      </c>
      <c r="C36" s="69" t="s">
        <v>411</v>
      </c>
      <c r="D36" s="69" t="s">
        <v>39</v>
      </c>
      <c r="E36" s="70" t="s">
        <v>38</v>
      </c>
      <c r="F36" s="7" t="s">
        <v>9</v>
      </c>
      <c r="G36" s="8">
        <v>42065</v>
      </c>
      <c r="H36" s="8">
        <v>42065</v>
      </c>
      <c r="I36" s="9">
        <f ca="1">IF(NETWORKDAYS(G36,TODAY())/NETWORKDAYS(G36,H36,)&lt;0,0,IF(NETWORKDAYS(G36,TODAY())/NETWORKDAYS(G36,H36,)&gt;1,1,NETWORKDAYS(G36,TODAY())/NETWORKDAYS(G36,H36,)))</f>
        <v>1</v>
      </c>
      <c r="J36" s="9">
        <v>1</v>
      </c>
      <c r="K36" s="10">
        <f>NETWORKDAYS(G36,H36)</f>
        <v>1</v>
      </c>
      <c r="L36" s="4">
        <f>K36*8</f>
        <v>8</v>
      </c>
      <c r="M36" s="4" t="s">
        <v>109</v>
      </c>
      <c r="N36" s="4" t="s">
        <v>110</v>
      </c>
      <c r="O36" s="69">
        <f ca="1">I36*L36</f>
        <v>8</v>
      </c>
      <c r="P36" s="69">
        <f>J36*L36</f>
        <v>8</v>
      </c>
    </row>
    <row r="37" spans="1:16" x14ac:dyDescent="0.25">
      <c r="A37" s="4" t="s">
        <v>177</v>
      </c>
      <c r="B37" s="69" t="s">
        <v>178</v>
      </c>
      <c r="C37" s="69" t="s">
        <v>411</v>
      </c>
      <c r="D37" s="69" t="s">
        <v>39</v>
      </c>
      <c r="E37" s="70" t="s">
        <v>38</v>
      </c>
      <c r="F37" s="7" t="s">
        <v>10</v>
      </c>
      <c r="G37" s="21">
        <v>42066</v>
      </c>
      <c r="H37" s="21">
        <v>42070</v>
      </c>
      <c r="I37" s="9">
        <f ca="1">IF(NETWORKDAYS(G37,TODAY())/NETWORKDAYS(G37,H37,)&lt;0,0,IF(NETWORKDAYS(G37,TODAY())/NETWORKDAYS(G37,H37,)&gt;1,1,NETWORKDAYS(G37,TODAY())/NETWORKDAYS(G37,H37,)))</f>
        <v>1</v>
      </c>
      <c r="J37" s="9">
        <v>1</v>
      </c>
      <c r="K37" s="10">
        <f>NETWORKDAYS(G37,H37)</f>
        <v>4</v>
      </c>
      <c r="L37" s="4">
        <f>K37*8</f>
        <v>32</v>
      </c>
      <c r="M37" s="4" t="s">
        <v>109</v>
      </c>
      <c r="N37" s="4" t="s">
        <v>110</v>
      </c>
      <c r="O37" s="69">
        <f ca="1">I37*L37</f>
        <v>32</v>
      </c>
      <c r="P37" s="69">
        <f>J37*L37</f>
        <v>32</v>
      </c>
    </row>
    <row r="38" spans="1:16" x14ac:dyDescent="0.25">
      <c r="A38" s="4" t="s">
        <v>177</v>
      </c>
      <c r="B38" s="69" t="s">
        <v>178</v>
      </c>
      <c r="C38" s="69" t="s">
        <v>411</v>
      </c>
      <c r="D38" s="69" t="s">
        <v>39</v>
      </c>
      <c r="E38" s="70" t="s">
        <v>38</v>
      </c>
      <c r="F38" s="7" t="s">
        <v>8</v>
      </c>
      <c r="G38" s="21">
        <v>42073</v>
      </c>
      <c r="H38" s="21">
        <v>42074</v>
      </c>
      <c r="I38" s="9">
        <f ca="1">IF(NETWORKDAYS(G38,TODAY())/NETWORKDAYS(G38,H38,)&lt;0,0,IF(NETWORKDAYS(G38,TODAY())/NETWORKDAYS(G38,H38,)&gt;1,1,NETWORKDAYS(G38,TODAY())/NETWORKDAYS(G38,H38,)))</f>
        <v>1</v>
      </c>
      <c r="J38" s="9">
        <v>1</v>
      </c>
      <c r="K38" s="10">
        <f>NETWORKDAYS(G38,H38)</f>
        <v>2</v>
      </c>
      <c r="L38" s="4">
        <f>K38*8</f>
        <v>16</v>
      </c>
      <c r="M38" s="4" t="s">
        <v>109</v>
      </c>
      <c r="N38" s="4" t="s">
        <v>110</v>
      </c>
      <c r="O38" s="69">
        <f ca="1">I38*L38</f>
        <v>16</v>
      </c>
      <c r="P38" s="69">
        <f>J38*L38</f>
        <v>16</v>
      </c>
    </row>
    <row r="39" spans="1:16" x14ac:dyDescent="0.25">
      <c r="A39" s="4" t="s">
        <v>177</v>
      </c>
      <c r="B39" s="69" t="s">
        <v>178</v>
      </c>
      <c r="C39" s="69" t="s">
        <v>411</v>
      </c>
      <c r="D39" s="69" t="s">
        <v>39</v>
      </c>
      <c r="E39" s="70" t="s">
        <v>38</v>
      </c>
      <c r="F39" s="7" t="s">
        <v>11</v>
      </c>
      <c r="G39" s="21">
        <v>42075</v>
      </c>
      <c r="H39" s="21">
        <v>42076</v>
      </c>
      <c r="I39" s="9">
        <f ca="1">IF(NETWORKDAYS(G39,TODAY())/NETWORKDAYS(G39,H39,)&lt;0,0,IF(NETWORKDAYS(G39,TODAY())/NETWORKDAYS(G39,H39,)&gt;1,1,NETWORKDAYS(G39,TODAY())/NETWORKDAYS(G39,H39,)))</f>
        <v>1</v>
      </c>
      <c r="J39" s="9">
        <v>1</v>
      </c>
      <c r="K39" s="10">
        <f>NETWORKDAYS(G39,H39)</f>
        <v>2</v>
      </c>
      <c r="L39" s="4">
        <f>K39*8</f>
        <v>16</v>
      </c>
      <c r="M39" s="4" t="s">
        <v>109</v>
      </c>
      <c r="N39" s="4" t="s">
        <v>110</v>
      </c>
      <c r="O39" s="69">
        <f ca="1">I39*L39</f>
        <v>16</v>
      </c>
      <c r="P39" s="69">
        <f>J39*L39</f>
        <v>16</v>
      </c>
    </row>
    <row r="40" spans="1:16" x14ac:dyDescent="0.25">
      <c r="A40" s="15" t="s">
        <v>177</v>
      </c>
      <c r="B40" s="73" t="str">
        <f>B39</f>
        <v>Inserção de Críticas</v>
      </c>
      <c r="C40" s="73" t="s">
        <v>411</v>
      </c>
      <c r="D40" s="73" t="s">
        <v>39</v>
      </c>
      <c r="E40" s="73" t="s">
        <v>38</v>
      </c>
      <c r="F40" s="73" t="s">
        <v>34</v>
      </c>
      <c r="G40" s="18">
        <f>G36</f>
        <v>42065</v>
      </c>
      <c r="H40" s="18">
        <f>H39</f>
        <v>42076</v>
      </c>
      <c r="I40" s="19">
        <f ca="1">SUM(O36:O39)/L40</f>
        <v>1</v>
      </c>
      <c r="J40" s="19">
        <f>SUM(P36:P39)/L40</f>
        <v>1</v>
      </c>
      <c r="K40" s="20">
        <f>SUM(K36:K39)</f>
        <v>9</v>
      </c>
      <c r="L40" s="15">
        <f>SUM(L36:L39)</f>
        <v>72</v>
      </c>
      <c r="M40" s="15" t="s">
        <v>109</v>
      </c>
      <c r="N40" s="15" t="s">
        <v>110</v>
      </c>
      <c r="O40" s="69"/>
      <c r="P40" s="69"/>
    </row>
    <row r="41" spans="1:16" x14ac:dyDescent="0.25">
      <c r="A41" s="4" t="s">
        <v>83</v>
      </c>
      <c r="B41" s="69" t="s">
        <v>42</v>
      </c>
      <c r="C41" s="69" t="s">
        <v>411</v>
      </c>
      <c r="D41" s="69" t="s">
        <v>39</v>
      </c>
      <c r="E41" s="70" t="s">
        <v>38</v>
      </c>
      <c r="F41" s="7" t="s">
        <v>7</v>
      </c>
      <c r="G41" s="8">
        <v>42132</v>
      </c>
      <c r="H41" s="8">
        <v>42135</v>
      </c>
      <c r="I41" s="9">
        <f ca="1">IF(NETWORKDAYS(G41,TODAY())/NETWORKDAYS(G41,H41,)&lt;0,0,IF(NETWORKDAYS(G41,TODAY())/NETWORKDAYS(G41,H41,)&gt;1,1,NETWORKDAYS(G41,TODAY())/NETWORKDAYS(G41,H41,)))</f>
        <v>1</v>
      </c>
      <c r="J41" s="9">
        <v>1</v>
      </c>
      <c r="K41" s="10">
        <f>NETWORKDAYS(G41,H41)</f>
        <v>2</v>
      </c>
      <c r="L41" s="4">
        <f>K41*8</f>
        <v>16</v>
      </c>
      <c r="M41" s="4" t="s">
        <v>109</v>
      </c>
      <c r="N41" s="4" t="s">
        <v>110</v>
      </c>
      <c r="O41" s="69">
        <f ca="1">I41*L41</f>
        <v>16</v>
      </c>
      <c r="P41" s="69">
        <f>J41*L41</f>
        <v>16</v>
      </c>
    </row>
    <row r="42" spans="1:16" x14ac:dyDescent="0.25">
      <c r="A42" s="4" t="s">
        <v>83</v>
      </c>
      <c r="B42" s="69" t="s">
        <v>42</v>
      </c>
      <c r="C42" s="69" t="s">
        <v>411</v>
      </c>
      <c r="D42" s="69" t="s">
        <v>39</v>
      </c>
      <c r="E42" s="70" t="s">
        <v>38</v>
      </c>
      <c r="F42" s="7" t="s">
        <v>10</v>
      </c>
      <c r="G42" s="8">
        <v>42136</v>
      </c>
      <c r="H42" s="8">
        <v>42137</v>
      </c>
      <c r="I42" s="9">
        <f ca="1">IF(NETWORKDAYS(G42,TODAY())/NETWORKDAYS(G42,H42,)&lt;0,0,IF(NETWORKDAYS(G42,TODAY())/NETWORKDAYS(G42,H42,)&gt;1,1,NETWORKDAYS(G42,TODAY())/NETWORKDAYS(G42,H42,)))</f>
        <v>1</v>
      </c>
      <c r="J42" s="9">
        <v>1</v>
      </c>
      <c r="K42" s="10">
        <f>NETWORKDAYS(G42,H42)</f>
        <v>2</v>
      </c>
      <c r="L42" s="4">
        <f>K42*8</f>
        <v>16</v>
      </c>
      <c r="M42" s="4" t="s">
        <v>109</v>
      </c>
      <c r="N42" s="4" t="s">
        <v>110</v>
      </c>
      <c r="O42" s="69">
        <f ca="1">I42*L42</f>
        <v>16</v>
      </c>
      <c r="P42" s="69">
        <f>J42*L42</f>
        <v>16</v>
      </c>
    </row>
    <row r="43" spans="1:16" x14ac:dyDescent="0.25">
      <c r="A43" s="4" t="s">
        <v>83</v>
      </c>
      <c r="B43" s="69" t="s">
        <v>42</v>
      </c>
      <c r="C43" s="69" t="s">
        <v>411</v>
      </c>
      <c r="D43" s="69" t="s">
        <v>39</v>
      </c>
      <c r="E43" s="70" t="s">
        <v>38</v>
      </c>
      <c r="F43" s="7" t="s">
        <v>8</v>
      </c>
      <c r="G43" s="8">
        <v>42138</v>
      </c>
      <c r="H43" s="8">
        <v>42138</v>
      </c>
      <c r="I43" s="9">
        <f ca="1">IF(NETWORKDAYS(G43,TODAY())/NETWORKDAYS(G43,H43,)&lt;0,0,IF(NETWORKDAYS(G43,TODAY())/NETWORKDAYS(G43,H43,)&gt;1,1,NETWORKDAYS(G43,TODAY())/NETWORKDAYS(G43,H43,)))</f>
        <v>1</v>
      </c>
      <c r="J43" s="9">
        <v>1</v>
      </c>
      <c r="K43" s="10">
        <f>NETWORKDAYS(G43,H43)</f>
        <v>1</v>
      </c>
      <c r="L43" s="4">
        <f>K43*8</f>
        <v>8</v>
      </c>
      <c r="M43" s="4" t="s">
        <v>109</v>
      </c>
      <c r="N43" s="4" t="s">
        <v>110</v>
      </c>
      <c r="O43" s="69">
        <f ca="1">I43*L43</f>
        <v>8</v>
      </c>
      <c r="P43" s="69">
        <f>J43*L43</f>
        <v>8</v>
      </c>
    </row>
    <row r="44" spans="1:16" x14ac:dyDescent="0.25">
      <c r="A44" s="4" t="s">
        <v>83</v>
      </c>
      <c r="B44" s="69" t="s">
        <v>42</v>
      </c>
      <c r="C44" s="69" t="s">
        <v>411</v>
      </c>
      <c r="D44" s="69" t="s">
        <v>39</v>
      </c>
      <c r="E44" s="70" t="s">
        <v>38</v>
      </c>
      <c r="F44" s="7" t="s">
        <v>11</v>
      </c>
      <c r="G44" s="8">
        <v>42139</v>
      </c>
      <c r="H44" s="8">
        <v>42142</v>
      </c>
      <c r="I44" s="9">
        <f ca="1">IF(NETWORKDAYS(G44,TODAY())/NETWORKDAYS(G44,H44,)&lt;0,0,IF(NETWORKDAYS(G44,TODAY())/NETWORKDAYS(G44,H44,)&gt;1,1,NETWORKDAYS(G44,TODAY())/NETWORKDAYS(G44,H44,)))</f>
        <v>1</v>
      </c>
      <c r="J44" s="9">
        <v>1</v>
      </c>
      <c r="K44" s="10">
        <f>NETWORKDAYS(G44,H44)</f>
        <v>2</v>
      </c>
      <c r="L44" s="4">
        <f>K44*8</f>
        <v>16</v>
      </c>
      <c r="M44" s="4" t="s">
        <v>109</v>
      </c>
      <c r="N44" s="4" t="s">
        <v>110</v>
      </c>
      <c r="O44" s="69">
        <f ca="1">I44*L44</f>
        <v>16</v>
      </c>
      <c r="P44" s="69">
        <f>J44*L44</f>
        <v>16</v>
      </c>
    </row>
    <row r="45" spans="1:16" x14ac:dyDescent="0.25">
      <c r="A45" s="11" t="s">
        <v>83</v>
      </c>
      <c r="B45" s="71" t="str">
        <f>B44</f>
        <v>Atualização da FBL5N no SAP nas inserções finalizadas</v>
      </c>
      <c r="C45" s="71" t="s">
        <v>411</v>
      </c>
      <c r="D45" s="71" t="s">
        <v>39</v>
      </c>
      <c r="E45" s="71" t="s">
        <v>38</v>
      </c>
      <c r="F45" s="71" t="s">
        <v>34</v>
      </c>
      <c r="G45" s="11" t="s">
        <v>41</v>
      </c>
      <c r="H45" s="22">
        <f>H44</f>
        <v>42142</v>
      </c>
      <c r="I45" s="13">
        <f ca="1">SUM(O41:O44)/L45</f>
        <v>1</v>
      </c>
      <c r="J45" s="13">
        <f>SUM(P41:P44)/L45</f>
        <v>1</v>
      </c>
      <c r="K45" s="14">
        <f>SUM(K41:K44)</f>
        <v>7</v>
      </c>
      <c r="L45" s="11">
        <f>SUM(L41:L44)</f>
        <v>56</v>
      </c>
      <c r="M45" s="11" t="s">
        <v>109</v>
      </c>
      <c r="N45" s="11" t="s">
        <v>110</v>
      </c>
      <c r="O45" s="69"/>
      <c r="P45" s="72"/>
    </row>
    <row r="46" spans="1:16" x14ac:dyDescent="0.25">
      <c r="A46" s="4" t="s">
        <v>179</v>
      </c>
      <c r="B46" s="69" t="s">
        <v>180</v>
      </c>
      <c r="C46" s="69" t="s">
        <v>411</v>
      </c>
      <c r="D46" s="69" t="s">
        <v>47</v>
      </c>
      <c r="E46" s="70" t="s">
        <v>46</v>
      </c>
      <c r="F46" s="7" t="s">
        <v>9</v>
      </c>
      <c r="G46" s="8">
        <v>42103</v>
      </c>
      <c r="H46" s="8">
        <v>42103</v>
      </c>
      <c r="I46" s="9">
        <f ca="1">IF(NETWORKDAYS(G46,TODAY())/NETWORKDAYS(G46,H46,)&lt;0,0,IF(NETWORKDAYS(G46,TODAY())/NETWORKDAYS(G46,H46,)&gt;1,1,NETWORKDAYS(G46,TODAY())/NETWORKDAYS(G46,H46,)))</f>
        <v>1</v>
      </c>
      <c r="J46" s="9">
        <v>1</v>
      </c>
      <c r="K46" s="10">
        <f>NETWORKDAYS(G46,H46)</f>
        <v>1</v>
      </c>
      <c r="L46" s="4">
        <f>K46*8</f>
        <v>8</v>
      </c>
      <c r="M46" s="4" t="s">
        <v>113</v>
      </c>
      <c r="N46" s="4" t="s">
        <v>114</v>
      </c>
      <c r="O46" s="69">
        <f ca="1">I46*L46</f>
        <v>8</v>
      </c>
      <c r="P46" s="69">
        <f>J46*L46</f>
        <v>8</v>
      </c>
    </row>
    <row r="47" spans="1:16" x14ac:dyDescent="0.25">
      <c r="A47" s="4" t="s">
        <v>179</v>
      </c>
      <c r="B47" s="69" t="s">
        <v>180</v>
      </c>
      <c r="C47" s="69" t="s">
        <v>411</v>
      </c>
      <c r="D47" s="69" t="s">
        <v>47</v>
      </c>
      <c r="E47" s="70" t="s">
        <v>46</v>
      </c>
      <c r="F47" s="7" t="s">
        <v>10</v>
      </c>
      <c r="G47" s="8">
        <v>42104</v>
      </c>
      <c r="H47" s="8">
        <v>42109</v>
      </c>
      <c r="I47" s="9">
        <f ca="1">IF(NETWORKDAYS(G47,TODAY())/NETWORKDAYS(G47,H47,)&lt;0,0,IF(NETWORKDAYS(G47,TODAY())/NETWORKDAYS(G47,H47,)&gt;1,1,NETWORKDAYS(G47,TODAY())/NETWORKDAYS(G47,H47,)))</f>
        <v>1</v>
      </c>
      <c r="J47" s="9">
        <v>1</v>
      </c>
      <c r="K47" s="10">
        <f>NETWORKDAYS(G47,H47)</f>
        <v>4</v>
      </c>
      <c r="L47" s="4">
        <f>K47*8</f>
        <v>32</v>
      </c>
      <c r="M47" s="4" t="s">
        <v>113</v>
      </c>
      <c r="N47" s="4" t="s">
        <v>114</v>
      </c>
      <c r="O47" s="69">
        <f ca="1">I47*L47</f>
        <v>32</v>
      </c>
      <c r="P47" s="69">
        <f>J47*L47</f>
        <v>32</v>
      </c>
    </row>
    <row r="48" spans="1:16" x14ac:dyDescent="0.25">
      <c r="A48" s="4" t="s">
        <v>179</v>
      </c>
      <c r="B48" s="69" t="s">
        <v>180</v>
      </c>
      <c r="C48" s="69" t="s">
        <v>411</v>
      </c>
      <c r="D48" s="69" t="s">
        <v>47</v>
      </c>
      <c r="E48" s="70" t="s">
        <v>46</v>
      </c>
      <c r="F48" s="7" t="s">
        <v>8</v>
      </c>
      <c r="G48" s="8">
        <v>42110</v>
      </c>
      <c r="H48" s="8">
        <v>42124</v>
      </c>
      <c r="I48" s="9">
        <f ca="1">IF(NETWORKDAYS(G48,TODAY())/NETWORKDAYS(G48,H48,)&lt;0,0,IF(NETWORKDAYS(G48,TODAY())/NETWORKDAYS(G48,H48,)&gt;1,1,NETWORKDAYS(G48,TODAY())/NETWORKDAYS(G48,H48,)))</f>
        <v>1</v>
      </c>
      <c r="J48" s="9">
        <v>1</v>
      </c>
      <c r="K48" s="10">
        <f>NETWORKDAYS(G48,H48)</f>
        <v>11</v>
      </c>
      <c r="L48" s="4">
        <f>K48*8</f>
        <v>88</v>
      </c>
      <c r="M48" s="4" t="s">
        <v>113</v>
      </c>
      <c r="N48" s="4" t="s">
        <v>114</v>
      </c>
      <c r="O48" s="69">
        <f ca="1">I48*L48</f>
        <v>88</v>
      </c>
      <c r="P48" s="69">
        <f>J48*L48</f>
        <v>88</v>
      </c>
    </row>
    <row r="49" spans="1:16" x14ac:dyDescent="0.25">
      <c r="A49" s="4" t="s">
        <v>179</v>
      </c>
      <c r="B49" s="69" t="s">
        <v>180</v>
      </c>
      <c r="C49" s="69" t="s">
        <v>411</v>
      </c>
      <c r="D49" s="69" t="s">
        <v>47</v>
      </c>
      <c r="E49" s="70" t="s">
        <v>46</v>
      </c>
      <c r="F49" s="7" t="s">
        <v>11</v>
      </c>
      <c r="G49" s="8">
        <v>42128</v>
      </c>
      <c r="H49" s="8">
        <v>42131</v>
      </c>
      <c r="I49" s="9">
        <f ca="1">IF(NETWORKDAYS(G49,TODAY())/NETWORKDAYS(G49,H49,)&lt;0,0,IF(NETWORKDAYS(G49,TODAY())/NETWORKDAYS(G49,H49,)&gt;1,1,NETWORKDAYS(G49,TODAY())/NETWORKDAYS(G49,H49,)))</f>
        <v>1</v>
      </c>
      <c r="J49" s="9">
        <v>1</v>
      </c>
      <c r="K49" s="10">
        <f>NETWORKDAYS(G49,H49)</f>
        <v>4</v>
      </c>
      <c r="L49" s="4">
        <f>K49*8</f>
        <v>32</v>
      </c>
      <c r="M49" s="4" t="s">
        <v>113</v>
      </c>
      <c r="N49" s="4" t="s">
        <v>114</v>
      </c>
      <c r="O49" s="69">
        <f ca="1">I49*L49</f>
        <v>32</v>
      </c>
      <c r="P49" s="69">
        <f>J49*L49</f>
        <v>32</v>
      </c>
    </row>
    <row r="50" spans="1:16" x14ac:dyDescent="0.25">
      <c r="A50" s="11" t="s">
        <v>179</v>
      </c>
      <c r="B50" s="71" t="s">
        <v>180</v>
      </c>
      <c r="C50" s="71" t="s">
        <v>411</v>
      </c>
      <c r="D50" s="71" t="s">
        <v>47</v>
      </c>
      <c r="E50" s="71" t="s">
        <v>38</v>
      </c>
      <c r="F50" s="71" t="s">
        <v>34</v>
      </c>
      <c r="G50" s="22">
        <v>42103</v>
      </c>
      <c r="H50" s="22">
        <f>H49</f>
        <v>42131</v>
      </c>
      <c r="I50" s="13">
        <f ca="1">SUM(O46:O49)/L50</f>
        <v>1</v>
      </c>
      <c r="J50" s="13">
        <f>SUM(P46:P49)/L50</f>
        <v>1</v>
      </c>
      <c r="K50" s="14">
        <f>SUM(K46:K49)</f>
        <v>20</v>
      </c>
      <c r="L50" s="11">
        <f>SUM(L46:L49)</f>
        <v>160</v>
      </c>
      <c r="M50" s="13" t="s">
        <v>113</v>
      </c>
      <c r="N50" s="13" t="s">
        <v>114</v>
      </c>
      <c r="O50" s="69"/>
      <c r="P50" s="72"/>
    </row>
    <row r="51" spans="1:16" x14ac:dyDescent="0.25">
      <c r="A51" s="4" t="s">
        <v>181</v>
      </c>
      <c r="B51" s="69" t="s">
        <v>182</v>
      </c>
      <c r="C51" s="69" t="s">
        <v>411</v>
      </c>
      <c r="D51" s="69" t="s">
        <v>47</v>
      </c>
      <c r="E51" s="70" t="s">
        <v>46</v>
      </c>
      <c r="F51" s="7" t="s">
        <v>9</v>
      </c>
      <c r="G51" s="8">
        <v>42103</v>
      </c>
      <c r="H51" s="8">
        <v>42103</v>
      </c>
      <c r="I51" s="9">
        <f ca="1">IF(NETWORKDAYS(G51,TODAY())/NETWORKDAYS(G51,H51,)&lt;0,0,IF(NETWORKDAYS(G51,TODAY())/NETWORKDAYS(G51,H51,)&gt;1,1,NETWORKDAYS(G51,TODAY())/NETWORKDAYS(G51,H51,)))</f>
        <v>1</v>
      </c>
      <c r="J51" s="9">
        <v>1</v>
      </c>
      <c r="K51" s="10">
        <f>NETWORKDAYS(G51,H51)</f>
        <v>1</v>
      </c>
      <c r="L51" s="4">
        <f>K51*8</f>
        <v>8</v>
      </c>
      <c r="M51" s="4" t="s">
        <v>113</v>
      </c>
      <c r="N51" s="4" t="s">
        <v>114</v>
      </c>
      <c r="O51" s="69">
        <f ca="1">I51*L51</f>
        <v>8</v>
      </c>
      <c r="P51" s="69">
        <f>J51*L51</f>
        <v>8</v>
      </c>
    </row>
    <row r="52" spans="1:16" x14ac:dyDescent="0.25">
      <c r="A52" s="4" t="s">
        <v>181</v>
      </c>
      <c r="B52" s="69" t="s">
        <v>182</v>
      </c>
      <c r="C52" s="69" t="s">
        <v>411</v>
      </c>
      <c r="D52" s="69" t="s">
        <v>47</v>
      </c>
      <c r="E52" s="70" t="s">
        <v>46</v>
      </c>
      <c r="F52" s="7" t="s">
        <v>10</v>
      </c>
      <c r="G52" s="8">
        <v>42104</v>
      </c>
      <c r="H52" s="8">
        <v>42109</v>
      </c>
      <c r="I52" s="9">
        <f ca="1">IF(NETWORKDAYS(G52,TODAY())/NETWORKDAYS(G52,H52,)&lt;0,0,IF(NETWORKDAYS(G52,TODAY())/NETWORKDAYS(G52,H52,)&gt;1,1,NETWORKDAYS(G52,TODAY())/NETWORKDAYS(G52,H52,)))</f>
        <v>1</v>
      </c>
      <c r="J52" s="9">
        <v>1</v>
      </c>
      <c r="K52" s="10">
        <f>NETWORKDAYS(G52,H52)</f>
        <v>4</v>
      </c>
      <c r="L52" s="4">
        <f>K52*8</f>
        <v>32</v>
      </c>
      <c r="M52" s="4" t="s">
        <v>113</v>
      </c>
      <c r="N52" s="4" t="s">
        <v>114</v>
      </c>
      <c r="O52" s="69">
        <f ca="1">I52*L52</f>
        <v>32</v>
      </c>
      <c r="P52" s="69">
        <f>J52*L52</f>
        <v>32</v>
      </c>
    </row>
    <row r="53" spans="1:16" x14ac:dyDescent="0.25">
      <c r="A53" s="4" t="s">
        <v>181</v>
      </c>
      <c r="B53" s="69" t="s">
        <v>182</v>
      </c>
      <c r="C53" s="69" t="s">
        <v>411</v>
      </c>
      <c r="D53" s="69" t="s">
        <v>47</v>
      </c>
      <c r="E53" s="70" t="s">
        <v>46</v>
      </c>
      <c r="F53" s="7" t="s">
        <v>8</v>
      </c>
      <c r="G53" s="8">
        <v>42110</v>
      </c>
      <c r="H53" s="8">
        <v>42124</v>
      </c>
      <c r="I53" s="9">
        <f ca="1">IF(NETWORKDAYS(G53,TODAY())/NETWORKDAYS(G53,H53,)&lt;0,0,IF(NETWORKDAYS(G53,TODAY())/NETWORKDAYS(G53,H53,)&gt;1,1,NETWORKDAYS(G53,TODAY())/NETWORKDAYS(G53,H53,)))</f>
        <v>1</v>
      </c>
      <c r="J53" s="9">
        <v>1</v>
      </c>
      <c r="K53" s="10">
        <f>NETWORKDAYS(G53,H53)</f>
        <v>11</v>
      </c>
      <c r="L53" s="4">
        <f>K53*8</f>
        <v>88</v>
      </c>
      <c r="M53" s="4" t="s">
        <v>113</v>
      </c>
      <c r="N53" s="4" t="s">
        <v>114</v>
      </c>
      <c r="O53" s="69">
        <f ca="1">I53*L53</f>
        <v>88</v>
      </c>
      <c r="P53" s="69">
        <f>J53*L53</f>
        <v>88</v>
      </c>
    </row>
    <row r="54" spans="1:16" x14ac:dyDescent="0.25">
      <c r="A54" s="4" t="s">
        <v>181</v>
      </c>
      <c r="B54" s="69" t="s">
        <v>182</v>
      </c>
      <c r="C54" s="69" t="s">
        <v>411</v>
      </c>
      <c r="D54" s="69" t="s">
        <v>47</v>
      </c>
      <c r="E54" s="70" t="s">
        <v>46</v>
      </c>
      <c r="F54" s="7" t="s">
        <v>11</v>
      </c>
      <c r="G54" s="8">
        <v>42128</v>
      </c>
      <c r="H54" s="8">
        <v>42131</v>
      </c>
      <c r="I54" s="9">
        <f ca="1">IF(NETWORKDAYS(G54,TODAY())/NETWORKDAYS(G54,H54,)&lt;0,0,IF(NETWORKDAYS(G54,TODAY())/NETWORKDAYS(G54,H54,)&gt;1,1,NETWORKDAYS(G54,TODAY())/NETWORKDAYS(G54,H54,)))</f>
        <v>1</v>
      </c>
      <c r="J54" s="9">
        <v>1</v>
      </c>
      <c r="K54" s="10">
        <f>NETWORKDAYS(G54,H54)</f>
        <v>4</v>
      </c>
      <c r="L54" s="4">
        <f>K54*8</f>
        <v>32</v>
      </c>
      <c r="M54" s="4" t="s">
        <v>113</v>
      </c>
      <c r="N54" s="4" t="s">
        <v>114</v>
      </c>
      <c r="O54" s="69">
        <f ca="1">I54*L54</f>
        <v>32</v>
      </c>
      <c r="P54" s="69">
        <f>J54*L54</f>
        <v>32</v>
      </c>
    </row>
    <row r="55" spans="1:16" x14ac:dyDescent="0.25">
      <c r="A55" s="11" t="s">
        <v>181</v>
      </c>
      <c r="B55" s="71" t="s">
        <v>182</v>
      </c>
      <c r="C55" s="71" t="s">
        <v>411</v>
      </c>
      <c r="D55" s="71" t="s">
        <v>47</v>
      </c>
      <c r="E55" s="71" t="s">
        <v>38</v>
      </c>
      <c r="F55" s="71" t="s">
        <v>34</v>
      </c>
      <c r="G55" s="22">
        <v>42103</v>
      </c>
      <c r="H55" s="22">
        <f>H54</f>
        <v>42131</v>
      </c>
      <c r="I55" s="13">
        <f ca="1">SUM(O51:O54)/L55</f>
        <v>1</v>
      </c>
      <c r="J55" s="13">
        <f>SUM(P51:P54)/L55</f>
        <v>1</v>
      </c>
      <c r="K55" s="14">
        <f>SUM(K51:K54)</f>
        <v>20</v>
      </c>
      <c r="L55" s="11">
        <f>SUM(L51:L54)</f>
        <v>160</v>
      </c>
      <c r="M55" s="13" t="s">
        <v>113</v>
      </c>
      <c r="N55" s="13" t="s">
        <v>114</v>
      </c>
      <c r="O55" s="69"/>
      <c r="P55" s="69"/>
    </row>
    <row r="56" spans="1:16" x14ac:dyDescent="0.25">
      <c r="A56" s="4" t="s">
        <v>183</v>
      </c>
      <c r="B56" s="69" t="s">
        <v>184</v>
      </c>
      <c r="C56" s="69" t="s">
        <v>411</v>
      </c>
      <c r="D56" s="69" t="s">
        <v>47</v>
      </c>
      <c r="E56" s="70" t="s">
        <v>46</v>
      </c>
      <c r="F56" s="7" t="s">
        <v>9</v>
      </c>
      <c r="G56" s="8">
        <v>42065</v>
      </c>
      <c r="H56" s="8">
        <v>42066</v>
      </c>
      <c r="I56" s="9">
        <f ca="1">IF(NETWORKDAYS(G56,TODAY())/NETWORKDAYS(G56,H56,)&lt;0,0,IF(NETWORKDAYS(G56,TODAY())/NETWORKDAYS(G56,H56,)&gt;1,1,NETWORKDAYS(G56,TODAY())/NETWORKDAYS(G56,H56,)))</f>
        <v>1</v>
      </c>
      <c r="J56" s="9">
        <v>1</v>
      </c>
      <c r="K56" s="10">
        <f>NETWORKDAYS(G56,H56)</f>
        <v>2</v>
      </c>
      <c r="L56" s="4">
        <f>K56*8</f>
        <v>16</v>
      </c>
      <c r="M56" s="4" t="s">
        <v>126</v>
      </c>
      <c r="N56" s="4" t="s">
        <v>127</v>
      </c>
      <c r="O56" s="69">
        <f ca="1">I56*L56</f>
        <v>16</v>
      </c>
      <c r="P56" s="69">
        <f>J56*L56</f>
        <v>16</v>
      </c>
    </row>
    <row r="57" spans="1:16" x14ac:dyDescent="0.25">
      <c r="A57" s="4" t="s">
        <v>183</v>
      </c>
      <c r="B57" s="69" t="s">
        <v>184</v>
      </c>
      <c r="C57" s="69" t="s">
        <v>411</v>
      </c>
      <c r="D57" s="69" t="s">
        <v>47</v>
      </c>
      <c r="E57" s="70" t="s">
        <v>46</v>
      </c>
      <c r="F57" s="7" t="s">
        <v>10</v>
      </c>
      <c r="G57" s="8">
        <v>42067</v>
      </c>
      <c r="H57" s="8">
        <v>42096</v>
      </c>
      <c r="I57" s="9">
        <f ca="1">IF(NETWORKDAYS(G57,TODAY())/NETWORKDAYS(G57,H57,)&lt;0,0,IF(NETWORKDAYS(G57,TODAY())/NETWORKDAYS(G57,H57,)&gt;1,1,NETWORKDAYS(G57,TODAY())/NETWORKDAYS(G57,H57,)))</f>
        <v>1</v>
      </c>
      <c r="J57" s="9">
        <v>1</v>
      </c>
      <c r="K57" s="10">
        <f>NETWORKDAYS(G57,H57)</f>
        <v>22</v>
      </c>
      <c r="L57" s="4">
        <f>K57*8</f>
        <v>176</v>
      </c>
      <c r="M57" s="4" t="s">
        <v>126</v>
      </c>
      <c r="N57" s="4" t="s">
        <v>127</v>
      </c>
      <c r="O57" s="69">
        <f ca="1">I57*L57</f>
        <v>176</v>
      </c>
      <c r="P57" s="69">
        <f>J57*L57</f>
        <v>176</v>
      </c>
    </row>
    <row r="58" spans="1:16" x14ac:dyDescent="0.25">
      <c r="A58" s="4" t="s">
        <v>183</v>
      </c>
      <c r="B58" s="69" t="s">
        <v>184</v>
      </c>
      <c r="C58" s="69" t="s">
        <v>411</v>
      </c>
      <c r="D58" s="69" t="s">
        <v>47</v>
      </c>
      <c r="E58" s="70" t="s">
        <v>46</v>
      </c>
      <c r="F58" s="7" t="s">
        <v>8</v>
      </c>
      <c r="G58" s="21">
        <v>42097</v>
      </c>
      <c r="H58" s="21">
        <v>42097</v>
      </c>
      <c r="I58" s="9">
        <f ca="1">IF(NETWORKDAYS(G58,TODAY())/NETWORKDAYS(G58,H58,)&lt;0,0,IF(NETWORKDAYS(G58,TODAY())/NETWORKDAYS(G58,H58,)&gt;1,1,NETWORKDAYS(G58,TODAY())/NETWORKDAYS(G58,H58,)))</f>
        <v>1</v>
      </c>
      <c r="J58" s="9">
        <v>1</v>
      </c>
      <c r="K58" s="10">
        <f>NETWORKDAYS(G58,H58)</f>
        <v>1</v>
      </c>
      <c r="L58" s="4">
        <f>K58*8</f>
        <v>8</v>
      </c>
      <c r="M58" s="4" t="s">
        <v>126</v>
      </c>
      <c r="N58" s="4" t="s">
        <v>127</v>
      </c>
      <c r="O58" s="69">
        <f ca="1">I58*L58</f>
        <v>8</v>
      </c>
      <c r="P58" s="69">
        <f>J58*L58</f>
        <v>8</v>
      </c>
    </row>
    <row r="59" spans="1:16" x14ac:dyDescent="0.25">
      <c r="A59" s="4" t="s">
        <v>183</v>
      </c>
      <c r="B59" s="69" t="s">
        <v>184</v>
      </c>
      <c r="C59" s="69" t="s">
        <v>411</v>
      </c>
      <c r="D59" s="69" t="s">
        <v>47</v>
      </c>
      <c r="E59" s="70" t="s">
        <v>46</v>
      </c>
      <c r="F59" s="7" t="s">
        <v>11</v>
      </c>
      <c r="G59" s="21">
        <v>42097</v>
      </c>
      <c r="H59" s="21">
        <v>42097</v>
      </c>
      <c r="I59" s="9">
        <f ca="1">IF(NETWORKDAYS(G59,TODAY())/NETWORKDAYS(G59,H59,)&lt;0,0,IF(NETWORKDAYS(G59,TODAY())/NETWORKDAYS(G59,H59,)&gt;1,1,NETWORKDAYS(G59,TODAY())/NETWORKDAYS(G59,H59,)))</f>
        <v>1</v>
      </c>
      <c r="J59" s="9">
        <v>1</v>
      </c>
      <c r="K59" s="10">
        <f>NETWORKDAYS(G59,H59)</f>
        <v>1</v>
      </c>
      <c r="L59" s="4">
        <f>K59*8</f>
        <v>8</v>
      </c>
      <c r="M59" s="4" t="s">
        <v>126</v>
      </c>
      <c r="N59" s="4" t="s">
        <v>127</v>
      </c>
      <c r="O59" s="69">
        <f ca="1">I59*L59</f>
        <v>8</v>
      </c>
      <c r="P59" s="69">
        <f>J59*L59</f>
        <v>8</v>
      </c>
    </row>
    <row r="60" spans="1:16" x14ac:dyDescent="0.25">
      <c r="A60" s="11" t="s">
        <v>183</v>
      </c>
      <c r="B60" s="71" t="s">
        <v>184</v>
      </c>
      <c r="C60" s="71" t="s">
        <v>411</v>
      </c>
      <c r="D60" s="71" t="s">
        <v>47</v>
      </c>
      <c r="E60" s="71" t="s">
        <v>38</v>
      </c>
      <c r="F60" s="71" t="s">
        <v>34</v>
      </c>
      <c r="G60" s="22">
        <v>42065</v>
      </c>
      <c r="H60" s="22">
        <v>42097</v>
      </c>
      <c r="I60" s="13">
        <f ca="1">SUM(O56:O59)/L60</f>
        <v>1</v>
      </c>
      <c r="J60" s="13">
        <f>SUM(P56:P59)/L60</f>
        <v>1</v>
      </c>
      <c r="K60" s="14">
        <f>SUM(K56:K59)</f>
        <v>26</v>
      </c>
      <c r="L60" s="11">
        <f>SUM(L56:L59)</f>
        <v>208</v>
      </c>
      <c r="M60" s="13" t="s">
        <v>126</v>
      </c>
      <c r="N60" s="13" t="s">
        <v>127</v>
      </c>
      <c r="O60" s="69"/>
      <c r="P60" s="72"/>
    </row>
    <row r="61" spans="1:16" x14ac:dyDescent="0.25">
      <c r="A61" s="4" t="s">
        <v>185</v>
      </c>
      <c r="B61" s="69" t="s">
        <v>186</v>
      </c>
      <c r="C61" s="69" t="s">
        <v>411</v>
      </c>
      <c r="D61" s="69" t="s">
        <v>47</v>
      </c>
      <c r="E61" s="70" t="s">
        <v>46</v>
      </c>
      <c r="F61" s="7" t="s">
        <v>9</v>
      </c>
      <c r="G61" s="8">
        <v>42079</v>
      </c>
      <c r="H61" s="8">
        <v>42081</v>
      </c>
      <c r="I61" s="9">
        <f ca="1">IF(NETWORKDAYS(G61,TODAY())/NETWORKDAYS(G61,H61,)&lt;0,0,IF(NETWORKDAYS(G61,TODAY())/NETWORKDAYS(G61,H61,)&gt;1,1,NETWORKDAYS(G61,TODAY())/NETWORKDAYS(G61,H61,)))</f>
        <v>1</v>
      </c>
      <c r="J61" s="9">
        <v>1</v>
      </c>
      <c r="K61" s="10">
        <f>NETWORKDAYS(G61,H61)</f>
        <v>3</v>
      </c>
      <c r="L61" s="4">
        <f>K61*8</f>
        <v>24</v>
      </c>
      <c r="M61" s="4" t="s">
        <v>126</v>
      </c>
      <c r="N61" s="4" t="s">
        <v>127</v>
      </c>
      <c r="O61" s="69">
        <f ca="1">I61*L61</f>
        <v>24</v>
      </c>
      <c r="P61" s="69">
        <f>J61*L61</f>
        <v>24</v>
      </c>
    </row>
    <row r="62" spans="1:16" x14ac:dyDescent="0.25">
      <c r="A62" s="4" t="s">
        <v>185</v>
      </c>
      <c r="B62" s="69" t="s">
        <v>186</v>
      </c>
      <c r="C62" s="69" t="s">
        <v>411</v>
      </c>
      <c r="D62" s="69" t="s">
        <v>47</v>
      </c>
      <c r="E62" s="70" t="s">
        <v>46</v>
      </c>
      <c r="F62" s="7" t="s">
        <v>10</v>
      </c>
      <c r="G62" s="8">
        <v>42082</v>
      </c>
      <c r="H62" s="8">
        <v>42088</v>
      </c>
      <c r="I62" s="9">
        <f ca="1">IF(NETWORKDAYS(G62,TODAY())/NETWORKDAYS(G62,H62,)&lt;0,0,IF(NETWORKDAYS(G62,TODAY())/NETWORKDAYS(G62,H62,)&gt;1,1,NETWORKDAYS(G62,TODAY())/NETWORKDAYS(G62,H62,)))</f>
        <v>1</v>
      </c>
      <c r="J62" s="9">
        <v>1</v>
      </c>
      <c r="K62" s="10">
        <f>NETWORKDAYS(G62,H62)</f>
        <v>5</v>
      </c>
      <c r="L62" s="4">
        <f>K62*8</f>
        <v>40</v>
      </c>
      <c r="M62" s="4" t="s">
        <v>126</v>
      </c>
      <c r="N62" s="4" t="s">
        <v>127</v>
      </c>
      <c r="O62" s="69">
        <f ca="1">I62*L62</f>
        <v>40</v>
      </c>
      <c r="P62" s="69">
        <f>J62*L62</f>
        <v>40</v>
      </c>
    </row>
    <row r="63" spans="1:16" x14ac:dyDescent="0.25">
      <c r="A63" s="4" t="s">
        <v>185</v>
      </c>
      <c r="B63" s="69" t="s">
        <v>186</v>
      </c>
      <c r="C63" s="69" t="s">
        <v>411</v>
      </c>
      <c r="D63" s="69" t="s">
        <v>47</v>
      </c>
      <c r="E63" s="70" t="s">
        <v>46</v>
      </c>
      <c r="F63" s="7" t="s">
        <v>8</v>
      </c>
      <c r="G63" s="21">
        <v>42089</v>
      </c>
      <c r="H63" s="8">
        <v>42089</v>
      </c>
      <c r="I63" s="9">
        <f ca="1">IF(NETWORKDAYS(G63,TODAY())/NETWORKDAYS(G63,H63,)&lt;0,0,IF(NETWORKDAYS(G63,TODAY())/NETWORKDAYS(G63,H63,)&gt;1,1,NETWORKDAYS(G63,TODAY())/NETWORKDAYS(G63,H63,)))</f>
        <v>1</v>
      </c>
      <c r="J63" s="9">
        <v>1</v>
      </c>
      <c r="K63" s="10">
        <f>NETWORKDAYS(G63,H63)</f>
        <v>1</v>
      </c>
      <c r="L63" s="4">
        <f>K63*8</f>
        <v>8</v>
      </c>
      <c r="M63" s="4" t="s">
        <v>126</v>
      </c>
      <c r="N63" s="4" t="s">
        <v>127</v>
      </c>
      <c r="O63" s="69">
        <f ca="1">I63*L63</f>
        <v>8</v>
      </c>
      <c r="P63" s="69">
        <f>J63*L63</f>
        <v>8</v>
      </c>
    </row>
    <row r="64" spans="1:16" x14ac:dyDescent="0.25">
      <c r="A64" s="4" t="s">
        <v>185</v>
      </c>
      <c r="B64" s="69" t="s">
        <v>186</v>
      </c>
      <c r="C64" s="69" t="s">
        <v>411</v>
      </c>
      <c r="D64" s="69" t="s">
        <v>47</v>
      </c>
      <c r="E64" s="70" t="s">
        <v>46</v>
      </c>
      <c r="F64" s="7" t="s">
        <v>11</v>
      </c>
      <c r="G64" s="8">
        <v>42090</v>
      </c>
      <c r="H64" s="8">
        <v>42090</v>
      </c>
      <c r="I64" s="9">
        <f ca="1">IF(NETWORKDAYS(G64,TODAY())/NETWORKDAYS(G64,H64,)&lt;0,0,IF(NETWORKDAYS(G64,TODAY())/NETWORKDAYS(G64,H64,)&gt;1,1,NETWORKDAYS(G64,TODAY())/NETWORKDAYS(G64,H64,)))</f>
        <v>1</v>
      </c>
      <c r="J64" s="9">
        <v>1</v>
      </c>
      <c r="K64" s="10">
        <f>NETWORKDAYS(G64,H64)</f>
        <v>1</v>
      </c>
      <c r="L64" s="4">
        <f>K64*8</f>
        <v>8</v>
      </c>
      <c r="M64" s="4" t="s">
        <v>126</v>
      </c>
      <c r="N64" s="4" t="s">
        <v>127</v>
      </c>
      <c r="O64" s="69">
        <f ca="1">I64*L64</f>
        <v>8</v>
      </c>
      <c r="P64" s="69">
        <f>J64*L64</f>
        <v>8</v>
      </c>
    </row>
    <row r="65" spans="1:16" x14ac:dyDescent="0.25">
      <c r="A65" s="11" t="s">
        <v>185</v>
      </c>
      <c r="B65" s="71" t="s">
        <v>186</v>
      </c>
      <c r="C65" s="71" t="s">
        <v>411</v>
      </c>
      <c r="D65" s="71" t="s">
        <v>47</v>
      </c>
      <c r="E65" s="71" t="s">
        <v>38</v>
      </c>
      <c r="F65" s="17" t="s">
        <v>34</v>
      </c>
      <c r="G65" s="22">
        <v>42079</v>
      </c>
      <c r="H65" s="22">
        <v>42090</v>
      </c>
      <c r="I65" s="13">
        <f ca="1">SUM(O61:O64)/L65</f>
        <v>1</v>
      </c>
      <c r="J65" s="13">
        <f>SUM(P61:P64)/L65</f>
        <v>1</v>
      </c>
      <c r="K65" s="14">
        <f>SUM(K61:K64)</f>
        <v>10</v>
      </c>
      <c r="L65" s="11">
        <f>SUM(L61:L64)</f>
        <v>80</v>
      </c>
      <c r="M65" s="13" t="s">
        <v>126</v>
      </c>
      <c r="N65" s="13" t="s">
        <v>127</v>
      </c>
      <c r="O65" s="42"/>
      <c r="P65" s="69"/>
    </row>
    <row r="66" spans="1:16" x14ac:dyDescent="0.25">
      <c r="A66" s="4" t="s">
        <v>82</v>
      </c>
      <c r="B66" s="69" t="s">
        <v>44</v>
      </c>
      <c r="C66" s="69" t="s">
        <v>411</v>
      </c>
      <c r="D66" s="69" t="s">
        <v>47</v>
      </c>
      <c r="E66" s="70" t="s">
        <v>46</v>
      </c>
      <c r="F66" s="7" t="s">
        <v>9</v>
      </c>
      <c r="G66" s="8">
        <v>42065</v>
      </c>
      <c r="H66" s="8">
        <v>42066</v>
      </c>
      <c r="I66" s="9">
        <f ca="1">IF(NETWORKDAYS(G66,TODAY())/NETWORKDAYS(G66,H66,)&lt;0,0,IF(NETWORKDAYS(G66,TODAY())/NETWORKDAYS(G66,H66,)&gt;1,1,NETWORKDAYS(G66,TODAY())/NETWORKDAYS(G66,H66,)))</f>
        <v>1</v>
      </c>
      <c r="J66" s="9">
        <v>1</v>
      </c>
      <c r="K66" s="10">
        <f>NETWORKDAYS(G66,H66)</f>
        <v>2</v>
      </c>
      <c r="L66" s="4">
        <f>K66*8</f>
        <v>16</v>
      </c>
      <c r="M66" s="4" t="s">
        <v>105</v>
      </c>
      <c r="N66" s="4" t="s">
        <v>106</v>
      </c>
      <c r="O66" s="69">
        <f ca="1">I66*L66</f>
        <v>16</v>
      </c>
      <c r="P66" s="69">
        <f>J66*L66</f>
        <v>16</v>
      </c>
    </row>
    <row r="67" spans="1:16" x14ac:dyDescent="0.25">
      <c r="A67" s="4" t="s">
        <v>82</v>
      </c>
      <c r="B67" s="69" t="s">
        <v>44</v>
      </c>
      <c r="C67" s="69" t="s">
        <v>411</v>
      </c>
      <c r="D67" s="69" t="s">
        <v>47</v>
      </c>
      <c r="E67" s="70" t="s">
        <v>46</v>
      </c>
      <c r="F67" s="7" t="s">
        <v>10</v>
      </c>
      <c r="G67" s="21">
        <v>42067</v>
      </c>
      <c r="H67" s="21">
        <v>42124</v>
      </c>
      <c r="I67" s="9">
        <f ca="1">IF(NETWORKDAYS(G67,TODAY())/NETWORKDAYS(G67,H67,)&lt;0,0,IF(NETWORKDAYS(G67,TODAY())/NETWORKDAYS(G67,H67,)&gt;1,1,NETWORKDAYS(G67,TODAY())/NETWORKDAYS(G67,H67,)))</f>
        <v>1</v>
      </c>
      <c r="J67" s="9">
        <v>1</v>
      </c>
      <c r="K67" s="10">
        <f>NETWORKDAYS(G67,H67)</f>
        <v>42</v>
      </c>
      <c r="L67" s="4">
        <f>K67*8</f>
        <v>336</v>
      </c>
      <c r="M67" s="4" t="s">
        <v>105</v>
      </c>
      <c r="N67" s="4" t="s">
        <v>106</v>
      </c>
      <c r="O67" s="69">
        <f ca="1">I67*L67</f>
        <v>336</v>
      </c>
      <c r="P67" s="69">
        <f>J67*L67</f>
        <v>336</v>
      </c>
    </row>
    <row r="68" spans="1:16" x14ac:dyDescent="0.25">
      <c r="A68" s="4" t="s">
        <v>82</v>
      </c>
      <c r="B68" s="69" t="s">
        <v>44</v>
      </c>
      <c r="C68" s="69" t="s">
        <v>411</v>
      </c>
      <c r="D68" s="69" t="s">
        <v>47</v>
      </c>
      <c r="E68" s="70" t="s">
        <v>46</v>
      </c>
      <c r="F68" s="7" t="s">
        <v>8</v>
      </c>
      <c r="G68" s="21">
        <v>42128</v>
      </c>
      <c r="H68" s="21">
        <v>42129</v>
      </c>
      <c r="I68" s="9">
        <v>1</v>
      </c>
      <c r="J68" s="9">
        <v>1</v>
      </c>
      <c r="K68" s="10">
        <f>NETWORKDAYS(G68,H68)</f>
        <v>2</v>
      </c>
      <c r="L68" s="4">
        <f>K68*8</f>
        <v>16</v>
      </c>
      <c r="M68" s="4" t="s">
        <v>105</v>
      </c>
      <c r="N68" s="4" t="s">
        <v>106</v>
      </c>
      <c r="O68" s="69">
        <f>I68*L68</f>
        <v>16</v>
      </c>
      <c r="P68" s="69">
        <f>J68*L68</f>
        <v>16</v>
      </c>
    </row>
    <row r="69" spans="1:16" x14ac:dyDescent="0.25">
      <c r="A69" s="4" t="s">
        <v>82</v>
      </c>
      <c r="B69" s="69" t="s">
        <v>44</v>
      </c>
      <c r="C69" s="69" t="s">
        <v>411</v>
      </c>
      <c r="D69" s="69" t="s">
        <v>47</v>
      </c>
      <c r="E69" s="70" t="s">
        <v>46</v>
      </c>
      <c r="F69" s="7" t="s">
        <v>11</v>
      </c>
      <c r="G69" s="21">
        <v>42130</v>
      </c>
      <c r="H69" s="21">
        <v>42145</v>
      </c>
      <c r="I69" s="9">
        <f ca="1">IF(NETWORKDAYS(G69,TODAY())/NETWORKDAYS(G69,H69,)&lt;0,0,IF(NETWORKDAYS(G69,TODAY())/NETWORKDAYS(G69,H69,)&gt;1,1,NETWORKDAYS(G69,TODAY())/NETWORKDAYS(G69,H69,)))</f>
        <v>1</v>
      </c>
      <c r="J69" s="9">
        <v>1</v>
      </c>
      <c r="K69" s="10">
        <f>NETWORKDAYS(G69,H69)</f>
        <v>12</v>
      </c>
      <c r="L69" s="4">
        <f>K69*8</f>
        <v>96</v>
      </c>
      <c r="M69" s="4" t="s">
        <v>105</v>
      </c>
      <c r="N69" s="4" t="s">
        <v>106</v>
      </c>
      <c r="O69" s="69">
        <f ca="1">I69*L69</f>
        <v>96</v>
      </c>
      <c r="P69" s="69">
        <f>J69*L69</f>
        <v>96</v>
      </c>
    </row>
    <row r="70" spans="1:16" x14ac:dyDescent="0.25">
      <c r="A70" s="11" t="s">
        <v>82</v>
      </c>
      <c r="B70" s="71" t="s">
        <v>44</v>
      </c>
      <c r="C70" s="71" t="s">
        <v>411</v>
      </c>
      <c r="D70" s="71" t="s">
        <v>47</v>
      </c>
      <c r="E70" s="71" t="s">
        <v>46</v>
      </c>
      <c r="F70" s="71" t="s">
        <v>34</v>
      </c>
      <c r="G70" s="22">
        <f>G66</f>
        <v>42065</v>
      </c>
      <c r="H70" s="22">
        <f>H69</f>
        <v>42145</v>
      </c>
      <c r="I70" s="13">
        <f ca="1">I69</f>
        <v>1</v>
      </c>
      <c r="J70" s="13">
        <f>SUM(P66:P69)/L70</f>
        <v>1</v>
      </c>
      <c r="K70" s="14">
        <f>SUM(K66:K69)</f>
        <v>58</v>
      </c>
      <c r="L70" s="14">
        <f>SUM(L66:L69)</f>
        <v>464</v>
      </c>
      <c r="M70" s="11" t="s">
        <v>105</v>
      </c>
      <c r="N70" s="11" t="s">
        <v>106</v>
      </c>
      <c r="O70" s="69"/>
      <c r="P70" s="69"/>
    </row>
    <row r="71" spans="1:16" x14ac:dyDescent="0.25">
      <c r="A71" s="4" t="s">
        <v>187</v>
      </c>
      <c r="B71" s="69" t="s">
        <v>188</v>
      </c>
      <c r="C71" s="69" t="s">
        <v>411</v>
      </c>
      <c r="D71" s="69" t="s">
        <v>47</v>
      </c>
      <c r="E71" s="70" t="s">
        <v>46</v>
      </c>
      <c r="F71" s="7" t="s">
        <v>9</v>
      </c>
      <c r="G71" s="8">
        <v>42093</v>
      </c>
      <c r="H71" s="8">
        <v>42093</v>
      </c>
      <c r="I71" s="9">
        <f ca="1">IF(NETWORKDAYS(G71,TODAY())/NETWORKDAYS(G71,H71,)&lt;0,0,IF(NETWORKDAYS(G71,TODAY())/NETWORKDAYS(G71,H71,)&gt;1,1,NETWORKDAYS(G71,TODAY())/NETWORKDAYS(G71,H71,)))</f>
        <v>1</v>
      </c>
      <c r="J71" s="9">
        <v>1</v>
      </c>
      <c r="K71" s="10">
        <f>NETWORKDAYS(G71,H71)</f>
        <v>1</v>
      </c>
      <c r="L71" s="4">
        <f>K71*8</f>
        <v>8</v>
      </c>
      <c r="M71" s="4" t="s">
        <v>105</v>
      </c>
      <c r="N71" s="4" t="s">
        <v>106</v>
      </c>
      <c r="O71" s="69">
        <f ca="1">I71*L71</f>
        <v>8</v>
      </c>
      <c r="P71" s="69">
        <f>J71*L71</f>
        <v>8</v>
      </c>
    </row>
    <row r="72" spans="1:16" x14ac:dyDescent="0.25">
      <c r="A72" s="4" t="s">
        <v>187</v>
      </c>
      <c r="B72" s="69" t="s">
        <v>188</v>
      </c>
      <c r="C72" s="69" t="s">
        <v>411</v>
      </c>
      <c r="D72" s="69" t="s">
        <v>47</v>
      </c>
      <c r="E72" s="70" t="s">
        <v>46</v>
      </c>
      <c r="F72" s="7" t="s">
        <v>10</v>
      </c>
      <c r="G72" s="21">
        <v>42094</v>
      </c>
      <c r="H72" s="21">
        <v>42095</v>
      </c>
      <c r="I72" s="9">
        <f ca="1">IF(NETWORKDAYS(G72,TODAY())/NETWORKDAYS(G72,H72,)&lt;0,0,IF(NETWORKDAYS(G72,TODAY())/NETWORKDAYS(G72,H72,)&gt;1,1,NETWORKDAYS(G72,TODAY())/NETWORKDAYS(G72,H72,)))</f>
        <v>1</v>
      </c>
      <c r="J72" s="9">
        <v>1</v>
      </c>
      <c r="K72" s="10">
        <f>NETWORKDAYS(G72,H72)</f>
        <v>2</v>
      </c>
      <c r="L72" s="4">
        <f>K72*8</f>
        <v>16</v>
      </c>
      <c r="M72" s="4" t="s">
        <v>105</v>
      </c>
      <c r="N72" s="4" t="s">
        <v>106</v>
      </c>
      <c r="O72" s="69">
        <f ca="1">I72*L72</f>
        <v>16</v>
      </c>
      <c r="P72" s="69">
        <f>J72*L72</f>
        <v>16</v>
      </c>
    </row>
    <row r="73" spans="1:16" x14ac:dyDescent="0.25">
      <c r="A73" s="4" t="s">
        <v>187</v>
      </c>
      <c r="B73" s="69" t="s">
        <v>188</v>
      </c>
      <c r="C73" s="69" t="s">
        <v>411</v>
      </c>
      <c r="D73" s="69" t="s">
        <v>47</v>
      </c>
      <c r="E73" s="70" t="s">
        <v>46</v>
      </c>
      <c r="F73" s="7" t="s">
        <v>8</v>
      </c>
      <c r="G73" s="21">
        <v>42096</v>
      </c>
      <c r="H73" s="21">
        <v>42096</v>
      </c>
      <c r="I73" s="9">
        <f ca="1">IF(NETWORKDAYS(G73,TODAY())/NETWORKDAYS(G73,H73,)&lt;0,0,IF(NETWORKDAYS(G73,TODAY())/NETWORKDAYS(G73,H73,)&gt;1,1,NETWORKDAYS(G73,TODAY())/NETWORKDAYS(G73,H73,)))</f>
        <v>1</v>
      </c>
      <c r="J73" s="9">
        <v>1</v>
      </c>
      <c r="K73" s="10">
        <f>NETWORKDAYS(G73,H73)</f>
        <v>1</v>
      </c>
      <c r="L73" s="4">
        <f>K73*8</f>
        <v>8</v>
      </c>
      <c r="M73" s="4" t="s">
        <v>105</v>
      </c>
      <c r="N73" s="4" t="s">
        <v>106</v>
      </c>
      <c r="O73" s="69">
        <f ca="1">I73*L73</f>
        <v>8</v>
      </c>
      <c r="P73" s="69">
        <f>J73*L73</f>
        <v>8</v>
      </c>
    </row>
    <row r="74" spans="1:16" x14ac:dyDescent="0.25">
      <c r="A74" s="4" t="s">
        <v>187</v>
      </c>
      <c r="B74" s="69" t="s">
        <v>188</v>
      </c>
      <c r="C74" s="69" t="s">
        <v>411</v>
      </c>
      <c r="D74" s="69" t="s">
        <v>47</v>
      </c>
      <c r="E74" s="70" t="s">
        <v>46</v>
      </c>
      <c r="F74" s="7" t="s">
        <v>11</v>
      </c>
      <c r="G74" s="21">
        <v>42096</v>
      </c>
      <c r="H74" s="21">
        <v>42096</v>
      </c>
      <c r="I74" s="9">
        <f ca="1">IF(NETWORKDAYS(G74,TODAY())/NETWORKDAYS(G74,H74,)&lt;0,0,IF(NETWORKDAYS(G74,TODAY())/NETWORKDAYS(G74,H74,)&gt;1,1,NETWORKDAYS(G74,TODAY())/NETWORKDAYS(G74,H74,)))</f>
        <v>1</v>
      </c>
      <c r="J74" s="9">
        <v>1</v>
      </c>
      <c r="K74" s="10">
        <f>NETWORKDAYS(G74,H74)</f>
        <v>1</v>
      </c>
      <c r="L74" s="4">
        <f>K74*8</f>
        <v>8</v>
      </c>
      <c r="M74" s="4" t="s">
        <v>105</v>
      </c>
      <c r="N74" s="4" t="s">
        <v>106</v>
      </c>
      <c r="O74" s="69">
        <f ca="1">I74*L74</f>
        <v>8</v>
      </c>
      <c r="P74" s="69">
        <f>J74*L74</f>
        <v>8</v>
      </c>
    </row>
    <row r="75" spans="1:16" x14ac:dyDescent="0.25">
      <c r="A75" s="11" t="s">
        <v>187</v>
      </c>
      <c r="B75" s="71" t="s">
        <v>188</v>
      </c>
      <c r="C75" s="71" t="s">
        <v>411</v>
      </c>
      <c r="D75" s="71" t="s">
        <v>47</v>
      </c>
      <c r="E75" s="71" t="s">
        <v>46</v>
      </c>
      <c r="F75" s="71" t="s">
        <v>34</v>
      </c>
      <c r="G75" s="22">
        <v>42093</v>
      </c>
      <c r="H75" s="22">
        <v>42096</v>
      </c>
      <c r="I75" s="13">
        <f ca="1">SUM(O71:O74)/L75</f>
        <v>1</v>
      </c>
      <c r="J75" s="13">
        <f>SUM(P71:P74)/L75</f>
        <v>1</v>
      </c>
      <c r="K75" s="14">
        <f>SUM(K71:K74)</f>
        <v>5</v>
      </c>
      <c r="L75" s="11">
        <f>SUM(L71:L74)</f>
        <v>40</v>
      </c>
      <c r="M75" s="13" t="s">
        <v>105</v>
      </c>
      <c r="N75" s="13" t="s">
        <v>106</v>
      </c>
      <c r="O75" s="69"/>
      <c r="P75" s="69"/>
    </row>
    <row r="76" spans="1:16" x14ac:dyDescent="0.25">
      <c r="A76" s="4" t="s">
        <v>189</v>
      </c>
      <c r="B76" s="69" t="s">
        <v>190</v>
      </c>
      <c r="C76" s="69" t="s">
        <v>411</v>
      </c>
      <c r="D76" s="69" t="s">
        <v>47</v>
      </c>
      <c r="E76" s="70" t="s">
        <v>46</v>
      </c>
      <c r="F76" s="7" t="s">
        <v>9</v>
      </c>
      <c r="G76" s="8">
        <v>42093</v>
      </c>
      <c r="H76" s="8">
        <v>42093</v>
      </c>
      <c r="I76" s="9">
        <f ca="1">IF(NETWORKDAYS(G76,TODAY())/NETWORKDAYS(G76,H76,)&lt;0,0,IF(NETWORKDAYS(G76,TODAY())/NETWORKDAYS(G76,H76,)&gt;1,1,NETWORKDAYS(G76,TODAY())/NETWORKDAYS(G76,H76,)))</f>
        <v>1</v>
      </c>
      <c r="J76" s="9">
        <v>1</v>
      </c>
      <c r="K76" s="10">
        <f>NETWORKDAYS(G76,H76)</f>
        <v>1</v>
      </c>
      <c r="L76" s="4">
        <f>K76*8</f>
        <v>8</v>
      </c>
      <c r="M76" s="4" t="s">
        <v>105</v>
      </c>
      <c r="N76" s="4" t="s">
        <v>106</v>
      </c>
      <c r="O76" s="69">
        <f ca="1">I76*L76</f>
        <v>8</v>
      </c>
      <c r="P76" s="69">
        <f>J76*L76</f>
        <v>8</v>
      </c>
    </row>
    <row r="77" spans="1:16" x14ac:dyDescent="0.25">
      <c r="A77" s="4" t="s">
        <v>189</v>
      </c>
      <c r="B77" s="69" t="s">
        <v>190</v>
      </c>
      <c r="C77" s="69" t="s">
        <v>411</v>
      </c>
      <c r="D77" s="69" t="s">
        <v>47</v>
      </c>
      <c r="E77" s="70" t="s">
        <v>46</v>
      </c>
      <c r="F77" s="7" t="s">
        <v>10</v>
      </c>
      <c r="G77" s="21">
        <v>42094</v>
      </c>
      <c r="H77" s="21">
        <v>42094</v>
      </c>
      <c r="I77" s="9">
        <f ca="1">IF(NETWORKDAYS(G77,TODAY())/NETWORKDAYS(G77,H77,)&lt;0,0,IF(NETWORKDAYS(G77,TODAY())/NETWORKDAYS(G77,H77,)&gt;1,1,NETWORKDAYS(G77,TODAY())/NETWORKDAYS(G77,H77,)))</f>
        <v>1</v>
      </c>
      <c r="J77" s="9">
        <v>1</v>
      </c>
      <c r="K77" s="10">
        <f>NETWORKDAYS(G77,H77)</f>
        <v>1</v>
      </c>
      <c r="L77" s="4">
        <f>K77*8</f>
        <v>8</v>
      </c>
      <c r="M77" s="4" t="s">
        <v>105</v>
      </c>
      <c r="N77" s="4" t="s">
        <v>106</v>
      </c>
      <c r="O77" s="69">
        <f ca="1">I77*L77</f>
        <v>8</v>
      </c>
      <c r="P77" s="69">
        <f>J77*L77</f>
        <v>8</v>
      </c>
    </row>
    <row r="78" spans="1:16" x14ac:dyDescent="0.25">
      <c r="A78" s="4" t="s">
        <v>189</v>
      </c>
      <c r="B78" s="69" t="s">
        <v>190</v>
      </c>
      <c r="C78" s="69" t="s">
        <v>411</v>
      </c>
      <c r="D78" s="69" t="s">
        <v>47</v>
      </c>
      <c r="E78" s="70" t="s">
        <v>46</v>
      </c>
      <c r="F78" s="7" t="s">
        <v>8</v>
      </c>
      <c r="G78" s="21">
        <v>42095</v>
      </c>
      <c r="H78" s="21">
        <v>42095</v>
      </c>
      <c r="I78" s="9">
        <f ca="1">IF(NETWORKDAYS(G78,TODAY())/NETWORKDAYS(G78,H78,)&lt;0,0,IF(NETWORKDAYS(G78,TODAY())/NETWORKDAYS(G78,H78,)&gt;1,1,NETWORKDAYS(G78,TODAY())/NETWORKDAYS(G78,H78,)))</f>
        <v>1</v>
      </c>
      <c r="J78" s="9">
        <v>1</v>
      </c>
      <c r="K78" s="10">
        <f>NETWORKDAYS(G78,H78)</f>
        <v>1</v>
      </c>
      <c r="L78" s="4">
        <f>K78*8</f>
        <v>8</v>
      </c>
      <c r="M78" s="4" t="s">
        <v>105</v>
      </c>
      <c r="N78" s="4" t="s">
        <v>106</v>
      </c>
      <c r="O78" s="69">
        <f ca="1">I78*L78</f>
        <v>8</v>
      </c>
      <c r="P78" s="69">
        <f>J78*L78</f>
        <v>8</v>
      </c>
    </row>
    <row r="79" spans="1:16" x14ac:dyDescent="0.25">
      <c r="A79" s="4" t="s">
        <v>189</v>
      </c>
      <c r="B79" s="69" t="s">
        <v>190</v>
      </c>
      <c r="C79" s="69" t="s">
        <v>411</v>
      </c>
      <c r="D79" s="69" t="s">
        <v>47</v>
      </c>
      <c r="E79" s="70" t="s">
        <v>46</v>
      </c>
      <c r="F79" s="7" t="s">
        <v>11</v>
      </c>
      <c r="G79" s="21">
        <v>42095</v>
      </c>
      <c r="H79" s="21">
        <v>42095</v>
      </c>
      <c r="I79" s="9">
        <f ca="1">IF(NETWORKDAYS(G79,TODAY())/NETWORKDAYS(G79,H79,)&lt;0,0,IF(NETWORKDAYS(G79,TODAY())/NETWORKDAYS(G79,H79,)&gt;1,1,NETWORKDAYS(G79,TODAY())/NETWORKDAYS(G79,H79,)))</f>
        <v>1</v>
      </c>
      <c r="J79" s="9">
        <v>1</v>
      </c>
      <c r="K79" s="10">
        <f>NETWORKDAYS(G79,H79)</f>
        <v>1</v>
      </c>
      <c r="L79" s="4">
        <f>K79*8</f>
        <v>8</v>
      </c>
      <c r="M79" s="4" t="s">
        <v>105</v>
      </c>
      <c r="N79" s="4" t="s">
        <v>106</v>
      </c>
      <c r="O79" s="69">
        <f ca="1">I79*L79</f>
        <v>8</v>
      </c>
      <c r="P79" s="69">
        <f>J79*L79</f>
        <v>8</v>
      </c>
    </row>
    <row r="80" spans="1:16" x14ac:dyDescent="0.25">
      <c r="A80" s="11" t="s">
        <v>189</v>
      </c>
      <c r="B80" s="71" t="s">
        <v>190</v>
      </c>
      <c r="C80" s="71" t="s">
        <v>411</v>
      </c>
      <c r="D80" s="71" t="s">
        <v>47</v>
      </c>
      <c r="E80" s="71" t="s">
        <v>46</v>
      </c>
      <c r="F80" s="71" t="s">
        <v>34</v>
      </c>
      <c r="G80" s="22">
        <v>42093</v>
      </c>
      <c r="H80" s="22">
        <v>42095</v>
      </c>
      <c r="I80" s="13">
        <f ca="1">SUM(O76:O79)/L80</f>
        <v>1</v>
      </c>
      <c r="J80" s="13">
        <f>SUM(P76:P79)/L80</f>
        <v>1</v>
      </c>
      <c r="K80" s="14">
        <f>SUM(K76:K79)</f>
        <v>4</v>
      </c>
      <c r="L80" s="11">
        <f>SUM(L76:L79)</f>
        <v>32</v>
      </c>
      <c r="M80" s="13" t="s">
        <v>105</v>
      </c>
      <c r="N80" s="13" t="s">
        <v>106</v>
      </c>
      <c r="O80" s="69"/>
      <c r="P80" s="69"/>
    </row>
    <row r="81" spans="1:16" x14ac:dyDescent="0.25">
      <c r="A81" s="4" t="s">
        <v>191</v>
      </c>
      <c r="B81" s="69" t="s">
        <v>192</v>
      </c>
      <c r="C81" s="69" t="s">
        <v>411</v>
      </c>
      <c r="D81" s="69" t="s">
        <v>47</v>
      </c>
      <c r="E81" s="70" t="s">
        <v>46</v>
      </c>
      <c r="F81" s="7" t="s">
        <v>9</v>
      </c>
      <c r="G81" s="8">
        <v>42089</v>
      </c>
      <c r="H81" s="8">
        <v>42089</v>
      </c>
      <c r="I81" s="9">
        <f ca="1">IF(NETWORKDAYS(G81,TODAY())/NETWORKDAYS(G81,H81,)&lt;0,0,IF(NETWORKDAYS(G81,TODAY())/NETWORKDAYS(G81,H81,)&gt;1,1,NETWORKDAYS(G81,TODAY())/NETWORKDAYS(G81,H81,)))</f>
        <v>1</v>
      </c>
      <c r="J81" s="9">
        <v>1</v>
      </c>
      <c r="K81" s="10">
        <f>NETWORKDAYS(G81,H81)</f>
        <v>1</v>
      </c>
      <c r="L81" s="4">
        <f>K81*8</f>
        <v>8</v>
      </c>
      <c r="M81" s="4" t="s">
        <v>128</v>
      </c>
      <c r="N81" s="4" t="s">
        <v>129</v>
      </c>
      <c r="O81" s="69">
        <f ca="1">I81*L81</f>
        <v>8</v>
      </c>
      <c r="P81" s="69">
        <f>J81*L81</f>
        <v>8</v>
      </c>
    </row>
    <row r="82" spans="1:16" x14ac:dyDescent="0.25">
      <c r="A82" s="4" t="s">
        <v>191</v>
      </c>
      <c r="B82" s="69" t="s">
        <v>192</v>
      </c>
      <c r="C82" s="69" t="s">
        <v>411</v>
      </c>
      <c r="D82" s="69" t="s">
        <v>47</v>
      </c>
      <c r="E82" s="70" t="s">
        <v>46</v>
      </c>
      <c r="F82" s="7" t="s">
        <v>10</v>
      </c>
      <c r="G82" s="8">
        <v>42090</v>
      </c>
      <c r="H82" s="8">
        <v>42093</v>
      </c>
      <c r="I82" s="9">
        <f ca="1">IF(NETWORKDAYS(G82,TODAY())/NETWORKDAYS(G82,H82,)&lt;0,0,IF(NETWORKDAYS(G82,TODAY())/NETWORKDAYS(G82,H82,)&gt;1,1,NETWORKDAYS(G82,TODAY())/NETWORKDAYS(G82,H82,)))</f>
        <v>1</v>
      </c>
      <c r="J82" s="9">
        <v>1</v>
      </c>
      <c r="K82" s="10">
        <f>NETWORKDAYS(G82,H82)</f>
        <v>2</v>
      </c>
      <c r="L82" s="4">
        <f>K82*8</f>
        <v>16</v>
      </c>
      <c r="M82" s="4" t="s">
        <v>128</v>
      </c>
      <c r="N82" s="4" t="s">
        <v>129</v>
      </c>
      <c r="O82" s="69">
        <f ca="1">I82*L82</f>
        <v>16</v>
      </c>
      <c r="P82" s="69">
        <f>J82*L82</f>
        <v>16</v>
      </c>
    </row>
    <row r="83" spans="1:16" x14ac:dyDescent="0.25">
      <c r="A83" s="4" t="s">
        <v>191</v>
      </c>
      <c r="B83" s="69" t="s">
        <v>192</v>
      </c>
      <c r="C83" s="69" t="s">
        <v>411</v>
      </c>
      <c r="D83" s="69" t="s">
        <v>47</v>
      </c>
      <c r="E83" s="70" t="s">
        <v>46</v>
      </c>
      <c r="F83" s="7" t="s">
        <v>8</v>
      </c>
      <c r="G83" s="8">
        <v>42094</v>
      </c>
      <c r="H83" s="8">
        <v>42094</v>
      </c>
      <c r="I83" s="9">
        <f ca="1">IF(NETWORKDAYS(G83,TODAY())/NETWORKDAYS(G83,H83,)&lt;0,0,IF(NETWORKDAYS(G83,TODAY())/NETWORKDAYS(G83,H83,)&gt;1,1,NETWORKDAYS(G83,TODAY())/NETWORKDAYS(G83,H83,)))</f>
        <v>1</v>
      </c>
      <c r="J83" s="9">
        <v>1</v>
      </c>
      <c r="K83" s="10">
        <f>NETWORKDAYS(G83,H83)</f>
        <v>1</v>
      </c>
      <c r="L83" s="4">
        <f>K83*8</f>
        <v>8</v>
      </c>
      <c r="M83" s="4" t="s">
        <v>128</v>
      </c>
      <c r="N83" s="4" t="s">
        <v>129</v>
      </c>
      <c r="O83" s="69">
        <f ca="1">I83*L83</f>
        <v>8</v>
      </c>
      <c r="P83" s="69">
        <f>J83*L83</f>
        <v>8</v>
      </c>
    </row>
    <row r="84" spans="1:16" x14ac:dyDescent="0.25">
      <c r="A84" s="4" t="s">
        <v>191</v>
      </c>
      <c r="B84" s="69" t="s">
        <v>192</v>
      </c>
      <c r="C84" s="69" t="s">
        <v>411</v>
      </c>
      <c r="D84" s="69" t="s">
        <v>47</v>
      </c>
      <c r="E84" s="70" t="s">
        <v>46</v>
      </c>
      <c r="F84" s="7" t="s">
        <v>11</v>
      </c>
      <c r="G84" s="8">
        <v>42095</v>
      </c>
      <c r="H84" s="8">
        <v>42095</v>
      </c>
      <c r="I84" s="9">
        <f ca="1">IF(NETWORKDAYS(G84,TODAY())/NETWORKDAYS(G84,H84,)&lt;0,0,IF(NETWORKDAYS(G84,TODAY())/NETWORKDAYS(G84,H84,)&gt;1,1,NETWORKDAYS(G84,TODAY())/NETWORKDAYS(G84,H84,)))</f>
        <v>1</v>
      </c>
      <c r="J84" s="9">
        <v>1</v>
      </c>
      <c r="K84" s="10">
        <f>NETWORKDAYS(G84,H84)</f>
        <v>1</v>
      </c>
      <c r="L84" s="4">
        <f>K84*8</f>
        <v>8</v>
      </c>
      <c r="M84" s="4" t="s">
        <v>128</v>
      </c>
      <c r="N84" s="4" t="s">
        <v>129</v>
      </c>
      <c r="O84" s="69">
        <f ca="1">I84*L84</f>
        <v>8</v>
      </c>
      <c r="P84" s="69">
        <f>J84*L84</f>
        <v>8</v>
      </c>
    </row>
    <row r="85" spans="1:16" x14ac:dyDescent="0.25">
      <c r="A85" s="11" t="s">
        <v>191</v>
      </c>
      <c r="B85" s="71" t="s">
        <v>192</v>
      </c>
      <c r="C85" s="71" t="s">
        <v>411</v>
      </c>
      <c r="D85" s="71" t="s">
        <v>47</v>
      </c>
      <c r="E85" s="71" t="s">
        <v>46</v>
      </c>
      <c r="F85" s="71" t="s">
        <v>34</v>
      </c>
      <c r="G85" s="22">
        <v>42089</v>
      </c>
      <c r="H85" s="22">
        <v>42095</v>
      </c>
      <c r="I85" s="13">
        <f ca="1">SUM(O81:O84)/L85</f>
        <v>1</v>
      </c>
      <c r="J85" s="13">
        <f>SUM(P81:P84)/L85</f>
        <v>1</v>
      </c>
      <c r="K85" s="14">
        <f>SUM(K81:K84)</f>
        <v>5</v>
      </c>
      <c r="L85" s="11">
        <f>SUM(L81:L84)</f>
        <v>40</v>
      </c>
      <c r="M85" s="13" t="s">
        <v>128</v>
      </c>
      <c r="N85" s="13" t="s">
        <v>129</v>
      </c>
      <c r="O85" s="69"/>
      <c r="P85" s="69"/>
    </row>
    <row r="86" spans="1:16" x14ac:dyDescent="0.25">
      <c r="A86" s="4" t="s">
        <v>195</v>
      </c>
      <c r="B86" s="69" t="s">
        <v>196</v>
      </c>
      <c r="C86" s="69" t="s">
        <v>411</v>
      </c>
      <c r="D86" s="69" t="s">
        <v>40</v>
      </c>
      <c r="E86" s="70" t="s">
        <v>46</v>
      </c>
      <c r="F86" s="7" t="s">
        <v>7</v>
      </c>
      <c r="G86" s="8">
        <v>42094</v>
      </c>
      <c r="H86" s="8">
        <v>42095</v>
      </c>
      <c r="I86" s="9">
        <f ca="1">IF(NETWORKDAYS(G86,TODAY())/NETWORKDAYS(G86,H86,)&lt;0,0,IF(NETWORKDAYS(G86,TODAY())/NETWORKDAYS(G86,H86,)&gt;1,1,NETWORKDAYS(G86,TODAY())/NETWORKDAYS(G86,H86,)))</f>
        <v>1</v>
      </c>
      <c r="J86" s="9">
        <v>1</v>
      </c>
      <c r="K86" s="10">
        <f>NETWORKDAYS(G86,H86)</f>
        <v>2</v>
      </c>
      <c r="L86" s="4">
        <f>K86*8</f>
        <v>16</v>
      </c>
      <c r="M86" s="4" t="s">
        <v>109</v>
      </c>
      <c r="N86" s="4" t="s">
        <v>110</v>
      </c>
      <c r="O86" s="69">
        <f ca="1">I86*L86</f>
        <v>16</v>
      </c>
      <c r="P86" s="69">
        <f>J86*L86</f>
        <v>16</v>
      </c>
    </row>
    <row r="87" spans="1:16" x14ac:dyDescent="0.25">
      <c r="A87" s="4" t="s">
        <v>195</v>
      </c>
      <c r="B87" s="69" t="s">
        <v>196</v>
      </c>
      <c r="C87" s="69" t="s">
        <v>411</v>
      </c>
      <c r="D87" s="69" t="s">
        <v>40</v>
      </c>
      <c r="E87" s="70" t="s">
        <v>46</v>
      </c>
      <c r="F87" s="7" t="s">
        <v>10</v>
      </c>
      <c r="G87" s="21">
        <v>42096</v>
      </c>
      <c r="H87" s="21">
        <v>42104</v>
      </c>
      <c r="I87" s="9">
        <f ca="1">IF(NETWORKDAYS(G87,TODAY())/NETWORKDAYS(G87,H87,)&lt;0,0,IF(NETWORKDAYS(G87,TODAY())/NETWORKDAYS(G87,H87,)&gt;1,1,NETWORKDAYS(G87,TODAY())/NETWORKDAYS(G87,H87,)))</f>
        <v>1</v>
      </c>
      <c r="J87" s="9">
        <v>1</v>
      </c>
      <c r="K87" s="10">
        <f>NETWORKDAYS(G87,H87)</f>
        <v>7</v>
      </c>
      <c r="L87" s="4">
        <f>K87*8</f>
        <v>56</v>
      </c>
      <c r="M87" s="4" t="s">
        <v>109</v>
      </c>
      <c r="N87" s="4" t="s">
        <v>110</v>
      </c>
      <c r="O87" s="69">
        <f ca="1">I87*L87</f>
        <v>56</v>
      </c>
      <c r="P87" s="69">
        <f>J87*L87</f>
        <v>56</v>
      </c>
    </row>
    <row r="88" spans="1:16" x14ac:dyDescent="0.25">
      <c r="A88" s="4" t="s">
        <v>195</v>
      </c>
      <c r="B88" s="69" t="s">
        <v>196</v>
      </c>
      <c r="C88" s="69" t="s">
        <v>411</v>
      </c>
      <c r="D88" s="69" t="s">
        <v>40</v>
      </c>
      <c r="E88" s="70" t="s">
        <v>46</v>
      </c>
      <c r="F88" s="7" t="s">
        <v>8</v>
      </c>
      <c r="G88" s="21">
        <v>42107</v>
      </c>
      <c r="H88" s="21">
        <v>42107</v>
      </c>
      <c r="I88" s="9">
        <f ca="1">IF(NETWORKDAYS(G88,TODAY())/NETWORKDAYS(G88,H88,)&lt;0,0,IF(NETWORKDAYS(G88,TODAY())/NETWORKDAYS(G88,H88,)&gt;1,1,NETWORKDAYS(G88,TODAY())/NETWORKDAYS(G88,H88,)))</f>
        <v>1</v>
      </c>
      <c r="J88" s="9">
        <v>1</v>
      </c>
      <c r="K88" s="10">
        <f>NETWORKDAYS(G88,H88)</f>
        <v>1</v>
      </c>
      <c r="L88" s="4">
        <f>K88*8</f>
        <v>8</v>
      </c>
      <c r="M88" s="4" t="s">
        <v>109</v>
      </c>
      <c r="N88" s="4" t="s">
        <v>110</v>
      </c>
      <c r="O88" s="69">
        <f ca="1">I88*L88</f>
        <v>8</v>
      </c>
      <c r="P88" s="69">
        <f>J88*L88</f>
        <v>8</v>
      </c>
    </row>
    <row r="89" spans="1:16" x14ac:dyDescent="0.25">
      <c r="A89" s="4" t="s">
        <v>195</v>
      </c>
      <c r="B89" s="69" t="s">
        <v>196</v>
      </c>
      <c r="C89" s="69" t="s">
        <v>411</v>
      </c>
      <c r="D89" s="69" t="s">
        <v>40</v>
      </c>
      <c r="E89" s="70" t="s">
        <v>46</v>
      </c>
      <c r="F89" s="7" t="s">
        <v>11</v>
      </c>
      <c r="G89" s="21">
        <v>42108</v>
      </c>
      <c r="H89" s="21">
        <v>42108</v>
      </c>
      <c r="I89" s="9">
        <v>1</v>
      </c>
      <c r="J89" s="9">
        <v>1</v>
      </c>
      <c r="K89" s="10">
        <f>NETWORKDAYS(G89,H89)</f>
        <v>1</v>
      </c>
      <c r="L89" s="4">
        <f>K89*8</f>
        <v>8</v>
      </c>
      <c r="M89" s="4" t="s">
        <v>109</v>
      </c>
      <c r="N89" s="4" t="s">
        <v>110</v>
      </c>
      <c r="O89" s="69">
        <f>I89*L89</f>
        <v>8</v>
      </c>
      <c r="P89" s="69">
        <f>J89*L89</f>
        <v>8</v>
      </c>
    </row>
    <row r="90" spans="1:16" x14ac:dyDescent="0.25">
      <c r="A90" s="11" t="s">
        <v>195</v>
      </c>
      <c r="B90" s="71" t="s">
        <v>196</v>
      </c>
      <c r="C90" s="71" t="s">
        <v>411</v>
      </c>
      <c r="D90" s="71" t="s">
        <v>40</v>
      </c>
      <c r="E90" s="71" t="s">
        <v>46</v>
      </c>
      <c r="F90" s="71" t="s">
        <v>34</v>
      </c>
      <c r="G90" s="22">
        <v>42094</v>
      </c>
      <c r="H90" s="22">
        <v>42104</v>
      </c>
      <c r="I90" s="13">
        <v>1</v>
      </c>
      <c r="J90" s="13">
        <v>1</v>
      </c>
      <c r="K90" s="14">
        <f>SUM(K86:K88)</f>
        <v>10</v>
      </c>
      <c r="L90" s="11">
        <f>SUM(L86:L88)</f>
        <v>80</v>
      </c>
      <c r="M90" s="13" t="s">
        <v>109</v>
      </c>
      <c r="N90" s="13" t="s">
        <v>110</v>
      </c>
      <c r="O90" s="69"/>
      <c r="P90" s="69"/>
    </row>
    <row r="91" spans="1:16" x14ac:dyDescent="0.25">
      <c r="A91" s="4" t="s">
        <v>197</v>
      </c>
      <c r="B91" s="69" t="s">
        <v>198</v>
      </c>
      <c r="C91" s="69" t="s">
        <v>411</v>
      </c>
      <c r="D91" s="69" t="s">
        <v>40</v>
      </c>
      <c r="E91" s="70" t="s">
        <v>46</v>
      </c>
      <c r="F91" s="7" t="s">
        <v>9</v>
      </c>
      <c r="G91" s="8">
        <v>42102</v>
      </c>
      <c r="H91" s="8">
        <v>42103</v>
      </c>
      <c r="I91" s="9">
        <f ca="1">IF(NETWORKDAYS(G91,TODAY())/NETWORKDAYS(G91,H91,)&lt;0,0,IF(NETWORKDAYS(G91,TODAY())/NETWORKDAYS(G91,H91,)&gt;1,1,NETWORKDAYS(G91,TODAY())/NETWORKDAYS(G91,H91,)))</f>
        <v>1</v>
      </c>
      <c r="J91" s="9">
        <v>1</v>
      </c>
      <c r="K91" s="10">
        <f>NETWORKDAYS(G91,H91)</f>
        <v>2</v>
      </c>
      <c r="L91" s="4">
        <f>K91*8</f>
        <v>16</v>
      </c>
      <c r="M91" s="4" t="s">
        <v>109</v>
      </c>
      <c r="N91" s="4" t="s">
        <v>110</v>
      </c>
      <c r="O91" s="69">
        <f ca="1">I91*L91</f>
        <v>16</v>
      </c>
      <c r="P91" s="69">
        <f>J91*L91</f>
        <v>16</v>
      </c>
    </row>
    <row r="92" spans="1:16" x14ac:dyDescent="0.25">
      <c r="A92" s="4" t="s">
        <v>197</v>
      </c>
      <c r="B92" s="69" t="s">
        <v>198</v>
      </c>
      <c r="C92" s="69" t="s">
        <v>411</v>
      </c>
      <c r="D92" s="69" t="s">
        <v>40</v>
      </c>
      <c r="E92" s="70" t="s">
        <v>46</v>
      </c>
      <c r="F92" s="7" t="s">
        <v>10</v>
      </c>
      <c r="G92" s="8">
        <v>42104</v>
      </c>
      <c r="H92" s="8">
        <v>42112</v>
      </c>
      <c r="I92" s="9">
        <f ca="1">IF(NETWORKDAYS(G92,TODAY())/NETWORKDAYS(G92,H92,)&lt;0,0,IF(NETWORKDAYS(G92,TODAY())/NETWORKDAYS(G92,H92,)&gt;1,1,NETWORKDAYS(G92,TODAY())/NETWORKDAYS(G92,H92,)))</f>
        <v>1</v>
      </c>
      <c r="J92" s="9">
        <v>1</v>
      </c>
      <c r="K92" s="10">
        <f>NETWORKDAYS(G92,H92)</f>
        <v>6</v>
      </c>
      <c r="L92" s="4">
        <f>K92*8</f>
        <v>48</v>
      </c>
      <c r="M92" s="4" t="s">
        <v>109</v>
      </c>
      <c r="N92" s="4" t="s">
        <v>110</v>
      </c>
      <c r="O92" s="69">
        <f ca="1">I92*L92</f>
        <v>48</v>
      </c>
      <c r="P92" s="69">
        <f>J92*L92</f>
        <v>48</v>
      </c>
    </row>
    <row r="93" spans="1:16" x14ac:dyDescent="0.25">
      <c r="A93" s="4" t="s">
        <v>197</v>
      </c>
      <c r="B93" s="69" t="s">
        <v>198</v>
      </c>
      <c r="C93" s="69" t="s">
        <v>411</v>
      </c>
      <c r="D93" s="69" t="s">
        <v>40</v>
      </c>
      <c r="E93" s="70" t="s">
        <v>46</v>
      </c>
      <c r="F93" s="7" t="s">
        <v>8</v>
      </c>
      <c r="G93" s="8">
        <v>42114</v>
      </c>
      <c r="H93" s="8">
        <v>42116</v>
      </c>
      <c r="I93" s="9">
        <f ca="1">IF(NETWORKDAYS(G93,TODAY())/NETWORKDAYS(G93,H93,)&lt;0,0,IF(NETWORKDAYS(G93,TODAY())/NETWORKDAYS(G93,H93,)&gt;1,1,NETWORKDAYS(G93,TODAY())/NETWORKDAYS(G93,H93,)))</f>
        <v>1</v>
      </c>
      <c r="J93" s="9">
        <v>1</v>
      </c>
      <c r="K93" s="10">
        <f>NETWORKDAYS(G93,H93)</f>
        <v>3</v>
      </c>
      <c r="L93" s="4">
        <f>K93*8</f>
        <v>24</v>
      </c>
      <c r="M93" s="4" t="s">
        <v>109</v>
      </c>
      <c r="N93" s="4" t="s">
        <v>110</v>
      </c>
      <c r="O93" s="69">
        <f ca="1">I93*L93</f>
        <v>24</v>
      </c>
      <c r="P93" s="69">
        <f>J93*L93</f>
        <v>24</v>
      </c>
    </row>
    <row r="94" spans="1:16" x14ac:dyDescent="0.25">
      <c r="A94" s="4" t="s">
        <v>197</v>
      </c>
      <c r="B94" s="69" t="s">
        <v>198</v>
      </c>
      <c r="C94" s="69" t="s">
        <v>411</v>
      </c>
      <c r="D94" s="69" t="s">
        <v>40</v>
      </c>
      <c r="E94" s="70" t="s">
        <v>46</v>
      </c>
      <c r="F94" s="7" t="s">
        <v>11</v>
      </c>
      <c r="G94" s="8">
        <v>42117</v>
      </c>
      <c r="H94" s="8">
        <v>42121</v>
      </c>
      <c r="I94" s="9">
        <f ca="1">IF(NETWORKDAYS(G94,TODAY())/NETWORKDAYS(G94,H94,)&lt;0,0,IF(NETWORKDAYS(G94,TODAY())/NETWORKDAYS(G94,H94,)&gt;1,1,NETWORKDAYS(G94,TODAY())/NETWORKDAYS(G94,H94,)))</f>
        <v>1</v>
      </c>
      <c r="J94" s="9">
        <v>1</v>
      </c>
      <c r="K94" s="10">
        <f>NETWORKDAYS(G94,H94)</f>
        <v>3</v>
      </c>
      <c r="L94" s="4">
        <f>K94*8</f>
        <v>24</v>
      </c>
      <c r="M94" s="4" t="s">
        <v>109</v>
      </c>
      <c r="N94" s="4" t="s">
        <v>110</v>
      </c>
      <c r="O94" s="69">
        <f ca="1">I94*L94</f>
        <v>24</v>
      </c>
      <c r="P94" s="69">
        <f>J94*L94</f>
        <v>24</v>
      </c>
    </row>
    <row r="95" spans="1:16" x14ac:dyDescent="0.25">
      <c r="A95" s="11" t="s">
        <v>197</v>
      </c>
      <c r="B95" s="71" t="s">
        <v>198</v>
      </c>
      <c r="C95" s="71" t="s">
        <v>411</v>
      </c>
      <c r="D95" s="71" t="s">
        <v>40</v>
      </c>
      <c r="E95" s="71" t="s">
        <v>46</v>
      </c>
      <c r="F95" s="71" t="s">
        <v>34</v>
      </c>
      <c r="G95" s="22">
        <v>42102</v>
      </c>
      <c r="H95" s="22">
        <v>42121</v>
      </c>
      <c r="I95" s="13">
        <f ca="1">SUM(O91:O94)/L95</f>
        <v>1</v>
      </c>
      <c r="J95" s="13">
        <f>SUM(P91:P94)/L95</f>
        <v>1</v>
      </c>
      <c r="K95" s="14">
        <f>SUM(K91:K94)</f>
        <v>14</v>
      </c>
      <c r="L95" s="11">
        <f>SUM(L91:L94)</f>
        <v>112</v>
      </c>
      <c r="M95" s="13" t="s">
        <v>109</v>
      </c>
      <c r="N95" s="13" t="s">
        <v>110</v>
      </c>
      <c r="O95" s="69"/>
      <c r="P95" s="69"/>
    </row>
    <row r="96" spans="1:16" x14ac:dyDescent="0.25">
      <c r="A96" s="4" t="s">
        <v>199</v>
      </c>
      <c r="B96" s="69" t="s">
        <v>200</v>
      </c>
      <c r="C96" s="69" t="s">
        <v>411</v>
      </c>
      <c r="D96" s="69" t="s">
        <v>39</v>
      </c>
      <c r="E96" s="70" t="s">
        <v>46</v>
      </c>
      <c r="F96" s="7" t="s">
        <v>9</v>
      </c>
      <c r="G96" s="8">
        <v>42094</v>
      </c>
      <c r="H96" s="8">
        <v>42095</v>
      </c>
      <c r="I96" s="9">
        <f ca="1">IF(NETWORKDAYS(G96,TODAY())/NETWORKDAYS(G96,H96,)&lt;0,0,IF(NETWORKDAYS(G96,TODAY())/NETWORKDAYS(G96,H96,)&gt;1,1,NETWORKDAYS(G96,TODAY())/NETWORKDAYS(G96,H96,)))</f>
        <v>1</v>
      </c>
      <c r="J96" s="9">
        <v>1</v>
      </c>
      <c r="K96" s="10">
        <f>NETWORKDAYS(G96,H96)</f>
        <v>2</v>
      </c>
      <c r="L96" s="4">
        <f>K96*8</f>
        <v>16</v>
      </c>
      <c r="M96" s="4" t="s">
        <v>113</v>
      </c>
      <c r="N96" s="4" t="s">
        <v>114</v>
      </c>
      <c r="O96" s="69">
        <f ca="1">I96*L96</f>
        <v>16</v>
      </c>
      <c r="P96" s="69">
        <f>J96*L96</f>
        <v>16</v>
      </c>
    </row>
    <row r="97" spans="1:16" x14ac:dyDescent="0.25">
      <c r="A97" s="4" t="s">
        <v>199</v>
      </c>
      <c r="B97" s="69" t="s">
        <v>200</v>
      </c>
      <c r="C97" s="69" t="s">
        <v>411</v>
      </c>
      <c r="D97" s="69" t="s">
        <v>39</v>
      </c>
      <c r="E97" s="70" t="s">
        <v>46</v>
      </c>
      <c r="F97" s="7" t="s">
        <v>10</v>
      </c>
      <c r="G97" s="21">
        <v>42098</v>
      </c>
      <c r="H97" s="21">
        <v>42100</v>
      </c>
      <c r="I97" s="9">
        <f ca="1">IF(NETWORKDAYS(G97,TODAY())/NETWORKDAYS(G97,H97,)&lt;0,0,IF(NETWORKDAYS(G97,TODAY())/NETWORKDAYS(G97,H97,)&gt;1,1,NETWORKDAYS(G97,TODAY())/NETWORKDAYS(G97,H97,)))</f>
        <v>1</v>
      </c>
      <c r="J97" s="9">
        <v>1</v>
      </c>
      <c r="K97" s="10">
        <f>NETWORKDAYS(G97,H97)</f>
        <v>1</v>
      </c>
      <c r="L97" s="4">
        <f>K97*8</f>
        <v>8</v>
      </c>
      <c r="M97" s="4" t="s">
        <v>113</v>
      </c>
      <c r="N97" s="4" t="s">
        <v>114</v>
      </c>
      <c r="O97" s="69">
        <f ca="1">I97*L97</f>
        <v>8</v>
      </c>
      <c r="P97" s="69">
        <f>J97*L97</f>
        <v>8</v>
      </c>
    </row>
    <row r="98" spans="1:16" x14ac:dyDescent="0.25">
      <c r="A98" s="4" t="s">
        <v>199</v>
      </c>
      <c r="B98" s="69" t="s">
        <v>200</v>
      </c>
      <c r="C98" s="69" t="s">
        <v>411</v>
      </c>
      <c r="D98" s="69" t="s">
        <v>39</v>
      </c>
      <c r="E98" s="70" t="s">
        <v>46</v>
      </c>
      <c r="F98" s="7" t="s">
        <v>8</v>
      </c>
      <c r="G98" s="21">
        <v>42101</v>
      </c>
      <c r="H98" s="21">
        <v>42102</v>
      </c>
      <c r="I98" s="9">
        <f ca="1">IF(NETWORKDAYS(G98,TODAY())/NETWORKDAYS(G98,H98,)&lt;0,0,IF(NETWORKDAYS(G98,TODAY())/NETWORKDAYS(G98,H98,)&gt;1,1,NETWORKDAYS(G98,TODAY())/NETWORKDAYS(G98,H98,)))</f>
        <v>1</v>
      </c>
      <c r="J98" s="9">
        <v>1</v>
      </c>
      <c r="K98" s="10">
        <f>NETWORKDAYS(G98,H98)</f>
        <v>2</v>
      </c>
      <c r="L98" s="4">
        <f>K98*8</f>
        <v>16</v>
      </c>
      <c r="M98" s="4" t="s">
        <v>113</v>
      </c>
      <c r="N98" s="4" t="s">
        <v>114</v>
      </c>
      <c r="O98" s="69">
        <f ca="1">I98*L98</f>
        <v>16</v>
      </c>
      <c r="P98" s="69">
        <f>J98*L98</f>
        <v>16</v>
      </c>
    </row>
    <row r="99" spans="1:16" x14ac:dyDescent="0.25">
      <c r="A99" s="4" t="s">
        <v>199</v>
      </c>
      <c r="B99" s="69" t="s">
        <v>200</v>
      </c>
      <c r="C99" s="69" t="s">
        <v>411</v>
      </c>
      <c r="D99" s="69" t="s">
        <v>39</v>
      </c>
      <c r="E99" s="70" t="s">
        <v>46</v>
      </c>
      <c r="F99" s="7" t="s">
        <v>11</v>
      </c>
      <c r="G99" s="21">
        <v>42103</v>
      </c>
      <c r="H99" s="21">
        <v>42104</v>
      </c>
      <c r="I99" s="9">
        <f ca="1">IF(NETWORKDAYS(G99,TODAY())/NETWORKDAYS(G99,H99,)&lt;0,0,IF(NETWORKDAYS(G99,TODAY())/NETWORKDAYS(G99,H99,)&gt;1,1,NETWORKDAYS(G99,TODAY())/NETWORKDAYS(G99,H99,)))</f>
        <v>1</v>
      </c>
      <c r="J99" s="9">
        <v>1</v>
      </c>
      <c r="K99" s="10">
        <f>NETWORKDAYS(G99,H99)</f>
        <v>2</v>
      </c>
      <c r="L99" s="4">
        <f>K99*8</f>
        <v>16</v>
      </c>
      <c r="M99" s="4" t="s">
        <v>113</v>
      </c>
      <c r="N99" s="4" t="s">
        <v>114</v>
      </c>
      <c r="O99" s="69">
        <f ca="1">I99*L99</f>
        <v>16</v>
      </c>
      <c r="P99" s="69">
        <f>J99*L99</f>
        <v>16</v>
      </c>
    </row>
    <row r="100" spans="1:16" x14ac:dyDescent="0.25">
      <c r="A100" s="11" t="s">
        <v>199</v>
      </c>
      <c r="B100" s="71" t="s">
        <v>200</v>
      </c>
      <c r="C100" s="71" t="s">
        <v>411</v>
      </c>
      <c r="D100" s="71" t="s">
        <v>39</v>
      </c>
      <c r="E100" s="71" t="s">
        <v>46</v>
      </c>
      <c r="F100" s="71" t="s">
        <v>34</v>
      </c>
      <c r="G100" s="22">
        <v>42094</v>
      </c>
      <c r="H100" s="22">
        <v>42101</v>
      </c>
      <c r="I100" s="13">
        <f ca="1">SUM(O96:O99)/L100</f>
        <v>1</v>
      </c>
      <c r="J100" s="13">
        <f>SUM(P96:P99)/L100</f>
        <v>1</v>
      </c>
      <c r="K100" s="14">
        <f>SUM(K96:K99)</f>
        <v>7</v>
      </c>
      <c r="L100" s="11">
        <f>SUM(L96:L99)</f>
        <v>56</v>
      </c>
      <c r="M100" s="13" t="s">
        <v>113</v>
      </c>
      <c r="N100" s="13" t="s">
        <v>114</v>
      </c>
      <c r="O100" s="69"/>
      <c r="P100" s="69"/>
    </row>
    <row r="101" spans="1:16" x14ac:dyDescent="0.25">
      <c r="A101" s="4" t="s">
        <v>201</v>
      </c>
      <c r="B101" s="76" t="s">
        <v>202</v>
      </c>
      <c r="C101" s="76" t="s">
        <v>411</v>
      </c>
      <c r="D101" s="69" t="s">
        <v>47</v>
      </c>
      <c r="E101" s="70" t="s">
        <v>46</v>
      </c>
      <c r="F101" s="7" t="s">
        <v>9</v>
      </c>
      <c r="G101" s="8">
        <v>42094</v>
      </c>
      <c r="H101" s="8">
        <v>42094</v>
      </c>
      <c r="I101" s="9">
        <f ca="1">IF(NETWORKDAYS(G101,TODAY())/NETWORKDAYS(G101,H101,)&lt;0,0,IF(NETWORKDAYS(G101,TODAY())/NETWORKDAYS(G101,H101,)&gt;1,1,NETWORKDAYS(G101,TODAY())/NETWORKDAYS(G101,H101,)))</f>
        <v>1</v>
      </c>
      <c r="J101" s="9">
        <v>1</v>
      </c>
      <c r="K101" s="10">
        <f>NETWORKDAYS(G101,H101)</f>
        <v>1</v>
      </c>
      <c r="L101" s="4">
        <f>K101*8</f>
        <v>8</v>
      </c>
      <c r="M101" s="4" t="s">
        <v>128</v>
      </c>
      <c r="N101" s="4" t="s">
        <v>129</v>
      </c>
      <c r="O101" s="69">
        <f ca="1">I101*L101</f>
        <v>8</v>
      </c>
      <c r="P101" s="69">
        <f>J101*L101</f>
        <v>8</v>
      </c>
    </row>
    <row r="102" spans="1:16" x14ac:dyDescent="0.25">
      <c r="A102" s="4" t="s">
        <v>201</v>
      </c>
      <c r="B102" s="76" t="s">
        <v>202</v>
      </c>
      <c r="C102" s="76" t="s">
        <v>411</v>
      </c>
      <c r="D102" s="69" t="s">
        <v>47</v>
      </c>
      <c r="E102" s="70" t="s">
        <v>46</v>
      </c>
      <c r="F102" s="7" t="s">
        <v>10</v>
      </c>
      <c r="G102" s="21">
        <v>42094</v>
      </c>
      <c r="H102" s="21">
        <v>42094</v>
      </c>
      <c r="I102" s="9">
        <f ca="1">IF(NETWORKDAYS(G102,TODAY())/NETWORKDAYS(G102,H102,)&lt;0,0,IF(NETWORKDAYS(G102,TODAY())/NETWORKDAYS(G102,H102,)&gt;1,1,NETWORKDAYS(G102,TODAY())/NETWORKDAYS(G102,H102,)))</f>
        <v>1</v>
      </c>
      <c r="J102" s="9">
        <v>1</v>
      </c>
      <c r="K102" s="10">
        <f>NETWORKDAYS(G102,H102)</f>
        <v>1</v>
      </c>
      <c r="L102" s="4">
        <f>K102*8</f>
        <v>8</v>
      </c>
      <c r="M102" s="4" t="s">
        <v>128</v>
      </c>
      <c r="N102" s="4" t="s">
        <v>129</v>
      </c>
      <c r="O102" s="69">
        <f ca="1">I102*L102</f>
        <v>8</v>
      </c>
      <c r="P102" s="69">
        <f>J102*L102</f>
        <v>8</v>
      </c>
    </row>
    <row r="103" spans="1:16" x14ac:dyDescent="0.25">
      <c r="A103" s="11" t="s">
        <v>201</v>
      </c>
      <c r="B103" s="77" t="s">
        <v>202</v>
      </c>
      <c r="C103" s="77" t="s">
        <v>411</v>
      </c>
      <c r="D103" s="71" t="s">
        <v>47</v>
      </c>
      <c r="E103" s="71" t="s">
        <v>46</v>
      </c>
      <c r="F103" s="17" t="s">
        <v>34</v>
      </c>
      <c r="G103" s="22">
        <f>G101</f>
        <v>42094</v>
      </c>
      <c r="H103" s="22">
        <v>42094</v>
      </c>
      <c r="I103" s="13">
        <f ca="1">SUM(O101:O102)/L103</f>
        <v>1</v>
      </c>
      <c r="J103" s="13">
        <f>SUM(P101:P102)/L103</f>
        <v>1</v>
      </c>
      <c r="K103" s="14">
        <f>NETWORKDAYS(G103,H103)</f>
        <v>1</v>
      </c>
      <c r="L103" s="11">
        <f>SUM(L101:L102)</f>
        <v>16</v>
      </c>
      <c r="M103" s="11" t="s">
        <v>128</v>
      </c>
      <c r="N103" s="11" t="s">
        <v>129</v>
      </c>
      <c r="O103" s="69"/>
      <c r="P103" s="69"/>
    </row>
    <row r="104" spans="1:16" x14ac:dyDescent="0.25">
      <c r="A104" s="4" t="s">
        <v>203</v>
      </c>
      <c r="B104" s="69" t="s">
        <v>204</v>
      </c>
      <c r="C104" s="69" t="s">
        <v>411</v>
      </c>
      <c r="D104" s="69" t="s">
        <v>47</v>
      </c>
      <c r="E104" s="70" t="s">
        <v>46</v>
      </c>
      <c r="F104" s="7" t="s">
        <v>9</v>
      </c>
      <c r="G104" s="8">
        <v>42117</v>
      </c>
      <c r="H104" s="8">
        <v>42118</v>
      </c>
      <c r="I104" s="9">
        <f ca="1">IF(NETWORKDAYS(G104,TODAY())/NETWORKDAYS(G104,H104,)&lt;0,0,IF(NETWORKDAYS(G104,TODAY())/NETWORKDAYS(G104,H104,)&gt;1,1,NETWORKDAYS(G104,TODAY())/NETWORKDAYS(G104,H104,)))</f>
        <v>1</v>
      </c>
      <c r="J104" s="9">
        <v>1</v>
      </c>
      <c r="K104" s="10">
        <f>NETWORKDAYS(G104,H104)</f>
        <v>2</v>
      </c>
      <c r="L104" s="4">
        <f>K104*8</f>
        <v>16</v>
      </c>
      <c r="M104" s="4" t="s">
        <v>113</v>
      </c>
      <c r="N104" s="4" t="s">
        <v>114</v>
      </c>
      <c r="O104" s="69">
        <f ca="1">I104*L104</f>
        <v>16</v>
      </c>
      <c r="P104" s="69">
        <f>J104*L104</f>
        <v>16</v>
      </c>
    </row>
    <row r="105" spans="1:16" x14ac:dyDescent="0.25">
      <c r="A105" s="4" t="s">
        <v>203</v>
      </c>
      <c r="B105" s="69" t="s">
        <v>204</v>
      </c>
      <c r="C105" s="69" t="s">
        <v>411</v>
      </c>
      <c r="D105" s="69" t="s">
        <v>47</v>
      </c>
      <c r="E105" s="70" t="s">
        <v>46</v>
      </c>
      <c r="F105" s="7" t="s">
        <v>10</v>
      </c>
      <c r="G105" s="8">
        <v>42121</v>
      </c>
      <c r="H105" s="8">
        <v>42121</v>
      </c>
      <c r="I105" s="9">
        <f ca="1">IF(NETWORKDAYS(G105,TODAY())/NETWORKDAYS(G105,H105,)&lt;0,0,IF(NETWORKDAYS(G105,TODAY())/NETWORKDAYS(G105,H105,)&gt;1,1,NETWORKDAYS(G105,TODAY())/NETWORKDAYS(G105,H105,)))</f>
        <v>1</v>
      </c>
      <c r="J105" s="9">
        <v>1</v>
      </c>
      <c r="K105" s="10">
        <f>NETWORKDAYS(G105,H105)</f>
        <v>1</v>
      </c>
      <c r="L105" s="4">
        <f>K105*8</f>
        <v>8</v>
      </c>
      <c r="M105" s="4" t="s">
        <v>113</v>
      </c>
      <c r="N105" s="4" t="s">
        <v>114</v>
      </c>
      <c r="O105" s="69">
        <f ca="1">I105*L105</f>
        <v>8</v>
      </c>
      <c r="P105" s="69">
        <f>J105*L105</f>
        <v>8</v>
      </c>
    </row>
    <row r="106" spans="1:16" x14ac:dyDescent="0.25">
      <c r="A106" s="11" t="s">
        <v>203</v>
      </c>
      <c r="B106" s="71" t="s">
        <v>204</v>
      </c>
      <c r="C106" s="71" t="s">
        <v>411</v>
      </c>
      <c r="D106" s="71" t="s">
        <v>47</v>
      </c>
      <c r="E106" s="71" t="s">
        <v>46</v>
      </c>
      <c r="F106" s="71" t="s">
        <v>34</v>
      </c>
      <c r="G106" s="22">
        <f>G104</f>
        <v>42117</v>
      </c>
      <c r="H106" s="22">
        <f>H105</f>
        <v>42121</v>
      </c>
      <c r="I106" s="13">
        <f ca="1">SUM(O104:O105)/L106</f>
        <v>1</v>
      </c>
      <c r="J106" s="13">
        <f>SUM(P104:P105)/L106</f>
        <v>1</v>
      </c>
      <c r="K106" s="14">
        <f>SUM(K104:K105)</f>
        <v>3</v>
      </c>
      <c r="L106" s="11">
        <f>SUM(L104:L105)</f>
        <v>24</v>
      </c>
      <c r="M106" s="13" t="s">
        <v>113</v>
      </c>
      <c r="N106" s="13" t="s">
        <v>114</v>
      </c>
      <c r="O106" s="69"/>
      <c r="P106" s="69"/>
    </row>
    <row r="107" spans="1:16" x14ac:dyDescent="0.25">
      <c r="A107" s="4" t="s">
        <v>205</v>
      </c>
      <c r="B107" s="69" t="s">
        <v>206</v>
      </c>
      <c r="C107" s="69" t="s">
        <v>411</v>
      </c>
      <c r="D107" s="69" t="s">
        <v>47</v>
      </c>
      <c r="E107" s="70" t="s">
        <v>46</v>
      </c>
      <c r="F107" s="7" t="s">
        <v>9</v>
      </c>
      <c r="G107" s="8">
        <v>42107</v>
      </c>
      <c r="H107" s="8">
        <v>42108</v>
      </c>
      <c r="I107" s="9">
        <f ca="1">IF(NETWORKDAYS(G107,TODAY())/NETWORKDAYS(G107,H107,)&lt;0,0,IF(NETWORKDAYS(G107,TODAY())/NETWORKDAYS(G107,H107,)&gt;1,1,NETWORKDAYS(G107,TODAY())/NETWORKDAYS(G107,H107,)))</f>
        <v>1</v>
      </c>
      <c r="J107" s="9">
        <v>1</v>
      </c>
      <c r="K107" s="10">
        <f>NETWORKDAYS(G107,H107)</f>
        <v>2</v>
      </c>
      <c r="L107" s="4">
        <f>K107*8</f>
        <v>16</v>
      </c>
      <c r="M107" s="4" t="s">
        <v>105</v>
      </c>
      <c r="N107" s="4" t="s">
        <v>106</v>
      </c>
      <c r="O107" s="69">
        <f ca="1">I107*L107</f>
        <v>16</v>
      </c>
      <c r="P107" s="69">
        <f>J107*L107</f>
        <v>16</v>
      </c>
    </row>
    <row r="108" spans="1:16" x14ac:dyDescent="0.25">
      <c r="A108" s="4" t="s">
        <v>205</v>
      </c>
      <c r="B108" s="69" t="s">
        <v>206</v>
      </c>
      <c r="C108" s="69" t="s">
        <v>411</v>
      </c>
      <c r="D108" s="69" t="s">
        <v>47</v>
      </c>
      <c r="E108" s="70" t="s">
        <v>46</v>
      </c>
      <c r="F108" s="7" t="s">
        <v>10</v>
      </c>
      <c r="G108" s="8">
        <v>42109</v>
      </c>
      <c r="H108" s="8">
        <v>42109</v>
      </c>
      <c r="I108" s="9">
        <f ca="1">IF(NETWORKDAYS(G108,TODAY())/NETWORKDAYS(G108,H108,)&lt;0,0,IF(NETWORKDAYS(G108,TODAY())/NETWORKDAYS(G108,H108,)&gt;1,1,NETWORKDAYS(G108,TODAY())/NETWORKDAYS(G108,H108,)))</f>
        <v>1</v>
      </c>
      <c r="J108" s="9">
        <v>1</v>
      </c>
      <c r="K108" s="10">
        <f>NETWORKDAYS(G108,H108)</f>
        <v>1</v>
      </c>
      <c r="L108" s="4">
        <f>K108*8</f>
        <v>8</v>
      </c>
      <c r="M108" s="4" t="s">
        <v>105</v>
      </c>
      <c r="N108" s="4" t="s">
        <v>106</v>
      </c>
      <c r="O108" s="69">
        <f ca="1">I108*L108</f>
        <v>8</v>
      </c>
      <c r="P108" s="69">
        <f>J108*L108</f>
        <v>8</v>
      </c>
    </row>
    <row r="109" spans="1:16" x14ac:dyDescent="0.25">
      <c r="A109" s="11" t="s">
        <v>205</v>
      </c>
      <c r="B109" s="71" t="s">
        <v>206</v>
      </c>
      <c r="C109" s="71" t="s">
        <v>411</v>
      </c>
      <c r="D109" s="71" t="s">
        <v>47</v>
      </c>
      <c r="E109" s="71" t="s">
        <v>46</v>
      </c>
      <c r="F109" s="71" t="s">
        <v>34</v>
      </c>
      <c r="G109" s="22">
        <f>G107</f>
        <v>42107</v>
      </c>
      <c r="H109" s="22">
        <f>H108</f>
        <v>42109</v>
      </c>
      <c r="I109" s="13">
        <f ca="1">SUM(O107:O108)/L109</f>
        <v>1</v>
      </c>
      <c r="J109" s="13">
        <f>SUM(P107:P108)/L109</f>
        <v>1</v>
      </c>
      <c r="K109" s="14">
        <f>SUM(K107:K108)</f>
        <v>3</v>
      </c>
      <c r="L109" s="11">
        <f>SUM(L107:L108)</f>
        <v>24</v>
      </c>
      <c r="M109" s="13" t="s">
        <v>105</v>
      </c>
      <c r="N109" s="13" t="s">
        <v>106</v>
      </c>
      <c r="O109" s="69"/>
      <c r="P109" s="69"/>
    </row>
    <row r="110" spans="1:16" x14ac:dyDescent="0.25">
      <c r="A110" s="4" t="s">
        <v>207</v>
      </c>
      <c r="B110" s="69" t="s">
        <v>208</v>
      </c>
      <c r="C110" s="69" t="s">
        <v>411</v>
      </c>
      <c r="D110" s="69" t="s">
        <v>47</v>
      </c>
      <c r="E110" s="70" t="s">
        <v>46</v>
      </c>
      <c r="F110" s="7" t="s">
        <v>9</v>
      </c>
      <c r="G110" s="8">
        <v>42102</v>
      </c>
      <c r="H110" s="8">
        <v>42102</v>
      </c>
      <c r="I110" s="9">
        <f ca="1">IF(NETWORKDAYS(G110,TODAY())/NETWORKDAYS(G110,H110,)&lt;0,0,IF(NETWORKDAYS(G110,TODAY())/NETWORKDAYS(G110,H110,)&gt;1,1,NETWORKDAYS(G110,TODAY())/NETWORKDAYS(G110,H110,)))</f>
        <v>1</v>
      </c>
      <c r="J110" s="9">
        <v>1</v>
      </c>
      <c r="K110" s="10">
        <f>NETWORKDAYS(G110,H110)</f>
        <v>1</v>
      </c>
      <c r="L110" s="4">
        <f>K110*8</f>
        <v>8</v>
      </c>
      <c r="M110" s="4" t="s">
        <v>105</v>
      </c>
      <c r="N110" s="4" t="s">
        <v>106</v>
      </c>
      <c r="O110" s="69">
        <f ca="1">I110*L110</f>
        <v>8</v>
      </c>
      <c r="P110" s="69">
        <f>J110*L110</f>
        <v>8</v>
      </c>
    </row>
    <row r="111" spans="1:16" x14ac:dyDescent="0.25">
      <c r="A111" s="4" t="s">
        <v>207</v>
      </c>
      <c r="B111" s="69" t="s">
        <v>208</v>
      </c>
      <c r="C111" s="69" t="s">
        <v>411</v>
      </c>
      <c r="D111" s="69" t="s">
        <v>47</v>
      </c>
      <c r="E111" s="70" t="s">
        <v>46</v>
      </c>
      <c r="F111" s="7" t="s">
        <v>10</v>
      </c>
      <c r="G111" s="8">
        <v>42102</v>
      </c>
      <c r="H111" s="8">
        <v>42102</v>
      </c>
      <c r="I111" s="9">
        <f ca="1">IF(NETWORKDAYS(G111,TODAY())/NETWORKDAYS(G111,H111,)&lt;0,0,IF(NETWORKDAYS(G111,TODAY())/NETWORKDAYS(G111,H111,)&gt;1,1,NETWORKDAYS(G111,TODAY())/NETWORKDAYS(G111,H111,)))</f>
        <v>1</v>
      </c>
      <c r="J111" s="9">
        <v>1</v>
      </c>
      <c r="K111" s="10">
        <f>NETWORKDAYS(G111,H111)</f>
        <v>1</v>
      </c>
      <c r="L111" s="4">
        <f>K111*8</f>
        <v>8</v>
      </c>
      <c r="M111" s="4" t="s">
        <v>105</v>
      </c>
      <c r="N111" s="4" t="s">
        <v>106</v>
      </c>
      <c r="O111" s="69">
        <f ca="1">I111*L111</f>
        <v>8</v>
      </c>
      <c r="P111" s="69">
        <f>J111*L111</f>
        <v>8</v>
      </c>
    </row>
    <row r="112" spans="1:16" x14ac:dyDescent="0.25">
      <c r="A112" s="11" t="s">
        <v>207</v>
      </c>
      <c r="B112" s="71" t="s">
        <v>208</v>
      </c>
      <c r="C112" s="71" t="s">
        <v>411</v>
      </c>
      <c r="D112" s="71" t="s">
        <v>47</v>
      </c>
      <c r="E112" s="71" t="s">
        <v>46</v>
      </c>
      <c r="F112" s="71" t="s">
        <v>34</v>
      </c>
      <c r="G112" s="22">
        <f>G110</f>
        <v>42102</v>
      </c>
      <c r="H112" s="22">
        <f>H111</f>
        <v>42102</v>
      </c>
      <c r="I112" s="13">
        <f ca="1">SUM(O110:O111)/L112</f>
        <v>1</v>
      </c>
      <c r="J112" s="13">
        <f>SUM(P110:P111)/L112</f>
        <v>1</v>
      </c>
      <c r="K112" s="14">
        <f>SUM(K110:K111)</f>
        <v>2</v>
      </c>
      <c r="L112" s="11">
        <f>SUM(L110:L111)</f>
        <v>16</v>
      </c>
      <c r="M112" s="13" t="s">
        <v>105</v>
      </c>
      <c r="N112" s="13" t="s">
        <v>106</v>
      </c>
      <c r="O112" s="69"/>
      <c r="P112" s="69"/>
    </row>
    <row r="113" spans="1:16" x14ac:dyDescent="0.25">
      <c r="A113" s="4" t="s">
        <v>209</v>
      </c>
      <c r="B113" s="69" t="s">
        <v>210</v>
      </c>
      <c r="C113" s="69" t="s">
        <v>411</v>
      </c>
      <c r="D113" s="69" t="s">
        <v>47</v>
      </c>
      <c r="E113" s="70" t="s">
        <v>46</v>
      </c>
      <c r="F113" s="7" t="s">
        <v>9</v>
      </c>
      <c r="G113" s="8">
        <v>42102</v>
      </c>
      <c r="H113" s="8">
        <v>42102</v>
      </c>
      <c r="I113" s="9">
        <f ca="1">IF(NETWORKDAYS(G113,TODAY())/NETWORKDAYS(G113,H113,)&lt;0,0,IF(NETWORKDAYS(G113,TODAY())/NETWORKDAYS(G113,H113,)&gt;1,1,NETWORKDAYS(G113,TODAY())/NETWORKDAYS(G113,H113,)))</f>
        <v>1</v>
      </c>
      <c r="J113" s="9">
        <v>1</v>
      </c>
      <c r="K113" s="10">
        <f>NETWORKDAYS(G113,H113)</f>
        <v>1</v>
      </c>
      <c r="L113" s="4">
        <f>K113*8</f>
        <v>8</v>
      </c>
      <c r="M113" s="4" t="s">
        <v>105</v>
      </c>
      <c r="N113" s="4" t="s">
        <v>106</v>
      </c>
      <c r="O113" s="69">
        <f ca="1">I113*L113</f>
        <v>8</v>
      </c>
      <c r="P113" s="69">
        <f>J113*L113</f>
        <v>8</v>
      </c>
    </row>
    <row r="114" spans="1:16" x14ac:dyDescent="0.25">
      <c r="A114" s="4" t="s">
        <v>209</v>
      </c>
      <c r="B114" s="69" t="s">
        <v>210</v>
      </c>
      <c r="C114" s="69" t="s">
        <v>411</v>
      </c>
      <c r="D114" s="69" t="s">
        <v>47</v>
      </c>
      <c r="E114" s="70" t="s">
        <v>46</v>
      </c>
      <c r="F114" s="7" t="s">
        <v>10</v>
      </c>
      <c r="G114" s="8">
        <v>42103</v>
      </c>
      <c r="H114" s="8">
        <v>42103</v>
      </c>
      <c r="I114" s="9">
        <f ca="1">IF(NETWORKDAYS(G114,TODAY())/NETWORKDAYS(G114,H114,)&lt;0,0,IF(NETWORKDAYS(G114,TODAY())/NETWORKDAYS(G114,H114,)&gt;1,1,NETWORKDAYS(G114,TODAY())/NETWORKDAYS(G114,H114,)))</f>
        <v>1</v>
      </c>
      <c r="J114" s="9">
        <v>1</v>
      </c>
      <c r="K114" s="10">
        <f>NETWORKDAYS(G114,H114)</f>
        <v>1</v>
      </c>
      <c r="L114" s="4">
        <f>K114*8</f>
        <v>8</v>
      </c>
      <c r="M114" s="4" t="s">
        <v>105</v>
      </c>
      <c r="N114" s="4" t="s">
        <v>106</v>
      </c>
      <c r="O114" s="69">
        <f ca="1">I114*L114</f>
        <v>8</v>
      </c>
      <c r="P114" s="69">
        <f>J114*L114</f>
        <v>8</v>
      </c>
    </row>
    <row r="115" spans="1:16" x14ac:dyDescent="0.25">
      <c r="A115" s="11" t="s">
        <v>209</v>
      </c>
      <c r="B115" s="71" t="s">
        <v>210</v>
      </c>
      <c r="C115" s="71" t="s">
        <v>411</v>
      </c>
      <c r="D115" s="71" t="s">
        <v>47</v>
      </c>
      <c r="E115" s="71" t="s">
        <v>46</v>
      </c>
      <c r="F115" s="71" t="s">
        <v>34</v>
      </c>
      <c r="G115" s="22">
        <f>G113</f>
        <v>42102</v>
      </c>
      <c r="H115" s="22">
        <f>H114</f>
        <v>42103</v>
      </c>
      <c r="I115" s="13">
        <f ca="1">SUM(O113:O114)/L115</f>
        <v>1</v>
      </c>
      <c r="J115" s="13">
        <f>SUM(P113:P114)/L115</f>
        <v>1</v>
      </c>
      <c r="K115" s="14">
        <f>SUM(K113:K114)</f>
        <v>2</v>
      </c>
      <c r="L115" s="11">
        <f>SUM(L113:L114)</f>
        <v>16</v>
      </c>
      <c r="M115" s="13" t="s">
        <v>105</v>
      </c>
      <c r="N115" s="13" t="s">
        <v>106</v>
      </c>
      <c r="O115" s="69"/>
      <c r="P115" s="69"/>
    </row>
    <row r="116" spans="1:16" x14ac:dyDescent="0.25">
      <c r="A116" s="4" t="s">
        <v>211</v>
      </c>
      <c r="B116" s="75" t="s">
        <v>212</v>
      </c>
      <c r="C116" s="75" t="s">
        <v>411</v>
      </c>
      <c r="D116" s="69" t="s">
        <v>47</v>
      </c>
      <c r="E116" s="70" t="s">
        <v>46</v>
      </c>
      <c r="F116" s="7" t="s">
        <v>9</v>
      </c>
      <c r="G116" s="8">
        <v>42103</v>
      </c>
      <c r="H116" s="8">
        <v>42103</v>
      </c>
      <c r="I116" s="9">
        <f ca="1">IF(NETWORKDAYS(G116,TODAY())/NETWORKDAYS(G116,H116,)&lt;0,0,IF(NETWORKDAYS(G116,TODAY())/NETWORKDAYS(G116,H116,)&gt;1,1,NETWORKDAYS(G116,TODAY())/NETWORKDAYS(G116,H116,)))</f>
        <v>1</v>
      </c>
      <c r="J116" s="9">
        <v>1</v>
      </c>
      <c r="K116" s="10">
        <f>NETWORKDAYS(G116,H116)</f>
        <v>1</v>
      </c>
      <c r="L116" s="4">
        <f>K116*8</f>
        <v>8</v>
      </c>
      <c r="M116" s="4" t="s">
        <v>113</v>
      </c>
      <c r="N116" s="4" t="s">
        <v>114</v>
      </c>
      <c r="O116" s="69">
        <f ca="1">I116*L116</f>
        <v>8</v>
      </c>
      <c r="P116" s="69">
        <f>J116*L116</f>
        <v>8</v>
      </c>
    </row>
    <row r="117" spans="1:16" x14ac:dyDescent="0.25">
      <c r="A117" s="4" t="s">
        <v>211</v>
      </c>
      <c r="B117" s="75" t="s">
        <v>212</v>
      </c>
      <c r="C117" s="75" t="s">
        <v>411</v>
      </c>
      <c r="D117" s="69" t="s">
        <v>47</v>
      </c>
      <c r="E117" s="70" t="s">
        <v>46</v>
      </c>
      <c r="F117" s="7" t="s">
        <v>10</v>
      </c>
      <c r="G117" s="8">
        <v>42104</v>
      </c>
      <c r="H117" s="8">
        <v>42104</v>
      </c>
      <c r="I117" s="9">
        <f ca="1">IF(NETWORKDAYS(G117,TODAY())/NETWORKDAYS(G117,H117,)&lt;0,0,IF(NETWORKDAYS(G117,TODAY())/NETWORKDAYS(G117,H117,)&gt;1,1,NETWORKDAYS(G117,TODAY())/NETWORKDAYS(G117,H117,)))</f>
        <v>1</v>
      </c>
      <c r="J117" s="9">
        <v>1</v>
      </c>
      <c r="K117" s="10">
        <f>NETWORKDAYS(G117,H117)</f>
        <v>1</v>
      </c>
      <c r="L117" s="4">
        <f>K117*8</f>
        <v>8</v>
      </c>
      <c r="M117" s="4" t="s">
        <v>113</v>
      </c>
      <c r="N117" s="4" t="s">
        <v>114</v>
      </c>
      <c r="O117" s="69">
        <f ca="1">I117*L117</f>
        <v>8</v>
      </c>
      <c r="P117" s="69">
        <f>J117*L117</f>
        <v>8</v>
      </c>
    </row>
    <row r="118" spans="1:16" x14ac:dyDescent="0.25">
      <c r="A118" s="11" t="s">
        <v>211</v>
      </c>
      <c r="B118" s="77" t="s">
        <v>212</v>
      </c>
      <c r="C118" s="77" t="s">
        <v>411</v>
      </c>
      <c r="D118" s="71" t="s">
        <v>47</v>
      </c>
      <c r="E118" s="71" t="s">
        <v>46</v>
      </c>
      <c r="F118" s="71" t="s">
        <v>34</v>
      </c>
      <c r="G118" s="22">
        <f>G116</f>
        <v>42103</v>
      </c>
      <c r="H118" s="22">
        <f>H117</f>
        <v>42104</v>
      </c>
      <c r="I118" s="13">
        <f ca="1">SUM(O116:O117)/L118</f>
        <v>1</v>
      </c>
      <c r="J118" s="13">
        <f>SUM(P116:P117)/L118</f>
        <v>1</v>
      </c>
      <c r="K118" s="14">
        <f>SUM(K116:K117)</f>
        <v>2</v>
      </c>
      <c r="L118" s="11">
        <f>SUM(L116:L117)</f>
        <v>16</v>
      </c>
      <c r="M118" s="13" t="s">
        <v>113</v>
      </c>
      <c r="N118" s="13" t="s">
        <v>114</v>
      </c>
      <c r="O118" s="69"/>
      <c r="P118" s="69"/>
    </row>
    <row r="119" spans="1:16" x14ac:dyDescent="0.25">
      <c r="A119" s="4" t="s">
        <v>213</v>
      </c>
      <c r="B119" s="69" t="s">
        <v>214</v>
      </c>
      <c r="C119" s="69" t="s">
        <v>411</v>
      </c>
      <c r="D119" s="69" t="s">
        <v>47</v>
      </c>
      <c r="E119" s="70" t="s">
        <v>46</v>
      </c>
      <c r="F119" s="7" t="s">
        <v>9</v>
      </c>
      <c r="G119" s="8">
        <v>42107</v>
      </c>
      <c r="H119" s="8">
        <v>42107</v>
      </c>
      <c r="I119" s="9">
        <f ca="1">IF(NETWORKDAYS(G119,TODAY())/NETWORKDAYS(G119,H119,)&lt;0,0,IF(NETWORKDAYS(G119,TODAY())/NETWORKDAYS(G119,H119,)&gt;1,1,NETWORKDAYS(G119,TODAY())/NETWORKDAYS(G119,H119,)))</f>
        <v>1</v>
      </c>
      <c r="J119" s="9">
        <v>1</v>
      </c>
      <c r="K119" s="10">
        <f>NETWORKDAYS(G119,H119)</f>
        <v>1</v>
      </c>
      <c r="L119" s="4">
        <f>K119*8</f>
        <v>8</v>
      </c>
      <c r="M119" s="4" t="s">
        <v>113</v>
      </c>
      <c r="N119" s="4" t="s">
        <v>114</v>
      </c>
      <c r="O119" s="69">
        <f ca="1">I119*L119</f>
        <v>8</v>
      </c>
      <c r="P119" s="69">
        <f>J119*L119</f>
        <v>8</v>
      </c>
    </row>
    <row r="120" spans="1:16" x14ac:dyDescent="0.25">
      <c r="A120" s="4" t="s">
        <v>213</v>
      </c>
      <c r="B120" s="69" t="s">
        <v>214</v>
      </c>
      <c r="C120" s="69" t="s">
        <v>411</v>
      </c>
      <c r="D120" s="69" t="s">
        <v>47</v>
      </c>
      <c r="E120" s="70" t="s">
        <v>46</v>
      </c>
      <c r="F120" s="7" t="s">
        <v>10</v>
      </c>
      <c r="G120" s="8">
        <v>42108</v>
      </c>
      <c r="H120" s="8">
        <v>42108</v>
      </c>
      <c r="I120" s="9">
        <f ca="1">IF(NETWORKDAYS(G120,TODAY())/NETWORKDAYS(G120,H120,)&lt;0,0,IF(NETWORKDAYS(G120,TODAY())/NETWORKDAYS(G120,H120,)&gt;1,1,NETWORKDAYS(G120,TODAY())/NETWORKDAYS(G120,H120,)))</f>
        <v>1</v>
      </c>
      <c r="J120" s="9">
        <v>1</v>
      </c>
      <c r="K120" s="10">
        <f>NETWORKDAYS(G120,H120)</f>
        <v>1</v>
      </c>
      <c r="L120" s="4">
        <f>K120*8</f>
        <v>8</v>
      </c>
      <c r="M120" s="4" t="s">
        <v>113</v>
      </c>
      <c r="N120" s="4" t="s">
        <v>114</v>
      </c>
      <c r="O120" s="69">
        <f ca="1">I120*L120</f>
        <v>8</v>
      </c>
      <c r="P120" s="69">
        <f>J120*L120</f>
        <v>8</v>
      </c>
    </row>
    <row r="121" spans="1:16" x14ac:dyDescent="0.25">
      <c r="A121" s="11" t="s">
        <v>213</v>
      </c>
      <c r="B121" s="71" t="s">
        <v>214</v>
      </c>
      <c r="C121" s="71" t="s">
        <v>411</v>
      </c>
      <c r="D121" s="71" t="s">
        <v>47</v>
      </c>
      <c r="E121" s="71" t="s">
        <v>46</v>
      </c>
      <c r="F121" s="71" t="s">
        <v>34</v>
      </c>
      <c r="G121" s="22">
        <f>G119</f>
        <v>42107</v>
      </c>
      <c r="H121" s="22">
        <f>H120</f>
        <v>42108</v>
      </c>
      <c r="I121" s="13">
        <f ca="1">SUM(O119:O120)/L121</f>
        <v>1</v>
      </c>
      <c r="J121" s="13">
        <f>SUM(P119:P120)/L121</f>
        <v>1</v>
      </c>
      <c r="K121" s="14">
        <f>SUM(K119:K120)</f>
        <v>2</v>
      </c>
      <c r="L121" s="11">
        <f>SUM(L119:L120)</f>
        <v>16</v>
      </c>
      <c r="M121" s="13" t="s">
        <v>113</v>
      </c>
      <c r="N121" s="13" t="s">
        <v>114</v>
      </c>
      <c r="O121" s="69"/>
      <c r="P121" s="69"/>
    </row>
    <row r="122" spans="1:16" x14ac:dyDescent="0.25">
      <c r="A122" s="10" t="s">
        <v>215</v>
      </c>
      <c r="B122" s="69" t="s">
        <v>216</v>
      </c>
      <c r="C122" s="69" t="s">
        <v>411</v>
      </c>
      <c r="D122" s="70" t="s">
        <v>47</v>
      </c>
      <c r="E122" s="69" t="s">
        <v>46</v>
      </c>
      <c r="F122" s="7" t="s">
        <v>9</v>
      </c>
      <c r="G122" s="31">
        <v>42102</v>
      </c>
      <c r="H122" s="31">
        <v>42103</v>
      </c>
      <c r="I122" s="9">
        <f ca="1">IF(NETWORKDAYS(G122,TODAY())/NETWORKDAYS(G122,H122,)&lt;0,0,IF(NETWORKDAYS(G122,TODAY())/NETWORKDAYS(G122,H122,)&gt;1,1,NETWORKDAYS(G122,TODAY())/NETWORKDAYS(G122,H122,)))</f>
        <v>1</v>
      </c>
      <c r="J122" s="32">
        <v>1</v>
      </c>
      <c r="K122" s="10">
        <f t="shared" ref="K122:K153" si="0">NETWORKDAYS(G122,H122)</f>
        <v>2</v>
      </c>
      <c r="L122" s="4">
        <f>K122*8</f>
        <v>16</v>
      </c>
      <c r="M122" s="4" t="s">
        <v>113</v>
      </c>
      <c r="N122" s="4" t="s">
        <v>114</v>
      </c>
      <c r="O122" s="69">
        <f ca="1">I122*L122</f>
        <v>16</v>
      </c>
      <c r="P122" s="69">
        <f>J122*L122</f>
        <v>16</v>
      </c>
    </row>
    <row r="123" spans="1:16" x14ac:dyDescent="0.25">
      <c r="A123" s="10" t="s">
        <v>215</v>
      </c>
      <c r="B123" s="69" t="s">
        <v>216</v>
      </c>
      <c r="C123" s="69" t="s">
        <v>411</v>
      </c>
      <c r="D123" s="70" t="s">
        <v>47</v>
      </c>
      <c r="E123" s="69" t="s">
        <v>46</v>
      </c>
      <c r="F123" s="7" t="s">
        <v>10</v>
      </c>
      <c r="G123" s="31">
        <v>42102</v>
      </c>
      <c r="H123" s="31">
        <v>42103</v>
      </c>
      <c r="I123" s="9">
        <f ca="1">IF(NETWORKDAYS(G123,TODAY())/NETWORKDAYS(G123,H123,)&lt;0,0,IF(NETWORKDAYS(G123,TODAY())/NETWORKDAYS(G123,H123,)&gt;1,1,NETWORKDAYS(G123,TODAY())/NETWORKDAYS(G123,H123,)))</f>
        <v>1</v>
      </c>
      <c r="J123" s="32">
        <v>1</v>
      </c>
      <c r="K123" s="10">
        <f t="shared" si="0"/>
        <v>2</v>
      </c>
      <c r="L123" s="4">
        <f>K123*8</f>
        <v>16</v>
      </c>
      <c r="M123" s="4" t="s">
        <v>113</v>
      </c>
      <c r="N123" s="4" t="s">
        <v>114</v>
      </c>
      <c r="O123" s="69">
        <f ca="1">I123*L123</f>
        <v>16</v>
      </c>
      <c r="P123" s="69">
        <f>J123*L123</f>
        <v>16</v>
      </c>
    </row>
    <row r="124" spans="1:16" x14ac:dyDescent="0.25">
      <c r="A124" s="10" t="s">
        <v>215</v>
      </c>
      <c r="B124" s="69" t="s">
        <v>216</v>
      </c>
      <c r="C124" s="69" t="s">
        <v>411</v>
      </c>
      <c r="D124" s="70" t="s">
        <v>47</v>
      </c>
      <c r="E124" s="69" t="s">
        <v>46</v>
      </c>
      <c r="F124" s="7" t="s">
        <v>8</v>
      </c>
      <c r="G124" s="31">
        <v>42102</v>
      </c>
      <c r="H124" s="31">
        <v>42103</v>
      </c>
      <c r="I124" s="9">
        <f ca="1">IF(NETWORKDAYS(G124,TODAY())/NETWORKDAYS(G124,H124,)&lt;0,0,IF(NETWORKDAYS(G124,TODAY())/NETWORKDAYS(G124,H124,)&gt;1,1,NETWORKDAYS(G124,TODAY())/NETWORKDAYS(G124,H124,)))</f>
        <v>1</v>
      </c>
      <c r="J124" s="32">
        <v>1</v>
      </c>
      <c r="K124" s="10">
        <f t="shared" si="0"/>
        <v>2</v>
      </c>
      <c r="L124" s="4">
        <f>K124*8</f>
        <v>16</v>
      </c>
      <c r="M124" s="4" t="s">
        <v>113</v>
      </c>
      <c r="N124" s="4" t="s">
        <v>114</v>
      </c>
      <c r="O124" s="69">
        <f ca="1">I124*L124</f>
        <v>16</v>
      </c>
      <c r="P124" s="69">
        <f>J124*L124</f>
        <v>16</v>
      </c>
    </row>
    <row r="125" spans="1:16" x14ac:dyDescent="0.25">
      <c r="A125" s="10" t="s">
        <v>215</v>
      </c>
      <c r="B125" s="69" t="s">
        <v>216</v>
      </c>
      <c r="C125" s="69" t="s">
        <v>411</v>
      </c>
      <c r="D125" s="70" t="s">
        <v>47</v>
      </c>
      <c r="E125" s="69" t="s">
        <v>46</v>
      </c>
      <c r="F125" s="7" t="s">
        <v>11</v>
      </c>
      <c r="G125" s="31">
        <v>42102</v>
      </c>
      <c r="H125" s="31">
        <v>42103</v>
      </c>
      <c r="I125" s="9">
        <f ca="1">IF(NETWORKDAYS(G125,TODAY())/NETWORKDAYS(G125,H125,)&lt;0,0,IF(NETWORKDAYS(G125,TODAY())/NETWORKDAYS(G125,H125,)&gt;1,1,NETWORKDAYS(G125,TODAY())/NETWORKDAYS(G125,H125,)))</f>
        <v>1</v>
      </c>
      <c r="J125" s="32">
        <v>1</v>
      </c>
      <c r="K125" s="10">
        <f t="shared" si="0"/>
        <v>2</v>
      </c>
      <c r="L125" s="4">
        <f>K125*8</f>
        <v>16</v>
      </c>
      <c r="M125" s="4" t="s">
        <v>113</v>
      </c>
      <c r="N125" s="4" t="s">
        <v>114</v>
      </c>
      <c r="O125" s="69">
        <f ca="1">I125*L125</f>
        <v>16</v>
      </c>
      <c r="P125" s="69">
        <f>J125*L125</f>
        <v>16</v>
      </c>
    </row>
    <row r="126" spans="1:16" x14ac:dyDescent="0.25">
      <c r="A126" s="11" t="s">
        <v>215</v>
      </c>
      <c r="B126" s="71" t="s">
        <v>216</v>
      </c>
      <c r="C126" s="71" t="s">
        <v>411</v>
      </c>
      <c r="D126" s="71" t="s">
        <v>47</v>
      </c>
      <c r="E126" s="71" t="s">
        <v>46</v>
      </c>
      <c r="F126" s="71" t="s">
        <v>34</v>
      </c>
      <c r="G126" s="22">
        <f>G122</f>
        <v>42102</v>
      </c>
      <c r="H126" s="22">
        <f>H125</f>
        <v>42103</v>
      </c>
      <c r="I126" s="13">
        <f ca="1">SUM(O122:O125)/L126</f>
        <v>1</v>
      </c>
      <c r="J126" s="13">
        <v>1</v>
      </c>
      <c r="K126" s="14">
        <f t="shared" si="0"/>
        <v>2</v>
      </c>
      <c r="L126" s="11">
        <f>SUM(L122:L125)</f>
        <v>64</v>
      </c>
      <c r="M126" s="13" t="s">
        <v>113</v>
      </c>
      <c r="N126" s="13" t="s">
        <v>114</v>
      </c>
      <c r="O126" s="69"/>
      <c r="P126" s="69"/>
    </row>
    <row r="127" spans="1:16" x14ac:dyDescent="0.25">
      <c r="A127" s="10" t="s">
        <v>217</v>
      </c>
      <c r="B127" s="69" t="s">
        <v>218</v>
      </c>
      <c r="C127" s="69" t="s">
        <v>411</v>
      </c>
      <c r="D127" s="70" t="s">
        <v>47</v>
      </c>
      <c r="E127" s="69" t="s">
        <v>46</v>
      </c>
      <c r="F127" s="7" t="s">
        <v>9</v>
      </c>
      <c r="G127" s="31">
        <v>42102</v>
      </c>
      <c r="H127" s="31">
        <v>42103</v>
      </c>
      <c r="I127" s="9">
        <f t="shared" ref="I127:I150" ca="1" si="1">IF(NETWORKDAYS(G127,TODAY())/NETWORKDAYS(G127,H127,)&lt;0,0,IF(NETWORKDAYS(G127,TODAY())/NETWORKDAYS(G127,H127,)&gt;1,1,NETWORKDAYS(G127,TODAY())/NETWORKDAYS(G127,H127,)))</f>
        <v>1</v>
      </c>
      <c r="J127" s="32">
        <v>1</v>
      </c>
      <c r="K127" s="10">
        <f t="shared" si="0"/>
        <v>2</v>
      </c>
      <c r="L127" s="4">
        <f t="shared" ref="L127:L150" si="2">K127*8</f>
        <v>16</v>
      </c>
      <c r="M127" s="4" t="s">
        <v>113</v>
      </c>
      <c r="N127" s="4" t="s">
        <v>114</v>
      </c>
      <c r="O127" s="69">
        <f t="shared" ref="O127:O150" ca="1" si="3">I127*L127</f>
        <v>16</v>
      </c>
      <c r="P127" s="69">
        <f t="shared" ref="P127:P150" si="4">J127*L127</f>
        <v>16</v>
      </c>
    </row>
    <row r="128" spans="1:16" x14ac:dyDescent="0.25">
      <c r="A128" s="10" t="s">
        <v>217</v>
      </c>
      <c r="B128" s="69" t="s">
        <v>218</v>
      </c>
      <c r="C128" s="69" t="s">
        <v>411</v>
      </c>
      <c r="D128" s="70" t="s">
        <v>47</v>
      </c>
      <c r="E128" s="69" t="s">
        <v>46</v>
      </c>
      <c r="F128" s="7" t="s">
        <v>10</v>
      </c>
      <c r="G128" s="31">
        <v>42102</v>
      </c>
      <c r="H128" s="31">
        <v>42103</v>
      </c>
      <c r="I128" s="9">
        <f t="shared" ca="1" si="1"/>
        <v>1</v>
      </c>
      <c r="J128" s="32">
        <v>1</v>
      </c>
      <c r="K128" s="10">
        <f t="shared" si="0"/>
        <v>2</v>
      </c>
      <c r="L128" s="4">
        <f t="shared" si="2"/>
        <v>16</v>
      </c>
      <c r="M128" s="4" t="s">
        <v>113</v>
      </c>
      <c r="N128" s="4" t="s">
        <v>114</v>
      </c>
      <c r="O128" s="69">
        <f t="shared" ca="1" si="3"/>
        <v>16</v>
      </c>
      <c r="P128" s="69">
        <f t="shared" si="4"/>
        <v>16</v>
      </c>
    </row>
    <row r="129" spans="1:16" x14ac:dyDescent="0.25">
      <c r="A129" s="10" t="s">
        <v>217</v>
      </c>
      <c r="B129" s="69" t="s">
        <v>218</v>
      </c>
      <c r="C129" s="69" t="s">
        <v>411</v>
      </c>
      <c r="D129" s="70" t="s">
        <v>47</v>
      </c>
      <c r="E129" s="69" t="s">
        <v>46</v>
      </c>
      <c r="F129" s="7" t="s">
        <v>8</v>
      </c>
      <c r="G129" s="31">
        <v>42102</v>
      </c>
      <c r="H129" s="31">
        <v>42103</v>
      </c>
      <c r="I129" s="9">
        <f t="shared" ca="1" si="1"/>
        <v>1</v>
      </c>
      <c r="J129" s="32">
        <v>1</v>
      </c>
      <c r="K129" s="10">
        <f t="shared" si="0"/>
        <v>2</v>
      </c>
      <c r="L129" s="4">
        <f t="shared" si="2"/>
        <v>16</v>
      </c>
      <c r="M129" s="4" t="s">
        <v>113</v>
      </c>
      <c r="N129" s="4" t="s">
        <v>114</v>
      </c>
      <c r="O129" s="69">
        <f t="shared" ca="1" si="3"/>
        <v>16</v>
      </c>
      <c r="P129" s="69">
        <f t="shared" si="4"/>
        <v>16</v>
      </c>
    </row>
    <row r="130" spans="1:16" x14ac:dyDescent="0.25">
      <c r="A130" s="10" t="s">
        <v>217</v>
      </c>
      <c r="B130" s="69" t="s">
        <v>218</v>
      </c>
      <c r="C130" s="69" t="s">
        <v>411</v>
      </c>
      <c r="D130" s="70" t="s">
        <v>47</v>
      </c>
      <c r="E130" s="69" t="s">
        <v>46</v>
      </c>
      <c r="F130" s="7" t="s">
        <v>11</v>
      </c>
      <c r="G130" s="31">
        <v>42102</v>
      </c>
      <c r="H130" s="31">
        <v>42103</v>
      </c>
      <c r="I130" s="9">
        <f t="shared" ca="1" si="1"/>
        <v>1</v>
      </c>
      <c r="J130" s="32">
        <v>1</v>
      </c>
      <c r="K130" s="10">
        <f t="shared" si="0"/>
        <v>2</v>
      </c>
      <c r="L130" s="4">
        <f t="shared" si="2"/>
        <v>16</v>
      </c>
      <c r="M130" s="4" t="s">
        <v>113</v>
      </c>
      <c r="N130" s="4" t="s">
        <v>114</v>
      </c>
      <c r="O130" s="69">
        <f t="shared" ca="1" si="3"/>
        <v>16</v>
      </c>
      <c r="P130" s="69">
        <f t="shared" si="4"/>
        <v>16</v>
      </c>
    </row>
    <row r="131" spans="1:16" x14ac:dyDescent="0.25">
      <c r="A131" s="11" t="s">
        <v>217</v>
      </c>
      <c r="B131" s="71" t="s">
        <v>218</v>
      </c>
      <c r="C131" s="71" t="s">
        <v>411</v>
      </c>
      <c r="D131" s="71" t="s">
        <v>47</v>
      </c>
      <c r="E131" s="71" t="s">
        <v>46</v>
      </c>
      <c r="F131" s="71" t="s">
        <v>34</v>
      </c>
      <c r="G131" s="22">
        <v>42102</v>
      </c>
      <c r="H131" s="22">
        <v>42103</v>
      </c>
      <c r="I131" s="13">
        <f t="shared" ca="1" si="1"/>
        <v>1</v>
      </c>
      <c r="J131" s="13">
        <v>1</v>
      </c>
      <c r="K131" s="14">
        <f t="shared" si="0"/>
        <v>2</v>
      </c>
      <c r="L131" s="11">
        <f t="shared" si="2"/>
        <v>16</v>
      </c>
      <c r="M131" s="11" t="s">
        <v>113</v>
      </c>
      <c r="N131" s="11" t="s">
        <v>114</v>
      </c>
      <c r="O131" s="69">
        <f t="shared" ca="1" si="3"/>
        <v>16</v>
      </c>
      <c r="P131" s="69">
        <f t="shared" si="4"/>
        <v>16</v>
      </c>
    </row>
    <row r="132" spans="1:16" x14ac:dyDescent="0.25">
      <c r="A132" s="10" t="s">
        <v>219</v>
      </c>
      <c r="B132" s="69" t="s">
        <v>220</v>
      </c>
      <c r="C132" s="69" t="s">
        <v>411</v>
      </c>
      <c r="D132" s="70" t="s">
        <v>47</v>
      </c>
      <c r="E132" s="69" t="s">
        <v>46</v>
      </c>
      <c r="F132" s="7" t="s">
        <v>9</v>
      </c>
      <c r="G132" s="31">
        <v>42102</v>
      </c>
      <c r="H132" s="31">
        <v>42103</v>
      </c>
      <c r="I132" s="9">
        <f t="shared" ca="1" si="1"/>
        <v>1</v>
      </c>
      <c r="J132" s="32">
        <v>1</v>
      </c>
      <c r="K132" s="10">
        <f t="shared" si="0"/>
        <v>2</v>
      </c>
      <c r="L132" s="4">
        <f t="shared" si="2"/>
        <v>16</v>
      </c>
      <c r="M132" s="4" t="s">
        <v>105</v>
      </c>
      <c r="N132" s="4" t="s">
        <v>106</v>
      </c>
      <c r="O132" s="69">
        <f t="shared" ca="1" si="3"/>
        <v>16</v>
      </c>
      <c r="P132" s="69">
        <f t="shared" si="4"/>
        <v>16</v>
      </c>
    </row>
    <row r="133" spans="1:16" x14ac:dyDescent="0.25">
      <c r="A133" s="10" t="s">
        <v>219</v>
      </c>
      <c r="B133" s="69" t="s">
        <v>220</v>
      </c>
      <c r="C133" s="69" t="s">
        <v>411</v>
      </c>
      <c r="D133" s="70" t="s">
        <v>47</v>
      </c>
      <c r="E133" s="69" t="s">
        <v>46</v>
      </c>
      <c r="F133" s="7" t="s">
        <v>10</v>
      </c>
      <c r="G133" s="31">
        <v>42102</v>
      </c>
      <c r="H133" s="31">
        <v>42103</v>
      </c>
      <c r="I133" s="9">
        <f t="shared" ca="1" si="1"/>
        <v>1</v>
      </c>
      <c r="J133" s="32">
        <v>1</v>
      </c>
      <c r="K133" s="10">
        <f t="shared" si="0"/>
        <v>2</v>
      </c>
      <c r="L133" s="4">
        <f t="shared" si="2"/>
        <v>16</v>
      </c>
      <c r="M133" s="4" t="s">
        <v>105</v>
      </c>
      <c r="N133" s="4" t="s">
        <v>106</v>
      </c>
      <c r="O133" s="69">
        <f t="shared" ca="1" si="3"/>
        <v>16</v>
      </c>
      <c r="P133" s="69">
        <f t="shared" si="4"/>
        <v>16</v>
      </c>
    </row>
    <row r="134" spans="1:16" x14ac:dyDescent="0.25">
      <c r="A134" s="10" t="s">
        <v>219</v>
      </c>
      <c r="B134" s="69" t="s">
        <v>220</v>
      </c>
      <c r="C134" s="69" t="s">
        <v>411</v>
      </c>
      <c r="D134" s="70" t="s">
        <v>47</v>
      </c>
      <c r="E134" s="69" t="s">
        <v>46</v>
      </c>
      <c r="F134" s="7" t="s">
        <v>8</v>
      </c>
      <c r="G134" s="31">
        <v>42102</v>
      </c>
      <c r="H134" s="31">
        <v>42103</v>
      </c>
      <c r="I134" s="9">
        <f t="shared" ca="1" si="1"/>
        <v>1</v>
      </c>
      <c r="J134" s="32">
        <v>1</v>
      </c>
      <c r="K134" s="10">
        <f t="shared" si="0"/>
        <v>2</v>
      </c>
      <c r="L134" s="4">
        <f t="shared" si="2"/>
        <v>16</v>
      </c>
      <c r="M134" s="4" t="s">
        <v>105</v>
      </c>
      <c r="N134" s="4" t="s">
        <v>106</v>
      </c>
      <c r="O134" s="69">
        <f t="shared" ca="1" si="3"/>
        <v>16</v>
      </c>
      <c r="P134" s="69">
        <f t="shared" si="4"/>
        <v>16</v>
      </c>
    </row>
    <row r="135" spans="1:16" x14ac:dyDescent="0.25">
      <c r="A135" s="10" t="s">
        <v>219</v>
      </c>
      <c r="B135" s="69" t="s">
        <v>220</v>
      </c>
      <c r="C135" s="69" t="s">
        <v>411</v>
      </c>
      <c r="D135" s="70" t="s">
        <v>47</v>
      </c>
      <c r="E135" s="69" t="s">
        <v>46</v>
      </c>
      <c r="F135" s="7" t="s">
        <v>11</v>
      </c>
      <c r="G135" s="31">
        <v>42102</v>
      </c>
      <c r="H135" s="31">
        <v>42103</v>
      </c>
      <c r="I135" s="9">
        <f t="shared" ca="1" si="1"/>
        <v>1</v>
      </c>
      <c r="J135" s="32">
        <v>1</v>
      </c>
      <c r="K135" s="10">
        <f t="shared" si="0"/>
        <v>2</v>
      </c>
      <c r="L135" s="4">
        <f t="shared" si="2"/>
        <v>16</v>
      </c>
      <c r="M135" s="4" t="s">
        <v>105</v>
      </c>
      <c r="N135" s="4" t="s">
        <v>106</v>
      </c>
      <c r="O135" s="69">
        <f t="shared" ca="1" si="3"/>
        <v>16</v>
      </c>
      <c r="P135" s="69">
        <f t="shared" si="4"/>
        <v>16</v>
      </c>
    </row>
    <row r="136" spans="1:16" x14ac:dyDescent="0.25">
      <c r="A136" s="11" t="s">
        <v>219</v>
      </c>
      <c r="B136" s="71" t="s">
        <v>220</v>
      </c>
      <c r="C136" s="71" t="s">
        <v>411</v>
      </c>
      <c r="D136" s="71" t="s">
        <v>47</v>
      </c>
      <c r="E136" s="71" t="s">
        <v>46</v>
      </c>
      <c r="F136" s="71" t="s">
        <v>34</v>
      </c>
      <c r="G136" s="22">
        <v>42102</v>
      </c>
      <c r="H136" s="22">
        <v>42103</v>
      </c>
      <c r="I136" s="13">
        <f t="shared" ca="1" si="1"/>
        <v>1</v>
      </c>
      <c r="J136" s="13">
        <v>1</v>
      </c>
      <c r="K136" s="14">
        <f t="shared" si="0"/>
        <v>2</v>
      </c>
      <c r="L136" s="11">
        <f t="shared" si="2"/>
        <v>16</v>
      </c>
      <c r="M136" s="11" t="s">
        <v>105</v>
      </c>
      <c r="N136" s="11" t="s">
        <v>106</v>
      </c>
      <c r="O136" s="69">
        <f t="shared" ca="1" si="3"/>
        <v>16</v>
      </c>
      <c r="P136" s="69">
        <f t="shared" si="4"/>
        <v>16</v>
      </c>
    </row>
    <row r="137" spans="1:16" x14ac:dyDescent="0.25">
      <c r="A137" s="10" t="s">
        <v>221</v>
      </c>
      <c r="B137" s="69" t="s">
        <v>222</v>
      </c>
      <c r="C137" s="69" t="s">
        <v>411</v>
      </c>
      <c r="D137" s="70" t="s">
        <v>47</v>
      </c>
      <c r="E137" s="69" t="s">
        <v>46</v>
      </c>
      <c r="F137" s="7" t="s">
        <v>9</v>
      </c>
      <c r="G137" s="31">
        <v>42114</v>
      </c>
      <c r="H137" s="31">
        <f>G137+3</f>
        <v>42117</v>
      </c>
      <c r="I137" s="9">
        <f t="shared" ca="1" si="1"/>
        <v>1</v>
      </c>
      <c r="J137" s="32">
        <v>1</v>
      </c>
      <c r="K137" s="10">
        <f t="shared" si="0"/>
        <v>4</v>
      </c>
      <c r="L137" s="4">
        <f t="shared" si="2"/>
        <v>32</v>
      </c>
      <c r="M137" s="4" t="s">
        <v>100</v>
      </c>
      <c r="N137" s="4" t="s">
        <v>125</v>
      </c>
      <c r="O137" s="69">
        <f t="shared" ca="1" si="3"/>
        <v>32</v>
      </c>
      <c r="P137" s="69">
        <f t="shared" si="4"/>
        <v>32</v>
      </c>
    </row>
    <row r="138" spans="1:16" x14ac:dyDescent="0.25">
      <c r="A138" s="10" t="s">
        <v>221</v>
      </c>
      <c r="B138" s="69" t="s">
        <v>222</v>
      </c>
      <c r="C138" s="69" t="s">
        <v>411</v>
      </c>
      <c r="D138" s="70" t="s">
        <v>47</v>
      </c>
      <c r="E138" s="69" t="s">
        <v>46</v>
      </c>
      <c r="F138" s="7" t="s">
        <v>10</v>
      </c>
      <c r="G138" s="31">
        <f>H137</f>
        <v>42117</v>
      </c>
      <c r="H138" s="31">
        <f>G138+3</f>
        <v>42120</v>
      </c>
      <c r="I138" s="9">
        <f t="shared" ca="1" si="1"/>
        <v>1</v>
      </c>
      <c r="J138" s="32">
        <v>1</v>
      </c>
      <c r="K138" s="10">
        <f t="shared" si="0"/>
        <v>2</v>
      </c>
      <c r="L138" s="4">
        <f t="shared" si="2"/>
        <v>16</v>
      </c>
      <c r="M138" s="4" t="s">
        <v>100</v>
      </c>
      <c r="N138" s="4" t="s">
        <v>125</v>
      </c>
      <c r="O138" s="69">
        <f t="shared" ca="1" si="3"/>
        <v>16</v>
      </c>
      <c r="P138" s="69">
        <f t="shared" si="4"/>
        <v>16</v>
      </c>
    </row>
    <row r="139" spans="1:16" x14ac:dyDescent="0.25">
      <c r="A139" s="10" t="s">
        <v>221</v>
      </c>
      <c r="B139" s="69" t="s">
        <v>222</v>
      </c>
      <c r="C139" s="69" t="s">
        <v>411</v>
      </c>
      <c r="D139" s="70" t="s">
        <v>47</v>
      </c>
      <c r="E139" s="69" t="s">
        <v>46</v>
      </c>
      <c r="F139" s="7" t="s">
        <v>8</v>
      </c>
      <c r="G139" s="31">
        <f>H138</f>
        <v>42120</v>
      </c>
      <c r="H139" s="31">
        <f>G139+3</f>
        <v>42123</v>
      </c>
      <c r="I139" s="9">
        <f t="shared" ca="1" si="1"/>
        <v>1</v>
      </c>
      <c r="J139" s="32">
        <v>1</v>
      </c>
      <c r="K139" s="10">
        <f t="shared" si="0"/>
        <v>3</v>
      </c>
      <c r="L139" s="4">
        <f t="shared" si="2"/>
        <v>24</v>
      </c>
      <c r="M139" s="4" t="s">
        <v>100</v>
      </c>
      <c r="N139" s="4" t="s">
        <v>125</v>
      </c>
      <c r="O139" s="69">
        <f t="shared" ca="1" si="3"/>
        <v>24</v>
      </c>
      <c r="P139" s="69">
        <f t="shared" si="4"/>
        <v>24</v>
      </c>
    </row>
    <row r="140" spans="1:16" x14ac:dyDescent="0.25">
      <c r="A140" s="10" t="s">
        <v>221</v>
      </c>
      <c r="B140" s="69" t="s">
        <v>222</v>
      </c>
      <c r="C140" s="69" t="s">
        <v>411</v>
      </c>
      <c r="D140" s="70" t="s">
        <v>47</v>
      </c>
      <c r="E140" s="69" t="s">
        <v>46</v>
      </c>
      <c r="F140" s="7" t="s">
        <v>11</v>
      </c>
      <c r="G140" s="31">
        <f>H139</f>
        <v>42123</v>
      </c>
      <c r="H140" s="31">
        <v>42128</v>
      </c>
      <c r="I140" s="9">
        <f t="shared" ca="1" si="1"/>
        <v>1</v>
      </c>
      <c r="J140" s="32">
        <v>1</v>
      </c>
      <c r="K140" s="10">
        <f t="shared" si="0"/>
        <v>4</v>
      </c>
      <c r="L140" s="4">
        <f t="shared" si="2"/>
        <v>32</v>
      </c>
      <c r="M140" s="4" t="s">
        <v>100</v>
      </c>
      <c r="N140" s="4" t="s">
        <v>125</v>
      </c>
      <c r="O140" s="69">
        <f t="shared" ca="1" si="3"/>
        <v>32</v>
      </c>
      <c r="P140" s="69">
        <f t="shared" si="4"/>
        <v>32</v>
      </c>
    </row>
    <row r="141" spans="1:16" x14ac:dyDescent="0.25">
      <c r="A141" s="11" t="s">
        <v>221</v>
      </c>
      <c r="B141" s="71" t="s">
        <v>222</v>
      </c>
      <c r="C141" s="71" t="s">
        <v>411</v>
      </c>
      <c r="D141" s="71" t="s">
        <v>47</v>
      </c>
      <c r="E141" s="71" t="s">
        <v>46</v>
      </c>
      <c r="F141" s="71" t="s">
        <v>34</v>
      </c>
      <c r="G141" s="22">
        <f>G137</f>
        <v>42114</v>
      </c>
      <c r="H141" s="22">
        <v>42128</v>
      </c>
      <c r="I141" s="13">
        <f t="shared" ca="1" si="1"/>
        <v>1</v>
      </c>
      <c r="J141" s="13">
        <v>1</v>
      </c>
      <c r="K141" s="14">
        <f t="shared" si="0"/>
        <v>11</v>
      </c>
      <c r="L141" s="11">
        <f t="shared" si="2"/>
        <v>88</v>
      </c>
      <c r="M141" s="11" t="s">
        <v>100</v>
      </c>
      <c r="N141" s="11" t="s">
        <v>125</v>
      </c>
      <c r="O141" s="69">
        <f t="shared" ca="1" si="3"/>
        <v>88</v>
      </c>
      <c r="P141" s="69">
        <f t="shared" si="4"/>
        <v>88</v>
      </c>
    </row>
    <row r="142" spans="1:16" x14ac:dyDescent="0.25">
      <c r="A142" s="10" t="s">
        <v>223</v>
      </c>
      <c r="B142" s="69" t="s">
        <v>224</v>
      </c>
      <c r="C142" s="69" t="s">
        <v>411</v>
      </c>
      <c r="D142" s="70" t="s">
        <v>47</v>
      </c>
      <c r="E142" s="69" t="s">
        <v>46</v>
      </c>
      <c r="F142" s="7" t="s">
        <v>9</v>
      </c>
      <c r="G142" s="31">
        <v>42110</v>
      </c>
      <c r="H142" s="31">
        <v>42110</v>
      </c>
      <c r="I142" s="9">
        <f t="shared" ca="1" si="1"/>
        <v>1</v>
      </c>
      <c r="J142" s="32">
        <v>1</v>
      </c>
      <c r="K142" s="10">
        <f t="shared" si="0"/>
        <v>1</v>
      </c>
      <c r="L142" s="4">
        <f t="shared" si="2"/>
        <v>8</v>
      </c>
      <c r="M142" s="4" t="s">
        <v>126</v>
      </c>
      <c r="N142" s="4" t="s">
        <v>127</v>
      </c>
      <c r="O142" s="69">
        <f t="shared" ca="1" si="3"/>
        <v>8</v>
      </c>
      <c r="P142" s="69">
        <f t="shared" si="4"/>
        <v>8</v>
      </c>
    </row>
    <row r="143" spans="1:16" x14ac:dyDescent="0.25">
      <c r="A143" s="10" t="s">
        <v>223</v>
      </c>
      <c r="B143" s="69" t="s">
        <v>224</v>
      </c>
      <c r="C143" s="69" t="s">
        <v>411</v>
      </c>
      <c r="D143" s="70" t="s">
        <v>47</v>
      </c>
      <c r="E143" s="69" t="s">
        <v>46</v>
      </c>
      <c r="F143" s="7" t="s">
        <v>10</v>
      </c>
      <c r="G143" s="31">
        <f>H142</f>
        <v>42110</v>
      </c>
      <c r="H143" s="31">
        <v>42110</v>
      </c>
      <c r="I143" s="9">
        <f t="shared" ca="1" si="1"/>
        <v>1</v>
      </c>
      <c r="J143" s="32">
        <v>1</v>
      </c>
      <c r="K143" s="10">
        <f t="shared" si="0"/>
        <v>1</v>
      </c>
      <c r="L143" s="4">
        <f t="shared" si="2"/>
        <v>8</v>
      </c>
      <c r="M143" s="4" t="s">
        <v>126</v>
      </c>
      <c r="N143" s="4" t="s">
        <v>127</v>
      </c>
      <c r="O143" s="69">
        <f t="shared" ca="1" si="3"/>
        <v>8</v>
      </c>
      <c r="P143" s="69">
        <f t="shared" si="4"/>
        <v>8</v>
      </c>
    </row>
    <row r="144" spans="1:16" x14ac:dyDescent="0.25">
      <c r="A144" s="10" t="s">
        <v>223</v>
      </c>
      <c r="B144" s="69" t="s">
        <v>224</v>
      </c>
      <c r="C144" s="69" t="s">
        <v>411</v>
      </c>
      <c r="D144" s="70" t="s">
        <v>47</v>
      </c>
      <c r="E144" s="69" t="s">
        <v>46</v>
      </c>
      <c r="F144" s="7" t="s">
        <v>8</v>
      </c>
      <c r="G144" s="31">
        <f>H143</f>
        <v>42110</v>
      </c>
      <c r="H144" s="31">
        <v>42110</v>
      </c>
      <c r="I144" s="9">
        <f t="shared" ca="1" si="1"/>
        <v>1</v>
      </c>
      <c r="J144" s="32">
        <v>1</v>
      </c>
      <c r="K144" s="10">
        <f t="shared" si="0"/>
        <v>1</v>
      </c>
      <c r="L144" s="4">
        <f t="shared" si="2"/>
        <v>8</v>
      </c>
      <c r="M144" s="4" t="s">
        <v>126</v>
      </c>
      <c r="N144" s="4" t="s">
        <v>127</v>
      </c>
      <c r="O144" s="69">
        <f t="shared" ca="1" si="3"/>
        <v>8</v>
      </c>
      <c r="P144" s="69">
        <f t="shared" si="4"/>
        <v>8</v>
      </c>
    </row>
    <row r="145" spans="1:16" x14ac:dyDescent="0.25">
      <c r="A145" s="10" t="s">
        <v>223</v>
      </c>
      <c r="B145" s="69" t="s">
        <v>224</v>
      </c>
      <c r="C145" s="69" t="s">
        <v>411</v>
      </c>
      <c r="D145" s="70" t="s">
        <v>47</v>
      </c>
      <c r="E145" s="69" t="s">
        <v>46</v>
      </c>
      <c r="F145" s="7" t="s">
        <v>11</v>
      </c>
      <c r="G145" s="31">
        <v>42114</v>
      </c>
      <c r="H145" s="31">
        <v>42114</v>
      </c>
      <c r="I145" s="9">
        <f t="shared" ca="1" si="1"/>
        <v>1</v>
      </c>
      <c r="J145" s="32">
        <v>1</v>
      </c>
      <c r="K145" s="10">
        <f t="shared" si="0"/>
        <v>1</v>
      </c>
      <c r="L145" s="4">
        <f t="shared" si="2"/>
        <v>8</v>
      </c>
      <c r="M145" s="4" t="s">
        <v>126</v>
      </c>
      <c r="N145" s="4" t="s">
        <v>127</v>
      </c>
      <c r="O145" s="69">
        <f t="shared" ca="1" si="3"/>
        <v>8</v>
      </c>
      <c r="P145" s="69">
        <f t="shared" si="4"/>
        <v>8</v>
      </c>
    </row>
    <row r="146" spans="1:16" x14ac:dyDescent="0.25">
      <c r="A146" s="11" t="s">
        <v>223</v>
      </c>
      <c r="B146" s="71" t="s">
        <v>224</v>
      </c>
      <c r="C146" s="71" t="s">
        <v>411</v>
      </c>
      <c r="D146" s="71" t="s">
        <v>47</v>
      </c>
      <c r="E146" s="71" t="s">
        <v>46</v>
      </c>
      <c r="F146" s="71" t="s">
        <v>34</v>
      </c>
      <c r="G146" s="22">
        <f>G142</f>
        <v>42110</v>
      </c>
      <c r="H146" s="22">
        <v>42114</v>
      </c>
      <c r="I146" s="13">
        <f t="shared" ca="1" si="1"/>
        <v>1</v>
      </c>
      <c r="J146" s="13">
        <v>1</v>
      </c>
      <c r="K146" s="14">
        <f t="shared" si="0"/>
        <v>3</v>
      </c>
      <c r="L146" s="11">
        <f t="shared" si="2"/>
        <v>24</v>
      </c>
      <c r="M146" s="11" t="s">
        <v>126</v>
      </c>
      <c r="N146" s="11" t="s">
        <v>127</v>
      </c>
      <c r="O146" s="69">
        <f t="shared" ca="1" si="3"/>
        <v>24</v>
      </c>
      <c r="P146" s="69">
        <f t="shared" si="4"/>
        <v>24</v>
      </c>
    </row>
    <row r="147" spans="1:16" x14ac:dyDescent="0.25">
      <c r="A147" s="4" t="s">
        <v>137</v>
      </c>
      <c r="B147" s="69" t="s">
        <v>135</v>
      </c>
      <c r="C147" s="78" t="s">
        <v>411</v>
      </c>
      <c r="D147" s="79" t="s">
        <v>136</v>
      </c>
      <c r="E147" s="79" t="s">
        <v>53</v>
      </c>
      <c r="F147" s="34" t="s">
        <v>50</v>
      </c>
      <c r="G147" s="43">
        <v>42131</v>
      </c>
      <c r="H147" s="31">
        <f>G147+2</f>
        <v>42133</v>
      </c>
      <c r="I147" s="9">
        <f t="shared" ca="1" si="1"/>
        <v>1</v>
      </c>
      <c r="J147" s="9">
        <v>1</v>
      </c>
      <c r="K147" s="4">
        <f t="shared" si="0"/>
        <v>2</v>
      </c>
      <c r="L147" s="4">
        <f t="shared" si="2"/>
        <v>16</v>
      </c>
      <c r="M147" s="4" t="s">
        <v>138</v>
      </c>
      <c r="N147" s="4" t="s">
        <v>139</v>
      </c>
      <c r="O147" s="69">
        <f t="shared" ca="1" si="3"/>
        <v>16</v>
      </c>
      <c r="P147" s="72">
        <f t="shared" si="4"/>
        <v>16</v>
      </c>
    </row>
    <row r="148" spans="1:16" x14ac:dyDescent="0.25">
      <c r="A148" s="4" t="s">
        <v>137</v>
      </c>
      <c r="B148" s="69" t="s">
        <v>135</v>
      </c>
      <c r="C148" s="78" t="s">
        <v>411</v>
      </c>
      <c r="D148" s="79" t="s">
        <v>136</v>
      </c>
      <c r="E148" s="79" t="s">
        <v>53</v>
      </c>
      <c r="F148" s="34" t="s">
        <v>50</v>
      </c>
      <c r="G148" s="43">
        <f>H147</f>
        <v>42133</v>
      </c>
      <c r="H148" s="31">
        <f>G148+10</f>
        <v>42143</v>
      </c>
      <c r="I148" s="9">
        <f t="shared" ca="1" si="1"/>
        <v>1</v>
      </c>
      <c r="J148" s="9">
        <v>1</v>
      </c>
      <c r="K148" s="4">
        <f t="shared" si="0"/>
        <v>7</v>
      </c>
      <c r="L148" s="4">
        <f t="shared" si="2"/>
        <v>56</v>
      </c>
      <c r="M148" s="4" t="s">
        <v>138</v>
      </c>
      <c r="N148" s="4" t="s">
        <v>139</v>
      </c>
      <c r="O148" s="69">
        <f t="shared" ca="1" si="3"/>
        <v>56</v>
      </c>
      <c r="P148" s="69">
        <f t="shared" si="4"/>
        <v>56</v>
      </c>
    </row>
    <row r="149" spans="1:16" x14ac:dyDescent="0.25">
      <c r="A149" s="4" t="s">
        <v>137</v>
      </c>
      <c r="B149" s="69" t="s">
        <v>135</v>
      </c>
      <c r="C149" s="78" t="s">
        <v>411</v>
      </c>
      <c r="D149" s="79" t="s">
        <v>136</v>
      </c>
      <c r="E149" s="79" t="s">
        <v>53</v>
      </c>
      <c r="F149" s="34" t="s">
        <v>51</v>
      </c>
      <c r="G149" s="43">
        <f>H148</f>
        <v>42143</v>
      </c>
      <c r="H149" s="31">
        <f>G149+2</f>
        <v>42145</v>
      </c>
      <c r="I149" s="9">
        <f t="shared" ca="1" si="1"/>
        <v>1</v>
      </c>
      <c r="J149" s="9">
        <v>1</v>
      </c>
      <c r="K149" s="4">
        <f t="shared" si="0"/>
        <v>3</v>
      </c>
      <c r="L149" s="4">
        <f t="shared" si="2"/>
        <v>24</v>
      </c>
      <c r="M149" s="4" t="s">
        <v>138</v>
      </c>
      <c r="N149" s="4" t="s">
        <v>139</v>
      </c>
      <c r="O149" s="69">
        <f t="shared" ca="1" si="3"/>
        <v>24</v>
      </c>
      <c r="P149" s="69">
        <f t="shared" si="4"/>
        <v>24</v>
      </c>
    </row>
    <row r="150" spans="1:16" x14ac:dyDescent="0.25">
      <c r="A150" s="4" t="s">
        <v>137</v>
      </c>
      <c r="B150" s="69" t="s">
        <v>135</v>
      </c>
      <c r="C150" s="78" t="s">
        <v>411</v>
      </c>
      <c r="D150" s="79" t="s">
        <v>136</v>
      </c>
      <c r="E150" s="79" t="s">
        <v>53</v>
      </c>
      <c r="F150" s="34" t="s">
        <v>52</v>
      </c>
      <c r="G150" s="43">
        <f>H149</f>
        <v>42145</v>
      </c>
      <c r="H150" s="31">
        <v>42146</v>
      </c>
      <c r="I150" s="9">
        <f t="shared" ca="1" si="1"/>
        <v>1</v>
      </c>
      <c r="J150" s="9">
        <v>1</v>
      </c>
      <c r="K150" s="4">
        <f t="shared" si="0"/>
        <v>2</v>
      </c>
      <c r="L150" s="4">
        <f t="shared" si="2"/>
        <v>16</v>
      </c>
      <c r="M150" s="4" t="s">
        <v>138</v>
      </c>
      <c r="N150" s="4" t="s">
        <v>139</v>
      </c>
      <c r="O150" s="69">
        <f t="shared" ca="1" si="3"/>
        <v>16</v>
      </c>
      <c r="P150" s="69">
        <f t="shared" si="4"/>
        <v>16</v>
      </c>
    </row>
    <row r="151" spans="1:16" x14ac:dyDescent="0.25">
      <c r="A151" s="11" t="str">
        <f>A148</f>
        <v>ID161</v>
      </c>
      <c r="B151" s="35" t="s">
        <v>135</v>
      </c>
      <c r="C151" s="35" t="s">
        <v>411</v>
      </c>
      <c r="D151" s="35" t="s">
        <v>136</v>
      </c>
      <c r="E151" s="35" t="str">
        <f>E148</f>
        <v>Olga</v>
      </c>
      <c r="F151" s="35" t="s">
        <v>34</v>
      </c>
      <c r="G151" s="22">
        <f>G147</f>
        <v>42131</v>
      </c>
      <c r="H151" s="22">
        <f>H150</f>
        <v>42146</v>
      </c>
      <c r="I151" s="13">
        <f ca="1">SUM(O147:O150)/L151</f>
        <v>1</v>
      </c>
      <c r="J151" s="13">
        <f>SUM(P147:P150)/L151</f>
        <v>1</v>
      </c>
      <c r="K151" s="11">
        <f t="shared" si="0"/>
        <v>12</v>
      </c>
      <c r="L151" s="11">
        <f>SUM(L147:L150)</f>
        <v>112</v>
      </c>
      <c r="M151" s="11" t="s">
        <v>138</v>
      </c>
      <c r="N151" s="11" t="s">
        <v>139</v>
      </c>
      <c r="O151" s="69"/>
      <c r="P151" s="69"/>
    </row>
    <row r="152" spans="1:16" x14ac:dyDescent="0.25">
      <c r="A152" s="10" t="s">
        <v>225</v>
      </c>
      <c r="B152" s="69" t="s">
        <v>226</v>
      </c>
      <c r="C152" s="69" t="s">
        <v>411</v>
      </c>
      <c r="D152" s="70" t="s">
        <v>37</v>
      </c>
      <c r="E152" s="69" t="s">
        <v>46</v>
      </c>
      <c r="F152" s="7" t="s">
        <v>9</v>
      </c>
      <c r="G152" s="31">
        <v>42114</v>
      </c>
      <c r="H152" s="31">
        <f>G152+5</f>
        <v>42119</v>
      </c>
      <c r="I152" s="9">
        <f ca="1">IF(NETWORKDAYS(G152,TODAY())/NETWORKDAYS(G152,H152,)&lt;0,0,IF(NETWORKDAYS(G152,TODAY())/NETWORKDAYS(G152,H152,)&gt;1,1,NETWORKDAYS(G152,TODAY())/NETWORKDAYS(G152,H152,)))</f>
        <v>1</v>
      </c>
      <c r="J152" s="32">
        <v>1</v>
      </c>
      <c r="K152" s="10">
        <f t="shared" si="0"/>
        <v>5</v>
      </c>
      <c r="L152" s="4">
        <f t="shared" ref="L152:L195" si="5">K152*8</f>
        <v>40</v>
      </c>
      <c r="M152" s="4" t="s">
        <v>130</v>
      </c>
      <c r="N152" s="4" t="s">
        <v>131</v>
      </c>
      <c r="O152" s="69">
        <f t="shared" ref="O152:O195" ca="1" si="6">I152*L152</f>
        <v>40</v>
      </c>
      <c r="P152" s="69">
        <f t="shared" ref="P152:P195" si="7">J152*L152</f>
        <v>40</v>
      </c>
    </row>
    <row r="153" spans="1:16" x14ac:dyDescent="0.25">
      <c r="A153" s="10" t="s">
        <v>225</v>
      </c>
      <c r="B153" s="69" t="s">
        <v>226</v>
      </c>
      <c r="C153" s="69" t="s">
        <v>411</v>
      </c>
      <c r="D153" s="70" t="s">
        <v>37</v>
      </c>
      <c r="E153" s="69" t="s">
        <v>46</v>
      </c>
      <c r="F153" s="7" t="s">
        <v>10</v>
      </c>
      <c r="G153" s="31">
        <f>H152</f>
        <v>42119</v>
      </c>
      <c r="H153" s="31">
        <f>G153+5</f>
        <v>42124</v>
      </c>
      <c r="I153" s="9">
        <f ca="1">IF(NETWORKDAYS(G153,TODAY())/NETWORKDAYS(G153,H153,)&lt;0,0,IF(NETWORKDAYS(G153,TODAY())/NETWORKDAYS(G153,H153,)&gt;1,1,NETWORKDAYS(G153,TODAY())/NETWORKDAYS(G153,H153,)))</f>
        <v>1</v>
      </c>
      <c r="J153" s="32">
        <v>1</v>
      </c>
      <c r="K153" s="10">
        <f t="shared" si="0"/>
        <v>4</v>
      </c>
      <c r="L153" s="4">
        <f t="shared" si="5"/>
        <v>32</v>
      </c>
      <c r="M153" s="4" t="s">
        <v>130</v>
      </c>
      <c r="N153" s="4" t="s">
        <v>131</v>
      </c>
      <c r="O153" s="69">
        <f t="shared" ca="1" si="6"/>
        <v>32</v>
      </c>
      <c r="P153" s="69">
        <f t="shared" si="7"/>
        <v>32</v>
      </c>
    </row>
    <row r="154" spans="1:16" x14ac:dyDescent="0.25">
      <c r="A154" s="10" t="s">
        <v>225</v>
      </c>
      <c r="B154" s="69" t="s">
        <v>226</v>
      </c>
      <c r="C154" s="69" t="s">
        <v>411</v>
      </c>
      <c r="D154" s="70" t="s">
        <v>37</v>
      </c>
      <c r="E154" s="69" t="s">
        <v>46</v>
      </c>
      <c r="F154" s="7" t="s">
        <v>8</v>
      </c>
      <c r="G154" s="31">
        <f>H153</f>
        <v>42124</v>
      </c>
      <c r="H154" s="31">
        <f>G154+5</f>
        <v>42129</v>
      </c>
      <c r="I154" s="9">
        <f ca="1">IF(NETWORKDAYS(G154,TODAY())/NETWORKDAYS(G154,H154,)&lt;0,0,IF(NETWORKDAYS(G154,TODAY())/NETWORKDAYS(G154,H154,)&gt;1,1,NETWORKDAYS(G154,TODAY())/NETWORKDAYS(G154,H154,)))</f>
        <v>1</v>
      </c>
      <c r="J154" s="32">
        <v>1</v>
      </c>
      <c r="K154" s="10">
        <f t="shared" ref="K154:K185" si="8">NETWORKDAYS(G154,H154)</f>
        <v>4</v>
      </c>
      <c r="L154" s="4">
        <f t="shared" si="5"/>
        <v>32</v>
      </c>
      <c r="M154" s="4" t="s">
        <v>130</v>
      </c>
      <c r="N154" s="4" t="s">
        <v>131</v>
      </c>
      <c r="O154" s="69">
        <f t="shared" ca="1" si="6"/>
        <v>32</v>
      </c>
      <c r="P154" s="69">
        <f t="shared" si="7"/>
        <v>32</v>
      </c>
    </row>
    <row r="155" spans="1:16" x14ac:dyDescent="0.25">
      <c r="A155" s="10" t="s">
        <v>225</v>
      </c>
      <c r="B155" s="69" t="s">
        <v>226</v>
      </c>
      <c r="C155" s="69" t="s">
        <v>411</v>
      </c>
      <c r="D155" s="70" t="s">
        <v>37</v>
      </c>
      <c r="E155" s="69" t="s">
        <v>46</v>
      </c>
      <c r="F155" s="7" t="s">
        <v>11</v>
      </c>
      <c r="G155" s="31">
        <f>H154</f>
        <v>42129</v>
      </c>
      <c r="H155" s="31">
        <v>42139</v>
      </c>
      <c r="I155" s="9">
        <v>1</v>
      </c>
      <c r="J155" s="32">
        <v>1</v>
      </c>
      <c r="K155" s="10">
        <f t="shared" si="8"/>
        <v>9</v>
      </c>
      <c r="L155" s="4">
        <f t="shared" si="5"/>
        <v>72</v>
      </c>
      <c r="M155" s="4" t="s">
        <v>130</v>
      </c>
      <c r="N155" s="4" t="s">
        <v>131</v>
      </c>
      <c r="O155" s="69">
        <f t="shared" si="6"/>
        <v>72</v>
      </c>
      <c r="P155" s="69">
        <f t="shared" si="7"/>
        <v>72</v>
      </c>
    </row>
    <row r="156" spans="1:16" x14ac:dyDescent="0.25">
      <c r="A156" s="11" t="s">
        <v>225</v>
      </c>
      <c r="B156" s="71" t="s">
        <v>226</v>
      </c>
      <c r="C156" s="71" t="s">
        <v>411</v>
      </c>
      <c r="D156" s="71" t="s">
        <v>37</v>
      </c>
      <c r="E156" s="71" t="s">
        <v>46</v>
      </c>
      <c r="F156" s="71" t="s">
        <v>34</v>
      </c>
      <c r="G156" s="22">
        <f>G152</f>
        <v>42114</v>
      </c>
      <c r="H156" s="22">
        <v>42139</v>
      </c>
      <c r="I156" s="13">
        <v>1</v>
      </c>
      <c r="J156" s="13">
        <v>1</v>
      </c>
      <c r="K156" s="14">
        <f t="shared" si="8"/>
        <v>20</v>
      </c>
      <c r="L156" s="11">
        <f t="shared" si="5"/>
        <v>160</v>
      </c>
      <c r="M156" s="11" t="s">
        <v>130</v>
      </c>
      <c r="N156" s="11" t="s">
        <v>131</v>
      </c>
      <c r="O156" s="69">
        <f t="shared" si="6"/>
        <v>160</v>
      </c>
      <c r="P156" s="69">
        <f t="shared" si="7"/>
        <v>160</v>
      </c>
    </row>
    <row r="157" spans="1:16" x14ac:dyDescent="0.25">
      <c r="A157" s="10" t="s">
        <v>227</v>
      </c>
      <c r="B157" s="69" t="s">
        <v>228</v>
      </c>
      <c r="C157" s="69" t="s">
        <v>411</v>
      </c>
      <c r="D157" s="70" t="s">
        <v>37</v>
      </c>
      <c r="E157" s="69" t="s">
        <v>46</v>
      </c>
      <c r="F157" s="7" t="s">
        <v>9</v>
      </c>
      <c r="G157" s="31">
        <v>42123</v>
      </c>
      <c r="H157" s="31">
        <f>G157+2</f>
        <v>42125</v>
      </c>
      <c r="I157" s="9">
        <f t="shared" ref="I157:I162" ca="1" si="9">IF(NETWORKDAYS(G157,TODAY())/NETWORKDAYS(G157,H157,)&lt;0,0,IF(NETWORKDAYS(G157,TODAY())/NETWORKDAYS(G157,H157,)&gt;1,1,NETWORKDAYS(G157,TODAY())/NETWORKDAYS(G157,H157,)))</f>
        <v>1</v>
      </c>
      <c r="J157" s="32">
        <v>1</v>
      </c>
      <c r="K157" s="10">
        <f t="shared" si="8"/>
        <v>3</v>
      </c>
      <c r="L157" s="4">
        <f t="shared" si="5"/>
        <v>24</v>
      </c>
      <c r="M157" s="4" t="s">
        <v>109</v>
      </c>
      <c r="N157" s="4" t="s">
        <v>110</v>
      </c>
      <c r="O157" s="69">
        <f t="shared" ca="1" si="6"/>
        <v>24</v>
      </c>
      <c r="P157" s="69">
        <f t="shared" si="7"/>
        <v>24</v>
      </c>
    </row>
    <row r="158" spans="1:16" x14ac:dyDescent="0.25">
      <c r="A158" s="10" t="s">
        <v>227</v>
      </c>
      <c r="B158" s="69" t="s">
        <v>228</v>
      </c>
      <c r="C158" s="69" t="s">
        <v>411</v>
      </c>
      <c r="D158" s="70" t="s">
        <v>37</v>
      </c>
      <c r="E158" s="69" t="s">
        <v>46</v>
      </c>
      <c r="F158" s="7" t="s">
        <v>10</v>
      </c>
      <c r="G158" s="31">
        <f>H157</f>
        <v>42125</v>
      </c>
      <c r="H158" s="31">
        <f>G158+2</f>
        <v>42127</v>
      </c>
      <c r="I158" s="9">
        <f t="shared" ca="1" si="9"/>
        <v>1</v>
      </c>
      <c r="J158" s="32">
        <v>1</v>
      </c>
      <c r="K158" s="10">
        <f t="shared" si="8"/>
        <v>1</v>
      </c>
      <c r="L158" s="4">
        <f t="shared" si="5"/>
        <v>8</v>
      </c>
      <c r="M158" s="4" t="s">
        <v>109</v>
      </c>
      <c r="N158" s="4" t="s">
        <v>110</v>
      </c>
      <c r="O158" s="69">
        <f t="shared" ca="1" si="6"/>
        <v>8</v>
      </c>
      <c r="P158" s="69">
        <f t="shared" si="7"/>
        <v>8</v>
      </c>
    </row>
    <row r="159" spans="1:16" x14ac:dyDescent="0.25">
      <c r="A159" s="10" t="s">
        <v>227</v>
      </c>
      <c r="B159" s="69" t="s">
        <v>228</v>
      </c>
      <c r="C159" s="69" t="s">
        <v>411</v>
      </c>
      <c r="D159" s="70" t="s">
        <v>37</v>
      </c>
      <c r="E159" s="69" t="s">
        <v>46</v>
      </c>
      <c r="F159" s="7" t="s">
        <v>8</v>
      </c>
      <c r="G159" s="31">
        <f>H158</f>
        <v>42127</v>
      </c>
      <c r="H159" s="31">
        <f>G159+2</f>
        <v>42129</v>
      </c>
      <c r="I159" s="9">
        <f t="shared" ca="1" si="9"/>
        <v>1</v>
      </c>
      <c r="J159" s="32">
        <v>1</v>
      </c>
      <c r="K159" s="10">
        <f t="shared" si="8"/>
        <v>2</v>
      </c>
      <c r="L159" s="4">
        <f t="shared" si="5"/>
        <v>16</v>
      </c>
      <c r="M159" s="4" t="s">
        <v>109</v>
      </c>
      <c r="N159" s="4" t="s">
        <v>110</v>
      </c>
      <c r="O159" s="69">
        <f t="shared" ca="1" si="6"/>
        <v>16</v>
      </c>
      <c r="P159" s="69">
        <f t="shared" si="7"/>
        <v>16</v>
      </c>
    </row>
    <row r="160" spans="1:16" x14ac:dyDescent="0.25">
      <c r="A160" s="10" t="s">
        <v>227</v>
      </c>
      <c r="B160" s="69" t="s">
        <v>228</v>
      </c>
      <c r="C160" s="69" t="s">
        <v>411</v>
      </c>
      <c r="D160" s="70" t="s">
        <v>37</v>
      </c>
      <c r="E160" s="69" t="s">
        <v>46</v>
      </c>
      <c r="F160" s="7" t="s">
        <v>11</v>
      </c>
      <c r="G160" s="31">
        <f>H159</f>
        <v>42129</v>
      </c>
      <c r="H160" s="31">
        <v>42131</v>
      </c>
      <c r="I160" s="9">
        <f t="shared" ca="1" si="9"/>
        <v>1</v>
      </c>
      <c r="J160" s="32">
        <v>1</v>
      </c>
      <c r="K160" s="10">
        <f t="shared" si="8"/>
        <v>3</v>
      </c>
      <c r="L160" s="4">
        <f t="shared" si="5"/>
        <v>24</v>
      </c>
      <c r="M160" s="4" t="s">
        <v>109</v>
      </c>
      <c r="N160" s="4" t="s">
        <v>110</v>
      </c>
      <c r="O160" s="69">
        <f t="shared" ca="1" si="6"/>
        <v>24</v>
      </c>
      <c r="P160" s="69">
        <f t="shared" si="7"/>
        <v>24</v>
      </c>
    </row>
    <row r="161" spans="1:16" x14ac:dyDescent="0.25">
      <c r="A161" s="11" t="s">
        <v>227</v>
      </c>
      <c r="B161" s="71" t="s">
        <v>228</v>
      </c>
      <c r="C161" s="71" t="s">
        <v>411</v>
      </c>
      <c r="D161" s="71" t="s">
        <v>37</v>
      </c>
      <c r="E161" s="71" t="s">
        <v>46</v>
      </c>
      <c r="F161" s="71" t="s">
        <v>34</v>
      </c>
      <c r="G161" s="22">
        <f>G157</f>
        <v>42123</v>
      </c>
      <c r="H161" s="22">
        <v>42131</v>
      </c>
      <c r="I161" s="13">
        <f t="shared" ca="1" si="9"/>
        <v>1</v>
      </c>
      <c r="J161" s="13">
        <v>1</v>
      </c>
      <c r="K161" s="14">
        <f t="shared" si="8"/>
        <v>7</v>
      </c>
      <c r="L161" s="11">
        <f t="shared" si="5"/>
        <v>56</v>
      </c>
      <c r="M161" s="11" t="s">
        <v>109</v>
      </c>
      <c r="N161" s="11" t="s">
        <v>110</v>
      </c>
      <c r="O161" s="69">
        <f t="shared" ca="1" si="6"/>
        <v>56</v>
      </c>
      <c r="P161" s="69">
        <f t="shared" si="7"/>
        <v>56</v>
      </c>
    </row>
    <row r="162" spans="1:16" x14ac:dyDescent="0.25">
      <c r="A162" s="10" t="s">
        <v>229</v>
      </c>
      <c r="B162" s="69" t="s">
        <v>230</v>
      </c>
      <c r="C162" s="69" t="s">
        <v>411</v>
      </c>
      <c r="D162" s="70" t="s">
        <v>37</v>
      </c>
      <c r="E162" s="69" t="s">
        <v>46</v>
      </c>
      <c r="F162" s="7" t="s">
        <v>9</v>
      </c>
      <c r="G162" s="31">
        <v>42132</v>
      </c>
      <c r="H162" s="31">
        <f>G162+1</f>
        <v>42133</v>
      </c>
      <c r="I162" s="9">
        <f t="shared" ca="1" si="9"/>
        <v>1</v>
      </c>
      <c r="J162" s="32">
        <v>1</v>
      </c>
      <c r="K162" s="10">
        <f t="shared" si="8"/>
        <v>1</v>
      </c>
      <c r="L162" s="4">
        <f t="shared" si="5"/>
        <v>8</v>
      </c>
      <c r="M162" s="4" t="s">
        <v>113</v>
      </c>
      <c r="N162" s="4" t="s">
        <v>114</v>
      </c>
      <c r="O162" s="69">
        <f t="shared" ca="1" si="6"/>
        <v>8</v>
      </c>
      <c r="P162" s="69">
        <f t="shared" si="7"/>
        <v>8</v>
      </c>
    </row>
    <row r="163" spans="1:16" x14ac:dyDescent="0.25">
      <c r="A163" s="10" t="s">
        <v>229</v>
      </c>
      <c r="B163" s="69" t="s">
        <v>230</v>
      </c>
      <c r="C163" s="69" t="s">
        <v>411</v>
      </c>
      <c r="D163" s="70" t="s">
        <v>37</v>
      </c>
      <c r="E163" s="69" t="s">
        <v>46</v>
      </c>
      <c r="F163" s="7" t="s">
        <v>10</v>
      </c>
      <c r="G163" s="31">
        <f>H162</f>
        <v>42133</v>
      </c>
      <c r="H163" s="31">
        <f>G163+1</f>
        <v>42134</v>
      </c>
      <c r="I163" s="9">
        <v>1</v>
      </c>
      <c r="J163" s="32">
        <v>1</v>
      </c>
      <c r="K163" s="10">
        <f t="shared" si="8"/>
        <v>0</v>
      </c>
      <c r="L163" s="4">
        <f t="shared" si="5"/>
        <v>0</v>
      </c>
      <c r="M163" s="4" t="s">
        <v>113</v>
      </c>
      <c r="N163" s="4" t="s">
        <v>114</v>
      </c>
      <c r="O163" s="69">
        <f t="shared" si="6"/>
        <v>0</v>
      </c>
      <c r="P163" s="69">
        <f t="shared" si="7"/>
        <v>0</v>
      </c>
    </row>
    <row r="164" spans="1:16" x14ac:dyDescent="0.25">
      <c r="A164" s="10" t="s">
        <v>229</v>
      </c>
      <c r="B164" s="69" t="s">
        <v>230</v>
      </c>
      <c r="C164" s="69" t="s">
        <v>411</v>
      </c>
      <c r="D164" s="70" t="s">
        <v>37</v>
      </c>
      <c r="E164" s="69" t="s">
        <v>46</v>
      </c>
      <c r="F164" s="7" t="s">
        <v>8</v>
      </c>
      <c r="G164" s="31">
        <f>H163</f>
        <v>42134</v>
      </c>
      <c r="H164" s="31">
        <f>G164+1</f>
        <v>42135</v>
      </c>
      <c r="I164" s="9">
        <f t="shared" ref="I164:I176" ca="1" si="10">IF(NETWORKDAYS(G164,TODAY())/NETWORKDAYS(G164,H164,)&lt;0,0,IF(NETWORKDAYS(G164,TODAY())/NETWORKDAYS(G164,H164,)&gt;1,1,NETWORKDAYS(G164,TODAY())/NETWORKDAYS(G164,H164,)))</f>
        <v>1</v>
      </c>
      <c r="J164" s="32">
        <v>1</v>
      </c>
      <c r="K164" s="10">
        <f t="shared" si="8"/>
        <v>1</v>
      </c>
      <c r="L164" s="4">
        <f t="shared" si="5"/>
        <v>8</v>
      </c>
      <c r="M164" s="4" t="s">
        <v>113</v>
      </c>
      <c r="N164" s="4" t="s">
        <v>114</v>
      </c>
      <c r="O164" s="69">
        <f t="shared" ca="1" si="6"/>
        <v>8</v>
      </c>
      <c r="P164" s="69">
        <f t="shared" si="7"/>
        <v>8</v>
      </c>
    </row>
    <row r="165" spans="1:16" x14ac:dyDescent="0.25">
      <c r="A165" s="10" t="s">
        <v>229</v>
      </c>
      <c r="B165" s="69" t="s">
        <v>230</v>
      </c>
      <c r="C165" s="69" t="s">
        <v>411</v>
      </c>
      <c r="D165" s="70" t="s">
        <v>37</v>
      </c>
      <c r="E165" s="69" t="s">
        <v>46</v>
      </c>
      <c r="F165" s="7" t="s">
        <v>11</v>
      </c>
      <c r="G165" s="31">
        <f>H164</f>
        <v>42135</v>
      </c>
      <c r="H165" s="31">
        <v>42137</v>
      </c>
      <c r="I165" s="9">
        <f t="shared" ca="1" si="10"/>
        <v>1</v>
      </c>
      <c r="J165" s="32">
        <v>1</v>
      </c>
      <c r="K165" s="10">
        <f t="shared" si="8"/>
        <v>3</v>
      </c>
      <c r="L165" s="4">
        <f t="shared" si="5"/>
        <v>24</v>
      </c>
      <c r="M165" s="4" t="s">
        <v>113</v>
      </c>
      <c r="N165" s="4" t="s">
        <v>114</v>
      </c>
      <c r="O165" s="69">
        <f t="shared" ca="1" si="6"/>
        <v>24</v>
      </c>
      <c r="P165" s="69">
        <f t="shared" si="7"/>
        <v>24</v>
      </c>
    </row>
    <row r="166" spans="1:16" x14ac:dyDescent="0.25">
      <c r="A166" s="11" t="s">
        <v>229</v>
      </c>
      <c r="B166" s="71" t="s">
        <v>230</v>
      </c>
      <c r="C166" s="71" t="s">
        <v>411</v>
      </c>
      <c r="D166" s="71" t="s">
        <v>37</v>
      </c>
      <c r="E166" s="71" t="s">
        <v>46</v>
      </c>
      <c r="F166" s="71" t="s">
        <v>34</v>
      </c>
      <c r="G166" s="22">
        <f>G162</f>
        <v>42132</v>
      </c>
      <c r="H166" s="22">
        <v>42137</v>
      </c>
      <c r="I166" s="13">
        <f t="shared" ca="1" si="10"/>
        <v>1</v>
      </c>
      <c r="J166" s="13">
        <v>1</v>
      </c>
      <c r="K166" s="14">
        <f t="shared" si="8"/>
        <v>4</v>
      </c>
      <c r="L166" s="11">
        <f t="shared" si="5"/>
        <v>32</v>
      </c>
      <c r="M166" s="11" t="s">
        <v>113</v>
      </c>
      <c r="N166" s="11" t="s">
        <v>114</v>
      </c>
      <c r="O166" s="69">
        <f t="shared" ca="1" si="6"/>
        <v>32</v>
      </c>
      <c r="P166" s="69">
        <f t="shared" si="7"/>
        <v>32</v>
      </c>
    </row>
    <row r="167" spans="1:16" x14ac:dyDescent="0.25">
      <c r="A167" s="10" t="s">
        <v>231</v>
      </c>
      <c r="B167" s="69" t="s">
        <v>232</v>
      </c>
      <c r="C167" s="69" t="s">
        <v>411</v>
      </c>
      <c r="D167" s="70" t="s">
        <v>37</v>
      </c>
      <c r="E167" s="69" t="s">
        <v>46</v>
      </c>
      <c r="F167" s="7" t="s">
        <v>9</v>
      </c>
      <c r="G167" s="31">
        <v>42123</v>
      </c>
      <c r="H167" s="31">
        <f>G167+2</f>
        <v>42125</v>
      </c>
      <c r="I167" s="9">
        <f t="shared" ca="1" si="10"/>
        <v>1</v>
      </c>
      <c r="J167" s="32">
        <v>1</v>
      </c>
      <c r="K167" s="10">
        <f t="shared" si="8"/>
        <v>3</v>
      </c>
      <c r="L167" s="4">
        <f t="shared" si="5"/>
        <v>24</v>
      </c>
      <c r="M167" s="4" t="s">
        <v>100</v>
      </c>
      <c r="N167" s="4" t="s">
        <v>125</v>
      </c>
      <c r="O167" s="69">
        <f t="shared" ca="1" si="6"/>
        <v>24</v>
      </c>
      <c r="P167" s="69">
        <f t="shared" si="7"/>
        <v>24</v>
      </c>
    </row>
    <row r="168" spans="1:16" x14ac:dyDescent="0.25">
      <c r="A168" s="10" t="s">
        <v>231</v>
      </c>
      <c r="B168" s="69" t="s">
        <v>232</v>
      </c>
      <c r="C168" s="69" t="s">
        <v>411</v>
      </c>
      <c r="D168" s="70" t="s">
        <v>37</v>
      </c>
      <c r="E168" s="69" t="s">
        <v>46</v>
      </c>
      <c r="F168" s="7" t="s">
        <v>10</v>
      </c>
      <c r="G168" s="31">
        <f>H167</f>
        <v>42125</v>
      </c>
      <c r="H168" s="31">
        <f>G168+2</f>
        <v>42127</v>
      </c>
      <c r="I168" s="9">
        <f t="shared" ca="1" si="10"/>
        <v>1</v>
      </c>
      <c r="J168" s="32">
        <v>1</v>
      </c>
      <c r="K168" s="10">
        <f t="shared" si="8"/>
        <v>1</v>
      </c>
      <c r="L168" s="4">
        <f t="shared" si="5"/>
        <v>8</v>
      </c>
      <c r="M168" s="4" t="s">
        <v>100</v>
      </c>
      <c r="N168" s="4" t="s">
        <v>125</v>
      </c>
      <c r="O168" s="69">
        <f t="shared" ca="1" si="6"/>
        <v>8</v>
      </c>
      <c r="P168" s="69">
        <f t="shared" si="7"/>
        <v>8</v>
      </c>
    </row>
    <row r="169" spans="1:16" x14ac:dyDescent="0.25">
      <c r="A169" s="10" t="s">
        <v>231</v>
      </c>
      <c r="B169" s="69" t="s">
        <v>232</v>
      </c>
      <c r="C169" s="69" t="s">
        <v>411</v>
      </c>
      <c r="D169" s="70" t="s">
        <v>37</v>
      </c>
      <c r="E169" s="69" t="s">
        <v>46</v>
      </c>
      <c r="F169" s="7" t="s">
        <v>8</v>
      </c>
      <c r="G169" s="31">
        <f>H168</f>
        <v>42127</v>
      </c>
      <c r="H169" s="31">
        <f>G169+2</f>
        <v>42129</v>
      </c>
      <c r="I169" s="9">
        <f t="shared" ca="1" si="10"/>
        <v>1</v>
      </c>
      <c r="J169" s="32">
        <v>1</v>
      </c>
      <c r="K169" s="10">
        <f t="shared" si="8"/>
        <v>2</v>
      </c>
      <c r="L169" s="4">
        <f t="shared" si="5"/>
        <v>16</v>
      </c>
      <c r="M169" s="4" t="s">
        <v>100</v>
      </c>
      <c r="N169" s="4" t="s">
        <v>125</v>
      </c>
      <c r="O169" s="69">
        <f t="shared" ca="1" si="6"/>
        <v>16</v>
      </c>
      <c r="P169" s="69">
        <f t="shared" si="7"/>
        <v>16</v>
      </c>
    </row>
    <row r="170" spans="1:16" x14ac:dyDescent="0.25">
      <c r="A170" s="10" t="s">
        <v>231</v>
      </c>
      <c r="B170" s="69" t="s">
        <v>232</v>
      </c>
      <c r="C170" s="69" t="s">
        <v>411</v>
      </c>
      <c r="D170" s="70" t="s">
        <v>37</v>
      </c>
      <c r="E170" s="69" t="s">
        <v>46</v>
      </c>
      <c r="F170" s="7" t="s">
        <v>11</v>
      </c>
      <c r="G170" s="31">
        <f>H169</f>
        <v>42129</v>
      </c>
      <c r="H170" s="31">
        <v>42135</v>
      </c>
      <c r="I170" s="9">
        <f t="shared" ca="1" si="10"/>
        <v>1</v>
      </c>
      <c r="J170" s="32">
        <v>1</v>
      </c>
      <c r="K170" s="10">
        <f t="shared" si="8"/>
        <v>5</v>
      </c>
      <c r="L170" s="4">
        <f t="shared" si="5"/>
        <v>40</v>
      </c>
      <c r="M170" s="4" t="s">
        <v>100</v>
      </c>
      <c r="N170" s="4" t="s">
        <v>125</v>
      </c>
      <c r="O170" s="69">
        <f t="shared" ca="1" si="6"/>
        <v>40</v>
      </c>
      <c r="P170" s="69">
        <f t="shared" si="7"/>
        <v>40</v>
      </c>
    </row>
    <row r="171" spans="1:16" x14ac:dyDescent="0.25">
      <c r="A171" s="11" t="s">
        <v>231</v>
      </c>
      <c r="B171" s="71" t="s">
        <v>232</v>
      </c>
      <c r="C171" s="71" t="s">
        <v>411</v>
      </c>
      <c r="D171" s="71" t="s">
        <v>37</v>
      </c>
      <c r="E171" s="71" t="s">
        <v>46</v>
      </c>
      <c r="F171" s="71" t="s">
        <v>34</v>
      </c>
      <c r="G171" s="22">
        <f>G167</f>
        <v>42123</v>
      </c>
      <c r="H171" s="22">
        <v>42135</v>
      </c>
      <c r="I171" s="13">
        <f t="shared" ca="1" si="10"/>
        <v>1</v>
      </c>
      <c r="J171" s="13">
        <v>1</v>
      </c>
      <c r="K171" s="14">
        <f t="shared" si="8"/>
        <v>9</v>
      </c>
      <c r="L171" s="11">
        <f t="shared" si="5"/>
        <v>72</v>
      </c>
      <c r="M171" s="11" t="s">
        <v>100</v>
      </c>
      <c r="N171" s="11" t="s">
        <v>125</v>
      </c>
      <c r="O171" s="69">
        <f t="shared" ca="1" si="6"/>
        <v>72</v>
      </c>
      <c r="P171" s="69">
        <f t="shared" si="7"/>
        <v>72</v>
      </c>
    </row>
    <row r="172" spans="1:16" x14ac:dyDescent="0.25">
      <c r="A172" s="10" t="s">
        <v>84</v>
      </c>
      <c r="B172" s="69" t="s">
        <v>48</v>
      </c>
      <c r="C172" s="69" t="s">
        <v>411</v>
      </c>
      <c r="D172" s="70" t="s">
        <v>37</v>
      </c>
      <c r="E172" s="69" t="s">
        <v>46</v>
      </c>
      <c r="F172" s="7" t="s">
        <v>9</v>
      </c>
      <c r="G172" s="31">
        <v>42136</v>
      </c>
      <c r="H172" s="31">
        <f>G172+1</f>
        <v>42137</v>
      </c>
      <c r="I172" s="9">
        <f t="shared" ca="1" si="10"/>
        <v>1</v>
      </c>
      <c r="J172" s="32">
        <v>1</v>
      </c>
      <c r="K172" s="10">
        <f t="shared" si="8"/>
        <v>2</v>
      </c>
      <c r="L172" s="4">
        <f t="shared" si="5"/>
        <v>16</v>
      </c>
      <c r="M172" s="4" t="s">
        <v>100</v>
      </c>
      <c r="N172" s="4" t="s">
        <v>125</v>
      </c>
      <c r="O172" s="69">
        <f t="shared" ca="1" si="6"/>
        <v>16</v>
      </c>
      <c r="P172" s="69">
        <f t="shared" si="7"/>
        <v>16</v>
      </c>
    </row>
    <row r="173" spans="1:16" x14ac:dyDescent="0.25">
      <c r="A173" s="10" t="s">
        <v>84</v>
      </c>
      <c r="B173" s="69" t="s">
        <v>48</v>
      </c>
      <c r="C173" s="69" t="s">
        <v>411</v>
      </c>
      <c r="D173" s="70" t="s">
        <v>37</v>
      </c>
      <c r="E173" s="69" t="s">
        <v>46</v>
      </c>
      <c r="F173" s="7" t="s">
        <v>10</v>
      </c>
      <c r="G173" s="31">
        <f>H172</f>
        <v>42137</v>
      </c>
      <c r="H173" s="31">
        <f>G173+1</f>
        <v>42138</v>
      </c>
      <c r="I173" s="9">
        <f t="shared" ca="1" si="10"/>
        <v>1</v>
      </c>
      <c r="J173" s="32">
        <v>1</v>
      </c>
      <c r="K173" s="10">
        <f t="shared" si="8"/>
        <v>2</v>
      </c>
      <c r="L173" s="4">
        <f t="shared" si="5"/>
        <v>16</v>
      </c>
      <c r="M173" s="4" t="s">
        <v>100</v>
      </c>
      <c r="N173" s="4" t="s">
        <v>125</v>
      </c>
      <c r="O173" s="69">
        <f t="shared" ca="1" si="6"/>
        <v>16</v>
      </c>
      <c r="P173" s="69">
        <f t="shared" si="7"/>
        <v>16</v>
      </c>
    </row>
    <row r="174" spans="1:16" x14ac:dyDescent="0.25">
      <c r="A174" s="10" t="s">
        <v>84</v>
      </c>
      <c r="B174" s="69" t="s">
        <v>48</v>
      </c>
      <c r="C174" s="69" t="s">
        <v>411</v>
      </c>
      <c r="D174" s="70" t="s">
        <v>37</v>
      </c>
      <c r="E174" s="69" t="s">
        <v>46</v>
      </c>
      <c r="F174" s="7" t="s">
        <v>8</v>
      </c>
      <c r="G174" s="31">
        <f>H173</f>
        <v>42138</v>
      </c>
      <c r="H174" s="31">
        <f>G174+1</f>
        <v>42139</v>
      </c>
      <c r="I174" s="9">
        <f t="shared" ca="1" si="10"/>
        <v>1</v>
      </c>
      <c r="J174" s="32">
        <v>1</v>
      </c>
      <c r="K174" s="10">
        <f t="shared" si="8"/>
        <v>2</v>
      </c>
      <c r="L174" s="4">
        <f t="shared" si="5"/>
        <v>16</v>
      </c>
      <c r="M174" s="4" t="s">
        <v>100</v>
      </c>
      <c r="N174" s="4" t="s">
        <v>125</v>
      </c>
      <c r="O174" s="69">
        <f t="shared" ca="1" si="6"/>
        <v>16</v>
      </c>
      <c r="P174" s="69">
        <f t="shared" si="7"/>
        <v>16</v>
      </c>
    </row>
    <row r="175" spans="1:16" x14ac:dyDescent="0.25">
      <c r="A175" s="10" t="s">
        <v>84</v>
      </c>
      <c r="B175" s="69" t="s">
        <v>48</v>
      </c>
      <c r="C175" s="69" t="s">
        <v>411</v>
      </c>
      <c r="D175" s="70" t="s">
        <v>37</v>
      </c>
      <c r="E175" s="69" t="s">
        <v>46</v>
      </c>
      <c r="F175" s="7" t="s">
        <v>11</v>
      </c>
      <c r="G175" s="31">
        <f>H174</f>
        <v>42139</v>
      </c>
      <c r="H175" s="31">
        <v>42144</v>
      </c>
      <c r="I175" s="9">
        <f t="shared" ca="1" si="10"/>
        <v>1</v>
      </c>
      <c r="J175" s="32">
        <v>1</v>
      </c>
      <c r="K175" s="10">
        <f t="shared" si="8"/>
        <v>4</v>
      </c>
      <c r="L175" s="4">
        <f t="shared" si="5"/>
        <v>32</v>
      </c>
      <c r="M175" s="4" t="s">
        <v>100</v>
      </c>
      <c r="N175" s="4" t="s">
        <v>125</v>
      </c>
      <c r="O175" s="69">
        <f t="shared" ca="1" si="6"/>
        <v>32</v>
      </c>
      <c r="P175" s="69">
        <f t="shared" si="7"/>
        <v>32</v>
      </c>
    </row>
    <row r="176" spans="1:16" x14ac:dyDescent="0.25">
      <c r="A176" s="11" t="s">
        <v>84</v>
      </c>
      <c r="B176" s="71" t="s">
        <v>48</v>
      </c>
      <c r="C176" s="71" t="s">
        <v>411</v>
      </c>
      <c r="D176" s="71" t="s">
        <v>37</v>
      </c>
      <c r="E176" s="71" t="s">
        <v>46</v>
      </c>
      <c r="F176" s="71" t="s">
        <v>34</v>
      </c>
      <c r="G176" s="22">
        <f>G172</f>
        <v>42136</v>
      </c>
      <c r="H176" s="22">
        <v>42144</v>
      </c>
      <c r="I176" s="13">
        <f t="shared" ca="1" si="10"/>
        <v>1</v>
      </c>
      <c r="J176" s="13">
        <v>1</v>
      </c>
      <c r="K176" s="14">
        <f t="shared" si="8"/>
        <v>7</v>
      </c>
      <c r="L176" s="11">
        <f t="shared" si="5"/>
        <v>56</v>
      </c>
      <c r="M176" s="11" t="s">
        <v>100</v>
      </c>
      <c r="N176" s="11" t="s">
        <v>125</v>
      </c>
      <c r="O176" s="69">
        <f t="shared" ca="1" si="6"/>
        <v>56</v>
      </c>
      <c r="P176" s="69">
        <f t="shared" si="7"/>
        <v>56</v>
      </c>
    </row>
    <row r="177" spans="1:16" x14ac:dyDescent="0.25">
      <c r="A177" s="10" t="s">
        <v>233</v>
      </c>
      <c r="B177" s="69" t="s">
        <v>234</v>
      </c>
      <c r="C177" s="69" t="s">
        <v>411</v>
      </c>
      <c r="D177" s="70" t="s">
        <v>40</v>
      </c>
      <c r="E177" s="69" t="s">
        <v>46</v>
      </c>
      <c r="F177" s="7" t="s">
        <v>9</v>
      </c>
      <c r="G177" s="31">
        <v>42123</v>
      </c>
      <c r="H177" s="31">
        <f>G177+1</f>
        <v>42124</v>
      </c>
      <c r="I177" s="32">
        <v>1</v>
      </c>
      <c r="J177" s="32">
        <v>1</v>
      </c>
      <c r="K177" s="10">
        <f t="shared" si="8"/>
        <v>2</v>
      </c>
      <c r="L177" s="4">
        <f t="shared" si="5"/>
        <v>16</v>
      </c>
      <c r="M177" s="4" t="s">
        <v>109</v>
      </c>
      <c r="N177" s="4" t="s">
        <v>110</v>
      </c>
      <c r="O177" s="69">
        <f t="shared" si="6"/>
        <v>16</v>
      </c>
      <c r="P177" s="69">
        <f t="shared" si="7"/>
        <v>16</v>
      </c>
    </row>
    <row r="178" spans="1:16" x14ac:dyDescent="0.25">
      <c r="A178" s="10" t="s">
        <v>233</v>
      </c>
      <c r="B178" s="69" t="s">
        <v>234</v>
      </c>
      <c r="C178" s="69" t="s">
        <v>411</v>
      </c>
      <c r="D178" s="70" t="s">
        <v>40</v>
      </c>
      <c r="E178" s="69" t="s">
        <v>46</v>
      </c>
      <c r="F178" s="7" t="s">
        <v>10</v>
      </c>
      <c r="G178" s="31">
        <f>H177</f>
        <v>42124</v>
      </c>
      <c r="H178" s="31">
        <v>42124</v>
      </c>
      <c r="I178" s="32">
        <v>1</v>
      </c>
      <c r="J178" s="32">
        <v>1</v>
      </c>
      <c r="K178" s="10">
        <f t="shared" si="8"/>
        <v>1</v>
      </c>
      <c r="L178" s="4">
        <f t="shared" si="5"/>
        <v>8</v>
      </c>
      <c r="M178" s="4" t="s">
        <v>109</v>
      </c>
      <c r="N178" s="4" t="s">
        <v>110</v>
      </c>
      <c r="O178" s="69">
        <f t="shared" si="6"/>
        <v>8</v>
      </c>
      <c r="P178" s="69">
        <f t="shared" si="7"/>
        <v>8</v>
      </c>
    </row>
    <row r="179" spans="1:16" x14ac:dyDescent="0.25">
      <c r="A179" s="10" t="s">
        <v>233</v>
      </c>
      <c r="B179" s="69" t="s">
        <v>234</v>
      </c>
      <c r="C179" s="69" t="s">
        <v>411</v>
      </c>
      <c r="D179" s="70" t="s">
        <v>40</v>
      </c>
      <c r="E179" s="69" t="s">
        <v>46</v>
      </c>
      <c r="F179" s="7" t="s">
        <v>8</v>
      </c>
      <c r="G179" s="31">
        <f>H178</f>
        <v>42124</v>
      </c>
      <c r="H179" s="31">
        <v>42124</v>
      </c>
      <c r="I179" s="32">
        <v>1</v>
      </c>
      <c r="J179" s="32">
        <v>1</v>
      </c>
      <c r="K179" s="10">
        <f t="shared" si="8"/>
        <v>1</v>
      </c>
      <c r="L179" s="4">
        <f t="shared" si="5"/>
        <v>8</v>
      </c>
      <c r="M179" s="4" t="s">
        <v>109</v>
      </c>
      <c r="N179" s="4" t="s">
        <v>110</v>
      </c>
      <c r="O179" s="69">
        <f t="shared" si="6"/>
        <v>8</v>
      </c>
      <c r="P179" s="69">
        <f t="shared" si="7"/>
        <v>8</v>
      </c>
    </row>
    <row r="180" spans="1:16" x14ac:dyDescent="0.25">
      <c r="A180" s="10" t="s">
        <v>233</v>
      </c>
      <c r="B180" s="69" t="s">
        <v>234</v>
      </c>
      <c r="C180" s="69" t="s">
        <v>411</v>
      </c>
      <c r="D180" s="70" t="s">
        <v>40</v>
      </c>
      <c r="E180" s="69" t="s">
        <v>46</v>
      </c>
      <c r="F180" s="7" t="s">
        <v>11</v>
      </c>
      <c r="G180" s="31">
        <f>H179</f>
        <v>42124</v>
      </c>
      <c r="H180" s="31">
        <v>42124</v>
      </c>
      <c r="I180" s="32">
        <v>1</v>
      </c>
      <c r="J180" s="32">
        <v>1</v>
      </c>
      <c r="K180" s="10">
        <f t="shared" si="8"/>
        <v>1</v>
      </c>
      <c r="L180" s="4">
        <f t="shared" si="5"/>
        <v>8</v>
      </c>
      <c r="M180" s="4" t="s">
        <v>109</v>
      </c>
      <c r="N180" s="4" t="s">
        <v>110</v>
      </c>
      <c r="O180" s="69">
        <f t="shared" si="6"/>
        <v>8</v>
      </c>
      <c r="P180" s="69">
        <f t="shared" si="7"/>
        <v>8</v>
      </c>
    </row>
    <row r="181" spans="1:16" x14ac:dyDescent="0.25">
      <c r="A181" s="11" t="s">
        <v>233</v>
      </c>
      <c r="B181" s="71" t="s">
        <v>234</v>
      </c>
      <c r="C181" s="71" t="s">
        <v>411</v>
      </c>
      <c r="D181" s="71" t="s">
        <v>40</v>
      </c>
      <c r="E181" s="71" t="s">
        <v>46</v>
      </c>
      <c r="F181" s="71" t="s">
        <v>34</v>
      </c>
      <c r="G181" s="22">
        <f>G177</f>
        <v>42123</v>
      </c>
      <c r="H181" s="22">
        <v>42124</v>
      </c>
      <c r="I181" s="13">
        <v>1</v>
      </c>
      <c r="J181" s="13">
        <v>1</v>
      </c>
      <c r="K181" s="14">
        <f t="shared" si="8"/>
        <v>2</v>
      </c>
      <c r="L181" s="11">
        <f t="shared" si="5"/>
        <v>16</v>
      </c>
      <c r="M181" s="11" t="s">
        <v>109</v>
      </c>
      <c r="N181" s="11" t="s">
        <v>110</v>
      </c>
      <c r="O181" s="69">
        <f t="shared" si="6"/>
        <v>16</v>
      </c>
      <c r="P181" s="69">
        <f t="shared" si="7"/>
        <v>16</v>
      </c>
    </row>
    <row r="182" spans="1:16" x14ac:dyDescent="0.25">
      <c r="A182" s="10" t="s">
        <v>235</v>
      </c>
      <c r="B182" s="69" t="s">
        <v>236</v>
      </c>
      <c r="C182" s="69" t="s">
        <v>411</v>
      </c>
      <c r="D182" s="70" t="s">
        <v>37</v>
      </c>
      <c r="E182" s="69" t="s">
        <v>46</v>
      </c>
      <c r="F182" s="7" t="s">
        <v>9</v>
      </c>
      <c r="G182" s="31">
        <v>42114</v>
      </c>
      <c r="H182" s="31">
        <f>G182+2</f>
        <v>42116</v>
      </c>
      <c r="I182" s="32">
        <v>1</v>
      </c>
      <c r="J182" s="32">
        <v>1</v>
      </c>
      <c r="K182" s="10">
        <f t="shared" si="8"/>
        <v>3</v>
      </c>
      <c r="L182" s="4">
        <f t="shared" si="5"/>
        <v>24</v>
      </c>
      <c r="M182" s="4" t="s">
        <v>117</v>
      </c>
      <c r="N182" s="4" t="s">
        <v>118</v>
      </c>
      <c r="O182" s="69">
        <f t="shared" si="6"/>
        <v>24</v>
      </c>
      <c r="P182" s="69">
        <f t="shared" si="7"/>
        <v>24</v>
      </c>
    </row>
    <row r="183" spans="1:16" x14ac:dyDescent="0.25">
      <c r="A183" s="10" t="s">
        <v>235</v>
      </c>
      <c r="B183" s="69" t="s">
        <v>236</v>
      </c>
      <c r="C183" s="69" t="s">
        <v>411</v>
      </c>
      <c r="D183" s="70" t="s">
        <v>37</v>
      </c>
      <c r="E183" s="69" t="s">
        <v>46</v>
      </c>
      <c r="F183" s="7" t="s">
        <v>10</v>
      </c>
      <c r="G183" s="31">
        <f>H182</f>
        <v>42116</v>
      </c>
      <c r="H183" s="31">
        <f>G183+2</f>
        <v>42118</v>
      </c>
      <c r="I183" s="32">
        <v>1</v>
      </c>
      <c r="J183" s="32">
        <v>1</v>
      </c>
      <c r="K183" s="10">
        <f t="shared" si="8"/>
        <v>3</v>
      </c>
      <c r="L183" s="4">
        <f t="shared" si="5"/>
        <v>24</v>
      </c>
      <c r="M183" s="4" t="s">
        <v>117</v>
      </c>
      <c r="N183" s="4" t="s">
        <v>118</v>
      </c>
      <c r="O183" s="69">
        <f t="shared" si="6"/>
        <v>24</v>
      </c>
      <c r="P183" s="69">
        <f t="shared" si="7"/>
        <v>24</v>
      </c>
    </row>
    <row r="184" spans="1:16" x14ac:dyDescent="0.25">
      <c r="A184" s="10" t="s">
        <v>235</v>
      </c>
      <c r="B184" s="69" t="s">
        <v>236</v>
      </c>
      <c r="C184" s="69" t="s">
        <v>411</v>
      </c>
      <c r="D184" s="70" t="s">
        <v>37</v>
      </c>
      <c r="E184" s="69" t="s">
        <v>46</v>
      </c>
      <c r="F184" s="7" t="s">
        <v>8</v>
      </c>
      <c r="G184" s="31">
        <f>H183</f>
        <v>42118</v>
      </c>
      <c r="H184" s="31">
        <f>G184+2</f>
        <v>42120</v>
      </c>
      <c r="I184" s="32">
        <v>1</v>
      </c>
      <c r="J184" s="32">
        <v>1</v>
      </c>
      <c r="K184" s="10">
        <f t="shared" si="8"/>
        <v>1</v>
      </c>
      <c r="L184" s="4">
        <f t="shared" si="5"/>
        <v>8</v>
      </c>
      <c r="M184" s="4" t="s">
        <v>117</v>
      </c>
      <c r="N184" s="4" t="s">
        <v>118</v>
      </c>
      <c r="O184" s="69">
        <f t="shared" si="6"/>
        <v>8</v>
      </c>
      <c r="P184" s="69">
        <f t="shared" si="7"/>
        <v>8</v>
      </c>
    </row>
    <row r="185" spans="1:16" x14ac:dyDescent="0.25">
      <c r="A185" s="10" t="s">
        <v>235</v>
      </c>
      <c r="B185" s="69" t="s">
        <v>236</v>
      </c>
      <c r="C185" s="69" t="s">
        <v>411</v>
      </c>
      <c r="D185" s="70" t="s">
        <v>37</v>
      </c>
      <c r="E185" s="69" t="s">
        <v>46</v>
      </c>
      <c r="F185" s="7" t="s">
        <v>11</v>
      </c>
      <c r="G185" s="31">
        <f>H184</f>
        <v>42120</v>
      </c>
      <c r="H185" s="31">
        <v>42122</v>
      </c>
      <c r="I185" s="32">
        <v>1</v>
      </c>
      <c r="J185" s="32">
        <v>1</v>
      </c>
      <c r="K185" s="10">
        <f t="shared" si="8"/>
        <v>2</v>
      </c>
      <c r="L185" s="4">
        <f t="shared" si="5"/>
        <v>16</v>
      </c>
      <c r="M185" s="4" t="s">
        <v>117</v>
      </c>
      <c r="N185" s="4" t="s">
        <v>118</v>
      </c>
      <c r="O185" s="69">
        <f t="shared" si="6"/>
        <v>16</v>
      </c>
      <c r="P185" s="69">
        <f t="shared" si="7"/>
        <v>16</v>
      </c>
    </row>
    <row r="186" spans="1:16" x14ac:dyDescent="0.25">
      <c r="A186" s="11" t="s">
        <v>235</v>
      </c>
      <c r="B186" s="71" t="s">
        <v>236</v>
      </c>
      <c r="C186" s="71" t="s">
        <v>411</v>
      </c>
      <c r="D186" s="71" t="s">
        <v>37</v>
      </c>
      <c r="E186" s="71" t="s">
        <v>46</v>
      </c>
      <c r="F186" s="71" t="s">
        <v>34</v>
      </c>
      <c r="G186" s="22">
        <f>G182</f>
        <v>42114</v>
      </c>
      <c r="H186" s="22">
        <v>42122</v>
      </c>
      <c r="I186" s="13">
        <v>1</v>
      </c>
      <c r="J186" s="13">
        <v>1</v>
      </c>
      <c r="K186" s="14">
        <f t="shared" ref="K186:K205" si="11">NETWORKDAYS(G186,H186)</f>
        <v>7</v>
      </c>
      <c r="L186" s="11">
        <f t="shared" si="5"/>
        <v>56</v>
      </c>
      <c r="M186" s="11" t="s">
        <v>117</v>
      </c>
      <c r="N186" s="11" t="s">
        <v>118</v>
      </c>
      <c r="O186" s="69">
        <f t="shared" si="6"/>
        <v>56</v>
      </c>
      <c r="P186" s="69">
        <f t="shared" si="7"/>
        <v>56</v>
      </c>
    </row>
    <row r="187" spans="1:16" x14ac:dyDescent="0.25">
      <c r="A187" s="10" t="s">
        <v>237</v>
      </c>
      <c r="B187" s="69" t="s">
        <v>238</v>
      </c>
      <c r="C187" s="69" t="s">
        <v>411</v>
      </c>
      <c r="D187" s="70" t="s">
        <v>37</v>
      </c>
      <c r="E187" s="69" t="s">
        <v>46</v>
      </c>
      <c r="F187" s="7" t="s">
        <v>9</v>
      </c>
      <c r="G187" s="31">
        <v>42132</v>
      </c>
      <c r="H187" s="31">
        <f>G187+1</f>
        <v>42133</v>
      </c>
      <c r="I187" s="9">
        <f ca="1">IF(NETWORKDAYS(G187,TODAY())/NETWORKDAYS(G187,H187,)&lt;0,0,IF(NETWORKDAYS(G187,TODAY())/NETWORKDAYS(G187,H187,)&gt;1,1,NETWORKDAYS(G187,TODAY())/NETWORKDAYS(G187,H187,)))</f>
        <v>1</v>
      </c>
      <c r="J187" s="32">
        <v>1</v>
      </c>
      <c r="K187" s="10">
        <f t="shared" si="11"/>
        <v>1</v>
      </c>
      <c r="L187" s="4">
        <f t="shared" si="5"/>
        <v>8</v>
      </c>
      <c r="M187" s="4" t="s">
        <v>117</v>
      </c>
      <c r="N187" s="4" t="s">
        <v>118</v>
      </c>
      <c r="O187" s="69">
        <f t="shared" ca="1" si="6"/>
        <v>8</v>
      </c>
      <c r="P187" s="69">
        <f t="shared" si="7"/>
        <v>8</v>
      </c>
    </row>
    <row r="188" spans="1:16" x14ac:dyDescent="0.25">
      <c r="A188" s="10" t="s">
        <v>237</v>
      </c>
      <c r="B188" s="69" t="s">
        <v>238</v>
      </c>
      <c r="C188" s="69" t="s">
        <v>411</v>
      </c>
      <c r="D188" s="70" t="s">
        <v>37</v>
      </c>
      <c r="E188" s="69" t="s">
        <v>46</v>
      </c>
      <c r="F188" s="7" t="s">
        <v>10</v>
      </c>
      <c r="G188" s="31">
        <f>H187</f>
        <v>42133</v>
      </c>
      <c r="H188" s="31">
        <f>G188+1</f>
        <v>42134</v>
      </c>
      <c r="I188" s="9">
        <v>1</v>
      </c>
      <c r="J188" s="32">
        <v>1</v>
      </c>
      <c r="K188" s="10">
        <f t="shared" si="11"/>
        <v>0</v>
      </c>
      <c r="L188" s="4">
        <f t="shared" si="5"/>
        <v>0</v>
      </c>
      <c r="M188" s="4" t="s">
        <v>117</v>
      </c>
      <c r="N188" s="4" t="s">
        <v>118</v>
      </c>
      <c r="O188" s="69">
        <f t="shared" si="6"/>
        <v>0</v>
      </c>
      <c r="P188" s="69">
        <f t="shared" si="7"/>
        <v>0</v>
      </c>
    </row>
    <row r="189" spans="1:16" x14ac:dyDescent="0.25">
      <c r="A189" s="10" t="s">
        <v>237</v>
      </c>
      <c r="B189" s="69" t="s">
        <v>238</v>
      </c>
      <c r="C189" s="69" t="s">
        <v>411</v>
      </c>
      <c r="D189" s="70" t="s">
        <v>37</v>
      </c>
      <c r="E189" s="69" t="s">
        <v>46</v>
      </c>
      <c r="F189" s="7" t="s">
        <v>8</v>
      </c>
      <c r="G189" s="31">
        <f>H188</f>
        <v>42134</v>
      </c>
      <c r="H189" s="31">
        <f>G189+1</f>
        <v>42135</v>
      </c>
      <c r="I189" s="9">
        <f t="shared" ref="I189:I195" ca="1" si="12">IF(NETWORKDAYS(G189,TODAY())/NETWORKDAYS(G189,H189,)&lt;0,0,IF(NETWORKDAYS(G189,TODAY())/NETWORKDAYS(G189,H189,)&gt;1,1,NETWORKDAYS(G189,TODAY())/NETWORKDAYS(G189,H189,)))</f>
        <v>1</v>
      </c>
      <c r="J189" s="32">
        <v>1</v>
      </c>
      <c r="K189" s="10">
        <f t="shared" si="11"/>
        <v>1</v>
      </c>
      <c r="L189" s="4">
        <f t="shared" si="5"/>
        <v>8</v>
      </c>
      <c r="M189" s="4" t="s">
        <v>117</v>
      </c>
      <c r="N189" s="4" t="s">
        <v>118</v>
      </c>
      <c r="O189" s="69">
        <f t="shared" ca="1" si="6"/>
        <v>8</v>
      </c>
      <c r="P189" s="69">
        <f t="shared" si="7"/>
        <v>8</v>
      </c>
    </row>
    <row r="190" spans="1:16" x14ac:dyDescent="0.25">
      <c r="A190" s="10" t="s">
        <v>237</v>
      </c>
      <c r="B190" s="69" t="s">
        <v>238</v>
      </c>
      <c r="C190" s="69" t="s">
        <v>411</v>
      </c>
      <c r="D190" s="70" t="s">
        <v>37</v>
      </c>
      <c r="E190" s="69" t="s">
        <v>46</v>
      </c>
      <c r="F190" s="7" t="s">
        <v>11</v>
      </c>
      <c r="G190" s="31">
        <f>H189</f>
        <v>42135</v>
      </c>
      <c r="H190" s="31">
        <v>42138</v>
      </c>
      <c r="I190" s="9">
        <f t="shared" ca="1" si="12"/>
        <v>1</v>
      </c>
      <c r="J190" s="32">
        <v>1</v>
      </c>
      <c r="K190" s="10">
        <f t="shared" si="11"/>
        <v>4</v>
      </c>
      <c r="L190" s="4">
        <f t="shared" si="5"/>
        <v>32</v>
      </c>
      <c r="M190" s="4" t="s">
        <v>117</v>
      </c>
      <c r="N190" s="4" t="s">
        <v>118</v>
      </c>
      <c r="O190" s="69">
        <f t="shared" ca="1" si="6"/>
        <v>32</v>
      </c>
      <c r="P190" s="69">
        <f t="shared" si="7"/>
        <v>32</v>
      </c>
    </row>
    <row r="191" spans="1:16" x14ac:dyDescent="0.25">
      <c r="A191" s="11" t="s">
        <v>237</v>
      </c>
      <c r="B191" s="71" t="s">
        <v>238</v>
      </c>
      <c r="C191" s="71" t="s">
        <v>411</v>
      </c>
      <c r="D191" s="71" t="s">
        <v>37</v>
      </c>
      <c r="E191" s="71" t="s">
        <v>46</v>
      </c>
      <c r="F191" s="71" t="s">
        <v>34</v>
      </c>
      <c r="G191" s="22">
        <f>G187</f>
        <v>42132</v>
      </c>
      <c r="H191" s="22">
        <v>42138</v>
      </c>
      <c r="I191" s="13">
        <f t="shared" ca="1" si="12"/>
        <v>1</v>
      </c>
      <c r="J191" s="13">
        <v>1</v>
      </c>
      <c r="K191" s="14">
        <f t="shared" si="11"/>
        <v>5</v>
      </c>
      <c r="L191" s="11">
        <f t="shared" si="5"/>
        <v>40</v>
      </c>
      <c r="M191" s="11" t="s">
        <v>117</v>
      </c>
      <c r="N191" s="11" t="s">
        <v>118</v>
      </c>
      <c r="O191" s="69">
        <f t="shared" ca="1" si="6"/>
        <v>40</v>
      </c>
      <c r="P191" s="69">
        <f t="shared" si="7"/>
        <v>40</v>
      </c>
    </row>
    <row r="192" spans="1:16" x14ac:dyDescent="0.25">
      <c r="A192" s="10" t="s">
        <v>239</v>
      </c>
      <c r="B192" s="69" t="s">
        <v>240</v>
      </c>
      <c r="C192" s="69" t="s">
        <v>411</v>
      </c>
      <c r="D192" s="70" t="s">
        <v>37</v>
      </c>
      <c r="E192" s="69" t="s">
        <v>46</v>
      </c>
      <c r="F192" s="7" t="s">
        <v>9</v>
      </c>
      <c r="G192" s="31">
        <v>42122</v>
      </c>
      <c r="H192" s="31">
        <f>G192+2</f>
        <v>42124</v>
      </c>
      <c r="I192" s="9">
        <f t="shared" ca="1" si="12"/>
        <v>1</v>
      </c>
      <c r="J192" s="32">
        <v>1</v>
      </c>
      <c r="K192" s="10">
        <f t="shared" si="11"/>
        <v>3</v>
      </c>
      <c r="L192" s="4">
        <f t="shared" si="5"/>
        <v>24</v>
      </c>
      <c r="M192" s="4" t="s">
        <v>117</v>
      </c>
      <c r="N192" s="4" t="s">
        <v>118</v>
      </c>
      <c r="O192" s="69">
        <f t="shared" ca="1" si="6"/>
        <v>24</v>
      </c>
      <c r="P192" s="69">
        <f t="shared" si="7"/>
        <v>24</v>
      </c>
    </row>
    <row r="193" spans="1:16" x14ac:dyDescent="0.25">
      <c r="A193" s="10" t="s">
        <v>239</v>
      </c>
      <c r="B193" s="69" t="s">
        <v>240</v>
      </c>
      <c r="C193" s="69" t="s">
        <v>411</v>
      </c>
      <c r="D193" s="70" t="s">
        <v>37</v>
      </c>
      <c r="E193" s="69" t="s">
        <v>46</v>
      </c>
      <c r="F193" s="7" t="s">
        <v>10</v>
      </c>
      <c r="G193" s="31">
        <f>H192</f>
        <v>42124</v>
      </c>
      <c r="H193" s="31">
        <f>G193+2</f>
        <v>42126</v>
      </c>
      <c r="I193" s="9">
        <f t="shared" ca="1" si="12"/>
        <v>1</v>
      </c>
      <c r="J193" s="32">
        <v>1</v>
      </c>
      <c r="K193" s="10">
        <f t="shared" si="11"/>
        <v>2</v>
      </c>
      <c r="L193" s="4">
        <f t="shared" si="5"/>
        <v>16</v>
      </c>
      <c r="M193" s="4" t="s">
        <v>117</v>
      </c>
      <c r="N193" s="4" t="s">
        <v>118</v>
      </c>
      <c r="O193" s="69">
        <f t="shared" ca="1" si="6"/>
        <v>16</v>
      </c>
      <c r="P193" s="69">
        <f t="shared" si="7"/>
        <v>16</v>
      </c>
    </row>
    <row r="194" spans="1:16" x14ac:dyDescent="0.25">
      <c r="A194" s="10" t="s">
        <v>239</v>
      </c>
      <c r="B194" s="69" t="s">
        <v>240</v>
      </c>
      <c r="C194" s="69" t="s">
        <v>411</v>
      </c>
      <c r="D194" s="70" t="s">
        <v>37</v>
      </c>
      <c r="E194" s="69" t="s">
        <v>46</v>
      </c>
      <c r="F194" s="7" t="s">
        <v>8</v>
      </c>
      <c r="G194" s="31">
        <f>H193</f>
        <v>42126</v>
      </c>
      <c r="H194" s="31">
        <f>G194+2</f>
        <v>42128</v>
      </c>
      <c r="I194" s="9">
        <f t="shared" ca="1" si="12"/>
        <v>1</v>
      </c>
      <c r="J194" s="32">
        <v>1</v>
      </c>
      <c r="K194" s="10">
        <f t="shared" si="11"/>
        <v>1</v>
      </c>
      <c r="L194" s="4">
        <f t="shared" si="5"/>
        <v>8</v>
      </c>
      <c r="M194" s="4" t="s">
        <v>117</v>
      </c>
      <c r="N194" s="4" t="s">
        <v>118</v>
      </c>
      <c r="O194" s="69">
        <f t="shared" ca="1" si="6"/>
        <v>8</v>
      </c>
      <c r="P194" s="69">
        <f t="shared" si="7"/>
        <v>8</v>
      </c>
    </row>
    <row r="195" spans="1:16" x14ac:dyDescent="0.25">
      <c r="A195" s="10" t="s">
        <v>239</v>
      </c>
      <c r="B195" s="69" t="s">
        <v>240</v>
      </c>
      <c r="C195" s="69" t="s">
        <v>411</v>
      </c>
      <c r="D195" s="70" t="s">
        <v>37</v>
      </c>
      <c r="E195" s="69" t="s">
        <v>46</v>
      </c>
      <c r="F195" s="7" t="s">
        <v>11</v>
      </c>
      <c r="G195" s="31">
        <f>H194</f>
        <v>42128</v>
      </c>
      <c r="H195" s="31">
        <v>42131</v>
      </c>
      <c r="I195" s="9">
        <f t="shared" ca="1" si="12"/>
        <v>1</v>
      </c>
      <c r="J195" s="32">
        <v>1</v>
      </c>
      <c r="K195" s="10">
        <f t="shared" si="11"/>
        <v>4</v>
      </c>
      <c r="L195" s="4">
        <f t="shared" si="5"/>
        <v>32</v>
      </c>
      <c r="M195" s="4" t="s">
        <v>117</v>
      </c>
      <c r="N195" s="4" t="s">
        <v>118</v>
      </c>
      <c r="O195" s="69">
        <f t="shared" ca="1" si="6"/>
        <v>32</v>
      </c>
      <c r="P195" s="69">
        <f t="shared" si="7"/>
        <v>32</v>
      </c>
    </row>
    <row r="196" spans="1:16" x14ac:dyDescent="0.25">
      <c r="A196" s="11" t="s">
        <v>239</v>
      </c>
      <c r="B196" s="71" t="s">
        <v>240</v>
      </c>
      <c r="C196" s="71" t="s">
        <v>411</v>
      </c>
      <c r="D196" s="71" t="s">
        <v>37</v>
      </c>
      <c r="E196" s="71" t="s">
        <v>46</v>
      </c>
      <c r="F196" s="71" t="s">
        <v>34</v>
      </c>
      <c r="G196" s="22">
        <f>G192</f>
        <v>42122</v>
      </c>
      <c r="H196" s="22">
        <f>H195</f>
        <v>42131</v>
      </c>
      <c r="I196" s="13">
        <f ca="1">SUM(O192:O195)/L196</f>
        <v>1</v>
      </c>
      <c r="J196" s="13">
        <f>SUM(P192:P195)/L196</f>
        <v>1</v>
      </c>
      <c r="K196" s="14">
        <f t="shared" si="11"/>
        <v>8</v>
      </c>
      <c r="L196" s="11">
        <f>SUM(L192:L195)</f>
        <v>80</v>
      </c>
      <c r="M196" s="11" t="s">
        <v>117</v>
      </c>
      <c r="N196" s="11" t="s">
        <v>118</v>
      </c>
      <c r="O196" s="69"/>
      <c r="P196" s="69"/>
    </row>
    <row r="197" spans="1:16" x14ac:dyDescent="0.25">
      <c r="A197" s="10" t="s">
        <v>241</v>
      </c>
      <c r="B197" s="69" t="s">
        <v>242</v>
      </c>
      <c r="C197" s="69" t="s">
        <v>411</v>
      </c>
      <c r="D197" s="70" t="s">
        <v>47</v>
      </c>
      <c r="E197" s="69" t="s">
        <v>46</v>
      </c>
      <c r="F197" s="7" t="s">
        <v>9</v>
      </c>
      <c r="G197" s="31">
        <v>42118</v>
      </c>
      <c r="H197" s="31">
        <v>42118</v>
      </c>
      <c r="I197" s="32">
        <v>1</v>
      </c>
      <c r="J197" s="32">
        <v>1</v>
      </c>
      <c r="K197" s="10">
        <f t="shared" si="11"/>
        <v>1</v>
      </c>
      <c r="L197" s="4">
        <f>K197*8</f>
        <v>8</v>
      </c>
      <c r="M197" s="4" t="s">
        <v>105</v>
      </c>
      <c r="N197" s="4" t="s">
        <v>106</v>
      </c>
      <c r="O197" s="69">
        <f>I197*L197</f>
        <v>8</v>
      </c>
      <c r="P197" s="69">
        <f>J197*L197</f>
        <v>8</v>
      </c>
    </row>
    <row r="198" spans="1:16" x14ac:dyDescent="0.25">
      <c r="A198" s="10" t="s">
        <v>241</v>
      </c>
      <c r="B198" s="69" t="s">
        <v>242</v>
      </c>
      <c r="C198" s="69" t="s">
        <v>411</v>
      </c>
      <c r="D198" s="70" t="s">
        <v>47</v>
      </c>
      <c r="E198" s="69" t="s">
        <v>46</v>
      </c>
      <c r="F198" s="7" t="s">
        <v>10</v>
      </c>
      <c r="G198" s="31">
        <v>42118</v>
      </c>
      <c r="H198" s="31">
        <v>42118</v>
      </c>
      <c r="I198" s="32">
        <v>1</v>
      </c>
      <c r="J198" s="32">
        <v>1</v>
      </c>
      <c r="K198" s="10">
        <f t="shared" si="11"/>
        <v>1</v>
      </c>
      <c r="L198" s="4">
        <f>K198*8</f>
        <v>8</v>
      </c>
      <c r="M198" s="4" t="s">
        <v>105</v>
      </c>
      <c r="N198" s="4" t="s">
        <v>106</v>
      </c>
      <c r="O198" s="69">
        <f>I198*L198</f>
        <v>8</v>
      </c>
      <c r="P198" s="69">
        <f>J198*L198</f>
        <v>8</v>
      </c>
    </row>
    <row r="199" spans="1:16" x14ac:dyDescent="0.25">
      <c r="A199" s="10" t="s">
        <v>241</v>
      </c>
      <c r="B199" s="69" t="s">
        <v>242</v>
      </c>
      <c r="C199" s="69" t="s">
        <v>411</v>
      </c>
      <c r="D199" s="70" t="s">
        <v>47</v>
      </c>
      <c r="E199" s="69" t="s">
        <v>46</v>
      </c>
      <c r="F199" s="7" t="s">
        <v>8</v>
      </c>
      <c r="G199" s="31">
        <v>42118</v>
      </c>
      <c r="H199" s="31">
        <v>42118</v>
      </c>
      <c r="I199" s="32">
        <v>1</v>
      </c>
      <c r="J199" s="32">
        <v>1</v>
      </c>
      <c r="K199" s="10">
        <f t="shared" si="11"/>
        <v>1</v>
      </c>
      <c r="L199" s="4">
        <f>K199*8</f>
        <v>8</v>
      </c>
      <c r="M199" s="4" t="s">
        <v>105</v>
      </c>
      <c r="N199" s="4" t="s">
        <v>106</v>
      </c>
      <c r="O199" s="69">
        <f>I199*L199</f>
        <v>8</v>
      </c>
      <c r="P199" s="69">
        <f>J199*L199</f>
        <v>8</v>
      </c>
    </row>
    <row r="200" spans="1:16" x14ac:dyDescent="0.25">
      <c r="A200" s="10" t="s">
        <v>241</v>
      </c>
      <c r="B200" s="69" t="s">
        <v>242</v>
      </c>
      <c r="C200" s="69" t="s">
        <v>411</v>
      </c>
      <c r="D200" s="70" t="s">
        <v>47</v>
      </c>
      <c r="E200" s="69" t="s">
        <v>46</v>
      </c>
      <c r="F200" s="7" t="s">
        <v>11</v>
      </c>
      <c r="G200" s="31">
        <v>42118</v>
      </c>
      <c r="H200" s="31">
        <v>42118</v>
      </c>
      <c r="I200" s="32">
        <v>1</v>
      </c>
      <c r="J200" s="32">
        <v>1</v>
      </c>
      <c r="K200" s="10">
        <f t="shared" si="11"/>
        <v>1</v>
      </c>
      <c r="L200" s="4">
        <f>K200*8</f>
        <v>8</v>
      </c>
      <c r="M200" s="4" t="s">
        <v>105</v>
      </c>
      <c r="N200" s="4" t="s">
        <v>106</v>
      </c>
      <c r="O200" s="69">
        <f>I200*L200</f>
        <v>8</v>
      </c>
      <c r="P200" s="69">
        <f>J200*L200</f>
        <v>8</v>
      </c>
    </row>
    <row r="201" spans="1:16" x14ac:dyDescent="0.25">
      <c r="A201" s="11" t="s">
        <v>241</v>
      </c>
      <c r="B201" s="71" t="s">
        <v>242</v>
      </c>
      <c r="C201" s="71" t="s">
        <v>411</v>
      </c>
      <c r="D201" s="71" t="s">
        <v>47</v>
      </c>
      <c r="E201" s="71" t="s">
        <v>46</v>
      </c>
      <c r="F201" s="71" t="s">
        <v>34</v>
      </c>
      <c r="G201" s="22">
        <f>G197</f>
        <v>42118</v>
      </c>
      <c r="H201" s="22">
        <f>H200</f>
        <v>42118</v>
      </c>
      <c r="I201" s="13">
        <f>SUM(O197:O200)/L201</f>
        <v>1</v>
      </c>
      <c r="J201" s="13">
        <f>SUM(P197:P200)/L201</f>
        <v>1</v>
      </c>
      <c r="K201" s="14">
        <f t="shared" si="11"/>
        <v>1</v>
      </c>
      <c r="L201" s="11">
        <f>SUM(L197:L200)</f>
        <v>32</v>
      </c>
      <c r="M201" s="11" t="s">
        <v>105</v>
      </c>
      <c r="N201" s="11" t="s">
        <v>106</v>
      </c>
      <c r="O201" s="69"/>
      <c r="P201" s="69"/>
    </row>
    <row r="202" spans="1:16" x14ac:dyDescent="0.25">
      <c r="A202" s="10" t="s">
        <v>85</v>
      </c>
      <c r="B202" s="69" t="s">
        <v>55</v>
      </c>
      <c r="C202" s="69" t="s">
        <v>411</v>
      </c>
      <c r="D202" s="70" t="s">
        <v>47</v>
      </c>
      <c r="E202" s="69" t="s">
        <v>46</v>
      </c>
      <c r="F202" s="7" t="s">
        <v>50</v>
      </c>
      <c r="G202" s="8">
        <v>42138</v>
      </c>
      <c r="H202" s="8">
        <f>G202+2</f>
        <v>42140</v>
      </c>
      <c r="I202" s="9">
        <f ca="1">IF(NETWORKDAYS(G202,TODAY())/NETWORKDAYS(G202,H202,)&lt;0,0,IF(NETWORKDAYS(G202,TODAY())/NETWORKDAYS(G202,H202,)&gt;1,1,NETWORKDAYS(G202,TODAY())/NETWORKDAYS(G202,H202,)))</f>
        <v>1</v>
      </c>
      <c r="J202" s="9">
        <v>1</v>
      </c>
      <c r="K202" s="10">
        <f t="shared" si="11"/>
        <v>2</v>
      </c>
      <c r="L202" s="4">
        <f>K202*8</f>
        <v>16</v>
      </c>
      <c r="M202" s="4" t="s">
        <v>100</v>
      </c>
      <c r="N202" s="4" t="s">
        <v>125</v>
      </c>
      <c r="O202" s="69">
        <f ca="1">I202*L202</f>
        <v>16</v>
      </c>
      <c r="P202" s="69">
        <f>J202*L202</f>
        <v>16</v>
      </c>
    </row>
    <row r="203" spans="1:16" x14ac:dyDescent="0.25">
      <c r="A203" s="10" t="s">
        <v>85</v>
      </c>
      <c r="B203" s="69" t="s">
        <v>55</v>
      </c>
      <c r="C203" s="69" t="s">
        <v>411</v>
      </c>
      <c r="D203" s="70" t="s">
        <v>47</v>
      </c>
      <c r="E203" s="69" t="s">
        <v>46</v>
      </c>
      <c r="F203" s="7" t="s">
        <v>50</v>
      </c>
      <c r="G203" s="8">
        <v>42142</v>
      </c>
      <c r="H203" s="8">
        <v>42144</v>
      </c>
      <c r="I203" s="9">
        <f ca="1">IF(NETWORKDAYS(G203,TODAY())/NETWORKDAYS(G203,H203,)&lt;0,0,IF(NETWORKDAYS(G203,TODAY())/NETWORKDAYS(G203,H203,)&gt;1,1,NETWORKDAYS(G203,TODAY())/NETWORKDAYS(G203,H203,)))</f>
        <v>1</v>
      </c>
      <c r="J203" s="9">
        <v>1</v>
      </c>
      <c r="K203" s="10">
        <f t="shared" si="11"/>
        <v>3</v>
      </c>
      <c r="L203" s="4">
        <f>K203*8</f>
        <v>24</v>
      </c>
      <c r="M203" s="4" t="s">
        <v>100</v>
      </c>
      <c r="N203" s="4" t="s">
        <v>125</v>
      </c>
      <c r="O203" s="69">
        <f ca="1">I203*L203</f>
        <v>24</v>
      </c>
      <c r="P203" s="69">
        <f>J203*L203</f>
        <v>24</v>
      </c>
    </row>
    <row r="204" spans="1:16" x14ac:dyDescent="0.25">
      <c r="A204" s="10" t="s">
        <v>85</v>
      </c>
      <c r="B204" s="69" t="s">
        <v>55</v>
      </c>
      <c r="C204" s="69" t="s">
        <v>411</v>
      </c>
      <c r="D204" s="70" t="s">
        <v>47</v>
      </c>
      <c r="E204" s="69" t="s">
        <v>46</v>
      </c>
      <c r="F204" s="7" t="s">
        <v>51</v>
      </c>
      <c r="G204" s="8">
        <v>42145</v>
      </c>
      <c r="H204" s="8">
        <v>42145</v>
      </c>
      <c r="I204" s="9">
        <f ca="1">IF(NETWORKDAYS(G204,TODAY())/NETWORKDAYS(G204,H204,)&lt;0,0,IF(NETWORKDAYS(G204,TODAY())/NETWORKDAYS(G204,H204,)&gt;1,1,NETWORKDAYS(G204,TODAY())/NETWORKDAYS(G204,H204,)))</f>
        <v>1</v>
      </c>
      <c r="J204" s="9">
        <v>1</v>
      </c>
      <c r="K204" s="10">
        <f t="shared" si="11"/>
        <v>1</v>
      </c>
      <c r="L204" s="4">
        <f>K204*8</f>
        <v>8</v>
      </c>
      <c r="M204" s="4" t="s">
        <v>100</v>
      </c>
      <c r="N204" s="4" t="s">
        <v>125</v>
      </c>
      <c r="O204" s="69">
        <f ca="1">I204*L204</f>
        <v>8</v>
      </c>
      <c r="P204" s="69">
        <f>J204*L204</f>
        <v>8</v>
      </c>
    </row>
    <row r="205" spans="1:16" x14ac:dyDescent="0.25">
      <c r="A205" s="10" t="s">
        <v>85</v>
      </c>
      <c r="B205" s="69" t="s">
        <v>55</v>
      </c>
      <c r="C205" s="69" t="s">
        <v>411</v>
      </c>
      <c r="D205" s="70" t="s">
        <v>47</v>
      </c>
      <c r="E205" s="69" t="s">
        <v>46</v>
      </c>
      <c r="F205" s="7" t="s">
        <v>52</v>
      </c>
      <c r="G205" s="8">
        <v>42145</v>
      </c>
      <c r="H205" s="8">
        <v>42151</v>
      </c>
      <c r="I205" s="9">
        <f ca="1">IF(NETWORKDAYS(G205,TODAY())/NETWORKDAYS(G205,H205,)&lt;0,0,IF(NETWORKDAYS(G205,TODAY())/NETWORKDAYS(G205,H205,)&gt;1,1,NETWORKDAYS(G205,TODAY())/NETWORKDAYS(G205,H205,)))</f>
        <v>1</v>
      </c>
      <c r="J205" s="9">
        <v>1</v>
      </c>
      <c r="K205" s="10">
        <f t="shared" si="11"/>
        <v>5</v>
      </c>
      <c r="L205" s="4">
        <f>K205*8</f>
        <v>40</v>
      </c>
      <c r="M205" s="4" t="s">
        <v>100</v>
      </c>
      <c r="N205" s="4" t="s">
        <v>125</v>
      </c>
      <c r="O205" s="69">
        <f ca="1">I205*L205</f>
        <v>40</v>
      </c>
      <c r="P205" s="69">
        <f>J205*L205</f>
        <v>40</v>
      </c>
    </row>
    <row r="206" spans="1:16" x14ac:dyDescent="0.25">
      <c r="A206" s="14" t="s">
        <v>85</v>
      </c>
      <c r="B206" s="71" t="s">
        <v>55</v>
      </c>
      <c r="C206" s="71" t="s">
        <v>411</v>
      </c>
      <c r="D206" s="71" t="s">
        <v>47</v>
      </c>
      <c r="E206" s="71" t="s">
        <v>46</v>
      </c>
      <c r="F206" s="71" t="s">
        <v>34</v>
      </c>
      <c r="G206" s="22">
        <f>G202</f>
        <v>42138</v>
      </c>
      <c r="H206" s="22">
        <f>H205</f>
        <v>42151</v>
      </c>
      <c r="I206" s="13">
        <f ca="1">SUM(O202:O205)/L206</f>
        <v>1</v>
      </c>
      <c r="J206" s="13">
        <f>SUM(P202:P205)/L206</f>
        <v>1</v>
      </c>
      <c r="K206" s="14">
        <f>SUM(K202:K205)</f>
        <v>11</v>
      </c>
      <c r="L206" s="11">
        <f>SUM(L202:L205)</f>
        <v>88</v>
      </c>
      <c r="M206" s="11" t="s">
        <v>100</v>
      </c>
      <c r="N206" s="11" t="s">
        <v>125</v>
      </c>
      <c r="O206" s="69"/>
      <c r="P206" s="69"/>
    </row>
    <row r="207" spans="1:16" x14ac:dyDescent="0.25">
      <c r="A207" s="4" t="s">
        <v>243</v>
      </c>
      <c r="B207" s="69" t="s">
        <v>244</v>
      </c>
      <c r="C207" s="69" t="s">
        <v>411</v>
      </c>
      <c r="D207" s="69" t="s">
        <v>40</v>
      </c>
      <c r="E207" s="70" t="s">
        <v>38</v>
      </c>
      <c r="F207" s="7" t="s">
        <v>9</v>
      </c>
      <c r="G207" s="8">
        <v>42058</v>
      </c>
      <c r="H207" s="8">
        <v>42062</v>
      </c>
      <c r="I207" s="9">
        <f ca="1">IF(NETWORKDAYS(G207,TODAY())/NETWORKDAYS(G207,H207,)&lt;0,0,IF(NETWORKDAYS(G207,TODAY())/NETWORKDAYS(G207,H207,)&gt;1,1,NETWORKDAYS(G207,TODAY())/NETWORKDAYS(G207,H207,)))</f>
        <v>1</v>
      </c>
      <c r="J207" s="9">
        <v>1</v>
      </c>
      <c r="K207" s="10">
        <f t="shared" ref="K207:K215" si="13">NETWORKDAYS(G207,H207)</f>
        <v>5</v>
      </c>
      <c r="L207" s="4">
        <f>K207*8</f>
        <v>40</v>
      </c>
      <c r="M207" s="4" t="s">
        <v>109</v>
      </c>
      <c r="N207" s="4" t="s">
        <v>110</v>
      </c>
      <c r="O207" s="69">
        <f ca="1">I207*L207</f>
        <v>40</v>
      </c>
      <c r="P207" s="69">
        <f>J207*L207</f>
        <v>40</v>
      </c>
    </row>
    <row r="208" spans="1:16" x14ac:dyDescent="0.25">
      <c r="A208" s="4" t="s">
        <v>243</v>
      </c>
      <c r="B208" s="69" t="s">
        <v>244</v>
      </c>
      <c r="C208" s="69" t="s">
        <v>411</v>
      </c>
      <c r="D208" s="69" t="s">
        <v>40</v>
      </c>
      <c r="E208" s="70" t="s">
        <v>38</v>
      </c>
      <c r="F208" s="7" t="s">
        <v>245</v>
      </c>
      <c r="G208" s="21">
        <v>42065</v>
      </c>
      <c r="H208" s="21">
        <v>42081</v>
      </c>
      <c r="I208" s="9">
        <f ca="1">IF(NETWORKDAYS(G208,TODAY())/NETWORKDAYS(G208,H208,)&lt;0,0,IF(NETWORKDAYS(G208,TODAY())/NETWORKDAYS(G208,H208,)&gt;1,1,NETWORKDAYS(G208,TODAY())/NETWORKDAYS(G208,H208,)))</f>
        <v>1</v>
      </c>
      <c r="J208" s="9">
        <v>1</v>
      </c>
      <c r="K208" s="10">
        <f t="shared" si="13"/>
        <v>13</v>
      </c>
      <c r="L208" s="4">
        <f>K208*8</f>
        <v>104</v>
      </c>
      <c r="M208" s="4" t="s">
        <v>109</v>
      </c>
      <c r="N208" s="4" t="s">
        <v>110</v>
      </c>
      <c r="O208" s="69">
        <f ca="1">I208*L208</f>
        <v>104</v>
      </c>
      <c r="P208" s="69">
        <f>J208*L208</f>
        <v>104</v>
      </c>
    </row>
    <row r="209" spans="1:16" x14ac:dyDescent="0.25">
      <c r="A209" s="4" t="s">
        <v>243</v>
      </c>
      <c r="B209" s="69" t="s">
        <v>244</v>
      </c>
      <c r="C209" s="69" t="s">
        <v>411</v>
      </c>
      <c r="D209" s="69" t="s">
        <v>40</v>
      </c>
      <c r="E209" s="70" t="s">
        <v>38</v>
      </c>
      <c r="F209" s="7" t="s">
        <v>246</v>
      </c>
      <c r="G209" s="21">
        <v>42068</v>
      </c>
      <c r="H209" s="21">
        <v>42086</v>
      </c>
      <c r="I209" s="9">
        <f ca="1">IF(NETWORKDAYS(G209,TODAY())/NETWORKDAYS(G209,H209,)&lt;0,0,IF(NETWORKDAYS(G209,TODAY())/NETWORKDAYS(G209,H209,)&gt;1,1,NETWORKDAYS(G209,TODAY())/NETWORKDAYS(G209,H209,)))</f>
        <v>1</v>
      </c>
      <c r="J209" s="9">
        <v>1</v>
      </c>
      <c r="K209" s="10">
        <f t="shared" si="13"/>
        <v>13</v>
      </c>
      <c r="L209" s="4">
        <f>K209*8</f>
        <v>104</v>
      </c>
      <c r="M209" s="4" t="s">
        <v>109</v>
      </c>
      <c r="N209" s="4" t="s">
        <v>110</v>
      </c>
      <c r="O209" s="69">
        <f ca="1">I209*L209</f>
        <v>104</v>
      </c>
      <c r="P209" s="69">
        <f>J209*L209</f>
        <v>104</v>
      </c>
    </row>
    <row r="210" spans="1:16" x14ac:dyDescent="0.25">
      <c r="A210" s="4" t="s">
        <v>243</v>
      </c>
      <c r="B210" s="69" t="s">
        <v>247</v>
      </c>
      <c r="C210" s="69" t="s">
        <v>411</v>
      </c>
      <c r="D210" s="69" t="s">
        <v>40</v>
      </c>
      <c r="E210" s="70" t="s">
        <v>38</v>
      </c>
      <c r="F210" s="7" t="s">
        <v>248</v>
      </c>
      <c r="G210" s="21">
        <v>42087</v>
      </c>
      <c r="H210" s="21">
        <v>42104</v>
      </c>
      <c r="I210" s="9">
        <f ca="1">IF(NETWORKDAYS(G210,TODAY())/NETWORKDAYS(G210,H210,)&lt;0,0,IF(NETWORKDAYS(G210,TODAY())/NETWORKDAYS(G210,H210,)&gt;1,1,NETWORKDAYS(G210,TODAY())/NETWORKDAYS(G210,H210,)))</f>
        <v>1</v>
      </c>
      <c r="J210" s="9">
        <v>1</v>
      </c>
      <c r="K210" s="10">
        <f t="shared" si="13"/>
        <v>14</v>
      </c>
      <c r="L210" s="4">
        <f>K210*8</f>
        <v>112</v>
      </c>
      <c r="M210" s="4" t="s">
        <v>109</v>
      </c>
      <c r="N210" s="4" t="s">
        <v>110</v>
      </c>
      <c r="O210" s="69">
        <f ca="1">I210*L210</f>
        <v>112</v>
      </c>
      <c r="P210" s="69">
        <f>J210*L210</f>
        <v>112</v>
      </c>
    </row>
    <row r="211" spans="1:16" x14ac:dyDescent="0.25">
      <c r="A211" s="11" t="s">
        <v>243</v>
      </c>
      <c r="B211" s="71" t="s">
        <v>247</v>
      </c>
      <c r="C211" s="71" t="s">
        <v>411</v>
      </c>
      <c r="D211" s="71" t="s">
        <v>40</v>
      </c>
      <c r="E211" s="71" t="s">
        <v>46</v>
      </c>
      <c r="F211" s="17" t="s">
        <v>34</v>
      </c>
      <c r="G211" s="22">
        <v>42058</v>
      </c>
      <c r="H211" s="22">
        <f>H210</f>
        <v>42104</v>
      </c>
      <c r="I211" s="13">
        <f ca="1">SUM(O207:O210)/L211</f>
        <v>1</v>
      </c>
      <c r="J211" s="13">
        <f>SUM(P207:P210)/L211</f>
        <v>1</v>
      </c>
      <c r="K211" s="14">
        <f t="shared" si="13"/>
        <v>35</v>
      </c>
      <c r="L211" s="11">
        <f>SUM(L207:L210)</f>
        <v>360</v>
      </c>
      <c r="M211" s="11" t="s">
        <v>109</v>
      </c>
      <c r="N211" s="11" t="s">
        <v>110</v>
      </c>
      <c r="O211" s="69"/>
      <c r="P211" s="69"/>
    </row>
    <row r="212" spans="1:16" x14ac:dyDescent="0.25">
      <c r="A212" s="4" t="s">
        <v>252</v>
      </c>
      <c r="B212" s="69" t="s">
        <v>253</v>
      </c>
      <c r="C212" s="69" t="s">
        <v>411</v>
      </c>
      <c r="D212" s="69" t="s">
        <v>47</v>
      </c>
      <c r="E212" s="70" t="s">
        <v>46</v>
      </c>
      <c r="F212" s="7" t="s">
        <v>7</v>
      </c>
      <c r="G212" s="8">
        <v>42086</v>
      </c>
      <c r="H212" s="8">
        <v>42087</v>
      </c>
      <c r="I212" s="9">
        <f ca="1">IF(NETWORKDAYS(G212,TODAY())/NETWORKDAYS(G212,H212,)&lt;0,0,IF(NETWORKDAYS(G212,TODAY())/NETWORKDAYS(G212,H212,)&gt;1,1,NETWORKDAYS(G212,TODAY())/NETWORKDAYS(G212,H212,)))</f>
        <v>1</v>
      </c>
      <c r="J212" s="9">
        <v>1</v>
      </c>
      <c r="K212" s="10">
        <f t="shared" si="13"/>
        <v>2</v>
      </c>
      <c r="L212" s="4">
        <f>K212*8</f>
        <v>16</v>
      </c>
      <c r="M212" s="4" t="s">
        <v>113</v>
      </c>
      <c r="N212" s="4" t="s">
        <v>114</v>
      </c>
      <c r="O212" s="69">
        <f ca="1">I212*L212</f>
        <v>16</v>
      </c>
      <c r="P212" s="69">
        <f>J212*L212</f>
        <v>16</v>
      </c>
    </row>
    <row r="213" spans="1:16" x14ac:dyDescent="0.25">
      <c r="A213" s="4" t="s">
        <v>252</v>
      </c>
      <c r="B213" s="69" t="s">
        <v>253</v>
      </c>
      <c r="C213" s="69" t="s">
        <v>411</v>
      </c>
      <c r="D213" s="69" t="s">
        <v>47</v>
      </c>
      <c r="E213" s="70" t="s">
        <v>46</v>
      </c>
      <c r="F213" s="7" t="s">
        <v>10</v>
      </c>
      <c r="G213" s="8">
        <v>42088</v>
      </c>
      <c r="H213" s="8">
        <v>42093</v>
      </c>
      <c r="I213" s="9">
        <f ca="1">IF(NETWORKDAYS(G213,TODAY())/NETWORKDAYS(G213,H213,)&lt;0,0,IF(NETWORKDAYS(G213,TODAY())/NETWORKDAYS(G213,H213,)&gt;1,1,NETWORKDAYS(G213,TODAY())/NETWORKDAYS(G213,H213,)))</f>
        <v>1</v>
      </c>
      <c r="J213" s="9">
        <v>1</v>
      </c>
      <c r="K213" s="10">
        <f t="shared" si="13"/>
        <v>4</v>
      </c>
      <c r="L213" s="4">
        <f>K213*8</f>
        <v>32</v>
      </c>
      <c r="M213" s="4" t="s">
        <v>113</v>
      </c>
      <c r="N213" s="4" t="s">
        <v>114</v>
      </c>
      <c r="O213" s="69">
        <f ca="1">I213*L213</f>
        <v>32</v>
      </c>
      <c r="P213" s="69">
        <f>J213*L213</f>
        <v>32</v>
      </c>
    </row>
    <row r="214" spans="1:16" x14ac:dyDescent="0.25">
      <c r="A214" s="4" t="s">
        <v>252</v>
      </c>
      <c r="B214" s="69" t="s">
        <v>253</v>
      </c>
      <c r="C214" s="69" t="s">
        <v>411</v>
      </c>
      <c r="D214" s="69" t="s">
        <v>47</v>
      </c>
      <c r="E214" s="70" t="s">
        <v>46</v>
      </c>
      <c r="F214" s="7" t="s">
        <v>8</v>
      </c>
      <c r="G214" s="8">
        <v>42094</v>
      </c>
      <c r="H214" s="8">
        <v>42094</v>
      </c>
      <c r="I214" s="9">
        <f ca="1">IF(NETWORKDAYS(G214,TODAY())/NETWORKDAYS(G214,H214,)&lt;0,0,IF(NETWORKDAYS(G214,TODAY())/NETWORKDAYS(G214,H214,)&gt;1,1,NETWORKDAYS(G214,TODAY())/NETWORKDAYS(G214,H214,)))</f>
        <v>1</v>
      </c>
      <c r="J214" s="9">
        <v>1</v>
      </c>
      <c r="K214" s="10">
        <f t="shared" si="13"/>
        <v>1</v>
      </c>
      <c r="L214" s="4">
        <f>K214*8</f>
        <v>8</v>
      </c>
      <c r="M214" s="4" t="s">
        <v>113</v>
      </c>
      <c r="N214" s="4" t="s">
        <v>114</v>
      </c>
      <c r="O214" s="69">
        <f ca="1">I214*L214</f>
        <v>8</v>
      </c>
      <c r="P214" s="69">
        <f>J214*L214</f>
        <v>8</v>
      </c>
    </row>
    <row r="215" spans="1:16" x14ac:dyDescent="0.25">
      <c r="A215" s="4" t="s">
        <v>252</v>
      </c>
      <c r="B215" s="69" t="s">
        <v>253</v>
      </c>
      <c r="C215" s="69" t="s">
        <v>411</v>
      </c>
      <c r="D215" s="69" t="s">
        <v>47</v>
      </c>
      <c r="E215" s="70" t="s">
        <v>46</v>
      </c>
      <c r="F215" s="7" t="s">
        <v>11</v>
      </c>
      <c r="G215" s="8">
        <v>42095</v>
      </c>
      <c r="H215" s="8">
        <v>42095</v>
      </c>
      <c r="I215" s="9">
        <f ca="1">IF(NETWORKDAYS(G215,TODAY())/NETWORKDAYS(G215,H215,)&lt;0,0,IF(NETWORKDAYS(G215,TODAY())/NETWORKDAYS(G215,H215,)&gt;1,1,NETWORKDAYS(G215,TODAY())/NETWORKDAYS(G215,H215,)))</f>
        <v>1</v>
      </c>
      <c r="J215" s="9">
        <v>1</v>
      </c>
      <c r="K215" s="10">
        <f t="shared" si="13"/>
        <v>1</v>
      </c>
      <c r="L215" s="4">
        <f>K215*8</f>
        <v>8</v>
      </c>
      <c r="M215" s="4" t="s">
        <v>113</v>
      </c>
      <c r="N215" s="4" t="s">
        <v>114</v>
      </c>
      <c r="O215" s="69">
        <f ca="1">I215*L215</f>
        <v>8</v>
      </c>
      <c r="P215" s="69">
        <f>J215*L215</f>
        <v>8</v>
      </c>
    </row>
    <row r="216" spans="1:16" x14ac:dyDescent="0.25">
      <c r="A216" s="11" t="s">
        <v>252</v>
      </c>
      <c r="B216" s="71" t="s">
        <v>253</v>
      </c>
      <c r="C216" s="71" t="s">
        <v>411</v>
      </c>
      <c r="D216" s="71" t="s">
        <v>47</v>
      </c>
      <c r="E216" s="71" t="s">
        <v>46</v>
      </c>
      <c r="F216" s="71" t="s">
        <v>34</v>
      </c>
      <c r="G216" s="22">
        <v>42086</v>
      </c>
      <c r="H216" s="22">
        <v>42095</v>
      </c>
      <c r="I216" s="13">
        <f ca="1">SUM(O212:O215)/L216</f>
        <v>1</v>
      </c>
      <c r="J216" s="13">
        <f>SUM(P212:P215)/L216</f>
        <v>1</v>
      </c>
      <c r="K216" s="14">
        <f>SUM(K212:K214)</f>
        <v>7</v>
      </c>
      <c r="L216" s="11">
        <f>SUM(L212:L215)</f>
        <v>64</v>
      </c>
      <c r="M216" s="13" t="s">
        <v>113</v>
      </c>
      <c r="N216" s="13" t="s">
        <v>114</v>
      </c>
      <c r="O216" s="69"/>
      <c r="P216" s="72"/>
    </row>
    <row r="217" spans="1:16" x14ac:dyDescent="0.25">
      <c r="A217" s="4" t="s">
        <v>254</v>
      </c>
      <c r="B217" s="69" t="s">
        <v>255</v>
      </c>
      <c r="C217" s="69" t="s">
        <v>411</v>
      </c>
      <c r="D217" s="69" t="s">
        <v>37</v>
      </c>
      <c r="E217" s="70" t="s">
        <v>46</v>
      </c>
      <c r="F217" s="7" t="s">
        <v>50</v>
      </c>
      <c r="G217" s="8">
        <v>42136</v>
      </c>
      <c r="H217" s="8">
        <v>42136</v>
      </c>
      <c r="I217" s="9">
        <f ca="1">IF(NETWORKDAYS(G217,TODAY())/NETWORKDAYS(G217,H217,)&lt;0,0,IF(NETWORKDAYS(G217,TODAY())/NETWORKDAYS(G217,H217,)&gt;1,1,NETWORKDAYS(G217,TODAY())/NETWORKDAYS(G217,H217,)))</f>
        <v>1</v>
      </c>
      <c r="J217" s="9">
        <v>1</v>
      </c>
      <c r="K217" s="10">
        <f t="shared" ref="K217:K241" si="14">NETWORKDAYS(G217,H217)</f>
        <v>1</v>
      </c>
      <c r="L217" s="4">
        <f>K217*8</f>
        <v>8</v>
      </c>
      <c r="M217" s="4" t="s">
        <v>109</v>
      </c>
      <c r="N217" s="4" t="s">
        <v>110</v>
      </c>
      <c r="O217" s="69">
        <f ca="1">I217*L217</f>
        <v>8</v>
      </c>
      <c r="P217" s="69">
        <f>J217*L217</f>
        <v>8</v>
      </c>
    </row>
    <row r="218" spans="1:16" x14ac:dyDescent="0.25">
      <c r="A218" s="4" t="s">
        <v>254</v>
      </c>
      <c r="B218" s="69" t="s">
        <v>255</v>
      </c>
      <c r="C218" s="69" t="s">
        <v>411</v>
      </c>
      <c r="D218" s="69" t="s">
        <v>37</v>
      </c>
      <c r="E218" s="70" t="s">
        <v>46</v>
      </c>
      <c r="F218" s="7" t="s">
        <v>50</v>
      </c>
      <c r="G218" s="8">
        <v>42136</v>
      </c>
      <c r="H218" s="8">
        <v>42136</v>
      </c>
      <c r="I218" s="9">
        <f ca="1">IF(NETWORKDAYS(G218,TODAY())/NETWORKDAYS(G218,H218,)&lt;0,0,IF(NETWORKDAYS(G218,TODAY())/NETWORKDAYS(G218,H218,)&gt;1,1,NETWORKDAYS(G218,TODAY())/NETWORKDAYS(G218,H218,)))</f>
        <v>1</v>
      </c>
      <c r="J218" s="9">
        <v>1</v>
      </c>
      <c r="K218" s="10">
        <f t="shared" si="14"/>
        <v>1</v>
      </c>
      <c r="L218" s="4">
        <f>K218*8</f>
        <v>8</v>
      </c>
      <c r="M218" s="4" t="s">
        <v>109</v>
      </c>
      <c r="N218" s="4" t="s">
        <v>110</v>
      </c>
      <c r="O218" s="69">
        <f ca="1">I218*L218</f>
        <v>8</v>
      </c>
      <c r="P218" s="69">
        <f>J218*L218</f>
        <v>8</v>
      </c>
    </row>
    <row r="219" spans="1:16" x14ac:dyDescent="0.25">
      <c r="A219" s="4" t="s">
        <v>254</v>
      </c>
      <c r="B219" s="69" t="s">
        <v>255</v>
      </c>
      <c r="C219" s="69" t="s">
        <v>411</v>
      </c>
      <c r="D219" s="69" t="s">
        <v>37</v>
      </c>
      <c r="E219" s="69" t="s">
        <v>46</v>
      </c>
      <c r="F219" s="7" t="s">
        <v>51</v>
      </c>
      <c r="G219" s="8">
        <v>42136</v>
      </c>
      <c r="H219" s="8">
        <v>42136</v>
      </c>
      <c r="I219" s="9">
        <f ca="1">IF(NETWORKDAYS(G219,TODAY())/NETWORKDAYS(G219,H219,)&lt;0,0,IF(NETWORKDAYS(G219,TODAY())/NETWORKDAYS(G219,H219,)&gt;1,1,NETWORKDAYS(G219,TODAY())/NETWORKDAYS(G219,H219,)))</f>
        <v>1</v>
      </c>
      <c r="J219" s="9">
        <v>1</v>
      </c>
      <c r="K219" s="10">
        <f t="shared" si="14"/>
        <v>1</v>
      </c>
      <c r="L219" s="4">
        <f>K219*8</f>
        <v>8</v>
      </c>
      <c r="M219" s="4" t="s">
        <v>109</v>
      </c>
      <c r="N219" s="4" t="s">
        <v>110</v>
      </c>
      <c r="O219" s="69">
        <f ca="1">I219*L219</f>
        <v>8</v>
      </c>
      <c r="P219" s="69">
        <f>J219*L219</f>
        <v>8</v>
      </c>
    </row>
    <row r="220" spans="1:16" x14ac:dyDescent="0.25">
      <c r="A220" s="4" t="s">
        <v>254</v>
      </c>
      <c r="B220" s="69" t="s">
        <v>255</v>
      </c>
      <c r="C220" s="69" t="s">
        <v>411</v>
      </c>
      <c r="D220" s="69" t="s">
        <v>37</v>
      </c>
      <c r="E220" s="69" t="s">
        <v>46</v>
      </c>
      <c r="F220" s="7" t="s">
        <v>52</v>
      </c>
      <c r="G220" s="8">
        <v>42136</v>
      </c>
      <c r="H220" s="8">
        <f>H219</f>
        <v>42136</v>
      </c>
      <c r="I220" s="9">
        <f ca="1">IF(NETWORKDAYS(G220,TODAY())/NETWORKDAYS(G220,H220,)&lt;0,0,IF(NETWORKDAYS(G220,TODAY())/NETWORKDAYS(G220,H220,)&gt;1,1,NETWORKDAYS(G220,TODAY())/NETWORKDAYS(G220,H220,)))</f>
        <v>1</v>
      </c>
      <c r="J220" s="9">
        <v>1</v>
      </c>
      <c r="K220" s="10">
        <f t="shared" si="14"/>
        <v>1</v>
      </c>
      <c r="L220" s="4">
        <f>K220*8</f>
        <v>8</v>
      </c>
      <c r="M220" s="4" t="s">
        <v>109</v>
      </c>
      <c r="N220" s="4" t="s">
        <v>110</v>
      </c>
      <c r="O220" s="69">
        <f ca="1">I220*L220</f>
        <v>8</v>
      </c>
      <c r="P220" s="69">
        <f>J220*L220</f>
        <v>8</v>
      </c>
    </row>
    <row r="221" spans="1:16" x14ac:dyDescent="0.25">
      <c r="A221" s="11" t="s">
        <v>254</v>
      </c>
      <c r="B221" s="71" t="s">
        <v>255</v>
      </c>
      <c r="C221" s="71" t="s">
        <v>411</v>
      </c>
      <c r="D221" s="71" t="s">
        <v>37</v>
      </c>
      <c r="E221" s="71" t="s">
        <v>46</v>
      </c>
      <c r="F221" s="71" t="s">
        <v>34</v>
      </c>
      <c r="G221" s="22">
        <f>G217</f>
        <v>42136</v>
      </c>
      <c r="H221" s="22">
        <f>H220</f>
        <v>42136</v>
      </c>
      <c r="I221" s="13">
        <f ca="1">SUM(O217:O220)/L221</f>
        <v>1</v>
      </c>
      <c r="J221" s="13">
        <f>SUM(P217:P220)/L221</f>
        <v>1</v>
      </c>
      <c r="K221" s="14">
        <f t="shared" si="14"/>
        <v>1</v>
      </c>
      <c r="L221" s="11">
        <f>SUM(L217:L220)</f>
        <v>32</v>
      </c>
      <c r="M221" s="13" t="s">
        <v>109</v>
      </c>
      <c r="N221" s="13" t="s">
        <v>110</v>
      </c>
      <c r="O221" s="69"/>
      <c r="P221" s="69"/>
    </row>
    <row r="222" spans="1:16" x14ac:dyDescent="0.25">
      <c r="A222" s="10" t="s">
        <v>88</v>
      </c>
      <c r="B222" s="69" t="s">
        <v>66</v>
      </c>
      <c r="C222" s="69" t="s">
        <v>411</v>
      </c>
      <c r="D222" s="70" t="s">
        <v>62</v>
      </c>
      <c r="E222" s="69" t="s">
        <v>53</v>
      </c>
      <c r="F222" s="7" t="s">
        <v>57</v>
      </c>
      <c r="G222" s="8">
        <v>42132</v>
      </c>
      <c r="H222" s="8">
        <v>42135</v>
      </c>
      <c r="I222" s="9">
        <f ca="1">IF(NETWORKDAYS(G222,TODAY())/NETWORKDAYS(G222,H222,)&lt;0,0,IF(NETWORKDAYS(G222,TODAY())/NETWORKDAYS(G222,H222,)&gt;1,1,NETWORKDAYS(G222,TODAY())/NETWORKDAYS(G222,H222,)))</f>
        <v>1</v>
      </c>
      <c r="J222" s="9">
        <v>1</v>
      </c>
      <c r="K222" s="10">
        <f t="shared" si="14"/>
        <v>2</v>
      </c>
      <c r="L222" s="4">
        <f t="shared" ref="L222:L230" si="15">K222*8</f>
        <v>16</v>
      </c>
      <c r="M222" s="4" t="s">
        <v>103</v>
      </c>
      <c r="N222" s="4" t="s">
        <v>104</v>
      </c>
      <c r="O222" s="69">
        <f ca="1">I222*L222</f>
        <v>16</v>
      </c>
      <c r="P222" s="69">
        <f>J222*L222</f>
        <v>16</v>
      </c>
    </row>
    <row r="223" spans="1:16" x14ac:dyDescent="0.25">
      <c r="A223" s="10" t="s">
        <v>88</v>
      </c>
      <c r="B223" s="69" t="s">
        <v>66</v>
      </c>
      <c r="C223" s="69" t="s">
        <v>411</v>
      </c>
      <c r="D223" s="70" t="s">
        <v>62</v>
      </c>
      <c r="E223" s="69" t="s">
        <v>53</v>
      </c>
      <c r="F223" s="7" t="s">
        <v>65</v>
      </c>
      <c r="G223" s="8">
        <v>42136</v>
      </c>
      <c r="H223" s="8">
        <v>42142</v>
      </c>
      <c r="I223" s="9">
        <f ca="1">IF(NETWORKDAYS(G223,TODAY())/NETWORKDAYS(G223,H223,)&lt;0,0,IF(NETWORKDAYS(G223,TODAY())/NETWORKDAYS(G223,H223,)&gt;1,1,NETWORKDAYS(G223,TODAY())/NETWORKDAYS(G223,H223,)))</f>
        <v>1</v>
      </c>
      <c r="J223" s="9">
        <v>1</v>
      </c>
      <c r="K223" s="10">
        <f t="shared" si="14"/>
        <v>5</v>
      </c>
      <c r="L223" s="4">
        <f t="shared" si="15"/>
        <v>40</v>
      </c>
      <c r="M223" s="4" t="s">
        <v>103</v>
      </c>
      <c r="N223" s="4" t="s">
        <v>104</v>
      </c>
      <c r="O223" s="69">
        <f ca="1">I223*L223</f>
        <v>40</v>
      </c>
      <c r="P223" s="69">
        <f>J223*L223</f>
        <v>40</v>
      </c>
    </row>
    <row r="224" spans="1:16" x14ac:dyDescent="0.25">
      <c r="A224" s="10" t="s">
        <v>88</v>
      </c>
      <c r="B224" s="69" t="s">
        <v>66</v>
      </c>
      <c r="C224" s="69" t="s">
        <v>411</v>
      </c>
      <c r="D224" s="70" t="s">
        <v>62</v>
      </c>
      <c r="E224" s="69" t="s">
        <v>53</v>
      </c>
      <c r="F224" s="7" t="s">
        <v>51</v>
      </c>
      <c r="G224" s="8">
        <v>42143</v>
      </c>
      <c r="H224" s="8">
        <v>42143</v>
      </c>
      <c r="I224" s="9">
        <f ca="1">IF(NETWORKDAYS(G224,TODAY())/NETWORKDAYS(G224,H224,)&lt;0,0,IF(NETWORKDAYS(G224,TODAY())/NETWORKDAYS(G224,H224,)&gt;1,1,NETWORKDAYS(G224,TODAY())/NETWORKDAYS(G224,H224,)))</f>
        <v>1</v>
      </c>
      <c r="J224" s="9">
        <v>1</v>
      </c>
      <c r="K224" s="10">
        <f t="shared" si="14"/>
        <v>1</v>
      </c>
      <c r="L224" s="4">
        <f t="shared" si="15"/>
        <v>8</v>
      </c>
      <c r="M224" s="4" t="s">
        <v>103</v>
      </c>
      <c r="N224" s="4" t="s">
        <v>104</v>
      </c>
      <c r="O224" s="69">
        <f ca="1">I224*L224</f>
        <v>8</v>
      </c>
      <c r="P224" s="69">
        <f>J224*L224</f>
        <v>8</v>
      </c>
    </row>
    <row r="225" spans="1:16" x14ac:dyDescent="0.25">
      <c r="A225" s="10" t="s">
        <v>88</v>
      </c>
      <c r="B225" s="69" t="s">
        <v>66</v>
      </c>
      <c r="C225" s="69" t="s">
        <v>411</v>
      </c>
      <c r="D225" s="70" t="s">
        <v>62</v>
      </c>
      <c r="E225" s="69" t="s">
        <v>53</v>
      </c>
      <c r="F225" s="7" t="s">
        <v>52</v>
      </c>
      <c r="G225" s="8">
        <v>42144</v>
      </c>
      <c r="H225" s="8">
        <v>42145</v>
      </c>
      <c r="I225" s="9">
        <f ca="1">IF(NETWORKDAYS(G225,TODAY())/NETWORKDAYS(G225,H225,)&lt;0,0,IF(NETWORKDAYS(G225,TODAY())/NETWORKDAYS(G225,H225,)&gt;1,1,NETWORKDAYS(G225,TODAY())/NETWORKDAYS(G225,H225,)))</f>
        <v>1</v>
      </c>
      <c r="J225" s="9">
        <v>1</v>
      </c>
      <c r="K225" s="10">
        <f t="shared" si="14"/>
        <v>2</v>
      </c>
      <c r="L225" s="4">
        <f t="shared" si="15"/>
        <v>16</v>
      </c>
      <c r="M225" s="4" t="s">
        <v>103</v>
      </c>
      <c r="N225" s="4" t="s">
        <v>104</v>
      </c>
      <c r="O225" s="69">
        <f ca="1">I225*L225</f>
        <v>16</v>
      </c>
      <c r="P225" s="69">
        <f>J225*L225</f>
        <v>16</v>
      </c>
    </row>
    <row r="226" spans="1:16" x14ac:dyDescent="0.25">
      <c r="A226" s="20" t="s">
        <v>88</v>
      </c>
      <c r="B226" s="73" t="s">
        <v>66</v>
      </c>
      <c r="C226" s="73" t="s">
        <v>411</v>
      </c>
      <c r="D226" s="73" t="s">
        <v>62</v>
      </c>
      <c r="E226" s="73" t="s">
        <v>53</v>
      </c>
      <c r="F226" s="71" t="s">
        <v>34</v>
      </c>
      <c r="G226" s="24">
        <f>G222</f>
        <v>42132</v>
      </c>
      <c r="H226" s="24">
        <f>H225</f>
        <v>42145</v>
      </c>
      <c r="I226" s="13">
        <f ca="1">SUM(O222:O225)/L226</f>
        <v>1</v>
      </c>
      <c r="J226" s="13">
        <f>SUM(P222:P225)/L226</f>
        <v>1</v>
      </c>
      <c r="K226" s="20">
        <f t="shared" si="14"/>
        <v>10</v>
      </c>
      <c r="L226" s="15">
        <f t="shared" si="15"/>
        <v>80</v>
      </c>
      <c r="M226" s="15" t="s">
        <v>103</v>
      </c>
      <c r="N226" s="15" t="s">
        <v>104</v>
      </c>
      <c r="O226" s="69"/>
      <c r="P226" s="69"/>
    </row>
    <row r="227" spans="1:16" x14ac:dyDescent="0.25">
      <c r="A227" s="4" t="s">
        <v>93</v>
      </c>
      <c r="B227" s="76" t="s">
        <v>71</v>
      </c>
      <c r="C227" s="76" t="s">
        <v>411</v>
      </c>
      <c r="D227" s="69" t="s">
        <v>68</v>
      </c>
      <c r="E227" s="69" t="s">
        <v>53</v>
      </c>
      <c r="F227" s="7" t="s">
        <v>50</v>
      </c>
      <c r="G227" s="8">
        <v>42135</v>
      </c>
      <c r="H227" s="8">
        <f>G227+6</f>
        <v>42141</v>
      </c>
      <c r="I227" s="9">
        <f ca="1">IF(NETWORKDAYS(G227,TODAY())/NETWORKDAYS(G227,H227,)&lt;0,0,IF(NETWORKDAYS(G227,TODAY())/NETWORKDAYS(G227,H227,)&gt;1,1,NETWORKDAYS(G227,TODAY())/NETWORKDAYS(G227,H227,)))</f>
        <v>1</v>
      </c>
      <c r="J227" s="9">
        <v>1</v>
      </c>
      <c r="K227" s="10">
        <f t="shared" si="14"/>
        <v>5</v>
      </c>
      <c r="L227" s="4">
        <f t="shared" si="15"/>
        <v>40</v>
      </c>
      <c r="M227" s="4" t="s">
        <v>256</v>
      </c>
      <c r="N227" s="4" t="s">
        <v>257</v>
      </c>
      <c r="O227" s="69">
        <f ca="1">I227*L227</f>
        <v>40</v>
      </c>
      <c r="P227" s="69">
        <f>J227*L227</f>
        <v>40</v>
      </c>
    </row>
    <row r="228" spans="1:16" x14ac:dyDescent="0.25">
      <c r="A228" s="4" t="s">
        <v>93</v>
      </c>
      <c r="B228" s="76" t="s">
        <v>71</v>
      </c>
      <c r="C228" s="76" t="s">
        <v>411</v>
      </c>
      <c r="D228" s="69" t="s">
        <v>68</v>
      </c>
      <c r="E228" s="69" t="s">
        <v>53</v>
      </c>
      <c r="F228" s="7" t="s">
        <v>50</v>
      </c>
      <c r="G228" s="8">
        <f>H227</f>
        <v>42141</v>
      </c>
      <c r="H228" s="8">
        <f>G228+9</f>
        <v>42150</v>
      </c>
      <c r="I228" s="9">
        <f ca="1">IF(NETWORKDAYS(G228,TODAY())/NETWORKDAYS(G228,H228,)&lt;0,0,IF(NETWORKDAYS(G228,TODAY())/NETWORKDAYS(G228,H228,)&gt;1,1,NETWORKDAYS(G228,TODAY())/NETWORKDAYS(G228,H228,)))</f>
        <v>1</v>
      </c>
      <c r="J228" s="9">
        <v>1</v>
      </c>
      <c r="K228" s="10">
        <f t="shared" si="14"/>
        <v>7</v>
      </c>
      <c r="L228" s="4">
        <f t="shared" si="15"/>
        <v>56</v>
      </c>
      <c r="M228" s="4" t="s">
        <v>256</v>
      </c>
      <c r="N228" s="4" t="s">
        <v>257</v>
      </c>
      <c r="O228" s="69">
        <f ca="1">I228*L228</f>
        <v>56</v>
      </c>
      <c r="P228" s="69">
        <f>J228*L228</f>
        <v>56</v>
      </c>
    </row>
    <row r="229" spans="1:16" x14ac:dyDescent="0.25">
      <c r="A229" s="4" t="s">
        <v>93</v>
      </c>
      <c r="B229" s="76" t="s">
        <v>71</v>
      </c>
      <c r="C229" s="76" t="s">
        <v>411</v>
      </c>
      <c r="D229" s="69" t="s">
        <v>68</v>
      </c>
      <c r="E229" s="69" t="s">
        <v>53</v>
      </c>
      <c r="F229" s="7" t="s">
        <v>51</v>
      </c>
      <c r="G229" s="8">
        <f>H228</f>
        <v>42150</v>
      </c>
      <c r="H229" s="8">
        <f>G229+5</f>
        <v>42155</v>
      </c>
      <c r="I229" s="9">
        <v>1</v>
      </c>
      <c r="J229" s="9">
        <v>1</v>
      </c>
      <c r="K229" s="10">
        <f t="shared" si="14"/>
        <v>4</v>
      </c>
      <c r="L229" s="4">
        <f t="shared" si="15"/>
        <v>32</v>
      </c>
      <c r="M229" s="4" t="s">
        <v>256</v>
      </c>
      <c r="N229" s="4" t="s">
        <v>257</v>
      </c>
      <c r="O229" s="69">
        <f>I229*L229</f>
        <v>32</v>
      </c>
      <c r="P229" s="69">
        <f>J229*L229</f>
        <v>32</v>
      </c>
    </row>
    <row r="230" spans="1:16" x14ac:dyDescent="0.25">
      <c r="A230" s="4" t="s">
        <v>93</v>
      </c>
      <c r="B230" s="76" t="s">
        <v>71</v>
      </c>
      <c r="C230" s="76" t="s">
        <v>411</v>
      </c>
      <c r="D230" s="69" t="s">
        <v>68</v>
      </c>
      <c r="E230" s="69" t="s">
        <v>53</v>
      </c>
      <c r="F230" s="7" t="s">
        <v>52</v>
      </c>
      <c r="G230" s="8">
        <f>H229</f>
        <v>42155</v>
      </c>
      <c r="H230" s="8">
        <v>42151</v>
      </c>
      <c r="I230" s="9">
        <f ca="1">IF(NETWORKDAYS(G230,TODAY())/NETWORKDAYS(G230,H230,)&lt;0,0,IF(NETWORKDAYS(G230,TODAY())/NETWORKDAYS(G230,H230,)&gt;1,1,NETWORKDAYS(G230,TODAY())/NETWORKDAYS(G230,H230,)))</f>
        <v>0</v>
      </c>
      <c r="J230" s="9">
        <v>1</v>
      </c>
      <c r="K230" s="10">
        <f t="shared" si="14"/>
        <v>-3</v>
      </c>
      <c r="L230" s="4">
        <f t="shared" si="15"/>
        <v>-24</v>
      </c>
      <c r="M230" s="4" t="s">
        <v>256</v>
      </c>
      <c r="N230" s="4" t="s">
        <v>257</v>
      </c>
      <c r="O230" s="69">
        <f ca="1">I230*L230</f>
        <v>0</v>
      </c>
      <c r="P230" s="69">
        <f>J230*L230</f>
        <v>-24</v>
      </c>
    </row>
    <row r="231" spans="1:16" x14ac:dyDescent="0.25">
      <c r="A231" s="11" t="s">
        <v>93</v>
      </c>
      <c r="B231" s="77" t="s">
        <v>71</v>
      </c>
      <c r="C231" s="77" t="s">
        <v>411</v>
      </c>
      <c r="D231" s="71" t="s">
        <v>68</v>
      </c>
      <c r="E231" s="71" t="s">
        <v>53</v>
      </c>
      <c r="F231" s="71" t="s">
        <v>34</v>
      </c>
      <c r="G231" s="22">
        <f>G227</f>
        <v>42135</v>
      </c>
      <c r="H231" s="22">
        <f>H230</f>
        <v>42151</v>
      </c>
      <c r="I231" s="13">
        <f ca="1">SUM(O227:O230)/L231</f>
        <v>1.2307692307692308</v>
      </c>
      <c r="J231" s="13">
        <f>SUM(P227:P230)/L231</f>
        <v>1</v>
      </c>
      <c r="K231" s="14">
        <f t="shared" si="14"/>
        <v>13</v>
      </c>
      <c r="L231" s="11">
        <f>SUM(L227:L230)</f>
        <v>104</v>
      </c>
      <c r="M231" s="13" t="s">
        <v>256</v>
      </c>
      <c r="N231" s="13" t="s">
        <v>257</v>
      </c>
      <c r="O231" s="69"/>
      <c r="P231" s="69"/>
    </row>
    <row r="232" spans="1:16" x14ac:dyDescent="0.25">
      <c r="A232" s="63" t="s">
        <v>268</v>
      </c>
      <c r="B232" s="76" t="s">
        <v>265</v>
      </c>
      <c r="C232" s="76" t="s">
        <v>411</v>
      </c>
      <c r="D232" s="69" t="s">
        <v>37</v>
      </c>
      <c r="E232" s="69" t="s">
        <v>46</v>
      </c>
      <c r="F232" s="7" t="s">
        <v>9</v>
      </c>
      <c r="G232" s="8">
        <v>42146</v>
      </c>
      <c r="H232" s="8">
        <v>42147</v>
      </c>
      <c r="I232" s="9">
        <f ca="1">IF(NETWORKDAYS(G232,TODAY())/NETWORKDAYS(G232,H232,)&lt;0,0,IF(NETWORKDAYS(G232,TODAY())/NETWORKDAYS(G232,H232,)&gt;1,1,NETWORKDAYS(G232,TODAY())/NETWORKDAYS(G232,H232,)))</f>
        <v>1</v>
      </c>
      <c r="J232" s="9">
        <v>1</v>
      </c>
      <c r="K232" s="10">
        <f t="shared" si="14"/>
        <v>1</v>
      </c>
      <c r="L232" s="4">
        <f>K232*8</f>
        <v>8</v>
      </c>
      <c r="M232" s="4" t="s">
        <v>109</v>
      </c>
      <c r="N232" s="4" t="s">
        <v>110</v>
      </c>
      <c r="O232" s="69">
        <f ca="1">I232*L232</f>
        <v>8</v>
      </c>
      <c r="P232" s="69">
        <f>J232*L232</f>
        <v>8</v>
      </c>
    </row>
    <row r="233" spans="1:16" x14ac:dyDescent="0.25">
      <c r="A233" s="63" t="s">
        <v>268</v>
      </c>
      <c r="B233" s="76" t="s">
        <v>265</v>
      </c>
      <c r="C233" s="76" t="s">
        <v>411</v>
      </c>
      <c r="D233" s="69" t="s">
        <v>37</v>
      </c>
      <c r="E233" s="69" t="s">
        <v>46</v>
      </c>
      <c r="F233" s="7" t="s">
        <v>10</v>
      </c>
      <c r="G233" s="8">
        <v>42149</v>
      </c>
      <c r="H233" s="8">
        <v>42150</v>
      </c>
      <c r="I233" s="9">
        <f ca="1">IF(NETWORKDAYS(G233,TODAY())/NETWORKDAYS(G233,H233,)&lt;0,0,IF(NETWORKDAYS(G233,TODAY())/NETWORKDAYS(G233,H233,)&gt;1,1,NETWORKDAYS(G233,TODAY())/NETWORKDAYS(G233,H233,)))</f>
        <v>1</v>
      </c>
      <c r="J233" s="9">
        <v>1</v>
      </c>
      <c r="K233" s="10">
        <f t="shared" si="14"/>
        <v>2</v>
      </c>
      <c r="L233" s="4">
        <f>K233*8</f>
        <v>16</v>
      </c>
      <c r="M233" s="4" t="s">
        <v>109</v>
      </c>
      <c r="N233" s="4" t="s">
        <v>110</v>
      </c>
      <c r="O233" s="69">
        <f ca="1">I233*L233</f>
        <v>16</v>
      </c>
      <c r="P233" s="69">
        <f>J233*L233</f>
        <v>16</v>
      </c>
    </row>
    <row r="234" spans="1:16" x14ac:dyDescent="0.25">
      <c r="A234" s="63" t="s">
        <v>268</v>
      </c>
      <c r="B234" s="76" t="s">
        <v>265</v>
      </c>
      <c r="C234" s="76" t="s">
        <v>411</v>
      </c>
      <c r="D234" s="69" t="s">
        <v>37</v>
      </c>
      <c r="E234" s="69" t="s">
        <v>46</v>
      </c>
      <c r="F234" s="7" t="s">
        <v>8</v>
      </c>
      <c r="G234" s="8">
        <v>42150</v>
      </c>
      <c r="H234" s="8">
        <v>42150</v>
      </c>
      <c r="I234" s="9">
        <f ca="1">IF(NETWORKDAYS(G234,TODAY())/NETWORKDAYS(G234,H234,)&lt;0,0,IF(NETWORKDAYS(G234,TODAY())/NETWORKDAYS(G234,H234,)&gt;1,1,NETWORKDAYS(G234,TODAY())/NETWORKDAYS(G234,H234,)))</f>
        <v>1</v>
      </c>
      <c r="J234" s="9">
        <v>1</v>
      </c>
      <c r="K234" s="10">
        <f t="shared" si="14"/>
        <v>1</v>
      </c>
      <c r="L234" s="4">
        <f>K234*8</f>
        <v>8</v>
      </c>
      <c r="M234" s="4" t="s">
        <v>109</v>
      </c>
      <c r="N234" s="4" t="s">
        <v>110</v>
      </c>
      <c r="O234" s="69">
        <f ca="1">I234*L234</f>
        <v>8</v>
      </c>
      <c r="P234" s="69">
        <f>J234*L234</f>
        <v>8</v>
      </c>
    </row>
    <row r="235" spans="1:16" x14ac:dyDescent="0.25">
      <c r="A235" s="63" t="s">
        <v>268</v>
      </c>
      <c r="B235" s="76" t="s">
        <v>265</v>
      </c>
      <c r="C235" s="76" t="s">
        <v>411</v>
      </c>
      <c r="D235" s="69" t="s">
        <v>37</v>
      </c>
      <c r="E235" s="69" t="s">
        <v>46</v>
      </c>
      <c r="F235" s="7" t="s">
        <v>11</v>
      </c>
      <c r="G235" s="8">
        <v>42151</v>
      </c>
      <c r="H235" s="8">
        <v>42151</v>
      </c>
      <c r="I235" s="9">
        <f ca="1">IF(NETWORKDAYS(G235,TODAY())/NETWORKDAYS(G235,H235,)&lt;0,0,IF(NETWORKDAYS(G235,TODAY())/NETWORKDAYS(G235,H235,)&gt;1,1,NETWORKDAYS(G235,TODAY())/NETWORKDAYS(G235,H235,)))</f>
        <v>1</v>
      </c>
      <c r="J235" s="9">
        <v>1</v>
      </c>
      <c r="K235" s="10">
        <f t="shared" si="14"/>
        <v>1</v>
      </c>
      <c r="L235" s="4">
        <f>K235*8</f>
        <v>8</v>
      </c>
      <c r="M235" s="4" t="s">
        <v>109</v>
      </c>
      <c r="N235" s="4" t="s">
        <v>110</v>
      </c>
      <c r="O235" s="69">
        <f ca="1">I235*L235</f>
        <v>8</v>
      </c>
      <c r="P235" s="69">
        <f>J235*L235</f>
        <v>8</v>
      </c>
    </row>
    <row r="236" spans="1:16" x14ac:dyDescent="0.25">
      <c r="A236" s="11" t="s">
        <v>268</v>
      </c>
      <c r="B236" s="77" t="s">
        <v>265</v>
      </c>
      <c r="C236" s="77" t="s">
        <v>411</v>
      </c>
      <c r="D236" s="71" t="s">
        <v>37</v>
      </c>
      <c r="E236" s="71" t="s">
        <v>46</v>
      </c>
      <c r="F236" s="71" t="s">
        <v>34</v>
      </c>
      <c r="G236" s="22" t="s">
        <v>267</v>
      </c>
      <c r="H236" s="22" t="s">
        <v>266</v>
      </c>
      <c r="I236" s="13">
        <f ca="1">SUM(O232:O235)/L236</f>
        <v>1</v>
      </c>
      <c r="J236" s="13">
        <f>SUM(P232:P235)/L236</f>
        <v>1</v>
      </c>
      <c r="K236" s="14">
        <f t="shared" si="14"/>
        <v>6</v>
      </c>
      <c r="L236" s="11">
        <f>SUM(L232:L235)</f>
        <v>40</v>
      </c>
      <c r="M236" s="13" t="s">
        <v>109</v>
      </c>
      <c r="N236" s="13" t="s">
        <v>110</v>
      </c>
      <c r="O236" s="69"/>
      <c r="P236" s="69"/>
    </row>
    <row r="237" spans="1:16" x14ac:dyDescent="0.25">
      <c r="A237" s="63" t="s">
        <v>268</v>
      </c>
      <c r="B237" s="76" t="s">
        <v>265</v>
      </c>
      <c r="C237" s="76" t="s">
        <v>411</v>
      </c>
      <c r="D237" s="69" t="s">
        <v>37</v>
      </c>
      <c r="E237" s="69" t="s">
        <v>46</v>
      </c>
      <c r="F237" s="7" t="s">
        <v>9</v>
      </c>
      <c r="G237" s="8">
        <v>42146</v>
      </c>
      <c r="H237" s="8">
        <v>42149</v>
      </c>
      <c r="I237" s="9">
        <f ca="1">IF(NETWORKDAYS(G237,TODAY())/NETWORKDAYS(G237,H237,)&lt;0,0,IF(NETWORKDAYS(G237,TODAY())/NETWORKDAYS(G237,H237,)&gt;1,1,NETWORKDAYS(G237,TODAY())/NETWORKDAYS(G237,H237,)))</f>
        <v>1</v>
      </c>
      <c r="J237" s="9">
        <v>1</v>
      </c>
      <c r="K237" s="10">
        <f t="shared" si="14"/>
        <v>2</v>
      </c>
      <c r="L237" s="4">
        <f>K237*8</f>
        <v>16</v>
      </c>
      <c r="M237" s="4" t="s">
        <v>109</v>
      </c>
      <c r="N237" s="4" t="s">
        <v>110</v>
      </c>
      <c r="O237" s="69">
        <f ca="1">I237*L237</f>
        <v>16</v>
      </c>
      <c r="P237" s="69">
        <f>J237*L237</f>
        <v>16</v>
      </c>
    </row>
    <row r="238" spans="1:16" x14ac:dyDescent="0.25">
      <c r="A238" s="63" t="s">
        <v>268</v>
      </c>
      <c r="B238" s="76" t="s">
        <v>265</v>
      </c>
      <c r="C238" s="76" t="s">
        <v>411</v>
      </c>
      <c r="D238" s="69" t="s">
        <v>37</v>
      </c>
      <c r="E238" s="69" t="s">
        <v>46</v>
      </c>
      <c r="F238" s="7" t="s">
        <v>10</v>
      </c>
      <c r="G238" s="8">
        <v>42149</v>
      </c>
      <c r="H238" s="8">
        <v>42150</v>
      </c>
      <c r="I238" s="9">
        <f ca="1">IF(NETWORKDAYS(G238,TODAY())/NETWORKDAYS(G238,H238,)&lt;0,0,IF(NETWORKDAYS(G238,TODAY())/NETWORKDAYS(G238,H238,)&gt;1,1,NETWORKDAYS(G238,TODAY())/NETWORKDAYS(G238,H238,)))</f>
        <v>1</v>
      </c>
      <c r="J238" s="9">
        <v>1</v>
      </c>
      <c r="K238" s="10">
        <f t="shared" si="14"/>
        <v>2</v>
      </c>
      <c r="L238" s="4">
        <f>K238*8</f>
        <v>16</v>
      </c>
      <c r="M238" s="4" t="s">
        <v>109</v>
      </c>
      <c r="N238" s="4" t="s">
        <v>110</v>
      </c>
      <c r="O238" s="69">
        <f ca="1">I238*L238</f>
        <v>16</v>
      </c>
      <c r="P238" s="69">
        <f>J238*L238</f>
        <v>16</v>
      </c>
    </row>
    <row r="239" spans="1:16" x14ac:dyDescent="0.25">
      <c r="A239" s="63" t="s">
        <v>268</v>
      </c>
      <c r="B239" s="76" t="s">
        <v>265</v>
      </c>
      <c r="C239" s="76" t="s">
        <v>411</v>
      </c>
      <c r="D239" s="69" t="s">
        <v>37</v>
      </c>
      <c r="E239" s="69" t="s">
        <v>46</v>
      </c>
      <c r="F239" s="7" t="s">
        <v>8</v>
      </c>
      <c r="G239" s="8">
        <v>42151</v>
      </c>
      <c r="H239" s="8">
        <v>42151</v>
      </c>
      <c r="I239" s="9">
        <f ca="1">IF(NETWORKDAYS(G239,TODAY())/NETWORKDAYS(G239,H239,)&lt;0,0,IF(NETWORKDAYS(G239,TODAY())/NETWORKDAYS(G239,H239,)&gt;1,1,NETWORKDAYS(G239,TODAY())/NETWORKDAYS(G239,H239,)))</f>
        <v>1</v>
      </c>
      <c r="J239" s="9">
        <v>1</v>
      </c>
      <c r="K239" s="10">
        <f t="shared" si="14"/>
        <v>1</v>
      </c>
      <c r="L239" s="4">
        <f>K239*8</f>
        <v>8</v>
      </c>
      <c r="M239" s="4" t="s">
        <v>109</v>
      </c>
      <c r="N239" s="4" t="s">
        <v>110</v>
      </c>
      <c r="O239" s="69">
        <f ca="1">I239*L239</f>
        <v>8</v>
      </c>
      <c r="P239" s="69">
        <f>J239*L239</f>
        <v>8</v>
      </c>
    </row>
    <row r="240" spans="1:16" x14ac:dyDescent="0.25">
      <c r="A240" s="63" t="s">
        <v>268</v>
      </c>
      <c r="B240" s="76" t="s">
        <v>265</v>
      </c>
      <c r="C240" s="76" t="s">
        <v>411</v>
      </c>
      <c r="D240" s="69" t="s">
        <v>37</v>
      </c>
      <c r="E240" s="69" t="s">
        <v>46</v>
      </c>
      <c r="F240" s="7" t="s">
        <v>11</v>
      </c>
      <c r="G240" s="8">
        <v>42151</v>
      </c>
      <c r="H240" s="8" t="s">
        <v>509</v>
      </c>
      <c r="I240" s="9">
        <v>1</v>
      </c>
      <c r="J240" s="9">
        <v>1</v>
      </c>
      <c r="K240" s="10">
        <f t="shared" si="14"/>
        <v>1</v>
      </c>
      <c r="L240" s="4">
        <f>K240*8</f>
        <v>8</v>
      </c>
      <c r="M240" s="4" t="s">
        <v>109</v>
      </c>
      <c r="N240" s="4" t="s">
        <v>110</v>
      </c>
      <c r="O240" s="69">
        <f>I240*L240</f>
        <v>8</v>
      </c>
      <c r="P240" s="69">
        <f>J240*L240</f>
        <v>8</v>
      </c>
    </row>
    <row r="241" spans="1:16" x14ac:dyDescent="0.25">
      <c r="A241" s="11" t="s">
        <v>268</v>
      </c>
      <c r="B241" s="77" t="s">
        <v>265</v>
      </c>
      <c r="C241" s="77" t="s">
        <v>411</v>
      </c>
      <c r="D241" s="71" t="s">
        <v>37</v>
      </c>
      <c r="E241" s="71" t="s">
        <v>46</v>
      </c>
      <c r="F241" s="71" t="s">
        <v>34</v>
      </c>
      <c r="G241" s="22" t="s">
        <v>267</v>
      </c>
      <c r="H241" s="22" t="s">
        <v>509</v>
      </c>
      <c r="I241" s="13">
        <f ca="1">SUM(O237:O240)/L241</f>
        <v>1</v>
      </c>
      <c r="J241" s="13">
        <f>SUM(P237:P240)/L241</f>
        <v>1</v>
      </c>
      <c r="K241" s="14">
        <f t="shared" si="14"/>
        <v>4</v>
      </c>
      <c r="L241" s="11">
        <f>SUM(L237:L240)</f>
        <v>48</v>
      </c>
      <c r="M241" s="13" t="s">
        <v>109</v>
      </c>
      <c r="N241" s="13" t="s">
        <v>110</v>
      </c>
      <c r="O241" s="69"/>
      <c r="P241" s="6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2"/>
  <sheetViews>
    <sheetView workbookViewId="0">
      <selection activeCell="B22" sqref="B22"/>
    </sheetView>
  </sheetViews>
  <sheetFormatPr defaultRowHeight="15" x14ac:dyDescent="0.25"/>
  <cols>
    <col min="1" max="1" width="9.140625" style="40"/>
    <col min="2" max="2" width="77.28515625" style="1" customWidth="1"/>
    <col min="3" max="3" width="15.5703125" style="1" customWidth="1"/>
    <col min="4" max="16384" width="9.140625" style="1"/>
  </cols>
  <sheetData>
    <row r="1" spans="1:11" s="39" customFormat="1" x14ac:dyDescent="0.25">
      <c r="A1" s="81" t="s">
        <v>30</v>
      </c>
      <c r="B1" s="82" t="s">
        <v>29</v>
      </c>
      <c r="C1" s="82" t="s">
        <v>35</v>
      </c>
      <c r="D1" s="82" t="s">
        <v>36</v>
      </c>
      <c r="J1" s="1"/>
      <c r="K1" s="1"/>
    </row>
    <row r="2" spans="1:11" s="68" customFormat="1" x14ac:dyDescent="0.25">
      <c r="A2" s="64" t="s">
        <v>260</v>
      </c>
      <c r="B2" s="83" t="s">
        <v>535</v>
      </c>
      <c r="C2" s="68" t="s">
        <v>68</v>
      </c>
      <c r="D2" s="2" t="s">
        <v>53</v>
      </c>
    </row>
    <row r="3" spans="1:11" s="68" customFormat="1" x14ac:dyDescent="0.25">
      <c r="A3" s="65" t="s">
        <v>651</v>
      </c>
      <c r="B3" s="84" t="s">
        <v>538</v>
      </c>
      <c r="C3" s="68" t="s">
        <v>537</v>
      </c>
      <c r="D3" s="2" t="s">
        <v>53</v>
      </c>
    </row>
    <row r="4" spans="1:11" s="68" customFormat="1" x14ac:dyDescent="0.25">
      <c r="A4" s="65" t="s">
        <v>652</v>
      </c>
      <c r="B4" s="84" t="s">
        <v>539</v>
      </c>
      <c r="C4" s="68" t="s">
        <v>54</v>
      </c>
      <c r="D4" s="2" t="s">
        <v>53</v>
      </c>
    </row>
    <row r="5" spans="1:11" s="68" customFormat="1" x14ac:dyDescent="0.25">
      <c r="A5" s="65" t="s">
        <v>653</v>
      </c>
      <c r="B5" s="66" t="s">
        <v>540</v>
      </c>
      <c r="C5" s="68" t="s">
        <v>54</v>
      </c>
      <c r="D5" s="2" t="s">
        <v>53</v>
      </c>
    </row>
    <row r="6" spans="1:11" s="68" customFormat="1" x14ac:dyDescent="0.25">
      <c r="A6" s="64" t="s">
        <v>654</v>
      </c>
      <c r="B6" s="83" t="s">
        <v>541</v>
      </c>
      <c r="C6" s="68" t="s">
        <v>68</v>
      </c>
      <c r="D6" s="2" t="s">
        <v>53</v>
      </c>
    </row>
    <row r="7" spans="1:11" s="68" customFormat="1" x14ac:dyDescent="0.25">
      <c r="A7" s="65" t="s">
        <v>655</v>
      </c>
      <c r="B7" s="84" t="s">
        <v>542</v>
      </c>
      <c r="C7" s="68" t="s">
        <v>54</v>
      </c>
      <c r="D7" s="2" t="s">
        <v>53</v>
      </c>
    </row>
    <row r="8" spans="1:11" s="68" customFormat="1" x14ac:dyDescent="0.25">
      <c r="A8" s="65" t="s">
        <v>656</v>
      </c>
      <c r="B8" s="84" t="s">
        <v>543</v>
      </c>
      <c r="C8" s="68" t="s">
        <v>544</v>
      </c>
      <c r="D8" s="2" t="s">
        <v>53</v>
      </c>
    </row>
    <row r="9" spans="1:11" s="68" customFormat="1" x14ac:dyDescent="0.25">
      <c r="A9" s="65" t="s">
        <v>657</v>
      </c>
      <c r="B9" s="85" t="s">
        <v>545</v>
      </c>
      <c r="C9" s="68" t="s">
        <v>544</v>
      </c>
      <c r="D9" s="2" t="s">
        <v>53</v>
      </c>
    </row>
    <row r="10" spans="1:11" s="68" customFormat="1" x14ac:dyDescent="0.25">
      <c r="A10" s="65" t="s">
        <v>658</v>
      </c>
      <c r="B10" s="86" t="s">
        <v>546</v>
      </c>
      <c r="C10" s="68" t="s">
        <v>544</v>
      </c>
      <c r="D10" s="2" t="s">
        <v>53</v>
      </c>
    </row>
    <row r="11" spans="1:11" s="68" customFormat="1" x14ac:dyDescent="0.25">
      <c r="A11" s="65" t="s">
        <v>659</v>
      </c>
      <c r="B11" s="86" t="s">
        <v>547</v>
      </c>
      <c r="C11" s="68" t="s">
        <v>68</v>
      </c>
      <c r="D11" s="2" t="s">
        <v>53</v>
      </c>
    </row>
    <row r="12" spans="1:11" s="68" customFormat="1" x14ac:dyDescent="0.25">
      <c r="A12" s="64" t="s">
        <v>660</v>
      </c>
      <c r="B12" s="68" t="s">
        <v>548</v>
      </c>
      <c r="C12" s="68" t="s">
        <v>68</v>
      </c>
      <c r="D12" s="2" t="s">
        <v>53</v>
      </c>
    </row>
    <row r="13" spans="1:11" s="68" customFormat="1" x14ac:dyDescent="0.25">
      <c r="A13" s="64" t="s">
        <v>661</v>
      </c>
      <c r="B13" s="2" t="s">
        <v>549</v>
      </c>
      <c r="C13" s="68" t="s">
        <v>544</v>
      </c>
      <c r="D13" s="2" t="s">
        <v>53</v>
      </c>
    </row>
    <row r="14" spans="1:11" s="68" customFormat="1" x14ac:dyDescent="0.25">
      <c r="A14" s="64" t="s">
        <v>662</v>
      </c>
      <c r="B14" s="68" t="s">
        <v>550</v>
      </c>
      <c r="C14" s="68" t="s">
        <v>68</v>
      </c>
      <c r="D14" s="2" t="s">
        <v>53</v>
      </c>
    </row>
    <row r="15" spans="1:11" x14ac:dyDescent="0.25">
      <c r="A15" s="64" t="s">
        <v>663</v>
      </c>
      <c r="B15" s="68" t="s">
        <v>627</v>
      </c>
      <c r="C15" s="68" t="s">
        <v>68</v>
      </c>
      <c r="D15" s="2" t="s">
        <v>53</v>
      </c>
    </row>
    <row r="16" spans="1:11" x14ac:dyDescent="0.25">
      <c r="A16" s="64" t="s">
        <v>664</v>
      </c>
      <c r="B16" s="2" t="s">
        <v>628</v>
      </c>
      <c r="C16" s="68" t="s">
        <v>68</v>
      </c>
      <c r="D16" s="2" t="s">
        <v>53</v>
      </c>
    </row>
    <row r="17" spans="1:4" x14ac:dyDescent="0.25">
      <c r="A17" s="64" t="s">
        <v>665</v>
      </c>
      <c r="B17" s="68" t="s">
        <v>629</v>
      </c>
      <c r="C17" s="68" t="s">
        <v>68</v>
      </c>
      <c r="D17" s="2" t="s">
        <v>53</v>
      </c>
    </row>
    <row r="18" spans="1:4" x14ac:dyDescent="0.25">
      <c r="A18" s="64" t="s">
        <v>666</v>
      </c>
      <c r="B18" s="68" t="s">
        <v>630</v>
      </c>
      <c r="C18" s="68" t="s">
        <v>68</v>
      </c>
      <c r="D18" s="2" t="s">
        <v>53</v>
      </c>
    </row>
    <row r="19" spans="1:4" x14ac:dyDescent="0.25">
      <c r="A19" s="64" t="s">
        <v>667</v>
      </c>
      <c r="B19" s="68" t="s">
        <v>631</v>
      </c>
      <c r="C19" s="68" t="s">
        <v>68</v>
      </c>
      <c r="D19" s="2" t="s">
        <v>53</v>
      </c>
    </row>
    <row r="20" spans="1:4" x14ac:dyDescent="0.25">
      <c r="A20" s="64" t="s">
        <v>677</v>
      </c>
      <c r="B20" s="68" t="s">
        <v>644</v>
      </c>
      <c r="C20" s="68" t="s">
        <v>68</v>
      </c>
      <c r="D20" s="2" t="s">
        <v>53</v>
      </c>
    </row>
    <row r="21" spans="1:4" x14ac:dyDescent="0.25">
      <c r="A21" s="64" t="s">
        <v>678</v>
      </c>
      <c r="B21" s="68" t="s">
        <v>645</v>
      </c>
      <c r="C21" s="68" t="s">
        <v>68</v>
      </c>
      <c r="D21" s="2" t="s">
        <v>53</v>
      </c>
    </row>
    <row r="22" spans="1:4" x14ac:dyDescent="0.25">
      <c r="A22" s="64" t="s">
        <v>683</v>
      </c>
      <c r="B22" s="68" t="s">
        <v>650</v>
      </c>
      <c r="C22" s="68" t="s">
        <v>68</v>
      </c>
      <c r="D22" s="2" t="s">
        <v>53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ro"/>
  <dimension ref="A1:Q279"/>
  <sheetViews>
    <sheetView showGridLines="0" topLeftCell="A2" zoomScale="85" zoomScaleNormal="85" workbookViewId="0">
      <pane xSplit="2" ySplit="1" topLeftCell="F238" activePane="bottomRight" state="frozen"/>
      <selection activeCell="A2" sqref="A2"/>
      <selection pane="topRight" activeCell="C2" sqref="C2"/>
      <selection pane="bottomLeft" activeCell="A3" sqref="A3"/>
      <selection pane="bottomRight" activeCell="G245" sqref="G245"/>
    </sheetView>
  </sheetViews>
  <sheetFormatPr defaultRowHeight="15" x14ac:dyDescent="0.25"/>
  <cols>
    <col min="1" max="1" width="9.140625" style="1"/>
    <col min="2" max="2" width="64.42578125" style="1" bestFit="1" customWidth="1"/>
    <col min="3" max="3" width="15.42578125" style="1" customWidth="1"/>
    <col min="4" max="4" width="18.140625" style="1" customWidth="1"/>
    <col min="5" max="5" width="21.85546875" style="1" customWidth="1"/>
    <col min="6" max="6" width="74.140625" style="1" bestFit="1" customWidth="1"/>
    <col min="7" max="7" width="28.5703125" style="1" customWidth="1"/>
    <col min="8" max="8" width="24.85546875" style="1" customWidth="1"/>
    <col min="9" max="9" width="19.42578125" style="1" bestFit="1" customWidth="1"/>
    <col min="10" max="10" width="16.5703125" style="1" bestFit="1" customWidth="1"/>
    <col min="11" max="11" width="16.5703125" style="1" customWidth="1"/>
    <col min="12" max="12" width="14" style="1" customWidth="1"/>
    <col min="13" max="13" width="20.42578125" style="1" bestFit="1" customWidth="1"/>
    <col min="14" max="14" width="23.140625" style="1" bestFit="1" customWidth="1"/>
    <col min="15" max="15" width="9.85546875" style="1" customWidth="1"/>
    <col min="16" max="17" width="9.7109375" style="1" customWidth="1"/>
    <col min="18" max="27" width="9.140625" style="1"/>
    <col min="28" max="28" width="11.5703125" style="1" bestFit="1" customWidth="1"/>
    <col min="29" max="16384" width="9.140625" style="1"/>
  </cols>
  <sheetData>
    <row r="1" spans="1:17" ht="15" hidden="1" customHeight="1" x14ac:dyDescent="0.25"/>
    <row r="2" spans="1:17" x14ac:dyDescent="0.25">
      <c r="A2" s="3" t="s">
        <v>30</v>
      </c>
      <c r="B2" s="3" t="s">
        <v>29</v>
      </c>
      <c r="C2" s="3" t="s">
        <v>269</v>
      </c>
      <c r="D2" s="3" t="s">
        <v>35</v>
      </c>
      <c r="E2" s="3" t="s">
        <v>36</v>
      </c>
      <c r="F2" s="3" t="s">
        <v>0</v>
      </c>
      <c r="G2" s="3" t="s">
        <v>1</v>
      </c>
      <c r="H2" s="3" t="s">
        <v>2</v>
      </c>
      <c r="I2" s="3" t="s">
        <v>3</v>
      </c>
      <c r="J2" s="3" t="s">
        <v>4</v>
      </c>
      <c r="K2" s="3" t="s">
        <v>6</v>
      </c>
      <c r="L2" s="3" t="s">
        <v>5</v>
      </c>
      <c r="M2" s="3" t="s">
        <v>98</v>
      </c>
      <c r="N2" s="3" t="s">
        <v>99</v>
      </c>
      <c r="O2" s="3" t="s">
        <v>96</v>
      </c>
      <c r="P2" s="3" t="s">
        <v>97</v>
      </c>
      <c r="Q2" s="3" t="s">
        <v>744</v>
      </c>
    </row>
    <row r="3" spans="1:17" s="68" customFormat="1" x14ac:dyDescent="0.25">
      <c r="A3" s="4" t="s">
        <v>249</v>
      </c>
      <c r="B3" s="69" t="s">
        <v>250</v>
      </c>
      <c r="C3" s="69" t="s">
        <v>411</v>
      </c>
      <c r="D3" s="69" t="s">
        <v>47</v>
      </c>
      <c r="E3" s="70" t="s">
        <v>46</v>
      </c>
      <c r="F3" s="7" t="s">
        <v>9</v>
      </c>
      <c r="G3" s="8">
        <v>42065</v>
      </c>
      <c r="H3" s="8">
        <v>42068</v>
      </c>
      <c r="I3" s="9">
        <f ca="1">IF(NETWORKDAYS(G3,TODAY())/NETWORKDAYS(G3,H3,)&lt;0,0,IF(NETWORKDAYS(G3,TODAY())/NETWORKDAYS(G3,H3,)&gt;1,1,NETWORKDAYS(G3,TODAY())/NETWORKDAYS(G3,H3,)))</f>
        <v>1</v>
      </c>
      <c r="J3" s="9">
        <v>1</v>
      </c>
      <c r="K3" s="10">
        <f>NETWORKDAYS(G3,H3)</f>
        <v>4</v>
      </c>
      <c r="L3" s="4">
        <f>K3*8</f>
        <v>32</v>
      </c>
      <c r="M3" s="4" t="s">
        <v>105</v>
      </c>
      <c r="N3" s="4" t="s">
        <v>106</v>
      </c>
      <c r="O3" s="69">
        <f ca="1">I3*L3</f>
        <v>32</v>
      </c>
      <c r="P3" s="69">
        <f>J3*L3</f>
        <v>32</v>
      </c>
      <c r="Q3" s="69">
        <v>100</v>
      </c>
    </row>
    <row r="4" spans="1:17" s="68" customFormat="1" x14ac:dyDescent="0.25">
      <c r="A4" s="4" t="s">
        <v>249</v>
      </c>
      <c r="B4" s="69" t="s">
        <v>250</v>
      </c>
      <c r="C4" s="69" t="s">
        <v>411</v>
      </c>
      <c r="D4" s="69" t="s">
        <v>47</v>
      </c>
      <c r="E4" s="70" t="s">
        <v>46</v>
      </c>
      <c r="F4" s="7" t="s">
        <v>10</v>
      </c>
      <c r="G4" s="21">
        <v>42069</v>
      </c>
      <c r="H4" s="21">
        <v>42096</v>
      </c>
      <c r="I4" s="9">
        <f ca="1">IF(NETWORKDAYS(G4,TODAY())/NETWORKDAYS(G4,H4,)&lt;0,0,IF(NETWORKDAYS(G4,TODAY())/NETWORKDAYS(G4,H4,)&gt;1,1,NETWORKDAYS(G4,TODAY())/NETWORKDAYS(G4,H4,)))</f>
        <v>1</v>
      </c>
      <c r="J4" s="9">
        <v>1</v>
      </c>
      <c r="K4" s="10">
        <f>NETWORKDAYS(G4,H4)</f>
        <v>20</v>
      </c>
      <c r="L4" s="4">
        <f>K4*8</f>
        <v>160</v>
      </c>
      <c r="M4" s="4" t="s">
        <v>105</v>
      </c>
      <c r="N4" s="4" t="s">
        <v>106</v>
      </c>
      <c r="O4" s="69">
        <f ca="1">I4*L4</f>
        <v>160</v>
      </c>
      <c r="P4" s="69">
        <f>J4*L4</f>
        <v>160</v>
      </c>
      <c r="Q4" s="69">
        <v>100</v>
      </c>
    </row>
    <row r="5" spans="1:17" s="68" customFormat="1" x14ac:dyDescent="0.25">
      <c r="A5" s="4" t="s">
        <v>249</v>
      </c>
      <c r="B5" s="69" t="s">
        <v>250</v>
      </c>
      <c r="C5" s="69" t="s">
        <v>411</v>
      </c>
      <c r="D5" s="69" t="s">
        <v>47</v>
      </c>
      <c r="E5" s="70" t="s">
        <v>46</v>
      </c>
      <c r="F5" s="7" t="s">
        <v>8</v>
      </c>
      <c r="G5" s="21" t="s">
        <v>13</v>
      </c>
      <c r="H5" s="21" t="s">
        <v>13</v>
      </c>
      <c r="I5" s="9">
        <v>0</v>
      </c>
      <c r="J5" s="9">
        <v>0</v>
      </c>
      <c r="K5" s="10">
        <v>0</v>
      </c>
      <c r="L5" s="4">
        <f>K5*8</f>
        <v>0</v>
      </c>
      <c r="M5" s="4" t="s">
        <v>105</v>
      </c>
      <c r="N5" s="4" t="s">
        <v>106</v>
      </c>
      <c r="O5" s="69">
        <f>I5*L5</f>
        <v>0</v>
      </c>
      <c r="P5" s="69">
        <f>J5*L5</f>
        <v>0</v>
      </c>
      <c r="Q5" s="69">
        <v>100</v>
      </c>
    </row>
    <row r="6" spans="1:17" s="68" customFormat="1" x14ac:dyDescent="0.25">
      <c r="A6" s="4" t="s">
        <v>249</v>
      </c>
      <c r="B6" s="69" t="s">
        <v>250</v>
      </c>
      <c r="C6" s="69" t="s">
        <v>411</v>
      </c>
      <c r="D6" s="69" t="s">
        <v>47</v>
      </c>
      <c r="E6" s="70" t="s">
        <v>46</v>
      </c>
      <c r="F6" s="7" t="s">
        <v>11</v>
      </c>
      <c r="G6" s="21" t="s">
        <v>13</v>
      </c>
      <c r="H6" s="21" t="s">
        <v>13</v>
      </c>
      <c r="I6" s="9">
        <v>0</v>
      </c>
      <c r="J6" s="9">
        <v>0</v>
      </c>
      <c r="K6" s="10">
        <v>0</v>
      </c>
      <c r="L6" s="4">
        <f>K6*8</f>
        <v>0</v>
      </c>
      <c r="M6" s="4" t="s">
        <v>105</v>
      </c>
      <c r="N6" s="4" t="s">
        <v>106</v>
      </c>
      <c r="O6" s="69">
        <f>I6*L6</f>
        <v>0</v>
      </c>
      <c r="P6" s="69">
        <f>J6*L6</f>
        <v>0</v>
      </c>
      <c r="Q6" s="69">
        <v>100</v>
      </c>
    </row>
    <row r="7" spans="1:17" s="68" customFormat="1" x14ac:dyDescent="0.25">
      <c r="A7" s="11" t="s">
        <v>249</v>
      </c>
      <c r="B7" s="71" t="s">
        <v>251</v>
      </c>
      <c r="C7" s="71" t="s">
        <v>411</v>
      </c>
      <c r="D7" s="71" t="s">
        <v>47</v>
      </c>
      <c r="E7" s="71" t="s">
        <v>46</v>
      </c>
      <c r="F7" s="71" t="s">
        <v>34</v>
      </c>
      <c r="G7" s="22">
        <v>42065</v>
      </c>
      <c r="H7" s="22">
        <v>42097</v>
      </c>
      <c r="I7" s="13">
        <f ca="1">SUM(O3:O6)/L7</f>
        <v>1</v>
      </c>
      <c r="J7" s="13">
        <f>SUM(P3:P6)/L7</f>
        <v>1</v>
      </c>
      <c r="K7" s="14">
        <f>SUM(K3:K6)</f>
        <v>24</v>
      </c>
      <c r="L7" s="11">
        <f>SUM(L3:L6)</f>
        <v>192</v>
      </c>
      <c r="M7" s="13" t="s">
        <v>105</v>
      </c>
      <c r="N7" s="13" t="s">
        <v>106</v>
      </c>
      <c r="O7" s="69"/>
      <c r="P7" s="69"/>
      <c r="Q7" s="69"/>
    </row>
    <row r="8" spans="1:17" s="68" customFormat="1" x14ac:dyDescent="0.25">
      <c r="A8" s="4" t="s">
        <v>193</v>
      </c>
      <c r="B8" s="69" t="s">
        <v>194</v>
      </c>
      <c r="C8" s="69" t="s">
        <v>411</v>
      </c>
      <c r="D8" s="69" t="s">
        <v>40</v>
      </c>
      <c r="E8" s="70" t="s">
        <v>46</v>
      </c>
      <c r="F8" s="7" t="s">
        <v>9</v>
      </c>
      <c r="G8" s="8">
        <v>42094</v>
      </c>
      <c r="H8" s="8">
        <v>42095</v>
      </c>
      <c r="I8" s="9">
        <f ca="1">IF(NETWORKDAYS(G8,TODAY())/NETWORKDAYS(G8,H8,)&lt;0,0,IF(NETWORKDAYS(G8,TODAY())/NETWORKDAYS(G8,H8,)&gt;1,1,NETWORKDAYS(G8,TODAY())/NETWORKDAYS(G8,H8,)))</f>
        <v>1</v>
      </c>
      <c r="J8" s="9">
        <v>1</v>
      </c>
      <c r="K8" s="10">
        <f>NETWORKDAYS(G8,H8)</f>
        <v>2</v>
      </c>
      <c r="L8" s="4">
        <f>K8*8</f>
        <v>16</v>
      </c>
      <c r="M8" s="4" t="s">
        <v>100</v>
      </c>
      <c r="N8" s="4" t="s">
        <v>125</v>
      </c>
      <c r="O8" s="69">
        <f ca="1">I8*L8</f>
        <v>16</v>
      </c>
      <c r="P8" s="69">
        <f>J8*L8</f>
        <v>16</v>
      </c>
      <c r="Q8" s="69">
        <v>100</v>
      </c>
    </row>
    <row r="9" spans="1:17" s="68" customFormat="1" x14ac:dyDescent="0.25">
      <c r="A9" s="4" t="s">
        <v>193</v>
      </c>
      <c r="B9" s="69" t="s">
        <v>194</v>
      </c>
      <c r="C9" s="69" t="s">
        <v>411</v>
      </c>
      <c r="D9" s="69" t="s">
        <v>40</v>
      </c>
      <c r="E9" s="70" t="s">
        <v>46</v>
      </c>
      <c r="F9" s="7" t="s">
        <v>10</v>
      </c>
      <c r="G9" s="21">
        <v>42096</v>
      </c>
      <c r="H9" s="21">
        <v>42102</v>
      </c>
      <c r="I9" s="9">
        <f ca="1">IF(NETWORKDAYS(G9,TODAY())/NETWORKDAYS(G9,H9,)&lt;0,0,IF(NETWORKDAYS(G9,TODAY())/NETWORKDAYS(G9,H9,)&gt;1,1,NETWORKDAYS(G9,TODAY())/NETWORKDAYS(G9,H9,)))</f>
        <v>1</v>
      </c>
      <c r="J9" s="9">
        <v>1</v>
      </c>
      <c r="K9" s="10">
        <f>NETWORKDAYS(G9,H9)</f>
        <v>5</v>
      </c>
      <c r="L9" s="4">
        <f>K9*8</f>
        <v>40</v>
      </c>
      <c r="M9" s="4" t="s">
        <v>100</v>
      </c>
      <c r="N9" s="4" t="s">
        <v>125</v>
      </c>
      <c r="O9" s="69">
        <f ca="1">I9*L9</f>
        <v>40</v>
      </c>
      <c r="P9" s="69">
        <f>J9*L9</f>
        <v>40</v>
      </c>
      <c r="Q9" s="69">
        <v>100</v>
      </c>
    </row>
    <row r="10" spans="1:17" s="68" customFormat="1" x14ac:dyDescent="0.25">
      <c r="A10" s="4" t="s">
        <v>193</v>
      </c>
      <c r="B10" s="69" t="s">
        <v>194</v>
      </c>
      <c r="C10" s="69" t="s">
        <v>411</v>
      </c>
      <c r="D10" s="69" t="s">
        <v>40</v>
      </c>
      <c r="E10" s="70" t="s">
        <v>46</v>
      </c>
      <c r="F10" s="7" t="s">
        <v>8</v>
      </c>
      <c r="G10" s="21">
        <v>42103</v>
      </c>
      <c r="H10" s="21" t="s">
        <v>13</v>
      </c>
      <c r="I10" s="9">
        <v>0</v>
      </c>
      <c r="J10" s="9">
        <v>0</v>
      </c>
      <c r="K10" s="10">
        <v>0</v>
      </c>
      <c r="L10" s="4">
        <f>K10*8</f>
        <v>0</v>
      </c>
      <c r="M10" s="4" t="s">
        <v>100</v>
      </c>
      <c r="N10" s="4" t="s">
        <v>125</v>
      </c>
      <c r="O10" s="69">
        <f>I10*L10</f>
        <v>0</v>
      </c>
      <c r="P10" s="69">
        <f>J10*L10</f>
        <v>0</v>
      </c>
      <c r="Q10" s="69">
        <v>100</v>
      </c>
    </row>
    <row r="11" spans="1:17" s="68" customFormat="1" x14ac:dyDescent="0.25">
      <c r="A11" s="4" t="s">
        <v>193</v>
      </c>
      <c r="B11" s="69" t="s">
        <v>194</v>
      </c>
      <c r="C11" s="69" t="s">
        <v>411</v>
      </c>
      <c r="D11" s="69" t="s">
        <v>40</v>
      </c>
      <c r="E11" s="70" t="s">
        <v>46</v>
      </c>
      <c r="F11" s="7" t="s">
        <v>11</v>
      </c>
      <c r="G11" s="21">
        <v>42104</v>
      </c>
      <c r="H11" s="21" t="s">
        <v>13</v>
      </c>
      <c r="I11" s="9">
        <v>0</v>
      </c>
      <c r="J11" s="9">
        <v>0</v>
      </c>
      <c r="K11" s="10">
        <v>0</v>
      </c>
      <c r="L11" s="4">
        <f>K11*8</f>
        <v>0</v>
      </c>
      <c r="M11" s="4" t="s">
        <v>100</v>
      </c>
      <c r="N11" s="4" t="s">
        <v>125</v>
      </c>
      <c r="O11" s="69">
        <f>I11*L11</f>
        <v>0</v>
      </c>
      <c r="P11" s="69">
        <f>J11*L11</f>
        <v>0</v>
      </c>
      <c r="Q11" s="69">
        <v>100</v>
      </c>
    </row>
    <row r="12" spans="1:17" s="68" customFormat="1" x14ac:dyDescent="0.25">
      <c r="A12" s="11" t="s">
        <v>193</v>
      </c>
      <c r="B12" s="71" t="s">
        <v>194</v>
      </c>
      <c r="C12" s="71" t="s">
        <v>411</v>
      </c>
      <c r="D12" s="71" t="s">
        <v>40</v>
      </c>
      <c r="E12" s="71" t="s">
        <v>46</v>
      </c>
      <c r="F12" s="71" t="s">
        <v>34</v>
      </c>
      <c r="G12" s="22">
        <v>42094</v>
      </c>
      <c r="H12" s="22"/>
      <c r="I12" s="13">
        <f ca="1">SUM(O8:O11)/L12</f>
        <v>1</v>
      </c>
      <c r="J12" s="13">
        <f>SUM(P8:P11)/L12</f>
        <v>1</v>
      </c>
      <c r="K12" s="14">
        <f>SUM(K8:K11)</f>
        <v>7</v>
      </c>
      <c r="L12" s="11">
        <f>SUM(L8:L11)</f>
        <v>56</v>
      </c>
      <c r="M12" s="13" t="s">
        <v>100</v>
      </c>
      <c r="N12" s="13" t="s">
        <v>125</v>
      </c>
      <c r="O12" s="69"/>
      <c r="P12" s="69"/>
      <c r="Q12" s="69"/>
    </row>
    <row r="13" spans="1:17" x14ac:dyDescent="0.25">
      <c r="A13" s="4" t="s">
        <v>79</v>
      </c>
      <c r="B13" s="5" t="s">
        <v>31</v>
      </c>
      <c r="C13" s="5" t="s">
        <v>411</v>
      </c>
      <c r="D13" s="5" t="s">
        <v>40</v>
      </c>
      <c r="E13" s="5" t="s">
        <v>38</v>
      </c>
      <c r="F13" s="7" t="s">
        <v>9</v>
      </c>
      <c r="G13" s="8">
        <v>42045</v>
      </c>
      <c r="H13" s="8">
        <v>42048</v>
      </c>
      <c r="I13" s="9">
        <f t="shared" ref="I13:I21" ca="1" si="0">IF(NETWORKDAYS(G13,TODAY())/NETWORKDAYS(G13,H13,)&lt;0,0,IF(NETWORKDAYS(G13,TODAY())/NETWORKDAYS(G13,H13,)&gt;1,1,NETWORKDAYS(G13,TODAY())/NETWORKDAYS(G13,H13,)))</f>
        <v>1</v>
      </c>
      <c r="J13" s="9">
        <v>1</v>
      </c>
      <c r="K13" s="10">
        <f t="shared" ref="K13:K21" si="1">NETWORKDAYS(G13,H13)</f>
        <v>4</v>
      </c>
      <c r="L13" s="4">
        <f t="shared" ref="L13:L28" si="2">K13*8</f>
        <v>32</v>
      </c>
      <c r="M13" s="4" t="s">
        <v>115</v>
      </c>
      <c r="N13" s="4" t="s">
        <v>116</v>
      </c>
      <c r="O13" s="5">
        <f t="shared" ref="O13:O28" ca="1" si="3">I13*L13</f>
        <v>32</v>
      </c>
      <c r="P13" s="5">
        <f t="shared" ref="P13:P28" si="4">J13*L13</f>
        <v>32</v>
      </c>
      <c r="Q13" s="5">
        <v>100</v>
      </c>
    </row>
    <row r="14" spans="1:17" x14ac:dyDescent="0.25">
      <c r="A14" s="4" t="s">
        <v>79</v>
      </c>
      <c r="B14" s="5" t="s">
        <v>31</v>
      </c>
      <c r="C14" s="5" t="s">
        <v>411</v>
      </c>
      <c r="D14" s="5" t="s">
        <v>40</v>
      </c>
      <c r="E14" s="5" t="s">
        <v>38</v>
      </c>
      <c r="F14" s="7" t="s">
        <v>16</v>
      </c>
      <c r="G14" s="8">
        <v>42054</v>
      </c>
      <c r="H14" s="8">
        <v>42059</v>
      </c>
      <c r="I14" s="9">
        <f t="shared" ca="1" si="0"/>
        <v>1</v>
      </c>
      <c r="J14" s="9">
        <v>1</v>
      </c>
      <c r="K14" s="10">
        <f t="shared" si="1"/>
        <v>4</v>
      </c>
      <c r="L14" s="4">
        <f t="shared" si="2"/>
        <v>32</v>
      </c>
      <c r="M14" s="4" t="s">
        <v>115</v>
      </c>
      <c r="N14" s="4" t="s">
        <v>116</v>
      </c>
      <c r="O14" s="5">
        <f t="shared" ca="1" si="3"/>
        <v>32</v>
      </c>
      <c r="P14" s="5">
        <f t="shared" si="4"/>
        <v>32</v>
      </c>
      <c r="Q14" s="5">
        <v>100</v>
      </c>
    </row>
    <row r="15" spans="1:17" x14ac:dyDescent="0.25">
      <c r="A15" s="4" t="s">
        <v>79</v>
      </c>
      <c r="B15" s="5" t="s">
        <v>31</v>
      </c>
      <c r="C15" s="5" t="s">
        <v>411</v>
      </c>
      <c r="D15" s="5" t="s">
        <v>40</v>
      </c>
      <c r="E15" s="5" t="s">
        <v>38</v>
      </c>
      <c r="F15" s="7" t="s">
        <v>17</v>
      </c>
      <c r="G15" s="8">
        <v>42060</v>
      </c>
      <c r="H15" s="8">
        <v>42069</v>
      </c>
      <c r="I15" s="9">
        <f t="shared" ca="1" si="0"/>
        <v>1</v>
      </c>
      <c r="J15" s="9">
        <v>1</v>
      </c>
      <c r="K15" s="10">
        <f t="shared" si="1"/>
        <v>8</v>
      </c>
      <c r="L15" s="4">
        <f t="shared" si="2"/>
        <v>64</v>
      </c>
      <c r="M15" s="4" t="s">
        <v>115</v>
      </c>
      <c r="N15" s="4" t="s">
        <v>116</v>
      </c>
      <c r="O15" s="5">
        <f t="shared" ca="1" si="3"/>
        <v>64</v>
      </c>
      <c r="P15" s="5">
        <f t="shared" si="4"/>
        <v>64</v>
      </c>
      <c r="Q15" s="5">
        <v>100</v>
      </c>
    </row>
    <row r="16" spans="1:17" x14ac:dyDescent="0.25">
      <c r="A16" s="4" t="s">
        <v>79</v>
      </c>
      <c r="B16" s="5" t="s">
        <v>31</v>
      </c>
      <c r="C16" s="5" t="s">
        <v>411</v>
      </c>
      <c r="D16" s="5" t="s">
        <v>40</v>
      </c>
      <c r="E16" s="5" t="s">
        <v>38</v>
      </c>
      <c r="F16" s="7" t="s">
        <v>18</v>
      </c>
      <c r="G16" s="8">
        <v>42072</v>
      </c>
      <c r="H16" s="8">
        <v>42080</v>
      </c>
      <c r="I16" s="9">
        <f t="shared" ca="1" si="0"/>
        <v>1</v>
      </c>
      <c r="J16" s="9">
        <v>1</v>
      </c>
      <c r="K16" s="10">
        <f t="shared" si="1"/>
        <v>7</v>
      </c>
      <c r="L16" s="4">
        <f t="shared" si="2"/>
        <v>56</v>
      </c>
      <c r="M16" s="4" t="s">
        <v>115</v>
      </c>
      <c r="N16" s="4" t="s">
        <v>116</v>
      </c>
      <c r="O16" s="5">
        <f t="shared" ca="1" si="3"/>
        <v>56</v>
      </c>
      <c r="P16" s="5">
        <f t="shared" si="4"/>
        <v>56</v>
      </c>
      <c r="Q16" s="5">
        <v>100</v>
      </c>
    </row>
    <row r="17" spans="1:17" x14ac:dyDescent="0.25">
      <c r="A17" s="4" t="s">
        <v>79</v>
      </c>
      <c r="B17" s="5" t="s">
        <v>31</v>
      </c>
      <c r="C17" s="5" t="s">
        <v>411</v>
      </c>
      <c r="D17" s="5" t="s">
        <v>40</v>
      </c>
      <c r="E17" s="5" t="s">
        <v>38</v>
      </c>
      <c r="F17" s="7" t="s">
        <v>19</v>
      </c>
      <c r="G17" s="8">
        <v>42081</v>
      </c>
      <c r="H17" s="8">
        <v>42083</v>
      </c>
      <c r="I17" s="9">
        <f t="shared" ca="1" si="0"/>
        <v>1</v>
      </c>
      <c r="J17" s="9">
        <v>1</v>
      </c>
      <c r="K17" s="10">
        <f t="shared" si="1"/>
        <v>3</v>
      </c>
      <c r="L17" s="4">
        <f t="shared" si="2"/>
        <v>24</v>
      </c>
      <c r="M17" s="4" t="s">
        <v>115</v>
      </c>
      <c r="N17" s="4" t="s">
        <v>116</v>
      </c>
      <c r="O17" s="5">
        <f t="shared" ca="1" si="3"/>
        <v>24</v>
      </c>
      <c r="P17" s="5">
        <f t="shared" si="4"/>
        <v>24</v>
      </c>
      <c r="Q17" s="5">
        <v>100</v>
      </c>
    </row>
    <row r="18" spans="1:17" x14ac:dyDescent="0.25">
      <c r="A18" s="4" t="s">
        <v>79</v>
      </c>
      <c r="B18" s="5" t="s">
        <v>31</v>
      </c>
      <c r="C18" s="5" t="s">
        <v>411</v>
      </c>
      <c r="D18" s="5" t="s">
        <v>40</v>
      </c>
      <c r="E18" s="5" t="s">
        <v>38</v>
      </c>
      <c r="F18" s="7" t="s">
        <v>20</v>
      </c>
      <c r="G18" s="8">
        <v>42083</v>
      </c>
      <c r="H18" s="8">
        <v>42085</v>
      </c>
      <c r="I18" s="9">
        <f t="shared" ca="1" si="0"/>
        <v>1</v>
      </c>
      <c r="J18" s="9">
        <v>1</v>
      </c>
      <c r="K18" s="10">
        <f t="shared" si="1"/>
        <v>1</v>
      </c>
      <c r="L18" s="4">
        <f t="shared" si="2"/>
        <v>8</v>
      </c>
      <c r="M18" s="4" t="s">
        <v>115</v>
      </c>
      <c r="N18" s="4" t="s">
        <v>116</v>
      </c>
      <c r="O18" s="5">
        <f t="shared" ca="1" si="3"/>
        <v>8</v>
      </c>
      <c r="P18" s="5">
        <f t="shared" si="4"/>
        <v>8</v>
      </c>
      <c r="Q18" s="5">
        <v>100</v>
      </c>
    </row>
    <row r="19" spans="1:17" x14ac:dyDescent="0.25">
      <c r="A19" s="4" t="s">
        <v>79</v>
      </c>
      <c r="B19" s="5" t="s">
        <v>31</v>
      </c>
      <c r="C19" s="5" t="s">
        <v>411</v>
      </c>
      <c r="D19" s="5" t="s">
        <v>40</v>
      </c>
      <c r="E19" s="5" t="s">
        <v>38</v>
      </c>
      <c r="F19" s="7" t="s">
        <v>21</v>
      </c>
      <c r="G19" s="8">
        <v>42086</v>
      </c>
      <c r="H19" s="8">
        <v>42087</v>
      </c>
      <c r="I19" s="9">
        <f t="shared" ca="1" si="0"/>
        <v>1</v>
      </c>
      <c r="J19" s="9">
        <v>1</v>
      </c>
      <c r="K19" s="10">
        <f t="shared" si="1"/>
        <v>2</v>
      </c>
      <c r="L19" s="4">
        <f t="shared" si="2"/>
        <v>16</v>
      </c>
      <c r="M19" s="4" t="s">
        <v>115</v>
      </c>
      <c r="N19" s="4" t="s">
        <v>116</v>
      </c>
      <c r="O19" s="5">
        <f t="shared" ca="1" si="3"/>
        <v>16</v>
      </c>
      <c r="P19" s="5">
        <f t="shared" si="4"/>
        <v>16</v>
      </c>
      <c r="Q19" s="5">
        <v>100</v>
      </c>
    </row>
    <row r="20" spans="1:17" x14ac:dyDescent="0.25">
      <c r="A20" s="4" t="s">
        <v>79</v>
      </c>
      <c r="B20" s="5" t="s">
        <v>31</v>
      </c>
      <c r="C20" s="5" t="s">
        <v>411</v>
      </c>
      <c r="D20" s="5" t="s">
        <v>40</v>
      </c>
      <c r="E20" s="5" t="s">
        <v>38</v>
      </c>
      <c r="F20" s="7" t="s">
        <v>27</v>
      </c>
      <c r="G20" s="8">
        <v>42088</v>
      </c>
      <c r="H20" s="8">
        <v>42089</v>
      </c>
      <c r="I20" s="9">
        <f t="shared" ca="1" si="0"/>
        <v>1</v>
      </c>
      <c r="J20" s="9">
        <v>1</v>
      </c>
      <c r="K20" s="10">
        <f t="shared" si="1"/>
        <v>2</v>
      </c>
      <c r="L20" s="4">
        <f t="shared" si="2"/>
        <v>16</v>
      </c>
      <c r="M20" s="4" t="s">
        <v>115</v>
      </c>
      <c r="N20" s="4" t="s">
        <v>116</v>
      </c>
      <c r="O20" s="5">
        <f t="shared" ca="1" si="3"/>
        <v>16</v>
      </c>
      <c r="P20" s="5">
        <f t="shared" si="4"/>
        <v>16</v>
      </c>
      <c r="Q20" s="5">
        <v>100</v>
      </c>
    </row>
    <row r="21" spans="1:17" x14ac:dyDescent="0.25">
      <c r="A21" s="4" t="s">
        <v>79</v>
      </c>
      <c r="B21" s="5" t="s">
        <v>31</v>
      </c>
      <c r="C21" s="5" t="s">
        <v>411</v>
      </c>
      <c r="D21" s="5" t="s">
        <v>40</v>
      </c>
      <c r="E21" s="5" t="s">
        <v>38</v>
      </c>
      <c r="F21" s="23" t="s">
        <v>26</v>
      </c>
      <c r="G21" s="8">
        <v>42090</v>
      </c>
      <c r="H21" s="8">
        <v>42091</v>
      </c>
      <c r="I21" s="9">
        <f t="shared" ca="1" si="0"/>
        <v>1</v>
      </c>
      <c r="J21" s="9">
        <v>1</v>
      </c>
      <c r="K21" s="10">
        <f t="shared" si="1"/>
        <v>1</v>
      </c>
      <c r="L21" s="4">
        <f t="shared" si="2"/>
        <v>8</v>
      </c>
      <c r="M21" s="4" t="s">
        <v>115</v>
      </c>
      <c r="N21" s="4" t="s">
        <v>116</v>
      </c>
      <c r="O21" s="5">
        <f t="shared" ca="1" si="3"/>
        <v>8</v>
      </c>
      <c r="P21" s="5">
        <f t="shared" si="4"/>
        <v>8</v>
      </c>
      <c r="Q21" s="5">
        <v>100</v>
      </c>
    </row>
    <row r="22" spans="1:17" x14ac:dyDescent="0.25">
      <c r="A22" s="4" t="s">
        <v>79</v>
      </c>
      <c r="B22" s="5" t="s">
        <v>31</v>
      </c>
      <c r="C22" s="5" t="s">
        <v>411</v>
      </c>
      <c r="D22" s="5" t="s">
        <v>40</v>
      </c>
      <c r="E22" s="5" t="s">
        <v>38</v>
      </c>
      <c r="F22" s="7" t="s">
        <v>22</v>
      </c>
      <c r="G22" s="8">
        <v>42090</v>
      </c>
      <c r="H22" s="8">
        <v>42096</v>
      </c>
      <c r="I22" s="9">
        <f ca="1">IF(NETWORKDAYS(G20,TODAY())/NETWORKDAYS(G20,H20,)&lt;0,0,IF(NETWORKDAYS(G20,TODAY())/NETWORKDAYS(G20,H20,)&gt;1,1,NETWORKDAYS(G20,TODAY())/NETWORKDAYS(G20,H20,)))</f>
        <v>1</v>
      </c>
      <c r="J22" s="9">
        <v>1</v>
      </c>
      <c r="K22" s="10">
        <f>NETWORKDAYS(G20,H20)</f>
        <v>2</v>
      </c>
      <c r="L22" s="4">
        <f t="shared" si="2"/>
        <v>16</v>
      </c>
      <c r="M22" s="4" t="s">
        <v>115</v>
      </c>
      <c r="N22" s="4" t="s">
        <v>116</v>
      </c>
      <c r="O22" s="5">
        <f t="shared" ca="1" si="3"/>
        <v>16</v>
      </c>
      <c r="P22" s="5">
        <f t="shared" si="4"/>
        <v>16</v>
      </c>
      <c r="Q22" s="5">
        <v>100</v>
      </c>
    </row>
    <row r="23" spans="1:17" x14ac:dyDescent="0.25">
      <c r="A23" s="4" t="s">
        <v>79</v>
      </c>
      <c r="B23" s="5" t="s">
        <v>31</v>
      </c>
      <c r="C23" s="5" t="s">
        <v>411</v>
      </c>
      <c r="D23" s="5" t="s">
        <v>40</v>
      </c>
      <c r="E23" s="5" t="s">
        <v>38</v>
      </c>
      <c r="F23" s="7" t="s">
        <v>23</v>
      </c>
      <c r="G23" s="8">
        <v>42096</v>
      </c>
      <c r="H23" s="8">
        <v>42097</v>
      </c>
      <c r="I23" s="9">
        <f ca="1">IF(NETWORKDAYS(G21,TODAY())/NETWORKDAYS(G21,H21,)&lt;0,0,IF(NETWORKDAYS(G21,TODAY())/NETWORKDAYS(G21,H21,)&gt;1,1,NETWORKDAYS(G21,TODAY())/NETWORKDAYS(G21,H21,)))</f>
        <v>1</v>
      </c>
      <c r="J23" s="9">
        <v>1</v>
      </c>
      <c r="K23" s="10">
        <f>NETWORKDAYS(G21,H21)</f>
        <v>1</v>
      </c>
      <c r="L23" s="4">
        <f t="shared" si="2"/>
        <v>8</v>
      </c>
      <c r="M23" s="4" t="s">
        <v>115</v>
      </c>
      <c r="N23" s="4" t="s">
        <v>116</v>
      </c>
      <c r="O23" s="5">
        <f t="shared" ca="1" si="3"/>
        <v>8</v>
      </c>
      <c r="P23" s="5">
        <f t="shared" si="4"/>
        <v>8</v>
      </c>
      <c r="Q23" s="5">
        <v>100</v>
      </c>
    </row>
    <row r="24" spans="1:17" x14ac:dyDescent="0.25">
      <c r="A24" s="4" t="s">
        <v>79</v>
      </c>
      <c r="B24" s="5" t="s">
        <v>31</v>
      </c>
      <c r="C24" s="5" t="s">
        <v>411</v>
      </c>
      <c r="D24" s="5" t="s">
        <v>40</v>
      </c>
      <c r="E24" s="5" t="s">
        <v>38</v>
      </c>
      <c r="F24" s="7" t="s">
        <v>24</v>
      </c>
      <c r="G24" s="8">
        <v>42098</v>
      </c>
      <c r="H24" s="8">
        <v>42100</v>
      </c>
      <c r="I24" s="9">
        <f ca="1">IF(NETWORKDAYS(G24,TODAY())/NETWORKDAYS(G24,H24,)&lt;0,0,IF(NETWORKDAYS(G24,TODAY())/NETWORKDAYS(G24,H24,)&gt;1,1,NETWORKDAYS(G24,TODAY())/NETWORKDAYS(G24,H24,)))</f>
        <v>1</v>
      </c>
      <c r="J24" s="9">
        <v>1</v>
      </c>
      <c r="K24" s="10">
        <f>NETWORKDAYS(G24,H24)</f>
        <v>1</v>
      </c>
      <c r="L24" s="4">
        <f t="shared" si="2"/>
        <v>8</v>
      </c>
      <c r="M24" s="4" t="s">
        <v>115</v>
      </c>
      <c r="N24" s="4" t="s">
        <v>116</v>
      </c>
      <c r="O24" s="5">
        <f t="shared" ca="1" si="3"/>
        <v>8</v>
      </c>
      <c r="P24" s="5">
        <f t="shared" si="4"/>
        <v>8</v>
      </c>
      <c r="Q24" s="5">
        <v>100</v>
      </c>
    </row>
    <row r="25" spans="1:17" x14ac:dyDescent="0.25">
      <c r="A25" s="4" t="s">
        <v>79</v>
      </c>
      <c r="B25" s="5" t="s">
        <v>31</v>
      </c>
      <c r="C25" s="5" t="s">
        <v>411</v>
      </c>
      <c r="D25" s="5" t="s">
        <v>40</v>
      </c>
      <c r="E25" s="5" t="s">
        <v>38</v>
      </c>
      <c r="F25" s="23" t="s">
        <v>25</v>
      </c>
      <c r="G25" s="8">
        <v>42100</v>
      </c>
      <c r="H25" s="8">
        <v>42101</v>
      </c>
      <c r="I25" s="9">
        <f ca="1">IF(NETWORKDAYS(G25,TODAY())/NETWORKDAYS(G25,H25,)&lt;0,0,IF(NETWORKDAYS(G25,TODAY())/NETWORKDAYS(G25,H25,)&gt;1,1,NETWORKDAYS(G25,TODAY())/NETWORKDAYS(G25,H25,)))</f>
        <v>1</v>
      </c>
      <c r="J25" s="9">
        <v>1</v>
      </c>
      <c r="K25" s="10">
        <f>NETWORKDAYS(G25,H25)</f>
        <v>2</v>
      </c>
      <c r="L25" s="4">
        <f t="shared" si="2"/>
        <v>16</v>
      </c>
      <c r="M25" s="4" t="s">
        <v>115</v>
      </c>
      <c r="N25" s="4" t="s">
        <v>116</v>
      </c>
      <c r="O25" s="5">
        <f t="shared" ca="1" si="3"/>
        <v>16</v>
      </c>
      <c r="P25" s="5">
        <f t="shared" si="4"/>
        <v>16</v>
      </c>
      <c r="Q25" s="5">
        <v>100</v>
      </c>
    </row>
    <row r="26" spans="1:17" x14ac:dyDescent="0.25">
      <c r="A26" s="4" t="s">
        <v>79</v>
      </c>
      <c r="B26" s="5" t="s">
        <v>31</v>
      </c>
      <c r="C26" s="5" t="s">
        <v>411</v>
      </c>
      <c r="D26" s="5" t="s">
        <v>40</v>
      </c>
      <c r="E26" s="5" t="s">
        <v>38</v>
      </c>
      <c r="F26" s="23" t="s">
        <v>28</v>
      </c>
      <c r="G26" s="8">
        <v>42102</v>
      </c>
      <c r="H26" s="8">
        <v>42103</v>
      </c>
      <c r="I26" s="9">
        <f ca="1">IF(NETWORKDAYS(G26,TODAY())/NETWORKDAYS(G26,H26,)&lt;0,0,IF(NETWORKDAYS(G26,TODAY())/NETWORKDAYS(G26,H26,)&gt;1,1,NETWORKDAYS(G26,TODAY())/NETWORKDAYS(G26,H26,)))</f>
        <v>1</v>
      </c>
      <c r="J26" s="9">
        <v>1</v>
      </c>
      <c r="K26" s="10">
        <f>NETWORKDAYS(G26,H26)</f>
        <v>2</v>
      </c>
      <c r="L26" s="4">
        <f t="shared" si="2"/>
        <v>16</v>
      </c>
      <c r="M26" s="4" t="s">
        <v>115</v>
      </c>
      <c r="N26" s="4" t="s">
        <v>116</v>
      </c>
      <c r="O26" s="5">
        <f t="shared" ca="1" si="3"/>
        <v>16</v>
      </c>
      <c r="P26" s="5">
        <f t="shared" si="4"/>
        <v>16</v>
      </c>
      <c r="Q26" s="5">
        <v>100</v>
      </c>
    </row>
    <row r="27" spans="1:17" x14ac:dyDescent="0.25">
      <c r="A27" s="4" t="s">
        <v>79</v>
      </c>
      <c r="B27" s="5" t="s">
        <v>31</v>
      </c>
      <c r="C27" s="5" t="s">
        <v>411</v>
      </c>
      <c r="D27" s="5" t="s">
        <v>40</v>
      </c>
      <c r="E27" s="5" t="s">
        <v>38</v>
      </c>
      <c r="F27" s="7" t="s">
        <v>8</v>
      </c>
      <c r="G27" s="21">
        <v>42128</v>
      </c>
      <c r="H27" s="8">
        <v>42129</v>
      </c>
      <c r="I27" s="9">
        <f ca="1">IF(NETWORKDAYS(G27,TODAY())/NETWORKDAYS(G27,H27,)&lt;0,0,IF(NETWORKDAYS(G27,TODAY())/NETWORKDAYS(G27,H27,)&gt;1,1,NETWORKDAYS(G27,TODAY())/NETWORKDAYS(G27,H27,)))</f>
        <v>1</v>
      </c>
      <c r="J27" s="9">
        <v>1</v>
      </c>
      <c r="K27" s="10">
        <f>NETWORKDAYS(G27,H27)</f>
        <v>2</v>
      </c>
      <c r="L27" s="4">
        <f t="shared" si="2"/>
        <v>16</v>
      </c>
      <c r="M27" s="4" t="s">
        <v>115</v>
      </c>
      <c r="N27" s="4" t="s">
        <v>116</v>
      </c>
      <c r="O27" s="5">
        <f t="shared" ca="1" si="3"/>
        <v>16</v>
      </c>
      <c r="P27" s="5">
        <f t="shared" si="4"/>
        <v>16</v>
      </c>
      <c r="Q27" s="5">
        <v>100</v>
      </c>
    </row>
    <row r="28" spans="1:17" x14ac:dyDescent="0.25">
      <c r="A28" s="4" t="s">
        <v>79</v>
      </c>
      <c r="B28" s="5" t="s">
        <v>31</v>
      </c>
      <c r="C28" s="5" t="s">
        <v>411</v>
      </c>
      <c r="D28" s="5" t="s">
        <v>40</v>
      </c>
      <c r="E28" s="5" t="s">
        <v>38</v>
      </c>
      <c r="F28" s="7" t="s">
        <v>11</v>
      </c>
      <c r="G28" s="21">
        <v>42130</v>
      </c>
      <c r="H28" s="8">
        <v>42170</v>
      </c>
      <c r="I28" s="9">
        <f ca="1">IF(NETWORKDAYS(G28,TODAY())/NETWORKDAYS(G28,H28,)&lt;0,0,IF(NETWORKDAYS(G28,TODAY())/NETWORKDAYS(G28,H28,)&gt;1,1,NETWORKDAYS(G28,TODAY())/NETWORKDAYS(G28,H28,)))</f>
        <v>1</v>
      </c>
      <c r="J28" s="9">
        <v>1</v>
      </c>
      <c r="K28" s="10">
        <f>NETWORKDAYS(G28,H28)</f>
        <v>29</v>
      </c>
      <c r="L28" s="4">
        <f t="shared" si="2"/>
        <v>232</v>
      </c>
      <c r="M28" s="4" t="s">
        <v>115</v>
      </c>
      <c r="N28" s="4" t="s">
        <v>116</v>
      </c>
      <c r="O28" s="5">
        <f t="shared" ca="1" si="3"/>
        <v>232</v>
      </c>
      <c r="P28" s="5">
        <f t="shared" si="4"/>
        <v>232</v>
      </c>
      <c r="Q28" s="5">
        <v>100</v>
      </c>
    </row>
    <row r="29" spans="1:17" x14ac:dyDescent="0.25">
      <c r="A29" s="15" t="s">
        <v>79</v>
      </c>
      <c r="B29" s="16" t="s">
        <v>31</v>
      </c>
      <c r="C29" s="16" t="s">
        <v>411</v>
      </c>
      <c r="D29" s="16" t="s">
        <v>40</v>
      </c>
      <c r="E29" s="16" t="s">
        <v>38</v>
      </c>
      <c r="F29" s="17" t="s">
        <v>34</v>
      </c>
      <c r="G29" s="24">
        <f>G13</f>
        <v>42045</v>
      </c>
      <c r="H29" s="24">
        <f>H28</f>
        <v>42170</v>
      </c>
      <c r="I29" s="19">
        <f ca="1">SUM(O13:O28)/L29</f>
        <v>1</v>
      </c>
      <c r="J29" s="19">
        <f>SUM(P13:P28)/L29</f>
        <v>1</v>
      </c>
      <c r="K29" s="20">
        <f>SUM(K13:K28)</f>
        <v>71</v>
      </c>
      <c r="L29" s="15">
        <f>SUM(L13:L28)</f>
        <v>568</v>
      </c>
      <c r="M29" s="15" t="s">
        <v>115</v>
      </c>
      <c r="N29" s="15" t="s">
        <v>116</v>
      </c>
      <c r="O29" s="25"/>
      <c r="P29" s="5"/>
      <c r="Q29" s="5"/>
    </row>
    <row r="30" spans="1:17" x14ac:dyDescent="0.25">
      <c r="A30" s="4" t="s">
        <v>80</v>
      </c>
      <c r="B30" s="26" t="s">
        <v>32</v>
      </c>
      <c r="C30" s="26" t="s">
        <v>411</v>
      </c>
      <c r="D30" s="26" t="s">
        <v>39</v>
      </c>
      <c r="E30" s="6" t="s">
        <v>38</v>
      </c>
      <c r="F30" s="7" t="s">
        <v>9</v>
      </c>
      <c r="G30" s="8">
        <v>42058</v>
      </c>
      <c r="H30" s="8">
        <v>42065</v>
      </c>
      <c r="I30" s="9">
        <f ca="1">IF(NETWORKDAYS(G30,TODAY())/NETWORKDAYS(G30,H30,)&lt;0,0,IF(NETWORKDAYS(G30,TODAY())/NETWORKDAYS(G30,H30,)&gt;1,1,NETWORKDAYS(G30,TODAY())/NETWORKDAYS(G30,H30,)))</f>
        <v>1</v>
      </c>
      <c r="J30" s="9">
        <v>1</v>
      </c>
      <c r="K30" s="10">
        <f>NETWORKDAYS(G30,H30)</f>
        <v>6</v>
      </c>
      <c r="L30" s="4">
        <f>K30*8</f>
        <v>48</v>
      </c>
      <c r="M30" s="4" t="s">
        <v>123</v>
      </c>
      <c r="N30" s="4" t="s">
        <v>124</v>
      </c>
      <c r="O30" s="5">
        <f ca="1">I30*L30</f>
        <v>48</v>
      </c>
      <c r="P30" s="5">
        <f>J30*L30</f>
        <v>48</v>
      </c>
      <c r="Q30" s="5">
        <v>100</v>
      </c>
    </row>
    <row r="31" spans="1:17" x14ac:dyDescent="0.25">
      <c r="A31" s="4" t="s">
        <v>80</v>
      </c>
      <c r="B31" s="26" t="s">
        <v>32</v>
      </c>
      <c r="C31" s="26" t="s">
        <v>411</v>
      </c>
      <c r="D31" s="26" t="s">
        <v>39</v>
      </c>
      <c r="E31" s="6" t="s">
        <v>38</v>
      </c>
      <c r="F31" s="7" t="s">
        <v>10</v>
      </c>
      <c r="G31" s="21">
        <v>42066</v>
      </c>
      <c r="H31" s="21">
        <v>42124</v>
      </c>
      <c r="I31" s="9">
        <f ca="1">IF(NETWORKDAYS(G31,TODAY())/NETWORKDAYS(G31,H31,)&lt;0,0,IF(NETWORKDAYS(G31,TODAY())/NETWORKDAYS(G31,H31,)&gt;1,1,NETWORKDAYS(G31,TODAY())/NETWORKDAYS(G31,H31,)))</f>
        <v>1</v>
      </c>
      <c r="J31" s="9">
        <v>1</v>
      </c>
      <c r="K31" s="10">
        <f>NETWORKDAYS(G31,H31)</f>
        <v>43</v>
      </c>
      <c r="L31" s="4">
        <f>K31*8</f>
        <v>344</v>
      </c>
      <c r="M31" s="4" t="s">
        <v>123</v>
      </c>
      <c r="N31" s="4" t="s">
        <v>124</v>
      </c>
      <c r="O31" s="5">
        <f ca="1">I31*L31</f>
        <v>344</v>
      </c>
      <c r="P31" s="5">
        <f>J31*L31</f>
        <v>344</v>
      </c>
      <c r="Q31" s="5">
        <v>100</v>
      </c>
    </row>
    <row r="32" spans="1:17" x14ac:dyDescent="0.25">
      <c r="A32" s="4" t="s">
        <v>80</v>
      </c>
      <c r="B32" s="26" t="s">
        <v>32</v>
      </c>
      <c r="C32" s="26" t="s">
        <v>411</v>
      </c>
      <c r="D32" s="26" t="s">
        <v>39</v>
      </c>
      <c r="E32" s="6" t="s">
        <v>38</v>
      </c>
      <c r="F32" s="7" t="s">
        <v>8</v>
      </c>
      <c r="G32" s="21">
        <v>42128</v>
      </c>
      <c r="H32" s="21">
        <v>42130</v>
      </c>
      <c r="I32" s="9">
        <f ca="1">IF(NETWORKDAYS(G32,TODAY())/NETWORKDAYS(G32,H32,)&lt;0,0,IF(NETWORKDAYS(G32,TODAY())/NETWORKDAYS(G32,H32,)&gt;1,1,NETWORKDAYS(G32,TODAY())/NETWORKDAYS(G32,H32,)))</f>
        <v>1</v>
      </c>
      <c r="J32" s="9">
        <v>0.33</v>
      </c>
      <c r="K32" s="10">
        <f>NETWORKDAYS(G32,H32)</f>
        <v>3</v>
      </c>
      <c r="L32" s="4">
        <f>K32*8</f>
        <v>24</v>
      </c>
      <c r="M32" s="4" t="s">
        <v>123</v>
      </c>
      <c r="N32" s="4" t="s">
        <v>124</v>
      </c>
      <c r="O32" s="5">
        <f ca="1">I32*L32</f>
        <v>24</v>
      </c>
      <c r="P32" s="5">
        <f>J32*L32</f>
        <v>7.92</v>
      </c>
      <c r="Q32" s="5">
        <v>100</v>
      </c>
    </row>
    <row r="33" spans="1:17" x14ac:dyDescent="0.25">
      <c r="A33" s="4" t="s">
        <v>80</v>
      </c>
      <c r="B33" s="26" t="s">
        <v>32</v>
      </c>
      <c r="C33" s="26" t="s">
        <v>411</v>
      </c>
      <c r="D33" s="26" t="s">
        <v>39</v>
      </c>
      <c r="E33" s="6" t="s">
        <v>38</v>
      </c>
      <c r="F33" s="7" t="s">
        <v>11</v>
      </c>
      <c r="G33" s="21">
        <v>42131</v>
      </c>
      <c r="H33" s="21">
        <v>42172</v>
      </c>
      <c r="I33" s="9">
        <f ca="1">IF(NETWORKDAYS(G33,TODAY())/NETWORKDAYS(G33,H33,)&lt;0,0,IF(NETWORKDAYS(G33,TODAY())/NETWORKDAYS(G33,H33,)&gt;1,1,NETWORKDAYS(G33,TODAY())/NETWORKDAYS(G33,H33,)))</f>
        <v>1</v>
      </c>
      <c r="J33" s="9">
        <v>0.9</v>
      </c>
      <c r="K33" s="10">
        <f>NETWORKDAYS(G33,H33)</f>
        <v>30</v>
      </c>
      <c r="L33" s="4">
        <f>K33*8</f>
        <v>240</v>
      </c>
      <c r="M33" s="4" t="s">
        <v>123</v>
      </c>
      <c r="N33" s="4" t="s">
        <v>124</v>
      </c>
      <c r="O33" s="5">
        <f ca="1">I33*L33</f>
        <v>240</v>
      </c>
      <c r="P33" s="5">
        <f>J33*L33</f>
        <v>216</v>
      </c>
      <c r="Q33" s="5">
        <v>100</v>
      </c>
    </row>
    <row r="34" spans="1:17" x14ac:dyDescent="0.25">
      <c r="A34" s="15" t="s">
        <v>80</v>
      </c>
      <c r="B34" s="16" t="s">
        <v>32</v>
      </c>
      <c r="C34" s="16" t="s">
        <v>411</v>
      </c>
      <c r="D34" s="16" t="s">
        <v>39</v>
      </c>
      <c r="E34" s="16" t="s">
        <v>38</v>
      </c>
      <c r="F34" s="27" t="s">
        <v>34</v>
      </c>
      <c r="G34" s="18">
        <f>G30</f>
        <v>42058</v>
      </c>
      <c r="H34" s="18">
        <f>H33</f>
        <v>42172</v>
      </c>
      <c r="I34" s="19">
        <f ca="1">SUM(O30:O33)/L34</f>
        <v>1</v>
      </c>
      <c r="J34" s="19">
        <f>SUM(P30:P33)/L34</f>
        <v>0.9389024390243903</v>
      </c>
      <c r="K34" s="20">
        <f>SUM(K30:K33)</f>
        <v>82</v>
      </c>
      <c r="L34" s="15">
        <f>SUM(L30:L33)</f>
        <v>656</v>
      </c>
      <c r="M34" s="15" t="s">
        <v>123</v>
      </c>
      <c r="N34" s="15" t="s">
        <v>124</v>
      </c>
      <c r="O34" s="5"/>
      <c r="P34" s="5"/>
      <c r="Q34" s="5"/>
    </row>
    <row r="35" spans="1:17" x14ac:dyDescent="0.25">
      <c r="A35" s="28" t="s">
        <v>81</v>
      </c>
      <c r="B35" s="5" t="s">
        <v>33</v>
      </c>
      <c r="C35" s="5" t="s">
        <v>411</v>
      </c>
      <c r="D35" s="5" t="s">
        <v>39</v>
      </c>
      <c r="E35" s="6" t="s">
        <v>38</v>
      </c>
      <c r="F35" s="7" t="s">
        <v>9</v>
      </c>
      <c r="G35" s="8">
        <v>42088</v>
      </c>
      <c r="H35" s="8">
        <v>42089</v>
      </c>
      <c r="I35" s="9">
        <f ca="1">IF(NETWORKDAYS(G35,TODAY())/NETWORKDAYS(G35,H35,)&lt;0,0,IF(NETWORKDAYS(G35,TODAY())/NETWORKDAYS(G35,H35,)&gt;1,1,NETWORKDAYS(G35,TODAY())/NETWORKDAYS(G35,H35,)))</f>
        <v>1</v>
      </c>
      <c r="J35" s="9">
        <v>1</v>
      </c>
      <c r="K35" s="10">
        <f>NETWORKDAYS(G35,H35)</f>
        <v>2</v>
      </c>
      <c r="L35" s="4">
        <f>K35*8</f>
        <v>16</v>
      </c>
      <c r="M35" s="4" t="s">
        <v>123</v>
      </c>
      <c r="N35" s="4" t="s">
        <v>124</v>
      </c>
      <c r="O35" s="5">
        <f ca="1">I35*L35</f>
        <v>16</v>
      </c>
      <c r="P35" s="5">
        <f>J35*L35</f>
        <v>16</v>
      </c>
      <c r="Q35" s="5">
        <v>100</v>
      </c>
    </row>
    <row r="36" spans="1:17" x14ac:dyDescent="0.25">
      <c r="A36" s="28" t="s">
        <v>81</v>
      </c>
      <c r="B36" s="5" t="s">
        <v>33</v>
      </c>
      <c r="C36" s="5" t="s">
        <v>411</v>
      </c>
      <c r="D36" s="5" t="s">
        <v>39</v>
      </c>
      <c r="E36" s="6" t="s">
        <v>38</v>
      </c>
      <c r="F36" s="7" t="s">
        <v>10</v>
      </c>
      <c r="G36" s="21">
        <v>42090</v>
      </c>
      <c r="H36" s="21">
        <v>42110</v>
      </c>
      <c r="I36" s="9">
        <f ca="1">IF(NETWORKDAYS(G36,TODAY())/NETWORKDAYS(G36,H36,)&lt;0,0,IF(NETWORKDAYS(G36,TODAY())/NETWORKDAYS(G36,H36,)&gt;1,1,NETWORKDAYS(G36,TODAY())/NETWORKDAYS(G36,H36,)))</f>
        <v>1</v>
      </c>
      <c r="J36" s="9">
        <v>0</v>
      </c>
      <c r="K36" s="10">
        <f>NETWORKDAYS(G36,H36)</f>
        <v>15</v>
      </c>
      <c r="L36" s="4">
        <f>K36*8</f>
        <v>120</v>
      </c>
      <c r="M36" s="4" t="s">
        <v>123</v>
      </c>
      <c r="N36" s="4" t="s">
        <v>124</v>
      </c>
      <c r="O36" s="5">
        <f ca="1">I36*L36</f>
        <v>120</v>
      </c>
      <c r="P36" s="5">
        <f>J36*L36</f>
        <v>0</v>
      </c>
      <c r="Q36" s="5">
        <v>100</v>
      </c>
    </row>
    <row r="37" spans="1:17" x14ac:dyDescent="0.25">
      <c r="A37" s="28" t="s">
        <v>81</v>
      </c>
      <c r="B37" s="5" t="s">
        <v>33</v>
      </c>
      <c r="C37" s="5" t="s">
        <v>411</v>
      </c>
      <c r="D37" s="5" t="s">
        <v>39</v>
      </c>
      <c r="E37" s="6" t="s">
        <v>38</v>
      </c>
      <c r="F37" s="7" t="s">
        <v>8</v>
      </c>
      <c r="G37" s="21">
        <v>42111</v>
      </c>
      <c r="H37" s="21">
        <v>42115</v>
      </c>
      <c r="I37" s="9">
        <f ca="1">IF(NETWORKDAYS(G37,TODAY())/NETWORKDAYS(G37,H37,)&lt;0,0,IF(NETWORKDAYS(G37,TODAY())/NETWORKDAYS(G37,H37,)&gt;1,1,NETWORKDAYS(G37,TODAY())/NETWORKDAYS(G37,H37,)))</f>
        <v>1</v>
      </c>
      <c r="J37" s="9">
        <v>0</v>
      </c>
      <c r="K37" s="10">
        <f>NETWORKDAYS(G37,H37)</f>
        <v>3</v>
      </c>
      <c r="L37" s="4">
        <f>K37*8</f>
        <v>24</v>
      </c>
      <c r="M37" s="4" t="s">
        <v>123</v>
      </c>
      <c r="N37" s="4" t="s">
        <v>124</v>
      </c>
      <c r="O37" s="5">
        <f ca="1">I37*L37</f>
        <v>24</v>
      </c>
      <c r="P37" s="5">
        <f>J37*L37</f>
        <v>0</v>
      </c>
      <c r="Q37" s="5">
        <v>100</v>
      </c>
    </row>
    <row r="38" spans="1:17" x14ac:dyDescent="0.25">
      <c r="A38" s="28" t="s">
        <v>81</v>
      </c>
      <c r="B38" s="5" t="s">
        <v>33</v>
      </c>
      <c r="C38" s="5" t="s">
        <v>411</v>
      </c>
      <c r="D38" s="5" t="s">
        <v>39</v>
      </c>
      <c r="E38" s="6" t="s">
        <v>38</v>
      </c>
      <c r="F38" s="7" t="s">
        <v>11</v>
      </c>
      <c r="G38" s="21" t="s">
        <v>13</v>
      </c>
      <c r="H38" s="21" t="s">
        <v>13</v>
      </c>
      <c r="I38" s="9">
        <v>0</v>
      </c>
      <c r="J38" s="9">
        <v>0</v>
      </c>
      <c r="K38" s="10"/>
      <c r="L38" s="4">
        <f>K38*8</f>
        <v>0</v>
      </c>
      <c r="M38" s="4" t="s">
        <v>123</v>
      </c>
      <c r="N38" s="4" t="s">
        <v>124</v>
      </c>
      <c r="O38" s="5">
        <f>I38*L38</f>
        <v>0</v>
      </c>
      <c r="P38" s="5">
        <f>J38*L38</f>
        <v>0</v>
      </c>
      <c r="Q38" s="5">
        <v>100</v>
      </c>
    </row>
    <row r="39" spans="1:17" x14ac:dyDescent="0.25">
      <c r="A39" s="15" t="s">
        <v>81</v>
      </c>
      <c r="B39" s="16" t="s">
        <v>33</v>
      </c>
      <c r="C39" s="16" t="s">
        <v>411</v>
      </c>
      <c r="D39" s="16" t="s">
        <v>39</v>
      </c>
      <c r="E39" s="16" t="s">
        <v>38</v>
      </c>
      <c r="F39" s="16" t="s">
        <v>34</v>
      </c>
      <c r="G39" s="27"/>
      <c r="H39" s="27"/>
      <c r="I39" s="19">
        <f ca="1">SUM(O35:O38)/L39</f>
        <v>1</v>
      </c>
      <c r="J39" s="19">
        <f>SUM(P35:P38)/L39</f>
        <v>0.1</v>
      </c>
      <c r="K39" s="20">
        <f>SUM(K35:K38)</f>
        <v>20</v>
      </c>
      <c r="L39" s="15">
        <f>SUM(L35:L38)</f>
        <v>160</v>
      </c>
      <c r="M39" s="15" t="s">
        <v>123</v>
      </c>
      <c r="N39" s="15" t="s">
        <v>124</v>
      </c>
      <c r="O39" s="5"/>
      <c r="P39" s="5"/>
      <c r="Q39" s="5"/>
    </row>
    <row r="40" spans="1:17" x14ac:dyDescent="0.25">
      <c r="A40" s="10" t="s">
        <v>86</v>
      </c>
      <c r="B40" s="5" t="s">
        <v>49</v>
      </c>
      <c r="C40" s="5" t="s">
        <v>411</v>
      </c>
      <c r="D40" s="6" t="s">
        <v>54</v>
      </c>
      <c r="E40" s="5" t="s">
        <v>53</v>
      </c>
      <c r="F40" s="7" t="s">
        <v>50</v>
      </c>
      <c r="G40" s="8">
        <v>42096</v>
      </c>
      <c r="H40" s="8">
        <v>42107</v>
      </c>
      <c r="I40" s="9">
        <f ca="1">IF(NETWORKDAYS(G40,TODAY())/NETWORKDAYS(G40,H40,)&lt;0,0,IF(NETWORKDAYS(G40,TODAY())/NETWORKDAYS(G40,H40,)&gt;1,1,NETWORKDAYS(G40,TODAY())/NETWORKDAYS(G40,H40,)))</f>
        <v>1</v>
      </c>
      <c r="J40" s="9">
        <v>1</v>
      </c>
      <c r="K40" s="10">
        <f>NETWORKDAYS(G40,H40)</f>
        <v>8</v>
      </c>
      <c r="L40" s="4">
        <f>K40*8</f>
        <v>64</v>
      </c>
      <c r="M40" s="4" t="s">
        <v>132</v>
      </c>
      <c r="N40" s="4" t="s">
        <v>133</v>
      </c>
      <c r="O40" s="5">
        <f ca="1">I40*L40</f>
        <v>64</v>
      </c>
      <c r="P40" s="5">
        <f>J40*L40</f>
        <v>64</v>
      </c>
      <c r="Q40" s="5">
        <v>100</v>
      </c>
    </row>
    <row r="41" spans="1:17" x14ac:dyDescent="0.25">
      <c r="A41" s="10" t="s">
        <v>86</v>
      </c>
      <c r="B41" s="5" t="s">
        <v>49</v>
      </c>
      <c r="C41" s="5" t="s">
        <v>411</v>
      </c>
      <c r="D41" s="6" t="s">
        <v>54</v>
      </c>
      <c r="E41" s="5" t="s">
        <v>53</v>
      </c>
      <c r="F41" s="7" t="s">
        <v>50</v>
      </c>
      <c r="G41" s="8">
        <v>42108</v>
      </c>
      <c r="H41" s="8">
        <v>42137</v>
      </c>
      <c r="I41" s="9">
        <f ca="1">IF(NETWORKDAYS(G41,TODAY())/NETWORKDAYS(G41,H41,)&lt;0,0,IF(NETWORKDAYS(G41,TODAY())/NETWORKDAYS(G41,H41,)&gt;1,1,NETWORKDAYS(G41,TODAY())/NETWORKDAYS(G41,H41,)))</f>
        <v>1</v>
      </c>
      <c r="J41" s="9">
        <v>1</v>
      </c>
      <c r="K41" s="10">
        <f>NETWORKDAYS(G41,H41)</f>
        <v>22</v>
      </c>
      <c r="L41" s="4">
        <f>K41*8</f>
        <v>176</v>
      </c>
      <c r="M41" s="4" t="s">
        <v>132</v>
      </c>
      <c r="N41" s="4" t="s">
        <v>133</v>
      </c>
      <c r="O41" s="5">
        <f ca="1">I41*L41</f>
        <v>176</v>
      </c>
      <c r="P41" s="5">
        <f>J41*L41</f>
        <v>176</v>
      </c>
      <c r="Q41" s="5">
        <v>100</v>
      </c>
    </row>
    <row r="42" spans="1:17" x14ac:dyDescent="0.25">
      <c r="A42" s="10" t="s">
        <v>86</v>
      </c>
      <c r="B42" s="5" t="s">
        <v>49</v>
      </c>
      <c r="C42" s="5" t="s">
        <v>411</v>
      </c>
      <c r="D42" s="6" t="s">
        <v>54</v>
      </c>
      <c r="E42" s="5" t="s">
        <v>53</v>
      </c>
      <c r="F42" s="33" t="s">
        <v>51</v>
      </c>
      <c r="G42" s="8">
        <v>42138</v>
      </c>
      <c r="H42" s="8">
        <v>42149</v>
      </c>
      <c r="I42" s="9">
        <f ca="1">IF(NETWORKDAYS(G42,TODAY())/NETWORKDAYS(G42,H42,)&lt;0,0,IF(NETWORKDAYS(G42,TODAY())/NETWORKDAYS(G42,H42,)&gt;1,1,NETWORKDAYS(G42,TODAY())/NETWORKDAYS(G42,H42,)))</f>
        <v>1</v>
      </c>
      <c r="J42" s="9">
        <v>1</v>
      </c>
      <c r="K42" s="10">
        <f>NETWORKDAYS(G42,H42)</f>
        <v>8</v>
      </c>
      <c r="L42" s="4">
        <f>K42*8</f>
        <v>64</v>
      </c>
      <c r="M42" s="4" t="s">
        <v>132</v>
      </c>
      <c r="N42" s="4" t="s">
        <v>133</v>
      </c>
      <c r="O42" s="5">
        <f ca="1">I42*L42</f>
        <v>64</v>
      </c>
      <c r="P42" s="5">
        <f>J42*L42</f>
        <v>64</v>
      </c>
      <c r="Q42" s="5">
        <v>100</v>
      </c>
    </row>
    <row r="43" spans="1:17" x14ac:dyDescent="0.25">
      <c r="A43" s="10" t="s">
        <v>86</v>
      </c>
      <c r="B43" s="5" t="s">
        <v>49</v>
      </c>
      <c r="C43" s="5" t="s">
        <v>411</v>
      </c>
      <c r="D43" s="6" t="s">
        <v>54</v>
      </c>
      <c r="E43" s="5" t="s">
        <v>53</v>
      </c>
      <c r="F43" s="7" t="s">
        <v>52</v>
      </c>
      <c r="G43" s="8">
        <v>42173</v>
      </c>
      <c r="H43" s="8">
        <v>42181</v>
      </c>
      <c r="I43" s="9">
        <f ca="1">IF(NETWORKDAYS(G43,TODAY())/NETWORKDAYS(G43,H43,)&lt;0,0,IF(NETWORKDAYS(G43,TODAY())/NETWORKDAYS(G43,H43,)&gt;1,1,NETWORKDAYS(G43,TODAY())/NETWORKDAYS(G43,H43,)))</f>
        <v>1</v>
      </c>
      <c r="J43" s="9">
        <v>0</v>
      </c>
      <c r="K43" s="10">
        <f>NETWORKDAYS(G43,H43)</f>
        <v>7</v>
      </c>
      <c r="L43" s="4">
        <f>K43*8</f>
        <v>56</v>
      </c>
      <c r="M43" s="4" t="s">
        <v>132</v>
      </c>
      <c r="N43" s="4" t="s">
        <v>133</v>
      </c>
      <c r="O43" s="5">
        <f ca="1">I43*L43</f>
        <v>56</v>
      </c>
      <c r="P43" s="5">
        <f>J43*L43</f>
        <v>0</v>
      </c>
      <c r="Q43" s="5">
        <v>100</v>
      </c>
    </row>
    <row r="44" spans="1:17" x14ac:dyDescent="0.25">
      <c r="A44" s="14" t="s">
        <v>86</v>
      </c>
      <c r="B44" s="12" t="s">
        <v>49</v>
      </c>
      <c r="C44" s="12" t="s">
        <v>411</v>
      </c>
      <c r="D44" s="12" t="s">
        <v>54</v>
      </c>
      <c r="E44" s="12" t="s">
        <v>53</v>
      </c>
      <c r="F44" s="12" t="s">
        <v>34</v>
      </c>
      <c r="G44" s="22">
        <f>G43</f>
        <v>42173</v>
      </c>
      <c r="H44" s="22">
        <f>H43</f>
        <v>42181</v>
      </c>
      <c r="I44" s="13">
        <f ca="1">SUM(O40:O43)/L44</f>
        <v>1</v>
      </c>
      <c r="J44" s="13">
        <f>SUM(P40:P43)/L44</f>
        <v>0.84444444444444444</v>
      </c>
      <c r="K44" s="14">
        <f>SUM(K40:K43)</f>
        <v>45</v>
      </c>
      <c r="L44" s="11">
        <f>SUM(L40:L43)</f>
        <v>360</v>
      </c>
      <c r="M44" s="11" t="s">
        <v>132</v>
      </c>
      <c r="N44" s="11" t="s">
        <v>133</v>
      </c>
      <c r="O44" s="5"/>
      <c r="P44" s="5"/>
      <c r="Q44" s="5"/>
    </row>
    <row r="45" spans="1:17" x14ac:dyDescent="0.25">
      <c r="A45" s="10" t="s">
        <v>87</v>
      </c>
      <c r="B45" s="5" t="s">
        <v>56</v>
      </c>
      <c r="C45" s="5" t="s">
        <v>411</v>
      </c>
      <c r="D45" s="6" t="s">
        <v>54</v>
      </c>
      <c r="E45" s="5" t="s">
        <v>53</v>
      </c>
      <c r="F45" s="7" t="s">
        <v>57</v>
      </c>
      <c r="G45" s="8">
        <v>42130</v>
      </c>
      <c r="H45" s="8">
        <v>42130</v>
      </c>
      <c r="I45" s="9">
        <f t="shared" ref="I45:I52" ca="1" si="5">IF(NETWORKDAYS(G45,TODAY())/NETWORKDAYS(G45,H45,)&lt;0,0,IF(NETWORKDAYS(G45,TODAY())/NETWORKDAYS(G45,H45,)&gt;1,1,NETWORKDAYS(G45,TODAY())/NETWORKDAYS(G45,H45,)))</f>
        <v>1</v>
      </c>
      <c r="J45" s="9">
        <v>1</v>
      </c>
      <c r="K45" s="10">
        <f t="shared" ref="K45:K108" si="6">NETWORKDAYS(G45,H45)</f>
        <v>1</v>
      </c>
      <c r="L45" s="4">
        <f t="shared" ref="L45:L64" si="7">K45*8</f>
        <v>8</v>
      </c>
      <c r="M45" s="4" t="s">
        <v>111</v>
      </c>
      <c r="N45" s="4" t="s">
        <v>112</v>
      </c>
      <c r="O45" s="5">
        <f t="shared" ref="O45:O52" ca="1" si="8">I45*L45</f>
        <v>8</v>
      </c>
      <c r="P45" s="5">
        <f t="shared" ref="P45:P52" si="9">J45*L45</f>
        <v>8</v>
      </c>
      <c r="Q45" s="5">
        <v>100</v>
      </c>
    </row>
    <row r="46" spans="1:17" x14ac:dyDescent="0.25">
      <c r="A46" s="10" t="s">
        <v>87</v>
      </c>
      <c r="B46" s="5" t="s">
        <v>56</v>
      </c>
      <c r="C46" s="5" t="s">
        <v>411</v>
      </c>
      <c r="D46" s="6" t="s">
        <v>54</v>
      </c>
      <c r="E46" s="5" t="s">
        <v>53</v>
      </c>
      <c r="F46" s="7" t="s">
        <v>58</v>
      </c>
      <c r="G46" s="8">
        <v>42131</v>
      </c>
      <c r="H46" s="8">
        <v>42132</v>
      </c>
      <c r="I46" s="9">
        <f t="shared" ca="1" si="5"/>
        <v>1</v>
      </c>
      <c r="J46" s="9">
        <v>1</v>
      </c>
      <c r="K46" s="10">
        <f t="shared" si="6"/>
        <v>2</v>
      </c>
      <c r="L46" s="4">
        <f t="shared" si="7"/>
        <v>16</v>
      </c>
      <c r="M46" s="4" t="s">
        <v>111</v>
      </c>
      <c r="N46" s="4" t="s">
        <v>112</v>
      </c>
      <c r="O46" s="5">
        <f t="shared" ca="1" si="8"/>
        <v>16</v>
      </c>
      <c r="P46" s="5">
        <f t="shared" si="9"/>
        <v>16</v>
      </c>
      <c r="Q46" s="5">
        <v>100</v>
      </c>
    </row>
    <row r="47" spans="1:17" x14ac:dyDescent="0.25">
      <c r="A47" s="10" t="s">
        <v>87</v>
      </c>
      <c r="B47" s="5" t="s">
        <v>56</v>
      </c>
      <c r="C47" s="5" t="s">
        <v>411</v>
      </c>
      <c r="D47" s="6" t="s">
        <v>54</v>
      </c>
      <c r="E47" s="5" t="s">
        <v>53</v>
      </c>
      <c r="F47" s="33" t="s">
        <v>59</v>
      </c>
      <c r="G47" s="8">
        <v>42135</v>
      </c>
      <c r="H47" s="8">
        <v>42139</v>
      </c>
      <c r="I47" s="9">
        <f t="shared" ca="1" si="5"/>
        <v>1</v>
      </c>
      <c r="J47" s="9">
        <v>1</v>
      </c>
      <c r="K47" s="10">
        <f t="shared" si="6"/>
        <v>5</v>
      </c>
      <c r="L47" s="4">
        <f t="shared" si="7"/>
        <v>40</v>
      </c>
      <c r="M47" s="4" t="s">
        <v>111</v>
      </c>
      <c r="N47" s="4" t="s">
        <v>112</v>
      </c>
      <c r="O47" s="5">
        <f t="shared" ca="1" si="8"/>
        <v>40</v>
      </c>
      <c r="P47" s="5">
        <f t="shared" si="9"/>
        <v>40</v>
      </c>
      <c r="Q47" s="5">
        <v>100</v>
      </c>
    </row>
    <row r="48" spans="1:17" x14ac:dyDescent="0.25">
      <c r="A48" s="10" t="s">
        <v>87</v>
      </c>
      <c r="B48" s="5" t="s">
        <v>56</v>
      </c>
      <c r="C48" s="5" t="s">
        <v>411</v>
      </c>
      <c r="D48" s="6" t="s">
        <v>54</v>
      </c>
      <c r="E48" s="5" t="s">
        <v>53</v>
      </c>
      <c r="F48" s="33" t="s">
        <v>51</v>
      </c>
      <c r="G48" s="8">
        <v>42142</v>
      </c>
      <c r="H48" s="8">
        <v>42143</v>
      </c>
      <c r="I48" s="9">
        <f t="shared" ca="1" si="5"/>
        <v>1</v>
      </c>
      <c r="J48" s="9">
        <v>1</v>
      </c>
      <c r="K48" s="10">
        <f t="shared" si="6"/>
        <v>2</v>
      </c>
      <c r="L48" s="4">
        <f t="shared" si="7"/>
        <v>16</v>
      </c>
      <c r="M48" s="4" t="s">
        <v>111</v>
      </c>
      <c r="N48" s="4" t="s">
        <v>112</v>
      </c>
      <c r="O48" s="5">
        <f t="shared" ca="1" si="8"/>
        <v>16</v>
      </c>
      <c r="P48" s="5">
        <f t="shared" si="9"/>
        <v>16</v>
      </c>
      <c r="Q48" s="5">
        <v>100</v>
      </c>
    </row>
    <row r="49" spans="1:17" x14ac:dyDescent="0.25">
      <c r="A49" s="10" t="s">
        <v>87</v>
      </c>
      <c r="B49" s="5" t="s">
        <v>56</v>
      </c>
      <c r="C49" s="5" t="s">
        <v>411</v>
      </c>
      <c r="D49" s="6" t="s">
        <v>54</v>
      </c>
      <c r="E49" s="5" t="s">
        <v>53</v>
      </c>
      <c r="F49" s="33" t="s">
        <v>60</v>
      </c>
      <c r="G49" s="8">
        <v>42150</v>
      </c>
      <c r="H49" s="8">
        <v>42153</v>
      </c>
      <c r="I49" s="9">
        <f t="shared" ca="1" si="5"/>
        <v>1</v>
      </c>
      <c r="J49" s="9">
        <v>1</v>
      </c>
      <c r="K49" s="10">
        <f t="shared" si="6"/>
        <v>4</v>
      </c>
      <c r="L49" s="4">
        <f t="shared" si="7"/>
        <v>32</v>
      </c>
      <c r="M49" s="4" t="s">
        <v>111</v>
      </c>
      <c r="N49" s="4" t="s">
        <v>112</v>
      </c>
      <c r="O49" s="5">
        <f t="shared" ca="1" si="8"/>
        <v>32</v>
      </c>
      <c r="P49" s="5">
        <f t="shared" si="9"/>
        <v>32</v>
      </c>
      <c r="Q49" s="5">
        <v>100</v>
      </c>
    </row>
    <row r="50" spans="1:17" x14ac:dyDescent="0.25">
      <c r="A50" s="10" t="s">
        <v>87</v>
      </c>
      <c r="B50" s="5" t="s">
        <v>56</v>
      </c>
      <c r="C50" s="5" t="s">
        <v>411</v>
      </c>
      <c r="D50" s="6" t="s">
        <v>54</v>
      </c>
      <c r="E50" s="5" t="s">
        <v>53</v>
      </c>
      <c r="F50" s="33" t="s">
        <v>61</v>
      </c>
      <c r="G50" s="8">
        <v>42156</v>
      </c>
      <c r="H50" s="8">
        <v>42167</v>
      </c>
      <c r="I50" s="9">
        <f t="shared" ca="1" si="5"/>
        <v>1</v>
      </c>
      <c r="J50" s="9">
        <v>1</v>
      </c>
      <c r="K50" s="10">
        <f t="shared" si="6"/>
        <v>10</v>
      </c>
      <c r="L50" s="4">
        <f t="shared" si="7"/>
        <v>80</v>
      </c>
      <c r="M50" s="4" t="s">
        <v>111</v>
      </c>
      <c r="N50" s="4" t="s">
        <v>112</v>
      </c>
      <c r="O50" s="5">
        <f t="shared" ca="1" si="8"/>
        <v>80</v>
      </c>
      <c r="P50" s="5">
        <f t="shared" si="9"/>
        <v>80</v>
      </c>
      <c r="Q50" s="5">
        <v>100</v>
      </c>
    </row>
    <row r="51" spans="1:17" x14ac:dyDescent="0.25">
      <c r="A51" s="10" t="s">
        <v>87</v>
      </c>
      <c r="B51" s="5" t="s">
        <v>56</v>
      </c>
      <c r="C51" s="5" t="s">
        <v>411</v>
      </c>
      <c r="D51" s="6" t="s">
        <v>54</v>
      </c>
      <c r="E51" s="5" t="s">
        <v>53</v>
      </c>
      <c r="F51" s="33" t="s">
        <v>51</v>
      </c>
      <c r="G51" s="8">
        <v>42170</v>
      </c>
      <c r="H51" s="8">
        <v>42172</v>
      </c>
      <c r="I51" s="9">
        <f t="shared" ca="1" si="5"/>
        <v>1</v>
      </c>
      <c r="J51" s="9">
        <v>0.67</v>
      </c>
      <c r="K51" s="10">
        <f t="shared" si="6"/>
        <v>3</v>
      </c>
      <c r="L51" s="4">
        <f t="shared" si="7"/>
        <v>24</v>
      </c>
      <c r="M51" s="4" t="s">
        <v>111</v>
      </c>
      <c r="N51" s="4" t="s">
        <v>112</v>
      </c>
      <c r="O51" s="5">
        <f t="shared" ca="1" si="8"/>
        <v>24</v>
      </c>
      <c r="P51" s="5">
        <f t="shared" si="9"/>
        <v>16.080000000000002</v>
      </c>
      <c r="Q51" s="5">
        <v>100</v>
      </c>
    </row>
    <row r="52" spans="1:17" x14ac:dyDescent="0.25">
      <c r="A52" s="10" t="s">
        <v>87</v>
      </c>
      <c r="B52" s="5" t="s">
        <v>56</v>
      </c>
      <c r="C52" s="5" t="s">
        <v>411</v>
      </c>
      <c r="D52" s="6" t="s">
        <v>54</v>
      </c>
      <c r="E52" s="5" t="s">
        <v>53</v>
      </c>
      <c r="F52" s="7" t="s">
        <v>52</v>
      </c>
      <c r="G52" s="8">
        <v>42173</v>
      </c>
      <c r="H52" s="8">
        <v>42181</v>
      </c>
      <c r="I52" s="9">
        <f t="shared" ca="1" si="5"/>
        <v>1</v>
      </c>
      <c r="J52" s="9">
        <v>0</v>
      </c>
      <c r="K52" s="10">
        <f t="shared" si="6"/>
        <v>7</v>
      </c>
      <c r="L52" s="4">
        <f t="shared" si="7"/>
        <v>56</v>
      </c>
      <c r="M52" s="4" t="s">
        <v>111</v>
      </c>
      <c r="N52" s="4" t="s">
        <v>112</v>
      </c>
      <c r="O52" s="5">
        <f t="shared" ca="1" si="8"/>
        <v>56</v>
      </c>
      <c r="P52" s="5">
        <f t="shared" si="9"/>
        <v>0</v>
      </c>
      <c r="Q52" s="5">
        <v>100</v>
      </c>
    </row>
    <row r="53" spans="1:17" x14ac:dyDescent="0.25">
      <c r="A53" s="20" t="s">
        <v>87</v>
      </c>
      <c r="B53" s="16" t="s">
        <v>56</v>
      </c>
      <c r="C53" s="16" t="s">
        <v>411</v>
      </c>
      <c r="D53" s="16" t="s">
        <v>54</v>
      </c>
      <c r="E53" s="16" t="s">
        <v>53</v>
      </c>
      <c r="F53" s="12" t="s">
        <v>34</v>
      </c>
      <c r="G53" s="24">
        <f>G45</f>
        <v>42130</v>
      </c>
      <c r="H53" s="24">
        <f>H52</f>
        <v>42181</v>
      </c>
      <c r="I53" s="13">
        <f ca="1">SUM(O45:O52)/L53</f>
        <v>0.89473684210526316</v>
      </c>
      <c r="J53" s="13">
        <f>SUM(P45:P52)/L53</f>
        <v>0.68447368421052635</v>
      </c>
      <c r="K53" s="20">
        <f t="shared" si="6"/>
        <v>38</v>
      </c>
      <c r="L53" s="15">
        <f t="shared" si="7"/>
        <v>304</v>
      </c>
      <c r="M53" s="15" t="s">
        <v>111</v>
      </c>
      <c r="N53" s="15" t="s">
        <v>112</v>
      </c>
      <c r="O53" s="5"/>
      <c r="P53" s="5"/>
      <c r="Q53" s="5"/>
    </row>
    <row r="54" spans="1:17" x14ac:dyDescent="0.25">
      <c r="A54" s="10" t="s">
        <v>89</v>
      </c>
      <c r="B54" s="5" t="s">
        <v>489</v>
      </c>
      <c r="C54" s="5" t="s">
        <v>411</v>
      </c>
      <c r="D54" s="6" t="s">
        <v>62</v>
      </c>
      <c r="E54" s="5" t="s">
        <v>53</v>
      </c>
      <c r="F54" s="7" t="s">
        <v>57</v>
      </c>
      <c r="G54" s="8">
        <v>42082</v>
      </c>
      <c r="H54" s="8">
        <v>42082</v>
      </c>
      <c r="I54" s="9">
        <f t="shared" ref="I54:I59" ca="1" si="10">IF(NETWORKDAYS(G54,TODAY())/NETWORKDAYS(G54,H54,)&lt;0,0,IF(NETWORKDAYS(G54,TODAY())/NETWORKDAYS(G54,H54,)&gt;1,1,NETWORKDAYS(G54,TODAY())/NETWORKDAYS(G54,H54,)))</f>
        <v>1</v>
      </c>
      <c r="J54" s="9">
        <v>1</v>
      </c>
      <c r="K54" s="10">
        <f t="shared" si="6"/>
        <v>1</v>
      </c>
      <c r="L54" s="4">
        <f t="shared" si="7"/>
        <v>8</v>
      </c>
      <c r="M54" s="4" t="s">
        <v>119</v>
      </c>
      <c r="N54" s="4" t="s">
        <v>120</v>
      </c>
      <c r="O54" s="5">
        <f t="shared" ref="O54:O59" ca="1" si="11">I54*L54</f>
        <v>8</v>
      </c>
      <c r="P54" s="5">
        <f t="shared" ref="P54:P59" si="12">J54*L54</f>
        <v>8</v>
      </c>
      <c r="Q54" s="5">
        <v>100</v>
      </c>
    </row>
    <row r="55" spans="1:17" x14ac:dyDescent="0.25">
      <c r="A55" s="10" t="s">
        <v>89</v>
      </c>
      <c r="B55" s="5" t="s">
        <v>489</v>
      </c>
      <c r="C55" s="5" t="s">
        <v>411</v>
      </c>
      <c r="D55" s="6" t="str">
        <f t="shared" ref="D55:D60" si="13">D54</f>
        <v>Patrimonio</v>
      </c>
      <c r="E55" s="5" t="s">
        <v>53</v>
      </c>
      <c r="F55" s="7" t="s">
        <v>63</v>
      </c>
      <c r="G55" s="8">
        <v>42074</v>
      </c>
      <c r="H55" s="8">
        <v>42081</v>
      </c>
      <c r="I55" s="9">
        <f t="shared" ca="1" si="10"/>
        <v>1</v>
      </c>
      <c r="J55" s="9">
        <v>1</v>
      </c>
      <c r="K55" s="10">
        <f t="shared" si="6"/>
        <v>6</v>
      </c>
      <c r="L55" s="4">
        <f t="shared" si="7"/>
        <v>48</v>
      </c>
      <c r="M55" s="4" t="s">
        <v>119</v>
      </c>
      <c r="N55" s="4" t="s">
        <v>120</v>
      </c>
      <c r="O55" s="5">
        <f t="shared" ca="1" si="11"/>
        <v>48</v>
      </c>
      <c r="P55" s="5">
        <f t="shared" si="12"/>
        <v>48</v>
      </c>
      <c r="Q55" s="5">
        <v>100</v>
      </c>
    </row>
    <row r="56" spans="1:17" x14ac:dyDescent="0.25">
      <c r="A56" s="10" t="s">
        <v>89</v>
      </c>
      <c r="B56" s="5" t="s">
        <v>489</v>
      </c>
      <c r="C56" s="5" t="s">
        <v>411</v>
      </c>
      <c r="D56" s="6" t="str">
        <f t="shared" si="13"/>
        <v>Patrimonio</v>
      </c>
      <c r="E56" s="5" t="s">
        <v>53</v>
      </c>
      <c r="F56" s="7" t="s">
        <v>64</v>
      </c>
      <c r="G56" s="8">
        <v>42135</v>
      </c>
      <c r="H56" s="8">
        <v>42139</v>
      </c>
      <c r="I56" s="9">
        <f t="shared" ca="1" si="10"/>
        <v>1</v>
      </c>
      <c r="J56" s="9">
        <v>1</v>
      </c>
      <c r="K56" s="10">
        <f t="shared" si="6"/>
        <v>5</v>
      </c>
      <c r="L56" s="4">
        <f t="shared" si="7"/>
        <v>40</v>
      </c>
      <c r="M56" s="4" t="s">
        <v>119</v>
      </c>
      <c r="N56" s="4" t="s">
        <v>120</v>
      </c>
      <c r="O56" s="5">
        <f t="shared" ca="1" si="11"/>
        <v>40</v>
      </c>
      <c r="P56" s="5">
        <f t="shared" si="12"/>
        <v>40</v>
      </c>
      <c r="Q56" s="5">
        <v>100</v>
      </c>
    </row>
    <row r="57" spans="1:17" x14ac:dyDescent="0.25">
      <c r="A57" s="10" t="s">
        <v>89</v>
      </c>
      <c r="B57" s="5" t="s">
        <v>489</v>
      </c>
      <c r="C57" s="5" t="s">
        <v>411</v>
      </c>
      <c r="D57" s="6" t="str">
        <f t="shared" si="13"/>
        <v>Patrimonio</v>
      </c>
      <c r="E57" s="5" t="s">
        <v>53</v>
      </c>
      <c r="F57" s="7" t="s">
        <v>65</v>
      </c>
      <c r="G57" s="8">
        <v>42142</v>
      </c>
      <c r="H57" s="8">
        <v>42149</v>
      </c>
      <c r="I57" s="9">
        <f t="shared" ca="1" si="10"/>
        <v>1</v>
      </c>
      <c r="J57" s="9">
        <v>1</v>
      </c>
      <c r="K57" s="10">
        <f t="shared" si="6"/>
        <v>6</v>
      </c>
      <c r="L57" s="4">
        <f t="shared" si="7"/>
        <v>48</v>
      </c>
      <c r="M57" s="4" t="s">
        <v>119</v>
      </c>
      <c r="N57" s="4" t="s">
        <v>120</v>
      </c>
      <c r="O57" s="5">
        <f t="shared" ca="1" si="11"/>
        <v>48</v>
      </c>
      <c r="P57" s="5">
        <f t="shared" si="12"/>
        <v>48</v>
      </c>
      <c r="Q57" s="5">
        <v>100</v>
      </c>
    </row>
    <row r="58" spans="1:17" x14ac:dyDescent="0.25">
      <c r="A58" s="10" t="s">
        <v>89</v>
      </c>
      <c r="B58" s="5" t="s">
        <v>489</v>
      </c>
      <c r="C58" s="5" t="s">
        <v>411</v>
      </c>
      <c r="D58" s="6" t="str">
        <f t="shared" si="13"/>
        <v>Patrimonio</v>
      </c>
      <c r="E58" s="5" t="s">
        <v>53</v>
      </c>
      <c r="F58" s="33" t="s">
        <v>51</v>
      </c>
      <c r="G58" s="8">
        <v>42164</v>
      </c>
      <c r="H58" s="8">
        <v>42173</v>
      </c>
      <c r="I58" s="9">
        <f t="shared" ca="1" si="10"/>
        <v>1</v>
      </c>
      <c r="J58" s="9">
        <v>0.8</v>
      </c>
      <c r="K58" s="10">
        <f t="shared" si="6"/>
        <v>8</v>
      </c>
      <c r="L58" s="4">
        <f t="shared" si="7"/>
        <v>64</v>
      </c>
      <c r="M58" s="4" t="s">
        <v>119</v>
      </c>
      <c r="N58" s="4" t="s">
        <v>120</v>
      </c>
      <c r="O58" s="5">
        <f t="shared" ca="1" si="11"/>
        <v>64</v>
      </c>
      <c r="P58" s="5">
        <f t="shared" si="12"/>
        <v>51.2</v>
      </c>
      <c r="Q58" s="5">
        <v>100</v>
      </c>
    </row>
    <row r="59" spans="1:17" x14ac:dyDescent="0.25">
      <c r="A59" s="10" t="s">
        <v>89</v>
      </c>
      <c r="B59" s="5" t="s">
        <v>489</v>
      </c>
      <c r="C59" s="5" t="s">
        <v>411</v>
      </c>
      <c r="D59" s="6" t="str">
        <f t="shared" si="13"/>
        <v>Patrimonio</v>
      </c>
      <c r="E59" s="5" t="s">
        <v>53</v>
      </c>
      <c r="F59" s="7" t="s">
        <v>52</v>
      </c>
      <c r="G59" s="8">
        <v>42174</v>
      </c>
      <c r="H59" s="8">
        <v>42179</v>
      </c>
      <c r="I59" s="9">
        <f t="shared" ca="1" si="10"/>
        <v>1</v>
      </c>
      <c r="J59" s="9">
        <v>0</v>
      </c>
      <c r="K59" s="10">
        <f t="shared" si="6"/>
        <v>4</v>
      </c>
      <c r="L59" s="4">
        <f t="shared" si="7"/>
        <v>32</v>
      </c>
      <c r="M59" s="4" t="s">
        <v>119</v>
      </c>
      <c r="N59" s="4" t="s">
        <v>120</v>
      </c>
      <c r="O59" s="5">
        <f t="shared" ca="1" si="11"/>
        <v>32</v>
      </c>
      <c r="P59" s="5">
        <f t="shared" si="12"/>
        <v>0</v>
      </c>
      <c r="Q59" s="5">
        <v>100</v>
      </c>
    </row>
    <row r="60" spans="1:17" x14ac:dyDescent="0.25">
      <c r="A60" s="20" t="s">
        <v>89</v>
      </c>
      <c r="B60" s="16" t="s">
        <v>489</v>
      </c>
      <c r="C60" s="16" t="s">
        <v>411</v>
      </c>
      <c r="D60" s="16" t="str">
        <f t="shared" si="13"/>
        <v>Patrimonio</v>
      </c>
      <c r="E60" s="16" t="s">
        <v>53</v>
      </c>
      <c r="F60" s="12" t="s">
        <v>34</v>
      </c>
      <c r="G60" s="24">
        <f>G54</f>
        <v>42082</v>
      </c>
      <c r="H60" s="24">
        <f>H59</f>
        <v>42179</v>
      </c>
      <c r="I60" s="13">
        <f ca="1">SUM(O54:O59)/L60</f>
        <v>0.42857142857142855</v>
      </c>
      <c r="J60" s="13">
        <f>SUM(P54:P59)/L60</f>
        <v>0.34857142857142853</v>
      </c>
      <c r="K60" s="20">
        <f t="shared" si="6"/>
        <v>70</v>
      </c>
      <c r="L60" s="15">
        <f t="shared" si="7"/>
        <v>560</v>
      </c>
      <c r="M60" s="15" t="s">
        <v>119</v>
      </c>
      <c r="N60" s="15" t="s">
        <v>120</v>
      </c>
      <c r="O60" s="5"/>
      <c r="P60" s="5"/>
      <c r="Q60" s="5"/>
    </row>
    <row r="61" spans="1:17" ht="14.25" customHeight="1" x14ac:dyDescent="0.25">
      <c r="A61" s="4" t="s">
        <v>90</v>
      </c>
      <c r="B61" s="29" t="s">
        <v>67</v>
      </c>
      <c r="C61" s="29" t="s">
        <v>411</v>
      </c>
      <c r="D61" s="5" t="s">
        <v>68</v>
      </c>
      <c r="E61" s="5" t="s">
        <v>53</v>
      </c>
      <c r="F61" s="7" t="s">
        <v>50</v>
      </c>
      <c r="G61" s="8">
        <v>41974</v>
      </c>
      <c r="H61" s="8">
        <f>G61+6</f>
        <v>41980</v>
      </c>
      <c r="I61" s="9">
        <f ca="1">IF(NETWORKDAYS(G61,TODAY())/NETWORKDAYS(G61,H61,)&lt;0,0,IF(NETWORKDAYS(G61,TODAY())/NETWORKDAYS(G61,H61,)&gt;1,1,NETWORKDAYS(G61,TODAY())/NETWORKDAYS(G61,H61,)))</f>
        <v>1</v>
      </c>
      <c r="J61" s="9">
        <v>1</v>
      </c>
      <c r="K61" s="10">
        <f t="shared" si="6"/>
        <v>5</v>
      </c>
      <c r="L61" s="4">
        <f t="shared" si="7"/>
        <v>40</v>
      </c>
      <c r="M61" s="4" t="s">
        <v>121</v>
      </c>
      <c r="N61" s="4" t="s">
        <v>122</v>
      </c>
      <c r="O61" s="5">
        <f ca="1">I61*L61</f>
        <v>40</v>
      </c>
      <c r="P61" s="5">
        <f>J61*L61</f>
        <v>40</v>
      </c>
      <c r="Q61" s="5">
        <v>100</v>
      </c>
    </row>
    <row r="62" spans="1:17" ht="15.75" customHeight="1" x14ac:dyDescent="0.25">
      <c r="A62" s="4" t="s">
        <v>90</v>
      </c>
      <c r="B62" s="29" t="s">
        <v>67</v>
      </c>
      <c r="C62" s="29" t="s">
        <v>411</v>
      </c>
      <c r="D62" s="5" t="s">
        <v>68</v>
      </c>
      <c r="E62" s="5" t="s">
        <v>53</v>
      </c>
      <c r="F62" s="7" t="s">
        <v>50</v>
      </c>
      <c r="G62" s="8">
        <f>H61</f>
        <v>41980</v>
      </c>
      <c r="H62" s="8">
        <v>42136</v>
      </c>
      <c r="I62" s="9">
        <f ca="1">IF(NETWORKDAYS(G62,TODAY())/NETWORKDAYS(G62,H62,)&lt;0,0,IF(NETWORKDAYS(G62,TODAY())/NETWORKDAYS(G62,H62,)&gt;1,1,NETWORKDAYS(G62,TODAY())/NETWORKDAYS(G62,H62,)))</f>
        <v>1</v>
      </c>
      <c r="J62" s="9">
        <v>1</v>
      </c>
      <c r="K62" s="10">
        <f t="shared" si="6"/>
        <v>112</v>
      </c>
      <c r="L62" s="4">
        <f t="shared" si="7"/>
        <v>896</v>
      </c>
      <c r="M62" s="4" t="s">
        <v>121</v>
      </c>
      <c r="N62" s="4" t="s">
        <v>122</v>
      </c>
      <c r="O62" s="5">
        <f ca="1">I62*L62</f>
        <v>896</v>
      </c>
      <c r="P62" s="5">
        <f>J62*L62</f>
        <v>896</v>
      </c>
      <c r="Q62" s="5">
        <v>100</v>
      </c>
    </row>
    <row r="63" spans="1:17" ht="14.25" customHeight="1" x14ac:dyDescent="0.25">
      <c r="A63" s="4" t="s">
        <v>90</v>
      </c>
      <c r="B63" s="29" t="s">
        <v>67</v>
      </c>
      <c r="C63" s="29" t="s">
        <v>411</v>
      </c>
      <c r="D63" s="5" t="s">
        <v>68</v>
      </c>
      <c r="E63" s="5" t="s">
        <v>53</v>
      </c>
      <c r="F63" s="33" t="s">
        <v>51</v>
      </c>
      <c r="G63" s="8">
        <f>H62</f>
        <v>42136</v>
      </c>
      <c r="H63" s="8">
        <f>G63+7</f>
        <v>42143</v>
      </c>
      <c r="I63" s="9">
        <f ca="1">IF(NETWORKDAYS(G63,TODAY())/NETWORKDAYS(G63,H63,)&lt;0,0,IF(NETWORKDAYS(G63,TODAY())/NETWORKDAYS(G63,H63,)&gt;1,1,NETWORKDAYS(G63,TODAY())/NETWORKDAYS(G63,H63,)))</f>
        <v>1</v>
      </c>
      <c r="J63" s="9">
        <v>1</v>
      </c>
      <c r="K63" s="10">
        <f t="shared" si="6"/>
        <v>6</v>
      </c>
      <c r="L63" s="4">
        <f t="shared" si="7"/>
        <v>48</v>
      </c>
      <c r="M63" s="4" t="s">
        <v>121</v>
      </c>
      <c r="N63" s="4" t="s">
        <v>122</v>
      </c>
      <c r="O63" s="5">
        <f ca="1">I63*L63</f>
        <v>48</v>
      </c>
      <c r="P63" s="5">
        <f>J63*L63</f>
        <v>48</v>
      </c>
      <c r="Q63" s="5">
        <v>100</v>
      </c>
    </row>
    <row r="64" spans="1:17" ht="14.25" customHeight="1" x14ac:dyDescent="0.25">
      <c r="A64" s="4" t="s">
        <v>90</v>
      </c>
      <c r="B64" s="29" t="s">
        <v>67</v>
      </c>
      <c r="C64" s="29" t="s">
        <v>411</v>
      </c>
      <c r="D64" s="5" t="s">
        <v>68</v>
      </c>
      <c r="E64" s="5" t="s">
        <v>53</v>
      </c>
      <c r="F64" s="7" t="s">
        <v>52</v>
      </c>
      <c r="G64" s="8">
        <f>H63</f>
        <v>42143</v>
      </c>
      <c r="H64" s="8">
        <v>42174</v>
      </c>
      <c r="I64" s="9">
        <f ca="1">IF(NETWORKDAYS(G64,TODAY())/NETWORKDAYS(G64,H64,)&lt;0,0,IF(NETWORKDAYS(G64,TODAY())/NETWORKDAYS(G64,H64,)&gt;1,1,NETWORKDAYS(G64,TODAY())/NETWORKDAYS(G64,H64,)))</f>
        <v>1</v>
      </c>
      <c r="J64" s="9">
        <v>0.92</v>
      </c>
      <c r="K64" s="10">
        <f t="shared" si="6"/>
        <v>24</v>
      </c>
      <c r="L64" s="4">
        <f t="shared" si="7"/>
        <v>192</v>
      </c>
      <c r="M64" s="4" t="s">
        <v>121</v>
      </c>
      <c r="N64" s="4" t="s">
        <v>122</v>
      </c>
      <c r="O64" s="5">
        <f ca="1">I64*L64</f>
        <v>192</v>
      </c>
      <c r="P64" s="5">
        <f>J64*L64</f>
        <v>176.64000000000001</v>
      </c>
      <c r="Q64" s="5">
        <v>100</v>
      </c>
    </row>
    <row r="65" spans="1:17" ht="14.25" customHeight="1" x14ac:dyDescent="0.25">
      <c r="A65" s="11" t="s">
        <v>90</v>
      </c>
      <c r="B65" s="30" t="s">
        <v>67</v>
      </c>
      <c r="C65" s="30" t="s">
        <v>411</v>
      </c>
      <c r="D65" s="12" t="s">
        <v>68</v>
      </c>
      <c r="E65" s="12" t="s">
        <v>53</v>
      </c>
      <c r="F65" s="12" t="s">
        <v>34</v>
      </c>
      <c r="G65" s="22">
        <f>G61</f>
        <v>41974</v>
      </c>
      <c r="H65" s="22">
        <f>H64</f>
        <v>42174</v>
      </c>
      <c r="I65" s="13">
        <f ca="1">SUM(O61:O64)/L65</f>
        <v>1</v>
      </c>
      <c r="J65" s="13">
        <f>SUM(P61:P64)/L65</f>
        <v>0.98693877551020415</v>
      </c>
      <c r="K65" s="14">
        <f t="shared" si="6"/>
        <v>145</v>
      </c>
      <c r="L65" s="11">
        <f>SUM(L61:L64)</f>
        <v>1176</v>
      </c>
      <c r="M65" s="13" t="s">
        <v>121</v>
      </c>
      <c r="N65" s="13" t="s">
        <v>122</v>
      </c>
      <c r="O65" s="5"/>
      <c r="P65" s="5"/>
      <c r="Q65" s="5"/>
    </row>
    <row r="66" spans="1:17" ht="14.25" customHeight="1" x14ac:dyDescent="0.25">
      <c r="A66" s="4" t="s">
        <v>91</v>
      </c>
      <c r="B66" s="29" t="s">
        <v>69</v>
      </c>
      <c r="C66" s="29" t="s">
        <v>411</v>
      </c>
      <c r="D66" s="5" t="s">
        <v>68</v>
      </c>
      <c r="E66" s="5" t="s">
        <v>53</v>
      </c>
      <c r="F66" s="7" t="s">
        <v>50</v>
      </c>
      <c r="G66" s="8">
        <v>42122</v>
      </c>
      <c r="H66" s="8">
        <f>G66+3</f>
        <v>42125</v>
      </c>
      <c r="I66" s="9">
        <f ca="1">IF(NETWORKDAYS(G66,TODAY())/NETWORKDAYS(G66,H66,)&lt;0,0,IF(NETWORKDAYS(G66,TODAY())/NETWORKDAYS(G66,H66,)&gt;1,1,NETWORKDAYS(G66,TODAY())/NETWORKDAYS(G66,H66,)))</f>
        <v>1</v>
      </c>
      <c r="J66" s="9">
        <v>1</v>
      </c>
      <c r="K66" s="10">
        <f t="shared" si="6"/>
        <v>4</v>
      </c>
      <c r="L66" s="4">
        <f>K66*8</f>
        <v>32</v>
      </c>
      <c r="M66" s="4" t="s">
        <v>107</v>
      </c>
      <c r="N66" s="4" t="s">
        <v>108</v>
      </c>
      <c r="O66" s="5">
        <f ca="1">I66*L66</f>
        <v>32</v>
      </c>
      <c r="P66" s="5">
        <f>J66*L66</f>
        <v>32</v>
      </c>
      <c r="Q66" s="5">
        <v>100</v>
      </c>
    </row>
    <row r="67" spans="1:17" ht="15.75" customHeight="1" x14ac:dyDescent="0.25">
      <c r="A67" s="4" t="s">
        <v>91</v>
      </c>
      <c r="B67" s="29" t="s">
        <v>69</v>
      </c>
      <c r="C67" s="29" t="s">
        <v>411</v>
      </c>
      <c r="D67" s="5" t="s">
        <v>68</v>
      </c>
      <c r="E67" s="5" t="s">
        <v>53</v>
      </c>
      <c r="F67" s="7" t="s">
        <v>50</v>
      </c>
      <c r="G67" s="8">
        <f>H66</f>
        <v>42125</v>
      </c>
      <c r="H67" s="8">
        <f>G67+9</f>
        <v>42134</v>
      </c>
      <c r="I67" s="9">
        <f ca="1">IF(NETWORKDAYS(G67,TODAY())/NETWORKDAYS(G67,H67,)&lt;0,0,IF(NETWORKDAYS(G67,TODAY())/NETWORKDAYS(G67,H67,)&gt;1,1,NETWORKDAYS(G67,TODAY())/NETWORKDAYS(G67,H67,)))</f>
        <v>1</v>
      </c>
      <c r="J67" s="9">
        <v>1</v>
      </c>
      <c r="K67" s="10">
        <f t="shared" si="6"/>
        <v>6</v>
      </c>
      <c r="L67" s="4">
        <f>K67*8</f>
        <v>48</v>
      </c>
      <c r="M67" s="4" t="s">
        <v>107</v>
      </c>
      <c r="N67" s="4" t="s">
        <v>108</v>
      </c>
      <c r="O67" s="5">
        <f ca="1">I67*L67</f>
        <v>48</v>
      </c>
      <c r="P67" s="5">
        <f>J67*L67</f>
        <v>48</v>
      </c>
      <c r="Q67" s="5">
        <v>100</v>
      </c>
    </row>
    <row r="68" spans="1:17" ht="14.25" customHeight="1" x14ac:dyDescent="0.25">
      <c r="A68" s="4" t="s">
        <v>91</v>
      </c>
      <c r="B68" s="29" t="s">
        <v>69</v>
      </c>
      <c r="C68" s="29" t="s">
        <v>411</v>
      </c>
      <c r="D68" s="5" t="s">
        <v>68</v>
      </c>
      <c r="E68" s="5" t="s">
        <v>53</v>
      </c>
      <c r="F68" s="33" t="s">
        <v>51</v>
      </c>
      <c r="G68" s="8">
        <f>H67</f>
        <v>42134</v>
      </c>
      <c r="H68" s="8">
        <f>G68+5</f>
        <v>42139</v>
      </c>
      <c r="I68" s="9">
        <f ca="1">IF(NETWORKDAYS(G68,TODAY())/NETWORKDAYS(G68,H68,)&lt;0,0,IF(NETWORKDAYS(G68,TODAY())/NETWORKDAYS(G68,H68,)&gt;1,1,NETWORKDAYS(G68,TODAY())/NETWORKDAYS(G68,H68,)))</f>
        <v>1</v>
      </c>
      <c r="J68" s="9">
        <v>1</v>
      </c>
      <c r="K68" s="10">
        <f t="shared" si="6"/>
        <v>5</v>
      </c>
      <c r="L68" s="4">
        <f>K68*8</f>
        <v>40</v>
      </c>
      <c r="M68" s="4" t="s">
        <v>107</v>
      </c>
      <c r="N68" s="4" t="s">
        <v>108</v>
      </c>
      <c r="O68" s="5">
        <f ca="1">I68*L68</f>
        <v>40</v>
      </c>
      <c r="P68" s="5">
        <f>J68*L68</f>
        <v>40</v>
      </c>
      <c r="Q68" s="5">
        <v>100</v>
      </c>
    </row>
    <row r="69" spans="1:17" ht="14.25" customHeight="1" x14ac:dyDescent="0.25">
      <c r="A69" s="4" t="s">
        <v>91</v>
      </c>
      <c r="B69" s="29" t="s">
        <v>69</v>
      </c>
      <c r="C69" s="29" t="s">
        <v>411</v>
      </c>
      <c r="D69" s="5" t="s">
        <v>68</v>
      </c>
      <c r="E69" s="5" t="s">
        <v>53</v>
      </c>
      <c r="F69" s="7" t="s">
        <v>52</v>
      </c>
      <c r="G69" s="8">
        <f>H68</f>
        <v>42139</v>
      </c>
      <c r="H69" s="8">
        <v>42153</v>
      </c>
      <c r="I69" s="9">
        <f ca="1">IF(NETWORKDAYS(G69,TODAY())/NETWORKDAYS(G69,H69,)&lt;0,0,IF(NETWORKDAYS(G69,TODAY())/NETWORKDAYS(G69,H69,)&gt;1,1,NETWORKDAYS(G69,TODAY())/NETWORKDAYS(G69,H69,)))</f>
        <v>1</v>
      </c>
      <c r="J69" s="9">
        <v>0.9</v>
      </c>
      <c r="K69" s="10">
        <f t="shared" si="6"/>
        <v>11</v>
      </c>
      <c r="L69" s="4">
        <f>K69*8</f>
        <v>88</v>
      </c>
      <c r="M69" s="4" t="s">
        <v>107</v>
      </c>
      <c r="N69" s="4" t="s">
        <v>108</v>
      </c>
      <c r="O69" s="5">
        <f ca="1">I69*L69</f>
        <v>88</v>
      </c>
      <c r="P69" s="5">
        <f>J69*L69</f>
        <v>79.2</v>
      </c>
      <c r="Q69" s="5">
        <v>100</v>
      </c>
    </row>
    <row r="70" spans="1:17" ht="14.25" customHeight="1" x14ac:dyDescent="0.25">
      <c r="A70" s="11" t="s">
        <v>91</v>
      </c>
      <c r="B70" s="30" t="s">
        <v>69</v>
      </c>
      <c r="C70" s="30" t="s">
        <v>411</v>
      </c>
      <c r="D70" s="12" t="s">
        <v>68</v>
      </c>
      <c r="E70" s="12" t="s">
        <v>53</v>
      </c>
      <c r="F70" s="12" t="s">
        <v>34</v>
      </c>
      <c r="G70" s="22">
        <f>G66</f>
        <v>42122</v>
      </c>
      <c r="H70" s="22">
        <f>H69</f>
        <v>42153</v>
      </c>
      <c r="I70" s="13">
        <f ca="1">SUM(O66:O69)/L70</f>
        <v>1</v>
      </c>
      <c r="J70" s="13">
        <f>SUM(P66:P69)/L70</f>
        <v>0.95769230769230762</v>
      </c>
      <c r="K70" s="14">
        <f t="shared" si="6"/>
        <v>24</v>
      </c>
      <c r="L70" s="11">
        <f>SUM(L66:L69)</f>
        <v>208</v>
      </c>
      <c r="M70" s="13" t="s">
        <v>107</v>
      </c>
      <c r="N70" s="13" t="s">
        <v>108</v>
      </c>
      <c r="O70" s="5"/>
      <c r="P70" s="5"/>
      <c r="Q70" s="5"/>
    </row>
    <row r="71" spans="1:17" ht="14.25" customHeight="1" x14ac:dyDescent="0.25">
      <c r="A71" s="4" t="s">
        <v>92</v>
      </c>
      <c r="B71" s="29" t="s">
        <v>70</v>
      </c>
      <c r="C71" s="29" t="s">
        <v>411</v>
      </c>
      <c r="D71" s="5" t="s">
        <v>68</v>
      </c>
      <c r="E71" s="5" t="s">
        <v>53</v>
      </c>
      <c r="F71" s="7" t="s">
        <v>50</v>
      </c>
      <c r="G71" s="8">
        <v>42130</v>
      </c>
      <c r="H71" s="8">
        <f>G71+5</f>
        <v>42135</v>
      </c>
      <c r="I71" s="9">
        <f ca="1">IF(NETWORKDAYS(G71,TODAY())/NETWORKDAYS(G71,H71,)&lt;0,0,IF(NETWORKDAYS(G71,TODAY())/NETWORKDAYS(G71,H71,)&gt;1,1,NETWORKDAYS(G71,TODAY())/NETWORKDAYS(G71,H71,)))</f>
        <v>1</v>
      </c>
      <c r="J71" s="9">
        <v>1</v>
      </c>
      <c r="K71" s="10">
        <f t="shared" si="6"/>
        <v>4</v>
      </c>
      <c r="L71" s="4">
        <f>K71*8</f>
        <v>32</v>
      </c>
      <c r="M71" s="4" t="s">
        <v>101</v>
      </c>
      <c r="N71" s="4" t="s">
        <v>102</v>
      </c>
      <c r="O71" s="5">
        <f ca="1">I71*L71</f>
        <v>32</v>
      </c>
      <c r="P71" s="5">
        <f>J71*L71</f>
        <v>32</v>
      </c>
      <c r="Q71" s="5">
        <v>100</v>
      </c>
    </row>
    <row r="72" spans="1:17" ht="15.75" customHeight="1" x14ac:dyDescent="0.25">
      <c r="A72" s="4" t="s">
        <v>92</v>
      </c>
      <c r="B72" s="29" t="s">
        <v>70</v>
      </c>
      <c r="C72" s="29" t="s">
        <v>411</v>
      </c>
      <c r="D72" s="5" t="s">
        <v>68</v>
      </c>
      <c r="E72" s="5" t="s">
        <v>53</v>
      </c>
      <c r="F72" s="7" t="s">
        <v>50</v>
      </c>
      <c r="G72" s="8">
        <f>H71</f>
        <v>42135</v>
      </c>
      <c r="H72" s="8">
        <f>G72+9</f>
        <v>42144</v>
      </c>
      <c r="I72" s="9">
        <f ca="1">IF(NETWORKDAYS(G72,TODAY())/NETWORKDAYS(G72,H72,)&lt;0,0,IF(NETWORKDAYS(G72,TODAY())/NETWORKDAYS(G72,H72,)&gt;1,1,NETWORKDAYS(G72,TODAY())/NETWORKDAYS(G72,H72,)))</f>
        <v>1</v>
      </c>
      <c r="J72" s="9">
        <v>1</v>
      </c>
      <c r="K72" s="10">
        <f t="shared" si="6"/>
        <v>8</v>
      </c>
      <c r="L72" s="4">
        <f>K72*8</f>
        <v>64</v>
      </c>
      <c r="M72" s="4" t="s">
        <v>101</v>
      </c>
      <c r="N72" s="4" t="s">
        <v>102</v>
      </c>
      <c r="O72" s="5">
        <f ca="1">I72*L72</f>
        <v>64</v>
      </c>
      <c r="P72" s="5">
        <f>J72*L72</f>
        <v>64</v>
      </c>
      <c r="Q72" s="5">
        <v>100</v>
      </c>
    </row>
    <row r="73" spans="1:17" ht="14.25" customHeight="1" x14ac:dyDescent="0.25">
      <c r="A73" s="4" t="s">
        <v>92</v>
      </c>
      <c r="B73" s="29" t="s">
        <v>70</v>
      </c>
      <c r="C73" s="29" t="s">
        <v>411</v>
      </c>
      <c r="D73" s="5" t="s">
        <v>68</v>
      </c>
      <c r="E73" s="5" t="s">
        <v>53</v>
      </c>
      <c r="F73" s="33" t="s">
        <v>51</v>
      </c>
      <c r="G73" s="8">
        <f>H72</f>
        <v>42144</v>
      </c>
      <c r="H73" s="8">
        <f>G73+5</f>
        <v>42149</v>
      </c>
      <c r="I73" s="9">
        <f ca="1">IF(NETWORKDAYS(G73,TODAY())/NETWORKDAYS(G73,H73,)&lt;0,0,IF(NETWORKDAYS(G73,TODAY())/NETWORKDAYS(G73,H73,)&gt;1,1,NETWORKDAYS(G73,TODAY())/NETWORKDAYS(G73,H73,)))</f>
        <v>1</v>
      </c>
      <c r="J73" s="9">
        <v>1</v>
      </c>
      <c r="K73" s="10">
        <f t="shared" si="6"/>
        <v>4</v>
      </c>
      <c r="L73" s="4">
        <f>K73*8</f>
        <v>32</v>
      </c>
      <c r="M73" s="4" t="s">
        <v>101</v>
      </c>
      <c r="N73" s="4" t="s">
        <v>102</v>
      </c>
      <c r="O73" s="5">
        <f ca="1">I73*L73</f>
        <v>32</v>
      </c>
      <c r="P73" s="5">
        <f>J73*L73</f>
        <v>32</v>
      </c>
      <c r="Q73" s="5">
        <v>100</v>
      </c>
    </row>
    <row r="74" spans="1:17" ht="14.25" customHeight="1" x14ac:dyDescent="0.25">
      <c r="A74" s="4" t="s">
        <v>92</v>
      </c>
      <c r="B74" s="29" t="s">
        <v>70</v>
      </c>
      <c r="C74" s="29" t="s">
        <v>411</v>
      </c>
      <c r="D74" s="5" t="s">
        <v>68</v>
      </c>
      <c r="E74" s="5" t="s">
        <v>53</v>
      </c>
      <c r="F74" s="7" t="s">
        <v>52</v>
      </c>
      <c r="G74" s="8">
        <f>H73</f>
        <v>42149</v>
      </c>
      <c r="H74" s="8">
        <v>42153</v>
      </c>
      <c r="I74" s="9">
        <f ca="1">IF(NETWORKDAYS(G74,TODAY())/NETWORKDAYS(G74,H74,)&lt;0,0,IF(NETWORKDAYS(G74,TODAY())/NETWORKDAYS(G74,H74,)&gt;1,1,NETWORKDAYS(G74,TODAY())/NETWORKDAYS(G74,H74,)))</f>
        <v>1</v>
      </c>
      <c r="J74" s="9">
        <v>0.8</v>
      </c>
      <c r="K74" s="10">
        <f t="shared" si="6"/>
        <v>5</v>
      </c>
      <c r="L74" s="4">
        <f>K74*8</f>
        <v>40</v>
      </c>
      <c r="M74" s="4" t="s">
        <v>101</v>
      </c>
      <c r="N74" s="4" t="s">
        <v>102</v>
      </c>
      <c r="O74" s="5">
        <f ca="1">I74*L74</f>
        <v>40</v>
      </c>
      <c r="P74" s="5">
        <f>J74*L74</f>
        <v>32</v>
      </c>
      <c r="Q74" s="5">
        <v>100</v>
      </c>
    </row>
    <row r="75" spans="1:17" ht="14.25" customHeight="1" x14ac:dyDescent="0.25">
      <c r="A75" s="11" t="s">
        <v>92</v>
      </c>
      <c r="B75" s="30" t="s">
        <v>70</v>
      </c>
      <c r="C75" s="30" t="s">
        <v>411</v>
      </c>
      <c r="D75" s="12" t="s">
        <v>68</v>
      </c>
      <c r="E75" s="12" t="s">
        <v>53</v>
      </c>
      <c r="F75" s="12" t="s">
        <v>34</v>
      </c>
      <c r="G75" s="22">
        <f>G71</f>
        <v>42130</v>
      </c>
      <c r="H75" s="22">
        <f>H74</f>
        <v>42153</v>
      </c>
      <c r="I75" s="13">
        <f ca="1">SUM(O71:O74)/L75</f>
        <v>1</v>
      </c>
      <c r="J75" s="13">
        <f>SUM(P71:P74)/L75</f>
        <v>0.95238095238095233</v>
      </c>
      <c r="K75" s="14">
        <f t="shared" si="6"/>
        <v>18</v>
      </c>
      <c r="L75" s="11">
        <f>SUM(L71:L74)</f>
        <v>168</v>
      </c>
      <c r="M75" s="13" t="s">
        <v>101</v>
      </c>
      <c r="N75" s="13" t="s">
        <v>102</v>
      </c>
      <c r="O75" s="5"/>
      <c r="P75" s="5"/>
      <c r="Q75" s="5"/>
    </row>
    <row r="76" spans="1:17" ht="14.25" customHeight="1" x14ac:dyDescent="0.25">
      <c r="A76" s="4" t="s">
        <v>94</v>
      </c>
      <c r="B76" s="29" t="s">
        <v>72</v>
      </c>
      <c r="C76" s="29" t="s">
        <v>411</v>
      </c>
      <c r="D76" s="5" t="s">
        <v>68</v>
      </c>
      <c r="E76" s="5" t="s">
        <v>53</v>
      </c>
      <c r="F76" s="7" t="s">
        <v>50</v>
      </c>
      <c r="G76" s="8">
        <v>42156</v>
      </c>
      <c r="H76" s="8">
        <f>G76+1</f>
        <v>42157</v>
      </c>
      <c r="I76" s="9">
        <f ca="1">IF(NETWORKDAYS(G76,TODAY())/NETWORKDAYS(G76,H76,)&lt;0,0,IF(NETWORKDAYS(G76,TODAY())/NETWORKDAYS(G76,H76,)&gt;1,1,NETWORKDAYS(G76,TODAY())/NETWORKDAYS(G76,H76,)))</f>
        <v>1</v>
      </c>
      <c r="J76" s="9">
        <v>1</v>
      </c>
      <c r="K76" s="10">
        <f t="shared" si="6"/>
        <v>2</v>
      </c>
      <c r="L76" s="4">
        <f>K76*8</f>
        <v>16</v>
      </c>
      <c r="M76" s="4" t="s">
        <v>101</v>
      </c>
      <c r="N76" s="4" t="s">
        <v>102</v>
      </c>
      <c r="O76" s="5">
        <f ca="1">I76*L76</f>
        <v>16</v>
      </c>
      <c r="P76" s="5">
        <f>J76*L76</f>
        <v>16</v>
      </c>
      <c r="Q76" s="5">
        <v>100</v>
      </c>
    </row>
    <row r="77" spans="1:17" ht="15.75" customHeight="1" x14ac:dyDescent="0.25">
      <c r="A77" s="4" t="s">
        <v>94</v>
      </c>
      <c r="B77" s="29" t="s">
        <v>72</v>
      </c>
      <c r="C77" s="29" t="s">
        <v>411</v>
      </c>
      <c r="D77" s="5" t="s">
        <v>68</v>
      </c>
      <c r="E77" s="5" t="s">
        <v>53</v>
      </c>
      <c r="F77" s="7" t="s">
        <v>50</v>
      </c>
      <c r="G77" s="8">
        <f>H76</f>
        <v>42157</v>
      </c>
      <c r="H77" s="8">
        <f>G77+4</f>
        <v>42161</v>
      </c>
      <c r="I77" s="9">
        <f ca="1">IF(NETWORKDAYS(G77,TODAY())/NETWORKDAYS(G77,H77,)&lt;0,0,IF(NETWORKDAYS(G77,TODAY())/NETWORKDAYS(G77,H77,)&gt;1,1,NETWORKDAYS(G77,TODAY())/NETWORKDAYS(G77,H77,)))</f>
        <v>1</v>
      </c>
      <c r="J77" s="9">
        <v>1</v>
      </c>
      <c r="K77" s="10">
        <f t="shared" si="6"/>
        <v>4</v>
      </c>
      <c r="L77" s="4">
        <f>K77*8</f>
        <v>32</v>
      </c>
      <c r="M77" s="4" t="s">
        <v>101</v>
      </c>
      <c r="N77" s="4" t="s">
        <v>102</v>
      </c>
      <c r="O77" s="5">
        <f ca="1">I77*L77</f>
        <v>32</v>
      </c>
      <c r="P77" s="5">
        <f>J77*L77</f>
        <v>32</v>
      </c>
      <c r="Q77" s="5">
        <v>100</v>
      </c>
    </row>
    <row r="78" spans="1:17" ht="14.25" customHeight="1" x14ac:dyDescent="0.25">
      <c r="A78" s="4" t="s">
        <v>94</v>
      </c>
      <c r="B78" s="29" t="s">
        <v>72</v>
      </c>
      <c r="C78" s="29" t="s">
        <v>411</v>
      </c>
      <c r="D78" s="5" t="s">
        <v>68</v>
      </c>
      <c r="E78" s="5" t="s">
        <v>53</v>
      </c>
      <c r="F78" s="33" t="s">
        <v>51</v>
      </c>
      <c r="G78" s="8">
        <f>H77</f>
        <v>42161</v>
      </c>
      <c r="H78" s="8">
        <f>G78+5</f>
        <v>42166</v>
      </c>
      <c r="I78" s="9">
        <f ca="1">IF(NETWORKDAYS(G78,TODAY())/NETWORKDAYS(G78,H78,)&lt;0,0,IF(NETWORKDAYS(G78,TODAY())/NETWORKDAYS(G78,H78,)&gt;1,1,NETWORKDAYS(G78,TODAY())/NETWORKDAYS(G78,H78,)))</f>
        <v>1</v>
      </c>
      <c r="J78" s="9">
        <v>1</v>
      </c>
      <c r="K78" s="10">
        <f t="shared" si="6"/>
        <v>4</v>
      </c>
      <c r="L78" s="4">
        <f>K78*8</f>
        <v>32</v>
      </c>
      <c r="M78" s="4" t="s">
        <v>101</v>
      </c>
      <c r="N78" s="4" t="s">
        <v>102</v>
      </c>
      <c r="O78" s="5">
        <f ca="1">I78*L78</f>
        <v>32</v>
      </c>
      <c r="P78" s="5">
        <f>J78*L78</f>
        <v>32</v>
      </c>
      <c r="Q78" s="5">
        <v>100</v>
      </c>
    </row>
    <row r="79" spans="1:17" ht="14.25" customHeight="1" x14ac:dyDescent="0.25">
      <c r="A79" s="4" t="s">
        <v>94</v>
      </c>
      <c r="B79" s="29" t="s">
        <v>72</v>
      </c>
      <c r="C79" s="29" t="s">
        <v>411</v>
      </c>
      <c r="D79" s="5" t="s">
        <v>68</v>
      </c>
      <c r="E79" s="5" t="s">
        <v>53</v>
      </c>
      <c r="F79" s="7" t="s">
        <v>52</v>
      </c>
      <c r="G79" s="8">
        <f>H78</f>
        <v>42166</v>
      </c>
      <c r="H79" s="8">
        <v>42167</v>
      </c>
      <c r="I79" s="9">
        <f ca="1">IF(NETWORKDAYS(G79,TODAY())/NETWORKDAYS(G79,H79,)&lt;0,0,IF(NETWORKDAYS(G79,TODAY())/NETWORKDAYS(G79,H79,)&gt;1,1,NETWORKDAYS(G79,TODAY())/NETWORKDAYS(G79,H79,)))</f>
        <v>1</v>
      </c>
      <c r="J79" s="9">
        <v>0.8</v>
      </c>
      <c r="K79" s="10">
        <f t="shared" si="6"/>
        <v>2</v>
      </c>
      <c r="L79" s="4">
        <f>K79*8</f>
        <v>16</v>
      </c>
      <c r="M79" s="4" t="s">
        <v>101</v>
      </c>
      <c r="N79" s="4" t="s">
        <v>102</v>
      </c>
      <c r="O79" s="5">
        <f ca="1">I79*L79</f>
        <v>16</v>
      </c>
      <c r="P79" s="5">
        <f>J79*L79</f>
        <v>12.8</v>
      </c>
      <c r="Q79" s="5">
        <v>100</v>
      </c>
    </row>
    <row r="80" spans="1:17" ht="14.25" customHeight="1" x14ac:dyDescent="0.25">
      <c r="A80" s="11" t="s">
        <v>94</v>
      </c>
      <c r="B80" s="30" t="s">
        <v>73</v>
      </c>
      <c r="C80" s="30" t="s">
        <v>411</v>
      </c>
      <c r="D80" s="12" t="s">
        <v>68</v>
      </c>
      <c r="E80" s="12" t="s">
        <v>53</v>
      </c>
      <c r="F80" s="12" t="s">
        <v>34</v>
      </c>
      <c r="G80" s="22">
        <f>G76</f>
        <v>42156</v>
      </c>
      <c r="H80" s="22">
        <f>H79</f>
        <v>42167</v>
      </c>
      <c r="I80" s="13">
        <f ca="1">SUM(O76:O79)/L80</f>
        <v>1</v>
      </c>
      <c r="J80" s="13">
        <f>SUM(P76:P79)/L80</f>
        <v>0.96666666666666667</v>
      </c>
      <c r="K80" s="14">
        <f t="shared" si="6"/>
        <v>10</v>
      </c>
      <c r="L80" s="11">
        <f>SUM(L76:L79)</f>
        <v>96</v>
      </c>
      <c r="M80" s="13" t="s">
        <v>101</v>
      </c>
      <c r="N80" s="13" t="s">
        <v>102</v>
      </c>
      <c r="O80" s="5"/>
      <c r="P80" s="5"/>
      <c r="Q80" s="5"/>
    </row>
    <row r="81" spans="1:17" ht="14.25" customHeight="1" x14ac:dyDescent="0.25">
      <c r="A81" s="4" t="s">
        <v>95</v>
      </c>
      <c r="B81" s="29" t="s">
        <v>74</v>
      </c>
      <c r="C81" s="29" t="s">
        <v>411</v>
      </c>
      <c r="D81" s="5" t="s">
        <v>68</v>
      </c>
      <c r="E81" s="5" t="s">
        <v>53</v>
      </c>
      <c r="F81" s="7" t="s">
        <v>50</v>
      </c>
      <c r="G81" s="8">
        <v>42149</v>
      </c>
      <c r="H81" s="8">
        <f>G81+2</f>
        <v>42151</v>
      </c>
      <c r="I81" s="9">
        <f ca="1">IF(NETWORKDAYS(G81,TODAY())/NETWORKDAYS(G81,H81,)&lt;0,0,IF(NETWORKDAYS(G81,TODAY())/NETWORKDAYS(G81,H81,)&gt;1,1,NETWORKDAYS(G81,TODAY())/NETWORKDAYS(G81,H81,)))</f>
        <v>1</v>
      </c>
      <c r="J81" s="9">
        <v>1</v>
      </c>
      <c r="K81" s="10">
        <f t="shared" si="6"/>
        <v>3</v>
      </c>
      <c r="L81" s="4">
        <f>K81*8</f>
        <v>24</v>
      </c>
      <c r="M81" s="4" t="s">
        <v>113</v>
      </c>
      <c r="N81" s="4" t="s">
        <v>114</v>
      </c>
      <c r="O81" s="5">
        <f ca="1">I81*L81</f>
        <v>24</v>
      </c>
      <c r="P81" s="5">
        <f>J81*L81</f>
        <v>24</v>
      </c>
      <c r="Q81" s="5">
        <v>100</v>
      </c>
    </row>
    <row r="82" spans="1:17" ht="15.75" customHeight="1" x14ac:dyDescent="0.25">
      <c r="A82" s="4" t="s">
        <v>95</v>
      </c>
      <c r="B82" s="29" t="s">
        <v>74</v>
      </c>
      <c r="C82" s="29" t="s">
        <v>411</v>
      </c>
      <c r="D82" s="5" t="s">
        <v>68</v>
      </c>
      <c r="E82" s="5" t="s">
        <v>53</v>
      </c>
      <c r="F82" s="7" t="s">
        <v>50</v>
      </c>
      <c r="G82" s="8">
        <f>H81</f>
        <v>42151</v>
      </c>
      <c r="H82" s="8">
        <f>G82+10</f>
        <v>42161</v>
      </c>
      <c r="I82" s="9">
        <f ca="1">IF(NETWORKDAYS(G82,TODAY())/NETWORKDAYS(G82,H82,)&lt;0,0,IF(NETWORKDAYS(G82,TODAY())/NETWORKDAYS(G82,H82,)&gt;1,1,NETWORKDAYS(G82,TODAY())/NETWORKDAYS(G82,H82,)))</f>
        <v>1</v>
      </c>
      <c r="J82" s="9">
        <v>0.13</v>
      </c>
      <c r="K82" s="10">
        <f t="shared" si="6"/>
        <v>8</v>
      </c>
      <c r="L82" s="4">
        <f>K82*8</f>
        <v>64</v>
      </c>
      <c r="M82" s="4" t="s">
        <v>113</v>
      </c>
      <c r="N82" s="4" t="s">
        <v>114</v>
      </c>
      <c r="O82" s="5">
        <f ca="1">I82*L82</f>
        <v>64</v>
      </c>
      <c r="P82" s="5">
        <f>J82*L82</f>
        <v>8.32</v>
      </c>
      <c r="Q82" s="5">
        <v>100</v>
      </c>
    </row>
    <row r="83" spans="1:17" ht="14.25" customHeight="1" x14ac:dyDescent="0.25">
      <c r="A83" s="4" t="s">
        <v>95</v>
      </c>
      <c r="B83" s="29" t="s">
        <v>74</v>
      </c>
      <c r="C83" s="29" t="s">
        <v>411</v>
      </c>
      <c r="D83" s="5" t="s">
        <v>68</v>
      </c>
      <c r="E83" s="5" t="s">
        <v>53</v>
      </c>
      <c r="F83" s="33" t="s">
        <v>51</v>
      </c>
      <c r="G83" s="8">
        <f>H82</f>
        <v>42161</v>
      </c>
      <c r="H83" s="8">
        <f>G83+5</f>
        <v>42166</v>
      </c>
      <c r="I83" s="9">
        <f ca="1">IF(NETWORKDAYS(G83,TODAY())/NETWORKDAYS(G83,H83,)&lt;0,0,IF(NETWORKDAYS(G83,TODAY())/NETWORKDAYS(G83,H83,)&gt;1,1,NETWORKDAYS(G83,TODAY())/NETWORKDAYS(G83,H83,)))</f>
        <v>1</v>
      </c>
      <c r="J83" s="9">
        <v>0</v>
      </c>
      <c r="K83" s="10">
        <f t="shared" si="6"/>
        <v>4</v>
      </c>
      <c r="L83" s="4">
        <f>K83*8</f>
        <v>32</v>
      </c>
      <c r="M83" s="4" t="s">
        <v>113</v>
      </c>
      <c r="N83" s="4" t="s">
        <v>114</v>
      </c>
      <c r="O83" s="5">
        <f ca="1">I83*L83</f>
        <v>32</v>
      </c>
      <c r="P83" s="5">
        <f>J83*L83</f>
        <v>0</v>
      </c>
      <c r="Q83" s="5">
        <v>100</v>
      </c>
    </row>
    <row r="84" spans="1:17" ht="14.25" customHeight="1" x14ac:dyDescent="0.25">
      <c r="A84" s="4" t="s">
        <v>95</v>
      </c>
      <c r="B84" s="29" t="s">
        <v>74</v>
      </c>
      <c r="C84" s="29" t="s">
        <v>411</v>
      </c>
      <c r="D84" s="5" t="s">
        <v>68</v>
      </c>
      <c r="E84" s="5" t="s">
        <v>53</v>
      </c>
      <c r="F84" s="7" t="s">
        <v>52</v>
      </c>
      <c r="G84" s="8" t="s">
        <v>13</v>
      </c>
      <c r="H84" s="8" t="s">
        <v>13</v>
      </c>
      <c r="I84" s="9">
        <v>0</v>
      </c>
      <c r="J84" s="9">
        <v>0</v>
      </c>
      <c r="K84" s="10">
        <v>0</v>
      </c>
      <c r="L84" s="4">
        <f>K84*8</f>
        <v>0</v>
      </c>
      <c r="M84" s="4" t="s">
        <v>113</v>
      </c>
      <c r="N84" s="4" t="s">
        <v>114</v>
      </c>
      <c r="O84" s="5">
        <f>I84*L84</f>
        <v>0</v>
      </c>
      <c r="P84" s="5">
        <f>J84*L84</f>
        <v>0</v>
      </c>
      <c r="Q84" s="5">
        <v>100</v>
      </c>
    </row>
    <row r="85" spans="1:17" ht="14.25" customHeight="1" x14ac:dyDescent="0.25">
      <c r="A85" s="11" t="s">
        <v>95</v>
      </c>
      <c r="B85" s="30" t="s">
        <v>73</v>
      </c>
      <c r="C85" s="30" t="s">
        <v>411</v>
      </c>
      <c r="D85" s="12" t="s">
        <v>68</v>
      </c>
      <c r="E85" s="12" t="s">
        <v>53</v>
      </c>
      <c r="F85" s="12" t="s">
        <v>34</v>
      </c>
      <c r="G85" s="22">
        <f>G81</f>
        <v>42149</v>
      </c>
      <c r="H85" s="22" t="str">
        <f>H84</f>
        <v>TBD</v>
      </c>
      <c r="I85" s="13">
        <v>0</v>
      </c>
      <c r="J85" s="13">
        <f>SUM(P81:P84)/L85</f>
        <v>0.26933333333333331</v>
      </c>
      <c r="K85" s="14">
        <f>SUM(K81:K84)</f>
        <v>15</v>
      </c>
      <c r="L85" s="11">
        <f>SUM(L81:L84)</f>
        <v>120</v>
      </c>
      <c r="M85" s="13" t="s">
        <v>113</v>
      </c>
      <c r="N85" s="13" t="s">
        <v>114</v>
      </c>
      <c r="O85" s="5"/>
      <c r="P85" s="5"/>
      <c r="Q85" s="5"/>
    </row>
    <row r="86" spans="1:17" ht="14.25" customHeight="1" x14ac:dyDescent="0.25">
      <c r="A86" s="4" t="s">
        <v>258</v>
      </c>
      <c r="B86" s="29" t="s">
        <v>259</v>
      </c>
      <c r="C86" s="29" t="s">
        <v>411</v>
      </c>
      <c r="D86" s="5" t="s">
        <v>68</v>
      </c>
      <c r="E86" s="5" t="s">
        <v>53</v>
      </c>
      <c r="F86" s="7" t="s">
        <v>50</v>
      </c>
      <c r="G86" s="8">
        <v>42156</v>
      </c>
      <c r="H86" s="8">
        <f>G86+2</f>
        <v>42158</v>
      </c>
      <c r="I86" s="9">
        <f ca="1">IF(NETWORKDAYS(G86,TODAY())/NETWORKDAYS(G86,H86,)&lt;0,0,IF(NETWORKDAYS(G86,TODAY())/NETWORKDAYS(G86,H86,)&gt;1,1,NETWORKDAYS(G86,TODAY())/NETWORKDAYS(G86,H86,)))</f>
        <v>1</v>
      </c>
      <c r="J86" s="9">
        <v>1</v>
      </c>
      <c r="K86" s="10">
        <f t="shared" si="6"/>
        <v>3</v>
      </c>
      <c r="L86" s="4">
        <f>K86*8</f>
        <v>24</v>
      </c>
      <c r="M86" s="4" t="s">
        <v>130</v>
      </c>
      <c r="N86" s="4" t="s">
        <v>131</v>
      </c>
      <c r="O86" s="5">
        <f ca="1">I86*L86</f>
        <v>24</v>
      </c>
      <c r="P86" s="5">
        <f>J86*L86</f>
        <v>24</v>
      </c>
      <c r="Q86" s="5">
        <v>100</v>
      </c>
    </row>
    <row r="87" spans="1:17" ht="15.75" customHeight="1" x14ac:dyDescent="0.25">
      <c r="A87" s="4" t="s">
        <v>258</v>
      </c>
      <c r="B87" s="29" t="s">
        <v>259</v>
      </c>
      <c r="C87" s="29" t="s">
        <v>411</v>
      </c>
      <c r="D87" s="5" t="s">
        <v>68</v>
      </c>
      <c r="E87" s="5" t="s">
        <v>53</v>
      </c>
      <c r="F87" s="7" t="s">
        <v>50</v>
      </c>
      <c r="G87" s="8">
        <f>H86</f>
        <v>42158</v>
      </c>
      <c r="H87" s="8">
        <f>G87+5</f>
        <v>42163</v>
      </c>
      <c r="I87" s="9">
        <f ca="1">IF(NETWORKDAYS(G87,TODAY())/NETWORKDAYS(G87,H87,)&lt;0,0,IF(NETWORKDAYS(G87,TODAY())/NETWORKDAYS(G87,H87,)&gt;1,1,NETWORKDAYS(G87,TODAY())/NETWORKDAYS(G87,H87,)))</f>
        <v>1</v>
      </c>
      <c r="J87" s="9">
        <v>1</v>
      </c>
      <c r="K87" s="10">
        <f t="shared" si="6"/>
        <v>4</v>
      </c>
      <c r="L87" s="4">
        <f>K87*8</f>
        <v>32</v>
      </c>
      <c r="M87" s="4" t="s">
        <v>130</v>
      </c>
      <c r="N87" s="4" t="s">
        <v>131</v>
      </c>
      <c r="O87" s="5">
        <f ca="1">I87*L87</f>
        <v>32</v>
      </c>
      <c r="P87" s="5">
        <f>J87*L87</f>
        <v>32</v>
      </c>
      <c r="Q87" s="5">
        <v>100</v>
      </c>
    </row>
    <row r="88" spans="1:17" ht="14.25" customHeight="1" x14ac:dyDescent="0.25">
      <c r="A88" s="4" t="s">
        <v>258</v>
      </c>
      <c r="B88" s="29" t="s">
        <v>259</v>
      </c>
      <c r="C88" s="29" t="s">
        <v>411</v>
      </c>
      <c r="D88" s="5" t="s">
        <v>68</v>
      </c>
      <c r="E88" s="5" t="s">
        <v>53</v>
      </c>
      <c r="F88" s="33" t="s">
        <v>51</v>
      </c>
      <c r="G88" s="8">
        <f>H87</f>
        <v>42163</v>
      </c>
      <c r="H88" s="8">
        <f>G88+1</f>
        <v>42164</v>
      </c>
      <c r="I88" s="9">
        <f ca="1">IF(NETWORKDAYS(G88,TODAY())/NETWORKDAYS(G88,H88,)&lt;0,0,IF(NETWORKDAYS(G88,TODAY())/NETWORKDAYS(G88,H88,)&gt;1,1,NETWORKDAYS(G88,TODAY())/NETWORKDAYS(G88,H88,)))</f>
        <v>1</v>
      </c>
      <c r="J88" s="9">
        <v>1</v>
      </c>
      <c r="K88" s="10">
        <f t="shared" si="6"/>
        <v>2</v>
      </c>
      <c r="L88" s="4">
        <f>K88*8</f>
        <v>16</v>
      </c>
      <c r="M88" s="4" t="s">
        <v>130</v>
      </c>
      <c r="N88" s="4" t="s">
        <v>131</v>
      </c>
      <c r="O88" s="5">
        <f ca="1">I88*L88</f>
        <v>16</v>
      </c>
      <c r="P88" s="5">
        <f>J88*L88</f>
        <v>16</v>
      </c>
      <c r="Q88" s="5">
        <v>100</v>
      </c>
    </row>
    <row r="89" spans="1:17" ht="14.25" customHeight="1" x14ac:dyDescent="0.25">
      <c r="A89" s="4" t="s">
        <v>258</v>
      </c>
      <c r="B89" s="29" t="s">
        <v>259</v>
      </c>
      <c r="C89" s="29" t="s">
        <v>411</v>
      </c>
      <c r="D89" s="5" t="s">
        <v>68</v>
      </c>
      <c r="E89" s="5" t="s">
        <v>53</v>
      </c>
      <c r="F89" s="7" t="s">
        <v>52</v>
      </c>
      <c r="G89" s="8">
        <f>H88</f>
        <v>42164</v>
      </c>
      <c r="H89" s="8">
        <v>42167</v>
      </c>
      <c r="I89" s="9">
        <f ca="1">IF(NETWORKDAYS(G89,TODAY())/NETWORKDAYS(G89,H89,)&lt;0,0,IF(NETWORKDAYS(G89,TODAY())/NETWORKDAYS(G89,H89,)&gt;1,1,NETWORKDAYS(G89,TODAY())/NETWORKDAYS(G89,H89,)))</f>
        <v>1</v>
      </c>
      <c r="J89" s="9">
        <v>1</v>
      </c>
      <c r="K89" s="10">
        <f t="shared" si="6"/>
        <v>4</v>
      </c>
      <c r="L89" s="4">
        <f>K89*8</f>
        <v>32</v>
      </c>
      <c r="M89" s="4" t="s">
        <v>130</v>
      </c>
      <c r="N89" s="4" t="s">
        <v>131</v>
      </c>
      <c r="O89" s="5">
        <f ca="1">I89*L89</f>
        <v>32</v>
      </c>
      <c r="P89" s="5">
        <f>J89*L89</f>
        <v>32</v>
      </c>
      <c r="Q89" s="5">
        <v>100</v>
      </c>
    </row>
    <row r="90" spans="1:17" ht="14.25" customHeight="1" x14ac:dyDescent="0.25">
      <c r="A90" s="11" t="s">
        <v>258</v>
      </c>
      <c r="B90" s="30" t="s">
        <v>259</v>
      </c>
      <c r="C90" s="30" t="s">
        <v>411</v>
      </c>
      <c r="D90" s="12" t="s">
        <v>68</v>
      </c>
      <c r="E90" s="12" t="s">
        <v>53</v>
      </c>
      <c r="F90" s="12" t="s">
        <v>34</v>
      </c>
      <c r="G90" s="22">
        <f>G86</f>
        <v>42156</v>
      </c>
      <c r="H90" s="22">
        <f>H89</f>
        <v>42167</v>
      </c>
      <c r="I90" s="13">
        <f ca="1">SUM(O86:O89)/L90</f>
        <v>1</v>
      </c>
      <c r="J90" s="13">
        <f>SUM(P86:P89)/L90</f>
        <v>1</v>
      </c>
      <c r="K90" s="14">
        <f t="shared" si="6"/>
        <v>10</v>
      </c>
      <c r="L90" s="11">
        <f>SUM(L86:L89)</f>
        <v>104</v>
      </c>
      <c r="M90" s="13" t="s">
        <v>130</v>
      </c>
      <c r="N90" s="13" t="s">
        <v>131</v>
      </c>
      <c r="O90" s="5"/>
      <c r="P90" s="5"/>
      <c r="Q90" s="5"/>
    </row>
    <row r="91" spans="1:17" ht="14.25" customHeight="1" x14ac:dyDescent="0.25">
      <c r="A91" s="4" t="s">
        <v>260</v>
      </c>
      <c r="B91" s="29" t="s">
        <v>261</v>
      </c>
      <c r="C91" s="29" t="s">
        <v>411</v>
      </c>
      <c r="D91" s="5" t="s">
        <v>68</v>
      </c>
      <c r="E91" s="5" t="s">
        <v>262</v>
      </c>
      <c r="F91" s="7" t="s">
        <v>50</v>
      </c>
      <c r="G91" s="8">
        <v>42149</v>
      </c>
      <c r="H91" s="8">
        <f>G91+2</f>
        <v>42151</v>
      </c>
      <c r="I91" s="9">
        <f ca="1">IF(NETWORKDAYS(G91,TODAY())/NETWORKDAYS(G91,H91,)&lt;0,0,IF(NETWORKDAYS(G91,TODAY())/NETWORKDAYS(G91,H91,)&gt;1,1,NETWORKDAYS(G91,TODAY())/NETWORKDAYS(G91,H91,)))</f>
        <v>1</v>
      </c>
      <c r="J91" s="9">
        <v>1</v>
      </c>
      <c r="K91" s="10">
        <f t="shared" si="6"/>
        <v>3</v>
      </c>
      <c r="L91" s="4">
        <f>K91*8</f>
        <v>24</v>
      </c>
      <c r="M91" s="4" t="s">
        <v>100</v>
      </c>
      <c r="N91" s="4" t="s">
        <v>125</v>
      </c>
      <c r="O91" s="5">
        <f ca="1">I91*L91</f>
        <v>24</v>
      </c>
      <c r="P91" s="5">
        <f>J91*L91</f>
        <v>24</v>
      </c>
      <c r="Q91" s="5">
        <v>100</v>
      </c>
    </row>
    <row r="92" spans="1:17" ht="15.75" customHeight="1" x14ac:dyDescent="0.25">
      <c r="A92" s="4" t="s">
        <v>260</v>
      </c>
      <c r="B92" s="29" t="s">
        <v>261</v>
      </c>
      <c r="C92" s="29" t="s">
        <v>411</v>
      </c>
      <c r="D92" s="5" t="s">
        <v>68</v>
      </c>
      <c r="E92" s="5" t="s">
        <v>262</v>
      </c>
      <c r="F92" s="7" t="s">
        <v>50</v>
      </c>
      <c r="G92" s="8">
        <f>H91</f>
        <v>42151</v>
      </c>
      <c r="H92" s="8">
        <f>G92+5</f>
        <v>42156</v>
      </c>
      <c r="I92" s="9">
        <f ca="1">IF(NETWORKDAYS(G92,TODAY())/NETWORKDAYS(G92,H92,)&lt;0,0,IF(NETWORKDAYS(G92,TODAY())/NETWORKDAYS(G92,H92,)&gt;1,1,NETWORKDAYS(G92,TODAY())/NETWORKDAYS(G92,H92,)))</f>
        <v>1</v>
      </c>
      <c r="J92" s="9">
        <v>1</v>
      </c>
      <c r="K92" s="10">
        <f t="shared" si="6"/>
        <v>4</v>
      </c>
      <c r="L92" s="4">
        <f>K92*8</f>
        <v>32</v>
      </c>
      <c r="M92" s="4" t="s">
        <v>100</v>
      </c>
      <c r="N92" s="4" t="s">
        <v>125</v>
      </c>
      <c r="O92" s="5">
        <f ca="1">I92*L92</f>
        <v>32</v>
      </c>
      <c r="P92" s="5">
        <f>J92*L92</f>
        <v>32</v>
      </c>
      <c r="Q92" s="5">
        <v>100</v>
      </c>
    </row>
    <row r="93" spans="1:17" ht="14.25" customHeight="1" x14ac:dyDescent="0.25">
      <c r="A93" s="4" t="s">
        <v>260</v>
      </c>
      <c r="B93" s="29" t="s">
        <v>261</v>
      </c>
      <c r="C93" s="29" t="s">
        <v>411</v>
      </c>
      <c r="D93" s="5" t="s">
        <v>68</v>
      </c>
      <c r="E93" s="5" t="s">
        <v>262</v>
      </c>
      <c r="F93" s="33" t="s">
        <v>51</v>
      </c>
      <c r="G93" s="8">
        <f>H92</f>
        <v>42156</v>
      </c>
      <c r="H93" s="8">
        <f>G93+2</f>
        <v>42158</v>
      </c>
      <c r="I93" s="9">
        <f ca="1">IF(NETWORKDAYS(G93,TODAY())/NETWORKDAYS(G93,H93,)&lt;0,0,IF(NETWORKDAYS(G93,TODAY())/NETWORKDAYS(G93,H93,)&gt;1,1,NETWORKDAYS(G93,TODAY())/NETWORKDAYS(G93,H93,)))</f>
        <v>1</v>
      </c>
      <c r="J93" s="9">
        <v>1</v>
      </c>
      <c r="K93" s="10">
        <f t="shared" si="6"/>
        <v>3</v>
      </c>
      <c r="L93" s="4">
        <f>K93*8</f>
        <v>24</v>
      </c>
      <c r="M93" s="4" t="s">
        <v>100</v>
      </c>
      <c r="N93" s="4" t="s">
        <v>125</v>
      </c>
      <c r="O93" s="5">
        <f ca="1">I93*L93</f>
        <v>24</v>
      </c>
      <c r="P93" s="5">
        <f>J93*L93</f>
        <v>24</v>
      </c>
      <c r="Q93" s="5">
        <v>100</v>
      </c>
    </row>
    <row r="94" spans="1:17" ht="14.25" customHeight="1" x14ac:dyDescent="0.25">
      <c r="A94" s="4" t="s">
        <v>260</v>
      </c>
      <c r="B94" s="29" t="s">
        <v>261</v>
      </c>
      <c r="C94" s="29" t="s">
        <v>411</v>
      </c>
      <c r="D94" s="5" t="s">
        <v>68</v>
      </c>
      <c r="E94" s="5" t="s">
        <v>262</v>
      </c>
      <c r="F94" s="7" t="s">
        <v>52</v>
      </c>
      <c r="G94" s="8">
        <f>H93</f>
        <v>42158</v>
      </c>
      <c r="H94" s="8">
        <v>42171</v>
      </c>
      <c r="I94" s="9">
        <f ca="1">IF(NETWORKDAYS(G94,TODAY())/NETWORKDAYS(G94,H94,)&lt;0,0,IF(NETWORKDAYS(G94,TODAY())/NETWORKDAYS(G94,H94,)&gt;1,1,NETWORKDAYS(G94,TODAY())/NETWORKDAYS(G94,H94,)))</f>
        <v>1</v>
      </c>
      <c r="J94" s="9">
        <v>1</v>
      </c>
      <c r="K94" s="10">
        <f t="shared" si="6"/>
        <v>10</v>
      </c>
      <c r="L94" s="4">
        <f>K94*8</f>
        <v>80</v>
      </c>
      <c r="M94" s="4" t="s">
        <v>100</v>
      </c>
      <c r="N94" s="4" t="s">
        <v>125</v>
      </c>
      <c r="O94" s="5">
        <f ca="1">I94*L94</f>
        <v>80</v>
      </c>
      <c r="P94" s="5">
        <f>J94*L94</f>
        <v>80</v>
      </c>
      <c r="Q94" s="5">
        <v>100</v>
      </c>
    </row>
    <row r="95" spans="1:17" ht="14.25" customHeight="1" x14ac:dyDescent="0.25">
      <c r="A95" s="11" t="s">
        <v>260</v>
      </c>
      <c r="B95" s="30" t="s">
        <v>261</v>
      </c>
      <c r="C95" s="30" t="s">
        <v>411</v>
      </c>
      <c r="D95" s="12" t="s">
        <v>68</v>
      </c>
      <c r="E95" s="12" t="s">
        <v>262</v>
      </c>
      <c r="F95" s="12" t="s">
        <v>34</v>
      </c>
      <c r="G95" s="22">
        <f>G91</f>
        <v>42149</v>
      </c>
      <c r="H95" s="22">
        <f>H94</f>
        <v>42171</v>
      </c>
      <c r="I95" s="13">
        <f ca="1">SUM(O91:O94)/L95</f>
        <v>1</v>
      </c>
      <c r="J95" s="13">
        <f>SUM(P91:P94)/L95</f>
        <v>1</v>
      </c>
      <c r="K95" s="14">
        <f t="shared" si="6"/>
        <v>17</v>
      </c>
      <c r="L95" s="11">
        <f>SUM(L91:L94)</f>
        <v>160</v>
      </c>
      <c r="M95" s="13" t="s">
        <v>100</v>
      </c>
      <c r="N95" s="13" t="s">
        <v>125</v>
      </c>
      <c r="O95" s="5"/>
      <c r="P95" s="5"/>
      <c r="Q95" s="5"/>
    </row>
    <row r="96" spans="1:17" ht="14.25" customHeight="1" x14ac:dyDescent="0.25">
      <c r="A96" s="4" t="s">
        <v>263</v>
      </c>
      <c r="B96" s="29" t="s">
        <v>75</v>
      </c>
      <c r="C96" s="29" t="s">
        <v>411</v>
      </c>
      <c r="D96" s="5" t="s">
        <v>68</v>
      </c>
      <c r="E96" s="5" t="s">
        <v>53</v>
      </c>
      <c r="F96" s="7" t="s">
        <v>50</v>
      </c>
      <c r="G96" s="8">
        <v>42156</v>
      </c>
      <c r="H96" s="8">
        <v>42159</v>
      </c>
      <c r="I96" s="9">
        <f ca="1">IF(NETWORKDAYS(G96,TODAY())/NETWORKDAYS(G96,H96,)&lt;0,0,IF(NETWORKDAYS(G96,TODAY())/NETWORKDAYS(G96,H96,)&gt;1,1,NETWORKDAYS(G96,TODAY())/NETWORKDAYS(G96,H96,)))</f>
        <v>1</v>
      </c>
      <c r="J96" s="9">
        <v>1</v>
      </c>
      <c r="K96" s="10">
        <f t="shared" si="6"/>
        <v>4</v>
      </c>
      <c r="L96" s="4">
        <f>K96*8</f>
        <v>32</v>
      </c>
      <c r="M96" s="4" t="s">
        <v>107</v>
      </c>
      <c r="N96" s="4" t="s">
        <v>108</v>
      </c>
      <c r="O96" s="5">
        <f ca="1">I96*L96</f>
        <v>32</v>
      </c>
      <c r="P96" s="5">
        <f>J96*L96</f>
        <v>32</v>
      </c>
      <c r="Q96" s="5">
        <v>100</v>
      </c>
    </row>
    <row r="97" spans="1:17" ht="15.75" customHeight="1" x14ac:dyDescent="0.25">
      <c r="A97" s="4" t="s">
        <v>263</v>
      </c>
      <c r="B97" s="29" t="s">
        <v>75</v>
      </c>
      <c r="C97" s="29" t="s">
        <v>411</v>
      </c>
      <c r="D97" s="5" t="s">
        <v>68</v>
      </c>
      <c r="E97" s="5" t="s">
        <v>53</v>
      </c>
      <c r="F97" s="7" t="s">
        <v>50</v>
      </c>
      <c r="G97" s="8">
        <v>42160</v>
      </c>
      <c r="H97" s="8">
        <v>42174</v>
      </c>
      <c r="I97" s="9">
        <f ca="1">IF(NETWORKDAYS(G97,TODAY())/NETWORKDAYS(G97,H97,)&lt;0,0,IF(NETWORKDAYS(G97,TODAY())/NETWORKDAYS(G97,H97,)&gt;1,1,NETWORKDAYS(G97,TODAY())/NETWORKDAYS(G97,H97,)))</f>
        <v>1</v>
      </c>
      <c r="J97" s="9">
        <v>0.45</v>
      </c>
      <c r="K97" s="10">
        <f t="shared" si="6"/>
        <v>11</v>
      </c>
      <c r="L97" s="4">
        <f>K97*8</f>
        <v>88</v>
      </c>
      <c r="M97" s="4" t="s">
        <v>107</v>
      </c>
      <c r="N97" s="4" t="s">
        <v>108</v>
      </c>
      <c r="O97" s="5">
        <f ca="1">I97*L97</f>
        <v>88</v>
      </c>
      <c r="P97" s="5">
        <f>J97*L97</f>
        <v>39.6</v>
      </c>
      <c r="Q97" s="5">
        <v>100</v>
      </c>
    </row>
    <row r="98" spans="1:17" ht="14.25" customHeight="1" x14ac:dyDescent="0.25">
      <c r="A98" s="4" t="s">
        <v>263</v>
      </c>
      <c r="B98" s="29" t="s">
        <v>75</v>
      </c>
      <c r="C98" s="29" t="s">
        <v>411</v>
      </c>
      <c r="D98" s="5" t="s">
        <v>68</v>
      </c>
      <c r="E98" s="5" t="s">
        <v>53</v>
      </c>
      <c r="F98" s="33" t="s">
        <v>51</v>
      </c>
      <c r="G98" s="8">
        <v>42177</v>
      </c>
      <c r="H98" s="8">
        <f>G98+1</f>
        <v>42178</v>
      </c>
      <c r="I98" s="9">
        <f ca="1">IF(NETWORKDAYS(G98,TODAY())/NETWORKDAYS(G98,H98,)&lt;0,0,IF(NETWORKDAYS(G98,TODAY())/NETWORKDAYS(G98,H98,)&gt;1,1,NETWORKDAYS(G98,TODAY())/NETWORKDAYS(G98,H98,)))</f>
        <v>1</v>
      </c>
      <c r="J98" s="9">
        <v>0</v>
      </c>
      <c r="K98" s="10">
        <f t="shared" si="6"/>
        <v>2</v>
      </c>
      <c r="L98" s="4">
        <f>K98*8</f>
        <v>16</v>
      </c>
      <c r="M98" s="4" t="s">
        <v>107</v>
      </c>
      <c r="N98" s="4" t="s">
        <v>108</v>
      </c>
      <c r="O98" s="5">
        <f ca="1">I98*L98</f>
        <v>16</v>
      </c>
      <c r="P98" s="5">
        <f>J98*L98</f>
        <v>0</v>
      </c>
      <c r="Q98" s="5">
        <v>100</v>
      </c>
    </row>
    <row r="99" spans="1:17" ht="14.25" customHeight="1" x14ac:dyDescent="0.25">
      <c r="A99" s="4" t="s">
        <v>263</v>
      </c>
      <c r="B99" s="29" t="s">
        <v>75</v>
      </c>
      <c r="C99" s="29" t="s">
        <v>411</v>
      </c>
      <c r="D99" s="5" t="s">
        <v>68</v>
      </c>
      <c r="E99" s="5" t="s">
        <v>53</v>
      </c>
      <c r="F99" s="7" t="s">
        <v>52</v>
      </c>
      <c r="G99" s="8">
        <f>H98</f>
        <v>42178</v>
      </c>
      <c r="H99" s="8">
        <v>42181</v>
      </c>
      <c r="I99" s="9">
        <f ca="1">IF(NETWORKDAYS(G99,TODAY())/NETWORKDAYS(G99,H99,)&lt;0,0,IF(NETWORKDAYS(G99,TODAY())/NETWORKDAYS(G99,H99,)&gt;1,1,NETWORKDAYS(G99,TODAY())/NETWORKDAYS(G99,H99,)))</f>
        <v>1</v>
      </c>
      <c r="J99" s="9">
        <v>0</v>
      </c>
      <c r="K99" s="10">
        <f t="shared" si="6"/>
        <v>4</v>
      </c>
      <c r="L99" s="4">
        <f>K99*8</f>
        <v>32</v>
      </c>
      <c r="M99" s="4" t="s">
        <v>107</v>
      </c>
      <c r="N99" s="4" t="s">
        <v>108</v>
      </c>
      <c r="O99" s="5">
        <f ca="1">I99*L99</f>
        <v>32</v>
      </c>
      <c r="P99" s="5">
        <f>J99*L99</f>
        <v>0</v>
      </c>
      <c r="Q99" s="5">
        <v>100</v>
      </c>
    </row>
    <row r="100" spans="1:17" ht="14.25" customHeight="1" x14ac:dyDescent="0.25">
      <c r="A100" s="11" t="s">
        <v>263</v>
      </c>
      <c r="B100" s="30" t="s">
        <v>75</v>
      </c>
      <c r="C100" s="30" t="s">
        <v>411</v>
      </c>
      <c r="D100" s="12" t="s">
        <v>68</v>
      </c>
      <c r="E100" s="12" t="s">
        <v>53</v>
      </c>
      <c r="F100" s="12" t="s">
        <v>34</v>
      </c>
      <c r="G100" s="22">
        <f>G96</f>
        <v>42156</v>
      </c>
      <c r="H100" s="22">
        <f>H99</f>
        <v>42181</v>
      </c>
      <c r="I100" s="13">
        <f ca="1">SUM(O96:O99)/L100</f>
        <v>1</v>
      </c>
      <c r="J100" s="13">
        <f>SUM(P96:P99)/L100</f>
        <v>0.42619047619047618</v>
      </c>
      <c r="K100" s="14">
        <f t="shared" si="6"/>
        <v>20</v>
      </c>
      <c r="L100" s="11">
        <f>SUM(L96:L99)</f>
        <v>168</v>
      </c>
      <c r="M100" s="13" t="s">
        <v>107</v>
      </c>
      <c r="N100" s="13" t="s">
        <v>108</v>
      </c>
      <c r="O100" s="5"/>
      <c r="P100" s="5"/>
      <c r="Q100" s="5"/>
    </row>
    <row r="101" spans="1:17" ht="14.25" customHeight="1" x14ac:dyDescent="0.25">
      <c r="A101" s="4" t="s">
        <v>264</v>
      </c>
      <c r="B101" s="29" t="s">
        <v>76</v>
      </c>
      <c r="C101" s="29" t="s">
        <v>411</v>
      </c>
      <c r="D101" s="5" t="s">
        <v>68</v>
      </c>
      <c r="E101" s="5" t="s">
        <v>53</v>
      </c>
      <c r="F101" s="7" t="s">
        <v>50</v>
      </c>
      <c r="G101" s="8">
        <v>42170</v>
      </c>
      <c r="H101" s="8">
        <f>G101+1</f>
        <v>42171</v>
      </c>
      <c r="I101" s="9">
        <f ca="1">IF(NETWORKDAYS(G101,TODAY())/NETWORKDAYS(G101,H101,)&lt;0,0,IF(NETWORKDAYS(G101,TODAY())/NETWORKDAYS(G101,H101,)&gt;1,1,NETWORKDAYS(G101,TODAY())/NETWORKDAYS(G101,H101,)))</f>
        <v>1</v>
      </c>
      <c r="J101" s="9">
        <v>1</v>
      </c>
      <c r="K101" s="10">
        <f t="shared" si="6"/>
        <v>2</v>
      </c>
      <c r="L101" s="4">
        <f>K101*8</f>
        <v>16</v>
      </c>
      <c r="M101" s="4" t="s">
        <v>101</v>
      </c>
      <c r="N101" s="4" t="s">
        <v>102</v>
      </c>
      <c r="O101" s="5">
        <f ca="1">I101*L101</f>
        <v>16</v>
      </c>
      <c r="P101" s="5">
        <f>J101*L101</f>
        <v>16</v>
      </c>
      <c r="Q101" s="5">
        <v>100</v>
      </c>
    </row>
    <row r="102" spans="1:17" ht="15.75" customHeight="1" x14ac:dyDescent="0.25">
      <c r="A102" s="4" t="s">
        <v>264</v>
      </c>
      <c r="B102" s="29" t="s">
        <v>76</v>
      </c>
      <c r="C102" s="29" t="s">
        <v>411</v>
      </c>
      <c r="D102" s="5" t="s">
        <v>68</v>
      </c>
      <c r="E102" s="5" t="s">
        <v>53</v>
      </c>
      <c r="F102" s="7" t="s">
        <v>50</v>
      </c>
      <c r="G102" s="8">
        <f>H101</f>
        <v>42171</v>
      </c>
      <c r="H102" s="8">
        <f>G102+7</f>
        <v>42178</v>
      </c>
      <c r="I102" s="9">
        <f ca="1">IF(NETWORKDAYS(G102,TODAY())/NETWORKDAYS(G102,H102,)&lt;0,0,IF(NETWORKDAYS(G102,TODAY())/NETWORKDAYS(G102,H102,)&gt;1,1,NETWORKDAYS(G102,TODAY())/NETWORKDAYS(G102,H102,)))</f>
        <v>1</v>
      </c>
      <c r="J102" s="9">
        <v>0</v>
      </c>
      <c r="K102" s="10">
        <f t="shared" si="6"/>
        <v>6</v>
      </c>
      <c r="L102" s="4">
        <f>K102*8</f>
        <v>48</v>
      </c>
      <c r="M102" s="4" t="s">
        <v>101</v>
      </c>
      <c r="N102" s="4" t="s">
        <v>102</v>
      </c>
      <c r="O102" s="5">
        <f ca="1">I102*L102</f>
        <v>48</v>
      </c>
      <c r="P102" s="5">
        <f>J102*L102</f>
        <v>0</v>
      </c>
      <c r="Q102" s="5">
        <v>100</v>
      </c>
    </row>
    <row r="103" spans="1:17" ht="14.25" customHeight="1" x14ac:dyDescent="0.25">
      <c r="A103" s="4" t="s">
        <v>264</v>
      </c>
      <c r="B103" s="29" t="s">
        <v>76</v>
      </c>
      <c r="C103" s="29" t="s">
        <v>411</v>
      </c>
      <c r="D103" s="5" t="s">
        <v>68</v>
      </c>
      <c r="E103" s="5" t="s">
        <v>53</v>
      </c>
      <c r="F103" s="33" t="s">
        <v>51</v>
      </c>
      <c r="G103" s="8">
        <f>H102</f>
        <v>42178</v>
      </c>
      <c r="H103" s="8">
        <f>G103+2</f>
        <v>42180</v>
      </c>
      <c r="I103" s="9">
        <f ca="1">IF(NETWORKDAYS(G103,TODAY())/NETWORKDAYS(G103,H103,)&lt;0,0,IF(NETWORKDAYS(G103,TODAY())/NETWORKDAYS(G103,H103,)&gt;1,1,NETWORKDAYS(G103,TODAY())/NETWORKDAYS(G103,H103,)))</f>
        <v>1</v>
      </c>
      <c r="J103" s="9">
        <v>0</v>
      </c>
      <c r="K103" s="10">
        <f t="shared" si="6"/>
        <v>3</v>
      </c>
      <c r="L103" s="4">
        <f>K103*8</f>
        <v>24</v>
      </c>
      <c r="M103" s="4" t="s">
        <v>101</v>
      </c>
      <c r="N103" s="4" t="s">
        <v>102</v>
      </c>
      <c r="O103" s="5">
        <f ca="1">I103*L103</f>
        <v>24</v>
      </c>
      <c r="P103" s="5">
        <f>J103*L103</f>
        <v>0</v>
      </c>
      <c r="Q103" s="5">
        <v>100</v>
      </c>
    </row>
    <row r="104" spans="1:17" ht="14.25" customHeight="1" x14ac:dyDescent="0.25">
      <c r="A104" s="4" t="s">
        <v>264</v>
      </c>
      <c r="B104" s="29" t="s">
        <v>76</v>
      </c>
      <c r="C104" s="29" t="s">
        <v>411</v>
      </c>
      <c r="D104" s="5" t="s">
        <v>68</v>
      </c>
      <c r="E104" s="5" t="s">
        <v>53</v>
      </c>
      <c r="F104" s="7" t="s">
        <v>52</v>
      </c>
      <c r="G104" s="8">
        <f>H103</f>
        <v>42180</v>
      </c>
      <c r="H104" s="8">
        <v>42181</v>
      </c>
      <c r="I104" s="9">
        <f ca="1">IF(NETWORKDAYS(G104,TODAY())/NETWORKDAYS(G104,H104,)&lt;0,0,IF(NETWORKDAYS(G104,TODAY())/NETWORKDAYS(G104,H104,)&gt;1,1,NETWORKDAYS(G104,TODAY())/NETWORKDAYS(G104,H104,)))</f>
        <v>1</v>
      </c>
      <c r="J104" s="9">
        <v>0</v>
      </c>
      <c r="K104" s="10">
        <f t="shared" si="6"/>
        <v>2</v>
      </c>
      <c r="L104" s="4">
        <f>K104*8</f>
        <v>16</v>
      </c>
      <c r="M104" s="4" t="s">
        <v>101</v>
      </c>
      <c r="N104" s="4" t="s">
        <v>102</v>
      </c>
      <c r="O104" s="5">
        <f ca="1">I104*L104</f>
        <v>16</v>
      </c>
      <c r="P104" s="5">
        <f>J104*L104</f>
        <v>0</v>
      </c>
      <c r="Q104" s="5">
        <v>100</v>
      </c>
    </row>
    <row r="105" spans="1:17" ht="14.25" customHeight="1" x14ac:dyDescent="0.25">
      <c r="A105" s="11" t="s">
        <v>264</v>
      </c>
      <c r="B105" s="30" t="s">
        <v>76</v>
      </c>
      <c r="C105" s="30" t="s">
        <v>411</v>
      </c>
      <c r="D105" s="12" t="s">
        <v>68</v>
      </c>
      <c r="E105" s="12" t="s">
        <v>53</v>
      </c>
      <c r="F105" s="12" t="s">
        <v>34</v>
      </c>
      <c r="G105" s="22">
        <f>G101</f>
        <v>42170</v>
      </c>
      <c r="H105" s="22">
        <f>H104</f>
        <v>42181</v>
      </c>
      <c r="I105" s="13">
        <f ca="1">SUM(O101:O104)/L105</f>
        <v>1</v>
      </c>
      <c r="J105" s="13">
        <f>SUM(P101:P104)/L105</f>
        <v>0.15384615384615385</v>
      </c>
      <c r="K105" s="14">
        <f t="shared" si="6"/>
        <v>10</v>
      </c>
      <c r="L105" s="11">
        <f>SUM(L101:L104)</f>
        <v>104</v>
      </c>
      <c r="M105" s="13" t="s">
        <v>101</v>
      </c>
      <c r="N105" s="13" t="s">
        <v>102</v>
      </c>
      <c r="O105" s="5"/>
      <c r="P105" s="5"/>
      <c r="Q105" s="5"/>
    </row>
    <row r="106" spans="1:17" ht="14.25" customHeight="1" x14ac:dyDescent="0.25">
      <c r="A106" s="4" t="s">
        <v>490</v>
      </c>
      <c r="B106" s="29" t="s">
        <v>156</v>
      </c>
      <c r="C106" s="29" t="s">
        <v>411</v>
      </c>
      <c r="D106" s="5" t="s">
        <v>68</v>
      </c>
      <c r="E106" s="5" t="s">
        <v>53</v>
      </c>
      <c r="F106" s="7" t="s">
        <v>9</v>
      </c>
      <c r="G106" s="8">
        <v>42158</v>
      </c>
      <c r="H106" s="8">
        <v>42161</v>
      </c>
      <c r="I106" s="9">
        <f ca="1">IF(NETWORKDAYS(G106,TODAY())/NETWORKDAYS(G106,H106,)&lt;0,0,IF(NETWORKDAYS(G106,TODAY())/NETWORKDAYS(G106,H106,)&gt;1,1,NETWORKDAYS(G106,TODAY())/NETWORKDAYS(G106,H106,)))</f>
        <v>1</v>
      </c>
      <c r="J106" s="9">
        <v>1</v>
      </c>
      <c r="K106" s="10">
        <f t="shared" si="6"/>
        <v>3</v>
      </c>
      <c r="L106" s="4">
        <f>K106*8</f>
        <v>24</v>
      </c>
      <c r="M106" s="4" t="s">
        <v>113</v>
      </c>
      <c r="N106" s="4" t="s">
        <v>114</v>
      </c>
      <c r="O106" s="5">
        <f ca="1">I106*L106</f>
        <v>24</v>
      </c>
      <c r="P106" s="5">
        <f>J106*L106</f>
        <v>24</v>
      </c>
      <c r="Q106" s="5">
        <v>100</v>
      </c>
    </row>
    <row r="107" spans="1:17" ht="15.75" customHeight="1" x14ac:dyDescent="0.25">
      <c r="A107" s="4" t="s">
        <v>490</v>
      </c>
      <c r="B107" s="29" t="s">
        <v>156</v>
      </c>
      <c r="C107" s="29" t="s">
        <v>411</v>
      </c>
      <c r="D107" s="5" t="s">
        <v>68</v>
      </c>
      <c r="E107" s="5" t="s">
        <v>53</v>
      </c>
      <c r="F107" s="7" t="s">
        <v>10</v>
      </c>
      <c r="G107" s="8">
        <v>42161</v>
      </c>
      <c r="H107" s="8">
        <v>42164</v>
      </c>
      <c r="I107" s="9">
        <f ca="1">IF(NETWORKDAYS(G107,TODAY())/NETWORKDAYS(G107,H107,)&lt;0,0,IF(NETWORKDAYS(G107,TODAY())/NETWORKDAYS(G107,H107,)&gt;1,1,NETWORKDAYS(G107,TODAY())/NETWORKDAYS(G107,H107,)))</f>
        <v>1</v>
      </c>
      <c r="J107" s="9">
        <v>0</v>
      </c>
      <c r="K107" s="10">
        <f t="shared" si="6"/>
        <v>2</v>
      </c>
      <c r="L107" s="4">
        <f>K107*8</f>
        <v>16</v>
      </c>
      <c r="M107" s="4" t="s">
        <v>113</v>
      </c>
      <c r="N107" s="4" t="s">
        <v>114</v>
      </c>
      <c r="O107" s="5">
        <f ca="1">I107*L107</f>
        <v>16</v>
      </c>
      <c r="P107" s="5">
        <f>J107*L107</f>
        <v>0</v>
      </c>
      <c r="Q107" s="5">
        <v>100</v>
      </c>
    </row>
    <row r="108" spans="1:17" ht="14.25" customHeight="1" x14ac:dyDescent="0.25">
      <c r="A108" s="4" t="s">
        <v>490</v>
      </c>
      <c r="B108" s="29" t="s">
        <v>156</v>
      </c>
      <c r="C108" s="29" t="s">
        <v>411</v>
      </c>
      <c r="D108" s="5" t="s">
        <v>68</v>
      </c>
      <c r="E108" s="5" t="s">
        <v>53</v>
      </c>
      <c r="F108" s="33" t="s">
        <v>8</v>
      </c>
      <c r="G108" s="8">
        <v>42164</v>
      </c>
      <c r="H108" s="8">
        <v>42167</v>
      </c>
      <c r="I108" s="9">
        <f ca="1">IF(NETWORKDAYS(G108,TODAY())/NETWORKDAYS(G108,H108,)&lt;0,0,IF(NETWORKDAYS(G108,TODAY())/NETWORKDAYS(G108,H108,)&gt;1,1,NETWORKDAYS(G108,TODAY())/NETWORKDAYS(G108,H108,)))</f>
        <v>1</v>
      </c>
      <c r="J108" s="9">
        <v>0</v>
      </c>
      <c r="K108" s="10">
        <f t="shared" si="6"/>
        <v>4</v>
      </c>
      <c r="L108" s="4">
        <f>K108*8</f>
        <v>32</v>
      </c>
      <c r="M108" s="4" t="s">
        <v>113</v>
      </c>
      <c r="N108" s="4" t="s">
        <v>114</v>
      </c>
      <c r="O108" s="5">
        <f ca="1">I108*L108</f>
        <v>32</v>
      </c>
      <c r="P108" s="5">
        <f>J108*L108</f>
        <v>0</v>
      </c>
      <c r="Q108" s="5">
        <v>100</v>
      </c>
    </row>
    <row r="109" spans="1:17" ht="14.25" customHeight="1" x14ac:dyDescent="0.25">
      <c r="A109" s="4" t="s">
        <v>490</v>
      </c>
      <c r="B109" s="29" t="s">
        <v>156</v>
      </c>
      <c r="C109" s="29" t="s">
        <v>411</v>
      </c>
      <c r="D109" s="5" t="s">
        <v>68</v>
      </c>
      <c r="E109" s="5" t="s">
        <v>53</v>
      </c>
      <c r="F109" s="7" t="s">
        <v>11</v>
      </c>
      <c r="G109" s="8">
        <v>42167</v>
      </c>
      <c r="H109" s="8">
        <v>42181</v>
      </c>
      <c r="I109" s="9">
        <f ca="1">IF(NETWORKDAYS(G109,TODAY())/NETWORKDAYS(G109,H109,)&lt;0,0,IF(NETWORKDAYS(G109,TODAY())/NETWORKDAYS(G109,H109,)&gt;1,1,NETWORKDAYS(G109,TODAY())/NETWORKDAYS(G109,H109,)))</f>
        <v>1</v>
      </c>
      <c r="J109" s="9">
        <v>0</v>
      </c>
      <c r="K109" s="10">
        <f t="shared" ref="K109:K172" si="14">NETWORKDAYS(G109,H109)</f>
        <v>11</v>
      </c>
      <c r="L109" s="4">
        <f>K109*8</f>
        <v>88</v>
      </c>
      <c r="M109" s="4" t="s">
        <v>113</v>
      </c>
      <c r="N109" s="4" t="s">
        <v>114</v>
      </c>
      <c r="O109" s="5">
        <f ca="1">I109*L109</f>
        <v>88</v>
      </c>
      <c r="P109" s="5">
        <f>J109*L109</f>
        <v>0</v>
      </c>
      <c r="Q109" s="5">
        <v>100</v>
      </c>
    </row>
    <row r="110" spans="1:17" ht="14.25" customHeight="1" x14ac:dyDescent="0.25">
      <c r="A110" s="11" t="s">
        <v>490</v>
      </c>
      <c r="B110" s="30" t="s">
        <v>156</v>
      </c>
      <c r="C110" s="30" t="s">
        <v>411</v>
      </c>
      <c r="D110" s="12" t="s">
        <v>68</v>
      </c>
      <c r="E110" s="12" t="s">
        <v>53</v>
      </c>
      <c r="F110" s="12" t="s">
        <v>34</v>
      </c>
      <c r="G110" s="22" t="s">
        <v>491</v>
      </c>
      <c r="H110" s="22">
        <f>H109</f>
        <v>42181</v>
      </c>
      <c r="I110" s="13">
        <f ca="1">SUM(O106:O109)/L110</f>
        <v>1</v>
      </c>
      <c r="J110" s="13">
        <f>SUM(P106:P109)/L110</f>
        <v>0.15</v>
      </c>
      <c r="K110" s="14">
        <f t="shared" si="14"/>
        <v>18</v>
      </c>
      <c r="L110" s="11">
        <f>SUM(L106:L109)</f>
        <v>160</v>
      </c>
      <c r="M110" s="13" t="s">
        <v>113</v>
      </c>
      <c r="N110" s="13" t="s">
        <v>114</v>
      </c>
      <c r="O110" s="5"/>
      <c r="P110" s="5"/>
      <c r="Q110" s="5"/>
    </row>
    <row r="111" spans="1:17" ht="14.25" customHeight="1" x14ac:dyDescent="0.25">
      <c r="A111" s="4" t="s">
        <v>492</v>
      </c>
      <c r="B111" s="29" t="s">
        <v>157</v>
      </c>
      <c r="C111" s="29" t="s">
        <v>411</v>
      </c>
      <c r="D111" s="5" t="s">
        <v>68</v>
      </c>
      <c r="E111" s="5" t="s">
        <v>53</v>
      </c>
      <c r="F111" s="7" t="s">
        <v>9</v>
      </c>
      <c r="G111" s="8">
        <v>42171</v>
      </c>
      <c r="H111" s="8">
        <v>42175</v>
      </c>
      <c r="I111" s="9">
        <f ca="1">IF(NETWORKDAYS(G111,TODAY())/NETWORKDAYS(G111,H111,)&lt;0,0,IF(NETWORKDAYS(G111,TODAY())/NETWORKDAYS(G111,H111,)&gt;1,1,NETWORKDAYS(G111,TODAY())/NETWORKDAYS(G111,H111,)))</f>
        <v>1</v>
      </c>
      <c r="J111" s="9">
        <v>0.5</v>
      </c>
      <c r="K111" s="10">
        <f t="shared" si="14"/>
        <v>4</v>
      </c>
      <c r="L111" s="4">
        <f>K111*8</f>
        <v>32</v>
      </c>
      <c r="M111" s="4" t="s">
        <v>115</v>
      </c>
      <c r="N111" s="4" t="s">
        <v>116</v>
      </c>
      <c r="O111" s="5">
        <f ca="1">I111*L111</f>
        <v>32</v>
      </c>
      <c r="P111" s="5">
        <f>J111*L111</f>
        <v>16</v>
      </c>
      <c r="Q111" s="5">
        <v>100</v>
      </c>
    </row>
    <row r="112" spans="1:17" ht="15.75" customHeight="1" x14ac:dyDescent="0.25">
      <c r="A112" s="4" t="s">
        <v>492</v>
      </c>
      <c r="B112" s="29" t="s">
        <v>157</v>
      </c>
      <c r="C112" s="29" t="s">
        <v>411</v>
      </c>
      <c r="D112" s="5" t="s">
        <v>68</v>
      </c>
      <c r="E112" s="5" t="s">
        <v>53</v>
      </c>
      <c r="F112" s="7" t="s">
        <v>10</v>
      </c>
      <c r="G112" s="8">
        <v>42175</v>
      </c>
      <c r="H112" s="8">
        <v>42177</v>
      </c>
      <c r="I112" s="9">
        <f ca="1">IF(NETWORKDAYS(G112,TODAY())/NETWORKDAYS(G112,H112,)&lt;0,0,IF(NETWORKDAYS(G112,TODAY())/NETWORKDAYS(G112,H112,)&gt;1,1,NETWORKDAYS(G112,TODAY())/NETWORKDAYS(G112,H112,)))</f>
        <v>1</v>
      </c>
      <c r="J112" s="9">
        <v>0</v>
      </c>
      <c r="K112" s="10">
        <f t="shared" si="14"/>
        <v>1</v>
      </c>
      <c r="L112" s="4">
        <f>K112*8</f>
        <v>8</v>
      </c>
      <c r="M112" s="4" t="s">
        <v>115</v>
      </c>
      <c r="N112" s="4" t="s">
        <v>116</v>
      </c>
      <c r="O112" s="5">
        <f ca="1">I112*L112</f>
        <v>8</v>
      </c>
      <c r="P112" s="5">
        <f>J112*L112</f>
        <v>0</v>
      </c>
      <c r="Q112" s="5">
        <v>100</v>
      </c>
    </row>
    <row r="113" spans="1:17" ht="14.25" customHeight="1" x14ac:dyDescent="0.25">
      <c r="A113" s="4" t="s">
        <v>492</v>
      </c>
      <c r="B113" s="29" t="s">
        <v>157</v>
      </c>
      <c r="C113" s="29" t="s">
        <v>411</v>
      </c>
      <c r="D113" s="5" t="s">
        <v>68</v>
      </c>
      <c r="E113" s="5" t="s">
        <v>53</v>
      </c>
      <c r="F113" s="33" t="s">
        <v>8</v>
      </c>
      <c r="G113" s="8">
        <v>42177</v>
      </c>
      <c r="H113" s="8">
        <v>42179</v>
      </c>
      <c r="I113" s="9">
        <f ca="1">IF(NETWORKDAYS(G113,TODAY())/NETWORKDAYS(G113,H113,)&lt;0,0,IF(NETWORKDAYS(G113,TODAY())/NETWORKDAYS(G113,H113,)&gt;1,1,NETWORKDAYS(G113,TODAY())/NETWORKDAYS(G113,H113,)))</f>
        <v>1</v>
      </c>
      <c r="J113" s="9">
        <v>0</v>
      </c>
      <c r="K113" s="10">
        <f t="shared" si="14"/>
        <v>3</v>
      </c>
      <c r="L113" s="4">
        <f>K113*8</f>
        <v>24</v>
      </c>
      <c r="M113" s="4" t="s">
        <v>115</v>
      </c>
      <c r="N113" s="4" t="s">
        <v>116</v>
      </c>
      <c r="O113" s="5">
        <f ca="1">I113*L113</f>
        <v>24</v>
      </c>
      <c r="P113" s="5">
        <f>J113*L113</f>
        <v>0</v>
      </c>
      <c r="Q113" s="5">
        <v>100</v>
      </c>
    </row>
    <row r="114" spans="1:17" ht="14.25" customHeight="1" x14ac:dyDescent="0.25">
      <c r="A114" s="4" t="s">
        <v>492</v>
      </c>
      <c r="B114" s="29" t="s">
        <v>157</v>
      </c>
      <c r="C114" s="29" t="s">
        <v>411</v>
      </c>
      <c r="D114" s="5" t="s">
        <v>68</v>
      </c>
      <c r="E114" s="5" t="s">
        <v>53</v>
      </c>
      <c r="F114" s="7" t="s">
        <v>11</v>
      </c>
      <c r="G114" s="8">
        <v>42179</v>
      </c>
      <c r="H114" s="8" t="s">
        <v>493</v>
      </c>
      <c r="I114" s="9">
        <f ca="1">IF(NETWORKDAYS(G114,TODAY())/NETWORKDAYS(G114,H114,)&lt;0,0,IF(NETWORKDAYS(G114,TODAY())/NETWORKDAYS(G114,H114,)&gt;1,1,NETWORKDAYS(G114,TODAY())/NETWORKDAYS(G114,H114,)))</f>
        <v>1</v>
      </c>
      <c r="J114" s="9">
        <v>0</v>
      </c>
      <c r="K114" s="10">
        <f t="shared" si="14"/>
        <v>4</v>
      </c>
      <c r="L114" s="4">
        <f>K114*8</f>
        <v>32</v>
      </c>
      <c r="M114" s="4" t="s">
        <v>115</v>
      </c>
      <c r="N114" s="4" t="s">
        <v>116</v>
      </c>
      <c r="O114" s="5">
        <f ca="1">I114*L114</f>
        <v>32</v>
      </c>
      <c r="P114" s="5">
        <f>J114*L114</f>
        <v>0</v>
      </c>
      <c r="Q114" s="5">
        <v>100</v>
      </c>
    </row>
    <row r="115" spans="1:17" ht="14.25" customHeight="1" x14ac:dyDescent="0.25">
      <c r="A115" s="11" t="s">
        <v>492</v>
      </c>
      <c r="B115" s="30" t="s">
        <v>157</v>
      </c>
      <c r="C115" s="30" t="s">
        <v>411</v>
      </c>
      <c r="D115" s="12" t="s">
        <v>68</v>
      </c>
      <c r="E115" s="12" t="s">
        <v>53</v>
      </c>
      <c r="F115" s="12" t="s">
        <v>34</v>
      </c>
      <c r="G115" s="22">
        <f>G111</f>
        <v>42171</v>
      </c>
      <c r="H115" s="22">
        <v>42195</v>
      </c>
      <c r="I115" s="13">
        <f ca="1">SUM(O111:O114)/L115</f>
        <v>1</v>
      </c>
      <c r="J115" s="13">
        <f>SUM(P111:P114)/L115</f>
        <v>0.16666666666666666</v>
      </c>
      <c r="K115" s="14">
        <f t="shared" si="14"/>
        <v>19</v>
      </c>
      <c r="L115" s="11">
        <f>SUM(L111:L114)</f>
        <v>96</v>
      </c>
      <c r="M115" s="13" t="s">
        <v>115</v>
      </c>
      <c r="N115" s="13" t="s">
        <v>116</v>
      </c>
      <c r="O115" s="5"/>
      <c r="P115" s="5"/>
      <c r="Q115" s="5"/>
    </row>
    <row r="116" spans="1:17" ht="14.25" customHeight="1" x14ac:dyDescent="0.25">
      <c r="A116" s="4" t="s">
        <v>494</v>
      </c>
      <c r="B116" s="29" t="s">
        <v>77</v>
      </c>
      <c r="C116" s="29" t="s">
        <v>411</v>
      </c>
      <c r="D116" s="5" t="s">
        <v>68</v>
      </c>
      <c r="E116" s="5" t="s">
        <v>53</v>
      </c>
      <c r="F116" s="7" t="s">
        <v>9</v>
      </c>
      <c r="G116" s="8">
        <v>42151</v>
      </c>
      <c r="H116" s="8">
        <v>42152</v>
      </c>
      <c r="I116" s="9">
        <f ca="1">IF(NETWORKDAYS(G116,TODAY())/NETWORKDAYS(G116,H116,)&lt;0,0,IF(NETWORKDAYS(G116,TODAY())/NETWORKDAYS(G116,H116,)&gt;1,1,NETWORKDAYS(G116,TODAY())/NETWORKDAYS(G116,H116,)))</f>
        <v>1</v>
      </c>
      <c r="J116" s="9">
        <v>1</v>
      </c>
      <c r="K116" s="10">
        <f t="shared" si="14"/>
        <v>2</v>
      </c>
      <c r="L116" s="4">
        <f>K116*8</f>
        <v>16</v>
      </c>
      <c r="M116" s="4" t="s">
        <v>117</v>
      </c>
      <c r="N116" s="4" t="s">
        <v>118</v>
      </c>
      <c r="O116" s="5">
        <f ca="1">I116*L116</f>
        <v>16</v>
      </c>
      <c r="P116" s="5">
        <f>J116*L116</f>
        <v>16</v>
      </c>
      <c r="Q116" s="5">
        <v>100</v>
      </c>
    </row>
    <row r="117" spans="1:17" ht="15.75" customHeight="1" x14ac:dyDescent="0.25">
      <c r="A117" s="4" t="s">
        <v>494</v>
      </c>
      <c r="B117" s="29" t="s">
        <v>77</v>
      </c>
      <c r="C117" s="29" t="s">
        <v>411</v>
      </c>
      <c r="D117" s="5" t="s">
        <v>68</v>
      </c>
      <c r="E117" s="5" t="s">
        <v>53</v>
      </c>
      <c r="F117" s="7" t="s">
        <v>10</v>
      </c>
      <c r="G117" s="8">
        <v>42153</v>
      </c>
      <c r="H117" s="8">
        <f>G117+10</f>
        <v>42163</v>
      </c>
      <c r="I117" s="9">
        <f ca="1">IF(NETWORKDAYS(G117,TODAY())/NETWORKDAYS(G117,H117,)&lt;0,0,IF(NETWORKDAYS(G117,TODAY())/NETWORKDAYS(G117,H117,)&gt;1,1,NETWORKDAYS(G117,TODAY())/NETWORKDAYS(G117,H117,)))</f>
        <v>1</v>
      </c>
      <c r="J117" s="9">
        <v>1</v>
      </c>
      <c r="K117" s="10">
        <f t="shared" si="14"/>
        <v>7</v>
      </c>
      <c r="L117" s="4">
        <f>K117*8</f>
        <v>56</v>
      </c>
      <c r="M117" s="4" t="s">
        <v>117</v>
      </c>
      <c r="N117" s="4" t="s">
        <v>118</v>
      </c>
      <c r="O117" s="5">
        <f ca="1">I117*L117</f>
        <v>56</v>
      </c>
      <c r="P117" s="5">
        <f>J117*L117</f>
        <v>56</v>
      </c>
      <c r="Q117" s="5">
        <v>100</v>
      </c>
    </row>
    <row r="118" spans="1:17" ht="14.25" customHeight="1" x14ac:dyDescent="0.25">
      <c r="A118" s="4" t="s">
        <v>494</v>
      </c>
      <c r="B118" s="29" t="s">
        <v>77</v>
      </c>
      <c r="C118" s="29" t="s">
        <v>411</v>
      </c>
      <c r="D118" s="5" t="s">
        <v>68</v>
      </c>
      <c r="E118" s="5" t="s">
        <v>53</v>
      </c>
      <c r="F118" s="33" t="s">
        <v>8</v>
      </c>
      <c r="G118" s="8">
        <f>H117</f>
        <v>42163</v>
      </c>
      <c r="H118" s="8">
        <v>42166</v>
      </c>
      <c r="I118" s="9">
        <f ca="1">IF(NETWORKDAYS(G118,TODAY())/NETWORKDAYS(G118,H118,)&lt;0,0,IF(NETWORKDAYS(G118,TODAY())/NETWORKDAYS(G118,H118,)&gt;1,1,NETWORKDAYS(G118,TODAY())/NETWORKDAYS(G118,H118,)))</f>
        <v>1</v>
      </c>
      <c r="J118" s="9">
        <v>1</v>
      </c>
      <c r="K118" s="10">
        <f t="shared" si="14"/>
        <v>4</v>
      </c>
      <c r="L118" s="4">
        <f>K118*8</f>
        <v>32</v>
      </c>
      <c r="M118" s="4" t="s">
        <v>117</v>
      </c>
      <c r="N118" s="4" t="s">
        <v>118</v>
      </c>
      <c r="O118" s="5">
        <f ca="1">I118*L118</f>
        <v>32</v>
      </c>
      <c r="P118" s="5">
        <f>J118*L118</f>
        <v>32</v>
      </c>
      <c r="Q118" s="5">
        <v>100</v>
      </c>
    </row>
    <row r="119" spans="1:17" ht="14.25" customHeight="1" x14ac:dyDescent="0.25">
      <c r="A119" s="4" t="s">
        <v>494</v>
      </c>
      <c r="B119" s="29" t="s">
        <v>77</v>
      </c>
      <c r="C119" s="29" t="s">
        <v>411</v>
      </c>
      <c r="D119" s="5" t="s">
        <v>68</v>
      </c>
      <c r="E119" s="5" t="s">
        <v>53</v>
      </c>
      <c r="F119" s="7" t="s">
        <v>11</v>
      </c>
      <c r="G119" s="8">
        <v>42167</v>
      </c>
      <c r="H119" s="8">
        <v>42170</v>
      </c>
      <c r="I119" s="9">
        <f ca="1">IF(NETWORKDAYS(G119,TODAY())/NETWORKDAYS(G119,H119,)&lt;0,0,IF(NETWORKDAYS(G119,TODAY())/NETWORKDAYS(G119,H119,)&gt;1,1,NETWORKDAYS(G119,TODAY())/NETWORKDAYS(G119,H119,)))</f>
        <v>1</v>
      </c>
      <c r="J119" s="9">
        <v>1</v>
      </c>
      <c r="K119" s="10">
        <f t="shared" si="14"/>
        <v>2</v>
      </c>
      <c r="L119" s="4">
        <f>K119*8</f>
        <v>16</v>
      </c>
      <c r="M119" s="4" t="s">
        <v>117</v>
      </c>
      <c r="N119" s="4" t="s">
        <v>118</v>
      </c>
      <c r="O119" s="5">
        <f ca="1">I119*L119</f>
        <v>16</v>
      </c>
      <c r="P119" s="5">
        <f>J119*L119</f>
        <v>16</v>
      </c>
      <c r="Q119" s="5">
        <v>100</v>
      </c>
    </row>
    <row r="120" spans="1:17" ht="14.25" customHeight="1" x14ac:dyDescent="0.25">
      <c r="A120" s="11" t="s">
        <v>494</v>
      </c>
      <c r="B120" s="30" t="s">
        <v>77</v>
      </c>
      <c r="C120" s="30" t="s">
        <v>411</v>
      </c>
      <c r="D120" s="12" t="s">
        <v>68</v>
      </c>
      <c r="E120" s="12" t="s">
        <v>53</v>
      </c>
      <c r="F120" s="12" t="s">
        <v>34</v>
      </c>
      <c r="G120" s="22">
        <f>G116</f>
        <v>42151</v>
      </c>
      <c r="H120" s="22">
        <f>H119</f>
        <v>42170</v>
      </c>
      <c r="I120" s="13">
        <f ca="1">SUM(O116:O119)/L120</f>
        <v>1</v>
      </c>
      <c r="J120" s="13">
        <f>SUM(P116:P119)/L120</f>
        <v>1</v>
      </c>
      <c r="K120" s="14">
        <f t="shared" si="14"/>
        <v>14</v>
      </c>
      <c r="L120" s="11">
        <f>SUM(L116:L119)</f>
        <v>120</v>
      </c>
      <c r="M120" s="13" t="s">
        <v>117</v>
      </c>
      <c r="N120" s="13" t="s">
        <v>118</v>
      </c>
      <c r="O120" s="5"/>
      <c r="P120" s="5"/>
      <c r="Q120" s="5"/>
    </row>
    <row r="121" spans="1:17" ht="15.75" customHeight="1" x14ac:dyDescent="0.25">
      <c r="A121" s="4" t="s">
        <v>221</v>
      </c>
      <c r="B121" s="29" t="s">
        <v>495</v>
      </c>
      <c r="C121" s="29" t="s">
        <v>411</v>
      </c>
      <c r="D121" s="5" t="s">
        <v>68</v>
      </c>
      <c r="E121" s="5" t="s">
        <v>53</v>
      </c>
      <c r="F121" s="7" t="s">
        <v>57</v>
      </c>
      <c r="G121" s="8">
        <v>42136</v>
      </c>
      <c r="H121" s="8">
        <v>42141</v>
      </c>
      <c r="I121" s="9">
        <f ca="1">IF(NETWORKDAYS(G121,TODAY())/NETWORKDAYS(G121,H121,)&lt;0,0,IF(NETWORKDAYS(G121,TODAY())/NETWORKDAYS(G121,H121,)&gt;1,1,NETWORKDAYS(G121,TODAY())/NETWORKDAYS(G121,H121,)))</f>
        <v>1</v>
      </c>
      <c r="J121" s="9">
        <v>1</v>
      </c>
      <c r="K121" s="10">
        <f t="shared" si="14"/>
        <v>4</v>
      </c>
      <c r="L121" s="4">
        <f>K121*8</f>
        <v>32</v>
      </c>
      <c r="M121" s="4" t="s">
        <v>128</v>
      </c>
      <c r="N121" s="4" t="s">
        <v>129</v>
      </c>
      <c r="O121" s="5">
        <f ca="1">I121*L121</f>
        <v>32</v>
      </c>
      <c r="P121" s="5">
        <f>J121*L121</f>
        <v>32</v>
      </c>
      <c r="Q121" s="5">
        <v>100</v>
      </c>
    </row>
    <row r="122" spans="1:17" ht="14.25" customHeight="1" x14ac:dyDescent="0.25">
      <c r="A122" s="4" t="s">
        <v>221</v>
      </c>
      <c r="B122" s="29" t="s">
        <v>495</v>
      </c>
      <c r="C122" s="29" t="s">
        <v>411</v>
      </c>
      <c r="D122" s="5" t="s">
        <v>68</v>
      </c>
      <c r="E122" s="5" t="s">
        <v>53</v>
      </c>
      <c r="F122" s="33" t="s">
        <v>496</v>
      </c>
      <c r="G122" s="8">
        <v>42141</v>
      </c>
      <c r="H122" s="8">
        <v>42146</v>
      </c>
      <c r="I122" s="9">
        <f ca="1">IF(NETWORKDAYS(G122,TODAY())/NETWORKDAYS(G122,H122,)&lt;0,0,IF(NETWORKDAYS(G122,TODAY())/NETWORKDAYS(G122,H122,)&gt;1,1,NETWORKDAYS(G122,TODAY())/NETWORKDAYS(G122,H122,)))</f>
        <v>1</v>
      </c>
      <c r="J122" s="9">
        <v>1</v>
      </c>
      <c r="K122" s="10">
        <f t="shared" si="14"/>
        <v>5</v>
      </c>
      <c r="L122" s="4">
        <f>K122*8</f>
        <v>40</v>
      </c>
      <c r="M122" s="4" t="s">
        <v>128</v>
      </c>
      <c r="N122" s="4" t="s">
        <v>129</v>
      </c>
      <c r="O122" s="5">
        <f ca="1">I122*L122</f>
        <v>40</v>
      </c>
      <c r="P122" s="5">
        <f>J122*L122</f>
        <v>40</v>
      </c>
      <c r="Q122" s="5">
        <v>100</v>
      </c>
    </row>
    <row r="123" spans="1:17" ht="14.25" customHeight="1" x14ac:dyDescent="0.25">
      <c r="A123" s="4" t="s">
        <v>221</v>
      </c>
      <c r="B123" s="29" t="s">
        <v>495</v>
      </c>
      <c r="C123" s="29" t="s">
        <v>411</v>
      </c>
      <c r="D123" s="5" t="s">
        <v>68</v>
      </c>
      <c r="E123" s="5" t="s">
        <v>53</v>
      </c>
      <c r="F123" s="7" t="s">
        <v>497</v>
      </c>
      <c r="G123" s="8">
        <v>42146</v>
      </c>
      <c r="H123" s="8" t="s">
        <v>13</v>
      </c>
      <c r="I123" s="9">
        <v>0</v>
      </c>
      <c r="J123" s="9">
        <v>0</v>
      </c>
      <c r="K123" s="10">
        <v>0</v>
      </c>
      <c r="L123" s="4">
        <f>K123*8</f>
        <v>0</v>
      </c>
      <c r="M123" s="4" t="s">
        <v>128</v>
      </c>
      <c r="N123" s="4" t="s">
        <v>129</v>
      </c>
      <c r="O123" s="5">
        <f>I123*L123</f>
        <v>0</v>
      </c>
      <c r="P123" s="5">
        <f>J123*L123</f>
        <v>0</v>
      </c>
      <c r="Q123" s="5">
        <v>100</v>
      </c>
    </row>
    <row r="124" spans="1:17" ht="14.25" customHeight="1" x14ac:dyDescent="0.25">
      <c r="A124" s="11" t="s">
        <v>221</v>
      </c>
      <c r="B124" s="30" t="s">
        <v>495</v>
      </c>
      <c r="C124" s="30" t="s">
        <v>411</v>
      </c>
      <c r="D124" s="12" t="s">
        <v>68</v>
      </c>
      <c r="E124" s="12" t="s">
        <v>53</v>
      </c>
      <c r="F124" s="12" t="s">
        <v>34</v>
      </c>
      <c r="G124" s="22" t="s">
        <v>498</v>
      </c>
      <c r="H124" s="22" t="str">
        <f>H123</f>
        <v>TBD</v>
      </c>
      <c r="I124" s="13">
        <f ca="1">SUM(O121:O123)/L124</f>
        <v>1</v>
      </c>
      <c r="J124" s="13">
        <f>SUM(P121:P123)/L124</f>
        <v>1</v>
      </c>
      <c r="K124" s="14">
        <f>SUM(K121:K123)</f>
        <v>9</v>
      </c>
      <c r="L124" s="11">
        <f>SUM(L121:L123)</f>
        <v>72</v>
      </c>
      <c r="M124" s="13" t="s">
        <v>128</v>
      </c>
      <c r="N124" s="13" t="s">
        <v>129</v>
      </c>
      <c r="O124" s="5"/>
      <c r="P124" s="5"/>
      <c r="Q124" s="5"/>
    </row>
    <row r="125" spans="1:17" ht="14.25" customHeight="1" x14ac:dyDescent="0.25">
      <c r="A125" s="4" t="s">
        <v>499</v>
      </c>
      <c r="B125" s="29" t="s">
        <v>500</v>
      </c>
      <c r="C125" s="29" t="s">
        <v>411</v>
      </c>
      <c r="D125" s="5" t="s">
        <v>68</v>
      </c>
      <c r="E125" s="5" t="s">
        <v>53</v>
      </c>
      <c r="F125" s="7" t="s">
        <v>9</v>
      </c>
      <c r="G125" s="8">
        <v>42159</v>
      </c>
      <c r="H125" s="8">
        <v>42164</v>
      </c>
      <c r="I125" s="9">
        <f ca="1">IF(NETWORKDAYS(G125,TODAY())/NETWORKDAYS(G125,H125,)&lt;0,0,IF(NETWORKDAYS(G125,TODAY())/NETWORKDAYS(G125,H125,)&gt;1,1,NETWORKDAYS(G125,TODAY())/NETWORKDAYS(G125,H125,)))</f>
        <v>1</v>
      </c>
      <c r="J125" s="9">
        <v>1</v>
      </c>
      <c r="K125" s="10">
        <f t="shared" si="14"/>
        <v>4</v>
      </c>
      <c r="L125" s="4">
        <f>K125*8</f>
        <v>32</v>
      </c>
      <c r="M125" s="4" t="s">
        <v>128</v>
      </c>
      <c r="N125" s="4" t="s">
        <v>129</v>
      </c>
      <c r="O125" s="5">
        <f ca="1">I125*L125</f>
        <v>32</v>
      </c>
      <c r="P125" s="5">
        <f>J125*L125</f>
        <v>32</v>
      </c>
      <c r="Q125" s="5">
        <v>100</v>
      </c>
    </row>
    <row r="126" spans="1:17" ht="15.75" customHeight="1" x14ac:dyDescent="0.25">
      <c r="A126" s="4" t="s">
        <v>499</v>
      </c>
      <c r="B126" s="29" t="s">
        <v>500</v>
      </c>
      <c r="C126" s="29" t="s">
        <v>411</v>
      </c>
      <c r="D126" s="5" t="s">
        <v>68</v>
      </c>
      <c r="E126" s="5" t="s">
        <v>53</v>
      </c>
      <c r="F126" s="7" t="s">
        <v>10</v>
      </c>
      <c r="G126" s="8">
        <v>42164</v>
      </c>
      <c r="H126" s="8">
        <v>42169</v>
      </c>
      <c r="I126" s="9">
        <f ca="1">IF(NETWORKDAYS(G126,TODAY())/NETWORKDAYS(G126,H126,)&lt;0,0,IF(NETWORKDAYS(G126,TODAY())/NETWORKDAYS(G126,H126,)&gt;1,1,NETWORKDAYS(G126,TODAY())/NETWORKDAYS(G126,H126,)))</f>
        <v>1</v>
      </c>
      <c r="J126" s="9">
        <v>0.25</v>
      </c>
      <c r="K126" s="10">
        <f t="shared" si="14"/>
        <v>4</v>
      </c>
      <c r="L126" s="4">
        <f>K126*8</f>
        <v>32</v>
      </c>
      <c r="M126" s="4" t="s">
        <v>128</v>
      </c>
      <c r="N126" s="4" t="s">
        <v>129</v>
      </c>
      <c r="O126" s="5">
        <f ca="1">I126*L126</f>
        <v>32</v>
      </c>
      <c r="P126" s="5">
        <f>J126*L126</f>
        <v>8</v>
      </c>
      <c r="Q126" s="5">
        <v>100</v>
      </c>
    </row>
    <row r="127" spans="1:17" ht="14.25" customHeight="1" x14ac:dyDescent="0.25">
      <c r="A127" s="4" t="s">
        <v>499</v>
      </c>
      <c r="B127" s="29" t="s">
        <v>500</v>
      </c>
      <c r="C127" s="29" t="s">
        <v>411</v>
      </c>
      <c r="D127" s="5" t="s">
        <v>68</v>
      </c>
      <c r="E127" s="5" t="s">
        <v>53</v>
      </c>
      <c r="F127" s="33" t="s">
        <v>8</v>
      </c>
      <c r="G127" s="8">
        <v>42169</v>
      </c>
      <c r="H127" s="8">
        <v>42174</v>
      </c>
      <c r="I127" s="9">
        <f ca="1">IF(NETWORKDAYS(G127,TODAY())/NETWORKDAYS(G127,H127,)&lt;0,0,IF(NETWORKDAYS(G127,TODAY())/NETWORKDAYS(G127,H127,)&gt;1,1,NETWORKDAYS(G127,TODAY())/NETWORKDAYS(G127,H127,)))</f>
        <v>1</v>
      </c>
      <c r="J127" s="9">
        <v>0</v>
      </c>
      <c r="K127" s="10">
        <f t="shared" si="14"/>
        <v>5</v>
      </c>
      <c r="L127" s="4">
        <f>K127*8</f>
        <v>40</v>
      </c>
      <c r="M127" s="4" t="s">
        <v>128</v>
      </c>
      <c r="N127" s="4" t="s">
        <v>129</v>
      </c>
      <c r="O127" s="5">
        <f ca="1">I127*L127</f>
        <v>40</v>
      </c>
      <c r="P127" s="5">
        <f>J127*L127</f>
        <v>0</v>
      </c>
      <c r="Q127" s="5">
        <v>100</v>
      </c>
    </row>
    <row r="128" spans="1:17" ht="14.25" customHeight="1" x14ac:dyDescent="0.25">
      <c r="A128" s="4" t="s">
        <v>499</v>
      </c>
      <c r="B128" s="29" t="s">
        <v>500</v>
      </c>
      <c r="C128" s="29" t="s">
        <v>411</v>
      </c>
      <c r="D128" s="5" t="s">
        <v>68</v>
      </c>
      <c r="E128" s="5" t="s">
        <v>53</v>
      </c>
      <c r="F128" s="7" t="s">
        <v>11</v>
      </c>
      <c r="G128" s="8">
        <v>42174</v>
      </c>
      <c r="H128" s="8" t="s">
        <v>501</v>
      </c>
      <c r="I128" s="9">
        <f ca="1">IF(NETWORKDAYS(G128,TODAY())/NETWORKDAYS(G128,H128,)&lt;0,0,IF(NETWORKDAYS(G128,TODAY())/NETWORKDAYS(G128,H128,)&gt;1,1,NETWORKDAYS(G128,TODAY())/NETWORKDAYS(G128,H128,)))</f>
        <v>1</v>
      </c>
      <c r="J128" s="9">
        <v>0</v>
      </c>
      <c r="K128" s="10">
        <f t="shared" si="14"/>
        <v>4</v>
      </c>
      <c r="L128" s="4">
        <f>K128*8</f>
        <v>32</v>
      </c>
      <c r="M128" s="4" t="s">
        <v>128</v>
      </c>
      <c r="N128" s="4" t="s">
        <v>129</v>
      </c>
      <c r="O128" s="5">
        <f ca="1">I128*L128</f>
        <v>32</v>
      </c>
      <c r="P128" s="5">
        <f>J128*L128</f>
        <v>0</v>
      </c>
      <c r="Q128" s="5">
        <v>100</v>
      </c>
    </row>
    <row r="129" spans="1:17" ht="14.25" customHeight="1" x14ac:dyDescent="0.25">
      <c r="A129" s="11" t="s">
        <v>499</v>
      </c>
      <c r="B129" s="30" t="s">
        <v>500</v>
      </c>
      <c r="C129" s="30" t="s">
        <v>411</v>
      </c>
      <c r="D129" s="12" t="s">
        <v>68</v>
      </c>
      <c r="E129" s="12" t="s">
        <v>53</v>
      </c>
      <c r="F129" s="12" t="s">
        <v>34</v>
      </c>
      <c r="G129" s="22" t="s">
        <v>502</v>
      </c>
      <c r="H129" s="22" t="s">
        <v>501</v>
      </c>
      <c r="I129" s="13">
        <f ca="1">SUM(O125:O128)/L129</f>
        <v>1</v>
      </c>
      <c r="J129" s="13">
        <f>SUM(P125:P128)/L129</f>
        <v>0.29411764705882354</v>
      </c>
      <c r="K129" s="14">
        <f t="shared" si="14"/>
        <v>15</v>
      </c>
      <c r="L129" s="11">
        <f>SUM(L125:L128)</f>
        <v>136</v>
      </c>
      <c r="M129" s="13" t="s">
        <v>128</v>
      </c>
      <c r="N129" s="13" t="s">
        <v>129</v>
      </c>
      <c r="O129" s="5"/>
      <c r="P129" s="5"/>
      <c r="Q129" s="5"/>
    </row>
    <row r="130" spans="1:17" ht="14.25" customHeight="1" x14ac:dyDescent="0.25">
      <c r="A130" s="4" t="s">
        <v>503</v>
      </c>
      <c r="B130" s="29" t="s">
        <v>504</v>
      </c>
      <c r="C130" s="29" t="s">
        <v>411</v>
      </c>
      <c r="D130" s="5" t="s">
        <v>62</v>
      </c>
      <c r="E130" s="5" t="s">
        <v>53</v>
      </c>
      <c r="F130" s="7" t="s">
        <v>9</v>
      </c>
      <c r="G130" s="8">
        <v>42146</v>
      </c>
      <c r="H130" s="8">
        <v>42151</v>
      </c>
      <c r="I130" s="9">
        <f ca="1">IF(NETWORKDAYS(G130,TODAY())/NETWORKDAYS(G130,H130,)&lt;0,0,IF(NETWORKDAYS(G130,TODAY())/NETWORKDAYS(G130,H130,)&gt;1,1,NETWORKDAYS(G130,TODAY())/NETWORKDAYS(G130,H130,)))</f>
        <v>1</v>
      </c>
      <c r="J130" s="9">
        <v>1</v>
      </c>
      <c r="K130" s="10">
        <f t="shared" si="14"/>
        <v>4</v>
      </c>
      <c r="L130" s="4">
        <f>K130*8</f>
        <v>32</v>
      </c>
      <c r="M130" s="4" t="s">
        <v>103</v>
      </c>
      <c r="N130" s="4" t="s">
        <v>104</v>
      </c>
      <c r="O130" s="5">
        <f ca="1">I130*L130</f>
        <v>32</v>
      </c>
      <c r="P130" s="5">
        <f>J130*L130</f>
        <v>32</v>
      </c>
      <c r="Q130" s="5">
        <v>100</v>
      </c>
    </row>
    <row r="131" spans="1:17" ht="15.75" customHeight="1" x14ac:dyDescent="0.25">
      <c r="A131" s="4" t="s">
        <v>503</v>
      </c>
      <c r="B131" s="29" t="s">
        <v>504</v>
      </c>
      <c r="C131" s="29" t="s">
        <v>411</v>
      </c>
      <c r="D131" s="5" t="s">
        <v>62</v>
      </c>
      <c r="E131" s="5" t="s">
        <v>53</v>
      </c>
      <c r="F131" s="7" t="s">
        <v>10</v>
      </c>
      <c r="G131" s="8">
        <v>42151</v>
      </c>
      <c r="H131" s="8">
        <v>42156</v>
      </c>
      <c r="I131" s="9">
        <f ca="1">IF(NETWORKDAYS(G131,TODAY())/NETWORKDAYS(G131,H131,)&lt;0,0,IF(NETWORKDAYS(G131,TODAY())/NETWORKDAYS(G131,H131,)&gt;1,1,NETWORKDAYS(G131,TODAY())/NETWORKDAYS(G131,H131,)))</f>
        <v>1</v>
      </c>
      <c r="J131" s="9">
        <v>1</v>
      </c>
      <c r="K131" s="10">
        <f t="shared" si="14"/>
        <v>4</v>
      </c>
      <c r="L131" s="4">
        <f>K131*8</f>
        <v>32</v>
      </c>
      <c r="M131" s="4" t="s">
        <v>103</v>
      </c>
      <c r="N131" s="4" t="s">
        <v>104</v>
      </c>
      <c r="O131" s="5">
        <f ca="1">I131*L131</f>
        <v>32</v>
      </c>
      <c r="P131" s="5">
        <f>J131*L131</f>
        <v>32</v>
      </c>
      <c r="Q131" s="5">
        <v>100</v>
      </c>
    </row>
    <row r="132" spans="1:17" ht="14.25" customHeight="1" x14ac:dyDescent="0.25">
      <c r="A132" s="4" t="s">
        <v>503</v>
      </c>
      <c r="B132" s="29" t="s">
        <v>504</v>
      </c>
      <c r="C132" s="29" t="s">
        <v>411</v>
      </c>
      <c r="D132" s="5" t="s">
        <v>62</v>
      </c>
      <c r="E132" s="5" t="s">
        <v>53</v>
      </c>
      <c r="F132" s="33" t="s">
        <v>8</v>
      </c>
      <c r="G132" s="8">
        <v>42156</v>
      </c>
      <c r="H132" s="8">
        <v>42161</v>
      </c>
      <c r="I132" s="9">
        <f ca="1">IF(NETWORKDAYS(G132,TODAY())/NETWORKDAYS(G132,H132,)&lt;0,0,IF(NETWORKDAYS(G132,TODAY())/NETWORKDAYS(G132,H132,)&gt;1,1,NETWORKDAYS(G132,TODAY())/NETWORKDAYS(G132,H132,)))</f>
        <v>1</v>
      </c>
      <c r="J132" s="9">
        <v>1</v>
      </c>
      <c r="K132" s="10">
        <f t="shared" si="14"/>
        <v>5</v>
      </c>
      <c r="L132" s="4">
        <f>K132*8</f>
        <v>40</v>
      </c>
      <c r="M132" s="4" t="s">
        <v>103</v>
      </c>
      <c r="N132" s="4" t="s">
        <v>104</v>
      </c>
      <c r="O132" s="5">
        <f ca="1">I132*L132</f>
        <v>40</v>
      </c>
      <c r="P132" s="5">
        <f>J132*L132</f>
        <v>40</v>
      </c>
      <c r="Q132" s="5">
        <v>100</v>
      </c>
    </row>
    <row r="133" spans="1:17" ht="14.25" customHeight="1" x14ac:dyDescent="0.25">
      <c r="A133" s="4" t="s">
        <v>503</v>
      </c>
      <c r="B133" s="29" t="s">
        <v>504</v>
      </c>
      <c r="C133" s="29" t="s">
        <v>411</v>
      </c>
      <c r="D133" s="5" t="s">
        <v>62</v>
      </c>
      <c r="E133" s="5" t="s">
        <v>53</v>
      </c>
      <c r="F133" s="7" t="s">
        <v>11</v>
      </c>
      <c r="G133" s="8">
        <v>42161</v>
      </c>
      <c r="H133" s="8" t="s">
        <v>505</v>
      </c>
      <c r="I133" s="9">
        <f ca="1">IF(NETWORKDAYS(G133,TODAY())/NETWORKDAYS(G133,H133,)&lt;0,0,IF(NETWORKDAYS(G133,TODAY())/NETWORKDAYS(G133,H133,)&gt;1,1,NETWORKDAYS(G133,TODAY())/NETWORKDAYS(G133,H133,)))</f>
        <v>1</v>
      </c>
      <c r="J133" s="9">
        <v>1</v>
      </c>
      <c r="K133" s="10">
        <f t="shared" si="14"/>
        <v>5</v>
      </c>
      <c r="L133" s="4">
        <f>K133*8</f>
        <v>40</v>
      </c>
      <c r="M133" s="4" t="s">
        <v>103</v>
      </c>
      <c r="N133" s="4" t="s">
        <v>104</v>
      </c>
      <c r="O133" s="5">
        <f ca="1">I133*L133</f>
        <v>40</v>
      </c>
      <c r="P133" s="5">
        <f>J133*L133</f>
        <v>40</v>
      </c>
      <c r="Q133" s="5">
        <v>100</v>
      </c>
    </row>
    <row r="134" spans="1:17" ht="14.25" customHeight="1" x14ac:dyDescent="0.25">
      <c r="A134" s="11" t="s">
        <v>503</v>
      </c>
      <c r="B134" s="30" t="s">
        <v>504</v>
      </c>
      <c r="C134" s="30" t="s">
        <v>411</v>
      </c>
      <c r="D134" s="12" t="s">
        <v>62</v>
      </c>
      <c r="E134" s="12" t="s">
        <v>53</v>
      </c>
      <c r="F134" s="12" t="s">
        <v>34</v>
      </c>
      <c r="G134" s="22" t="s">
        <v>267</v>
      </c>
      <c r="H134" s="22" t="s">
        <v>505</v>
      </c>
      <c r="I134" s="13">
        <f ca="1">SUM(O130:O133)/L134</f>
        <v>1</v>
      </c>
      <c r="J134" s="13">
        <f>SUM(P130:P133)/L134</f>
        <v>1</v>
      </c>
      <c r="K134" s="14">
        <f t="shared" si="14"/>
        <v>16</v>
      </c>
      <c r="L134" s="11">
        <f>SUM(L130:L133)</f>
        <v>144</v>
      </c>
      <c r="M134" s="13" t="s">
        <v>103</v>
      </c>
      <c r="N134" s="13" t="s">
        <v>104</v>
      </c>
      <c r="O134" s="5"/>
      <c r="P134" s="5"/>
      <c r="Q134" s="5"/>
    </row>
    <row r="135" spans="1:17" ht="14.25" customHeight="1" x14ac:dyDescent="0.25">
      <c r="A135" s="4" t="s">
        <v>506</v>
      </c>
      <c r="B135" s="29" t="s">
        <v>507</v>
      </c>
      <c r="C135" s="29" t="s">
        <v>411</v>
      </c>
      <c r="D135" s="5" t="s">
        <v>68</v>
      </c>
      <c r="E135" s="5" t="s">
        <v>53</v>
      </c>
      <c r="F135" s="7" t="s">
        <v>9</v>
      </c>
      <c r="G135" s="8">
        <v>42170</v>
      </c>
      <c r="H135" s="8">
        <v>42170</v>
      </c>
      <c r="I135" s="9">
        <f ca="1">IF(NETWORKDAYS(G135,TODAY())/NETWORKDAYS(G135,H135,)&lt;0,0,IF(NETWORKDAYS(G135,TODAY())/NETWORKDAYS(G135,H135,)&gt;1,1,NETWORKDAYS(G135,TODAY())/NETWORKDAYS(G135,H135,)))</f>
        <v>1</v>
      </c>
      <c r="J135" s="9">
        <v>1</v>
      </c>
      <c r="K135" s="10">
        <f t="shared" si="14"/>
        <v>1</v>
      </c>
      <c r="L135" s="4">
        <f>K135*8</f>
        <v>8</v>
      </c>
      <c r="M135" s="4" t="s">
        <v>130</v>
      </c>
      <c r="N135" s="4" t="s">
        <v>131</v>
      </c>
      <c r="O135" s="5">
        <f ca="1">I135*L135</f>
        <v>8</v>
      </c>
      <c r="P135" s="5">
        <f>J135*L135</f>
        <v>8</v>
      </c>
      <c r="Q135" s="5">
        <v>100</v>
      </c>
    </row>
    <row r="136" spans="1:17" ht="15.75" customHeight="1" x14ac:dyDescent="0.25">
      <c r="A136" s="4" t="s">
        <v>506</v>
      </c>
      <c r="B136" s="29" t="s">
        <v>507</v>
      </c>
      <c r="C136" s="29" t="s">
        <v>411</v>
      </c>
      <c r="D136" s="5" t="s">
        <v>68</v>
      </c>
      <c r="E136" s="5" t="s">
        <v>53</v>
      </c>
      <c r="F136" s="7" t="s">
        <v>10</v>
      </c>
      <c r="G136" s="8">
        <v>42170</v>
      </c>
      <c r="H136" s="8">
        <v>42174</v>
      </c>
      <c r="I136" s="9">
        <f ca="1">IF(NETWORKDAYS(G136,TODAY())/NETWORKDAYS(G136,H136,)&lt;0,0,IF(NETWORKDAYS(G136,TODAY())/NETWORKDAYS(G136,H136,)&gt;1,1,NETWORKDAYS(G136,TODAY())/NETWORKDAYS(G136,H136,)))</f>
        <v>1</v>
      </c>
      <c r="J136" s="9">
        <v>0.4</v>
      </c>
      <c r="K136" s="10">
        <f t="shared" si="14"/>
        <v>5</v>
      </c>
      <c r="L136" s="4">
        <f>K136*8</f>
        <v>40</v>
      </c>
      <c r="M136" s="4" t="s">
        <v>130</v>
      </c>
      <c r="N136" s="4" t="s">
        <v>131</v>
      </c>
      <c r="O136" s="5">
        <f ca="1">I136*L136</f>
        <v>40</v>
      </c>
      <c r="P136" s="5">
        <f>J136*L136</f>
        <v>16</v>
      </c>
      <c r="Q136" s="5">
        <v>100</v>
      </c>
    </row>
    <row r="137" spans="1:17" ht="14.25" customHeight="1" x14ac:dyDescent="0.25">
      <c r="A137" s="4" t="s">
        <v>506</v>
      </c>
      <c r="B137" s="29" t="s">
        <v>507</v>
      </c>
      <c r="C137" s="29" t="s">
        <v>411</v>
      </c>
      <c r="D137" s="5" t="s">
        <v>68</v>
      </c>
      <c r="E137" s="5" t="s">
        <v>53</v>
      </c>
      <c r="F137" s="33" t="s">
        <v>8</v>
      </c>
      <c r="G137" s="8">
        <v>42174</v>
      </c>
      <c r="H137" s="8">
        <v>42178</v>
      </c>
      <c r="I137" s="9">
        <f ca="1">IF(NETWORKDAYS(G137,TODAY())/NETWORKDAYS(G137,H137,)&lt;0,0,IF(NETWORKDAYS(G137,TODAY())/NETWORKDAYS(G137,H137,)&gt;1,1,NETWORKDAYS(G137,TODAY())/NETWORKDAYS(G137,H137,)))</f>
        <v>1</v>
      </c>
      <c r="J137" s="9">
        <v>0</v>
      </c>
      <c r="K137" s="10">
        <f t="shared" si="14"/>
        <v>3</v>
      </c>
      <c r="L137" s="4">
        <f>K137*8</f>
        <v>24</v>
      </c>
      <c r="M137" s="4" t="s">
        <v>130</v>
      </c>
      <c r="N137" s="4" t="s">
        <v>131</v>
      </c>
      <c r="O137" s="5">
        <f ca="1">I137*L137</f>
        <v>24</v>
      </c>
      <c r="P137" s="5">
        <f>J137*L137</f>
        <v>0</v>
      </c>
      <c r="Q137" s="5">
        <v>100</v>
      </c>
    </row>
    <row r="138" spans="1:17" ht="14.25" customHeight="1" x14ac:dyDescent="0.25">
      <c r="A138" s="4" t="s">
        <v>506</v>
      </c>
      <c r="B138" s="29" t="s">
        <v>507</v>
      </c>
      <c r="C138" s="29" t="s">
        <v>411</v>
      </c>
      <c r="D138" s="5" t="s">
        <v>68</v>
      </c>
      <c r="E138" s="5" t="s">
        <v>53</v>
      </c>
      <c r="F138" s="7" t="s">
        <v>11</v>
      </c>
      <c r="G138" s="8">
        <v>42178</v>
      </c>
      <c r="H138" s="8" t="s">
        <v>508</v>
      </c>
      <c r="I138" s="9">
        <f ca="1">IF(NETWORKDAYS(G138,TODAY())/NETWORKDAYS(G138,H138,)&lt;0,0,IF(NETWORKDAYS(G138,TODAY())/NETWORKDAYS(G138,H138,)&gt;1,1,NETWORKDAYS(G138,TODAY())/NETWORKDAYS(G138,H138,)))</f>
        <v>1</v>
      </c>
      <c r="J138" s="9">
        <v>0</v>
      </c>
      <c r="K138" s="10">
        <f t="shared" si="14"/>
        <v>6</v>
      </c>
      <c r="L138" s="4">
        <f>K138*8</f>
        <v>48</v>
      </c>
      <c r="M138" s="4" t="s">
        <v>130</v>
      </c>
      <c r="N138" s="4" t="s">
        <v>131</v>
      </c>
      <c r="O138" s="5">
        <f ca="1">I138*L138</f>
        <v>48</v>
      </c>
      <c r="P138" s="5">
        <f>J138*L138</f>
        <v>0</v>
      </c>
      <c r="Q138" s="5">
        <v>100</v>
      </c>
    </row>
    <row r="139" spans="1:17" ht="14.25" customHeight="1" x14ac:dyDescent="0.25">
      <c r="A139" s="11" t="s">
        <v>506</v>
      </c>
      <c r="B139" s="30" t="s">
        <v>507</v>
      </c>
      <c r="C139" s="30" t="s">
        <v>411</v>
      </c>
      <c r="D139" s="12" t="s">
        <v>68</v>
      </c>
      <c r="E139" s="12" t="s">
        <v>53</v>
      </c>
      <c r="F139" s="12" t="s">
        <v>34</v>
      </c>
      <c r="G139" s="22">
        <f>G135</f>
        <v>42170</v>
      </c>
      <c r="H139" s="22" t="s">
        <v>508</v>
      </c>
      <c r="I139" s="13">
        <f ca="1">SUM(O135:O138)/L139</f>
        <v>1</v>
      </c>
      <c r="J139" s="13">
        <f>SUM(P135:P138)/L139</f>
        <v>0.2</v>
      </c>
      <c r="K139" s="14">
        <f t="shared" si="14"/>
        <v>12</v>
      </c>
      <c r="L139" s="11">
        <f>SUM(L135:L138)</f>
        <v>120</v>
      </c>
      <c r="M139" s="13" t="s">
        <v>130</v>
      </c>
      <c r="N139" s="13" t="s">
        <v>131</v>
      </c>
      <c r="O139" s="5"/>
      <c r="P139" s="5"/>
      <c r="Q139" s="5"/>
    </row>
    <row r="140" spans="1:17" ht="14.25" customHeight="1" x14ac:dyDescent="0.25">
      <c r="A140" s="4" t="s">
        <v>510</v>
      </c>
      <c r="B140" s="29" t="s">
        <v>511</v>
      </c>
      <c r="C140" s="29" t="s">
        <v>411</v>
      </c>
      <c r="D140" s="5" t="s">
        <v>47</v>
      </c>
      <c r="E140" s="5" t="s">
        <v>46</v>
      </c>
      <c r="F140" s="7" t="s">
        <v>9</v>
      </c>
      <c r="G140" s="8">
        <v>42156</v>
      </c>
      <c r="H140" s="8">
        <v>42156</v>
      </c>
      <c r="I140" s="9">
        <f ca="1">IF(NETWORKDAYS(G140,TODAY())/NETWORKDAYS(G140,H140,)&lt;0,0,IF(NETWORKDAYS(G140,TODAY())/NETWORKDAYS(G140,H140,)&gt;1,1,NETWORKDAYS(G140,TODAY())/NETWORKDAYS(G140,H140,)))</f>
        <v>1</v>
      </c>
      <c r="J140" s="9">
        <v>1</v>
      </c>
      <c r="K140" s="10">
        <f t="shared" si="14"/>
        <v>1</v>
      </c>
      <c r="L140" s="4">
        <f>K140*8</f>
        <v>8</v>
      </c>
      <c r="M140" s="4" t="s">
        <v>105</v>
      </c>
      <c r="N140" s="4" t="s">
        <v>106</v>
      </c>
      <c r="O140" s="5">
        <f ca="1">I140*L140</f>
        <v>8</v>
      </c>
      <c r="P140" s="5">
        <f>J140*L140</f>
        <v>8</v>
      </c>
      <c r="Q140" s="5">
        <v>100</v>
      </c>
    </row>
    <row r="141" spans="1:17" ht="15.75" customHeight="1" x14ac:dyDescent="0.25">
      <c r="A141" s="4" t="s">
        <v>510</v>
      </c>
      <c r="B141" s="29" t="s">
        <v>511</v>
      </c>
      <c r="C141" s="29" t="s">
        <v>411</v>
      </c>
      <c r="D141" s="5" t="s">
        <v>47</v>
      </c>
      <c r="E141" s="5" t="s">
        <v>46</v>
      </c>
      <c r="F141" s="7" t="s">
        <v>10</v>
      </c>
      <c r="G141" s="8">
        <v>42158</v>
      </c>
      <c r="H141" s="8">
        <v>42160</v>
      </c>
      <c r="I141" s="9">
        <f ca="1">IF(NETWORKDAYS(G141,TODAY())/NETWORKDAYS(G141,H141,)&lt;0,0,IF(NETWORKDAYS(G141,TODAY())/NETWORKDAYS(G141,H141,)&gt;1,1,NETWORKDAYS(G141,TODAY())/NETWORKDAYS(G141,H141,)))</f>
        <v>1</v>
      </c>
      <c r="J141" s="9">
        <v>1</v>
      </c>
      <c r="K141" s="10">
        <f t="shared" si="14"/>
        <v>3</v>
      </c>
      <c r="L141" s="4">
        <f>K141*8</f>
        <v>24</v>
      </c>
      <c r="M141" s="4" t="s">
        <v>105</v>
      </c>
      <c r="N141" s="4" t="s">
        <v>106</v>
      </c>
      <c r="O141" s="5">
        <f ca="1">I141*L141</f>
        <v>24</v>
      </c>
      <c r="P141" s="5">
        <f>J141*L141</f>
        <v>24</v>
      </c>
      <c r="Q141" s="5">
        <v>100</v>
      </c>
    </row>
    <row r="142" spans="1:17" ht="14.25" customHeight="1" x14ac:dyDescent="0.25">
      <c r="A142" s="4" t="s">
        <v>510</v>
      </c>
      <c r="B142" s="29" t="s">
        <v>511</v>
      </c>
      <c r="C142" s="29" t="s">
        <v>411</v>
      </c>
      <c r="D142" s="5" t="s">
        <v>47</v>
      </c>
      <c r="E142" s="5" t="s">
        <v>46</v>
      </c>
      <c r="F142" s="33" t="s">
        <v>8</v>
      </c>
      <c r="G142" s="8">
        <v>42163</v>
      </c>
      <c r="H142" s="8">
        <v>42164</v>
      </c>
      <c r="I142" s="9">
        <f ca="1">IF(NETWORKDAYS(G142,TODAY())/NETWORKDAYS(G142,H142,)&lt;0,0,IF(NETWORKDAYS(G142,TODAY())/NETWORKDAYS(G142,H142,)&gt;1,1,NETWORKDAYS(G142,TODAY())/NETWORKDAYS(G142,H142,)))</f>
        <v>1</v>
      </c>
      <c r="J142" s="9">
        <v>1</v>
      </c>
      <c r="K142" s="10">
        <f t="shared" si="14"/>
        <v>2</v>
      </c>
      <c r="L142" s="4">
        <f>K142*8</f>
        <v>16</v>
      </c>
      <c r="M142" s="4" t="s">
        <v>105</v>
      </c>
      <c r="N142" s="4" t="s">
        <v>106</v>
      </c>
      <c r="O142" s="5">
        <f ca="1">I142*L142</f>
        <v>16</v>
      </c>
      <c r="P142" s="5">
        <f>J142*L142</f>
        <v>16</v>
      </c>
      <c r="Q142" s="5">
        <v>100</v>
      </c>
    </row>
    <row r="143" spans="1:17" ht="14.25" customHeight="1" x14ac:dyDescent="0.25">
      <c r="A143" s="4" t="s">
        <v>510</v>
      </c>
      <c r="B143" s="29" t="s">
        <v>511</v>
      </c>
      <c r="C143" s="29" t="s">
        <v>411</v>
      </c>
      <c r="D143" s="5" t="s">
        <v>47</v>
      </c>
      <c r="E143" s="5" t="s">
        <v>46</v>
      </c>
      <c r="F143" s="7" t="s">
        <v>11</v>
      </c>
      <c r="G143" s="8">
        <v>42163</v>
      </c>
      <c r="H143" s="8">
        <v>42164</v>
      </c>
      <c r="I143" s="9">
        <f ca="1">IF(NETWORKDAYS(G143,TODAY())/NETWORKDAYS(G143,H143,)&lt;0,0,IF(NETWORKDAYS(G143,TODAY())/NETWORKDAYS(G143,H143,)&gt;1,1,NETWORKDAYS(G143,TODAY())/NETWORKDAYS(G143,H143,)))</f>
        <v>1</v>
      </c>
      <c r="J143" s="9">
        <v>1</v>
      </c>
      <c r="K143" s="10">
        <f t="shared" si="14"/>
        <v>2</v>
      </c>
      <c r="L143" s="4">
        <f>K143*8</f>
        <v>16</v>
      </c>
      <c r="M143" s="4" t="s">
        <v>105</v>
      </c>
      <c r="N143" s="4" t="s">
        <v>106</v>
      </c>
      <c r="O143" s="5">
        <f ca="1">I143*L143</f>
        <v>16</v>
      </c>
      <c r="P143" s="5">
        <f>J143*L143</f>
        <v>16</v>
      </c>
      <c r="Q143" s="5">
        <v>100</v>
      </c>
    </row>
    <row r="144" spans="1:17" ht="14.25" customHeight="1" x14ac:dyDescent="0.25">
      <c r="A144" s="11" t="s">
        <v>510</v>
      </c>
      <c r="B144" s="30" t="s">
        <v>511</v>
      </c>
      <c r="C144" s="30" t="s">
        <v>411</v>
      </c>
      <c r="D144" s="12" t="s">
        <v>47</v>
      </c>
      <c r="E144" s="12" t="s">
        <v>46</v>
      </c>
      <c r="F144" s="12" t="s">
        <v>34</v>
      </c>
      <c r="G144" s="22" t="s">
        <v>512</v>
      </c>
      <c r="H144" s="22">
        <f>H143</f>
        <v>42164</v>
      </c>
      <c r="I144" s="13">
        <f ca="1">SUM(O140:O143)/L144</f>
        <v>1</v>
      </c>
      <c r="J144" s="13">
        <f>SUM(P140:P143)/L144</f>
        <v>1</v>
      </c>
      <c r="K144" s="14">
        <f t="shared" si="14"/>
        <v>7</v>
      </c>
      <c r="L144" s="11">
        <f>SUM(L140:L143)</f>
        <v>64</v>
      </c>
      <c r="M144" s="13" t="s">
        <v>105</v>
      </c>
      <c r="N144" s="13" t="s">
        <v>106</v>
      </c>
      <c r="O144" s="5"/>
      <c r="P144" s="5"/>
      <c r="Q144" s="5"/>
    </row>
    <row r="145" spans="1:17" ht="14.25" customHeight="1" x14ac:dyDescent="0.25">
      <c r="A145" s="4" t="s">
        <v>513</v>
      </c>
      <c r="B145" s="29" t="s">
        <v>514</v>
      </c>
      <c r="C145" s="29" t="s">
        <v>411</v>
      </c>
      <c r="D145" s="5" t="s">
        <v>47</v>
      </c>
      <c r="E145" s="5" t="s">
        <v>46</v>
      </c>
      <c r="F145" s="7" t="s">
        <v>9</v>
      </c>
      <c r="G145" s="8">
        <v>42152</v>
      </c>
      <c r="H145" s="8">
        <v>42152</v>
      </c>
      <c r="I145" s="9">
        <f ca="1">IF(NETWORKDAYS(G145,TODAY())/NETWORKDAYS(G145,H145,)&lt;0,0,IF(NETWORKDAYS(G145,TODAY())/NETWORKDAYS(G145,H145,)&gt;1,1,NETWORKDAYS(G145,TODAY())/NETWORKDAYS(G145,H145,)))</f>
        <v>1</v>
      </c>
      <c r="J145" s="9">
        <v>1</v>
      </c>
      <c r="K145" s="10">
        <f t="shared" si="14"/>
        <v>1</v>
      </c>
      <c r="L145" s="4">
        <f>K145*8</f>
        <v>8</v>
      </c>
      <c r="M145" s="4" t="s">
        <v>109</v>
      </c>
      <c r="N145" s="4" t="s">
        <v>110</v>
      </c>
      <c r="O145" s="5">
        <f ca="1">I145*L145</f>
        <v>8</v>
      </c>
      <c r="P145" s="5">
        <f>J145*L145</f>
        <v>8</v>
      </c>
      <c r="Q145" s="5">
        <v>100</v>
      </c>
    </row>
    <row r="146" spans="1:17" ht="15.75" customHeight="1" x14ac:dyDescent="0.25">
      <c r="A146" s="4" t="s">
        <v>513</v>
      </c>
      <c r="B146" s="29" t="s">
        <v>514</v>
      </c>
      <c r="C146" s="29" t="s">
        <v>411</v>
      </c>
      <c r="D146" s="5" t="s">
        <v>47</v>
      </c>
      <c r="E146" s="5" t="s">
        <v>46</v>
      </c>
      <c r="F146" s="7" t="s">
        <v>10</v>
      </c>
      <c r="G146" s="8">
        <v>42152</v>
      </c>
      <c r="H146" s="8">
        <v>42154</v>
      </c>
      <c r="I146" s="9">
        <f ca="1">IF(NETWORKDAYS(G146,TODAY())/NETWORKDAYS(G146,H146,)&lt;0,0,IF(NETWORKDAYS(G146,TODAY())/NETWORKDAYS(G146,H146,)&gt;1,1,NETWORKDAYS(G146,TODAY())/NETWORKDAYS(G146,H146,)))</f>
        <v>1</v>
      </c>
      <c r="J146" s="9">
        <v>1</v>
      </c>
      <c r="K146" s="10">
        <f t="shared" si="14"/>
        <v>2</v>
      </c>
      <c r="L146" s="4">
        <f>K146*8</f>
        <v>16</v>
      </c>
      <c r="M146" s="4" t="s">
        <v>109</v>
      </c>
      <c r="N146" s="4" t="s">
        <v>110</v>
      </c>
      <c r="O146" s="5">
        <f ca="1">I146*L146</f>
        <v>16</v>
      </c>
      <c r="P146" s="5">
        <f>J146*L146</f>
        <v>16</v>
      </c>
      <c r="Q146" s="5">
        <v>100</v>
      </c>
    </row>
    <row r="147" spans="1:17" ht="14.25" customHeight="1" x14ac:dyDescent="0.25">
      <c r="A147" s="4" t="s">
        <v>513</v>
      </c>
      <c r="B147" s="29" t="s">
        <v>514</v>
      </c>
      <c r="C147" s="29" t="s">
        <v>411</v>
      </c>
      <c r="D147" s="5" t="s">
        <v>47</v>
      </c>
      <c r="E147" s="5" t="s">
        <v>46</v>
      </c>
      <c r="F147" s="33" t="s">
        <v>8</v>
      </c>
      <c r="G147" s="8">
        <v>42154</v>
      </c>
      <c r="H147" s="8">
        <v>42156</v>
      </c>
      <c r="I147" s="9">
        <f ca="1">IF(NETWORKDAYS(G147,TODAY())/NETWORKDAYS(G147,H147,)&lt;0,0,IF(NETWORKDAYS(G147,TODAY())/NETWORKDAYS(G147,H147,)&gt;1,1,NETWORKDAYS(G147,TODAY())/NETWORKDAYS(G147,H147,)))</f>
        <v>1</v>
      </c>
      <c r="J147" s="9">
        <v>1</v>
      </c>
      <c r="K147" s="10">
        <f t="shared" si="14"/>
        <v>1</v>
      </c>
      <c r="L147" s="4">
        <f>K147*8</f>
        <v>8</v>
      </c>
      <c r="M147" s="4" t="s">
        <v>109</v>
      </c>
      <c r="N147" s="4" t="s">
        <v>110</v>
      </c>
      <c r="O147" s="5">
        <f ca="1">I147*L147</f>
        <v>8</v>
      </c>
      <c r="P147" s="5">
        <f>J147*L147</f>
        <v>8</v>
      </c>
      <c r="Q147" s="5">
        <v>100</v>
      </c>
    </row>
    <row r="148" spans="1:17" ht="14.25" customHeight="1" x14ac:dyDescent="0.25">
      <c r="A148" s="4" t="s">
        <v>513</v>
      </c>
      <c r="B148" s="29" t="s">
        <v>514</v>
      </c>
      <c r="C148" s="29" t="s">
        <v>411</v>
      </c>
      <c r="D148" s="5" t="s">
        <v>47</v>
      </c>
      <c r="E148" s="5" t="s">
        <v>46</v>
      </c>
      <c r="F148" s="7" t="s">
        <v>11</v>
      </c>
      <c r="G148" s="8">
        <v>42156</v>
      </c>
      <c r="H148" s="8">
        <v>42160</v>
      </c>
      <c r="I148" s="9">
        <f ca="1">IF(NETWORKDAYS(G148,TODAY())/NETWORKDAYS(G148,H148,)&lt;0,0,IF(NETWORKDAYS(G148,TODAY())/NETWORKDAYS(G148,H148,)&gt;1,1,NETWORKDAYS(G148,TODAY())/NETWORKDAYS(G148,H148,)))</f>
        <v>1</v>
      </c>
      <c r="J148" s="9">
        <v>1</v>
      </c>
      <c r="K148" s="10">
        <f t="shared" si="14"/>
        <v>5</v>
      </c>
      <c r="L148" s="4">
        <f>K148*8</f>
        <v>40</v>
      </c>
      <c r="M148" s="4" t="s">
        <v>109</v>
      </c>
      <c r="N148" s="4" t="s">
        <v>110</v>
      </c>
      <c r="O148" s="5">
        <f ca="1">I148*L148</f>
        <v>40</v>
      </c>
      <c r="P148" s="5">
        <f>J148*L148</f>
        <v>40</v>
      </c>
      <c r="Q148" s="5">
        <v>100</v>
      </c>
    </row>
    <row r="149" spans="1:17" ht="14.25" customHeight="1" x14ac:dyDescent="0.25">
      <c r="A149" s="11" t="s">
        <v>513</v>
      </c>
      <c r="B149" s="30" t="s">
        <v>514</v>
      </c>
      <c r="C149" s="30" t="s">
        <v>411</v>
      </c>
      <c r="D149" s="12" t="s">
        <v>47</v>
      </c>
      <c r="E149" s="12" t="s">
        <v>46</v>
      </c>
      <c r="F149" s="12" t="s">
        <v>34</v>
      </c>
      <c r="G149" s="22">
        <f>G145</f>
        <v>42152</v>
      </c>
      <c r="H149" s="22">
        <f>H148</f>
        <v>42160</v>
      </c>
      <c r="I149" s="13">
        <f ca="1">SUM(O145:O148)/L149</f>
        <v>1</v>
      </c>
      <c r="J149" s="13">
        <f>SUM(P145:P148)/L149</f>
        <v>1</v>
      </c>
      <c r="K149" s="14">
        <f t="shared" si="14"/>
        <v>7</v>
      </c>
      <c r="L149" s="11">
        <f>SUM(L145:L148)</f>
        <v>72</v>
      </c>
      <c r="M149" s="13" t="s">
        <v>109</v>
      </c>
      <c r="N149" s="13" t="s">
        <v>110</v>
      </c>
      <c r="O149" s="5"/>
      <c r="P149" s="5"/>
      <c r="Q149" s="5"/>
    </row>
    <row r="150" spans="1:17" ht="14.25" customHeight="1" x14ac:dyDescent="0.25">
      <c r="A150" s="4" t="s">
        <v>515</v>
      </c>
      <c r="B150" s="29" t="s">
        <v>516</v>
      </c>
      <c r="C150" s="29" t="s">
        <v>411</v>
      </c>
      <c r="D150" s="5" t="s">
        <v>37</v>
      </c>
      <c r="E150" s="5" t="s">
        <v>46</v>
      </c>
      <c r="F150" s="7" t="s">
        <v>9</v>
      </c>
      <c r="G150" s="8">
        <v>42163</v>
      </c>
      <c r="H150" s="8">
        <v>42163</v>
      </c>
      <c r="I150" s="9">
        <f ca="1">IF(NETWORKDAYS(G150,TODAY())/NETWORKDAYS(G150,H150,)&lt;0,0,IF(NETWORKDAYS(G150,TODAY())/NETWORKDAYS(G150,H150,)&gt;1,1,NETWORKDAYS(G150,TODAY())/NETWORKDAYS(G150,H150,)))</f>
        <v>1</v>
      </c>
      <c r="J150" s="9">
        <v>1</v>
      </c>
      <c r="K150" s="10">
        <f t="shared" si="14"/>
        <v>1</v>
      </c>
      <c r="L150" s="4">
        <f>K150*8</f>
        <v>8</v>
      </c>
      <c r="M150" s="4" t="s">
        <v>109</v>
      </c>
      <c r="N150" s="4" t="s">
        <v>110</v>
      </c>
      <c r="O150" s="5">
        <f ca="1">I150*L150</f>
        <v>8</v>
      </c>
      <c r="P150" s="5">
        <f>J150*L150</f>
        <v>8</v>
      </c>
      <c r="Q150" s="5">
        <v>100</v>
      </c>
    </row>
    <row r="151" spans="1:17" ht="15.75" customHeight="1" x14ac:dyDescent="0.25">
      <c r="A151" s="4" t="s">
        <v>515</v>
      </c>
      <c r="B151" s="29" t="s">
        <v>516</v>
      </c>
      <c r="C151" s="29" t="s">
        <v>411</v>
      </c>
      <c r="D151" s="5" t="s">
        <v>37</v>
      </c>
      <c r="E151" s="5" t="s">
        <v>46</v>
      </c>
      <c r="F151" s="7" t="s">
        <v>10</v>
      </c>
      <c r="G151" s="8">
        <v>42163</v>
      </c>
      <c r="H151" s="8">
        <v>42164</v>
      </c>
      <c r="I151" s="9">
        <f ca="1">IF(NETWORKDAYS(G151,TODAY())/NETWORKDAYS(G151,H151,)&lt;0,0,IF(NETWORKDAYS(G151,TODAY())/NETWORKDAYS(G151,H151,)&gt;1,1,NETWORKDAYS(G151,TODAY())/NETWORKDAYS(G151,H151,)))</f>
        <v>1</v>
      </c>
      <c r="J151" s="9">
        <v>1</v>
      </c>
      <c r="K151" s="10">
        <f t="shared" si="14"/>
        <v>2</v>
      </c>
      <c r="L151" s="4">
        <f>K151*8</f>
        <v>16</v>
      </c>
      <c r="M151" s="4" t="s">
        <v>109</v>
      </c>
      <c r="N151" s="4" t="s">
        <v>110</v>
      </c>
      <c r="O151" s="5">
        <f ca="1">I151*L151</f>
        <v>16</v>
      </c>
      <c r="P151" s="5">
        <f>J151*L151</f>
        <v>16</v>
      </c>
      <c r="Q151" s="5">
        <v>100</v>
      </c>
    </row>
    <row r="152" spans="1:17" ht="14.25" customHeight="1" x14ac:dyDescent="0.25">
      <c r="A152" s="4" t="s">
        <v>515</v>
      </c>
      <c r="B152" s="29" t="s">
        <v>516</v>
      </c>
      <c r="C152" s="29" t="s">
        <v>411</v>
      </c>
      <c r="D152" s="5" t="s">
        <v>37</v>
      </c>
      <c r="E152" s="5" t="s">
        <v>46</v>
      </c>
      <c r="F152" s="33" t="s">
        <v>8</v>
      </c>
      <c r="G152" s="8">
        <v>42165</v>
      </c>
      <c r="H152" s="8">
        <v>42166</v>
      </c>
      <c r="I152" s="9">
        <f ca="1">IF(NETWORKDAYS(G152,TODAY())/NETWORKDAYS(G152,H152,)&lt;0,0,IF(NETWORKDAYS(G152,TODAY())/NETWORKDAYS(G152,H152,)&gt;1,1,NETWORKDAYS(G152,TODAY())/NETWORKDAYS(G152,H152,)))</f>
        <v>1</v>
      </c>
      <c r="J152" s="9">
        <v>1</v>
      </c>
      <c r="K152" s="10">
        <f t="shared" si="14"/>
        <v>2</v>
      </c>
      <c r="L152" s="4">
        <f>K152*8</f>
        <v>16</v>
      </c>
      <c r="M152" s="4" t="s">
        <v>109</v>
      </c>
      <c r="N152" s="4" t="s">
        <v>110</v>
      </c>
      <c r="O152" s="5">
        <f ca="1">I152*L152</f>
        <v>16</v>
      </c>
      <c r="P152" s="5">
        <f>J152*L152</f>
        <v>16</v>
      </c>
      <c r="Q152" s="5">
        <v>100</v>
      </c>
    </row>
    <row r="153" spans="1:17" ht="14.25" customHeight="1" x14ac:dyDescent="0.25">
      <c r="A153" s="4" t="s">
        <v>515</v>
      </c>
      <c r="B153" s="29" t="s">
        <v>516</v>
      </c>
      <c r="C153" s="29" t="s">
        <v>411</v>
      </c>
      <c r="D153" s="5" t="s">
        <v>37</v>
      </c>
      <c r="E153" s="5" t="s">
        <v>46</v>
      </c>
      <c r="F153" s="7" t="s">
        <v>11</v>
      </c>
      <c r="G153" s="8">
        <v>42167</v>
      </c>
      <c r="H153" s="8">
        <v>42169</v>
      </c>
      <c r="I153" s="9">
        <f ca="1">IF(NETWORKDAYS(G153,TODAY())/NETWORKDAYS(G153,H153,)&lt;0,0,IF(NETWORKDAYS(G153,TODAY())/NETWORKDAYS(G153,H153,)&gt;1,1,NETWORKDAYS(G153,TODAY())/NETWORKDAYS(G153,H153,)))</f>
        <v>1</v>
      </c>
      <c r="J153" s="9">
        <v>0.8</v>
      </c>
      <c r="K153" s="10">
        <f t="shared" si="14"/>
        <v>1</v>
      </c>
      <c r="L153" s="4">
        <f>K153*8</f>
        <v>8</v>
      </c>
      <c r="M153" s="4" t="s">
        <v>109</v>
      </c>
      <c r="N153" s="4" t="s">
        <v>110</v>
      </c>
      <c r="O153" s="5">
        <f ca="1">I153*L153</f>
        <v>8</v>
      </c>
      <c r="P153" s="5">
        <f>J153*L153</f>
        <v>6.4</v>
      </c>
      <c r="Q153" s="5">
        <v>100</v>
      </c>
    </row>
    <row r="154" spans="1:17" ht="14.25" customHeight="1" x14ac:dyDescent="0.25">
      <c r="A154" s="11" t="s">
        <v>515</v>
      </c>
      <c r="B154" s="30" t="s">
        <v>516</v>
      </c>
      <c r="C154" s="30" t="s">
        <v>411</v>
      </c>
      <c r="D154" s="12" t="s">
        <v>37</v>
      </c>
      <c r="E154" s="12" t="s">
        <v>46</v>
      </c>
      <c r="F154" s="12" t="s">
        <v>34</v>
      </c>
      <c r="G154" s="22">
        <f>G150</f>
        <v>42163</v>
      </c>
      <c r="H154" s="22">
        <f>H153</f>
        <v>42169</v>
      </c>
      <c r="I154" s="13">
        <f ca="1">SUM(O150:O153)/L154</f>
        <v>1</v>
      </c>
      <c r="J154" s="13">
        <f>SUM(P150:P153)/L154</f>
        <v>0.96666666666666667</v>
      </c>
      <c r="K154" s="14">
        <f t="shared" si="14"/>
        <v>5</v>
      </c>
      <c r="L154" s="11">
        <f>SUM(L150:L153)</f>
        <v>48</v>
      </c>
      <c r="M154" s="13" t="s">
        <v>109</v>
      </c>
      <c r="N154" s="13" t="s">
        <v>110</v>
      </c>
      <c r="O154" s="5"/>
      <c r="P154" s="5"/>
      <c r="Q154" s="5"/>
    </row>
    <row r="155" spans="1:17" ht="14.25" customHeight="1" x14ac:dyDescent="0.25">
      <c r="A155" s="4" t="s">
        <v>517</v>
      </c>
      <c r="B155" s="29" t="s">
        <v>618</v>
      </c>
      <c r="C155" s="29" t="s">
        <v>411</v>
      </c>
      <c r="D155" s="5" t="s">
        <v>47</v>
      </c>
      <c r="E155" s="5" t="s">
        <v>46</v>
      </c>
      <c r="F155" s="7" t="s">
        <v>9</v>
      </c>
      <c r="G155" s="8">
        <v>42170</v>
      </c>
      <c r="H155" s="8">
        <v>42171</v>
      </c>
      <c r="I155" s="9">
        <f ca="1">IF(NETWORKDAYS(G155,TODAY())/NETWORKDAYS(G155,H155,)&lt;0,0,IF(NETWORKDAYS(G155,TODAY())/NETWORKDAYS(G155,H155,)&gt;1,1,NETWORKDAYS(G155,TODAY())/NETWORKDAYS(G155,H155,)))</f>
        <v>1</v>
      </c>
      <c r="J155" s="9">
        <v>1</v>
      </c>
      <c r="K155" s="10">
        <f t="shared" si="14"/>
        <v>2</v>
      </c>
      <c r="L155" s="4">
        <f>K155*8</f>
        <v>16</v>
      </c>
      <c r="M155" s="4" t="s">
        <v>109</v>
      </c>
      <c r="N155" s="4" t="s">
        <v>110</v>
      </c>
      <c r="O155" s="5">
        <f ca="1">I155*L155</f>
        <v>16</v>
      </c>
      <c r="P155" s="5">
        <f>J155*L155</f>
        <v>16</v>
      </c>
      <c r="Q155" s="5">
        <v>100</v>
      </c>
    </row>
    <row r="156" spans="1:17" ht="15.75" customHeight="1" x14ac:dyDescent="0.25">
      <c r="A156" s="4" t="s">
        <v>517</v>
      </c>
      <c r="B156" s="29" t="s">
        <v>618</v>
      </c>
      <c r="C156" s="29" t="s">
        <v>411</v>
      </c>
      <c r="D156" s="5" t="s">
        <v>47</v>
      </c>
      <c r="E156" s="5" t="s">
        <v>46</v>
      </c>
      <c r="F156" s="7" t="s">
        <v>10</v>
      </c>
      <c r="G156" s="8">
        <v>42171</v>
      </c>
      <c r="H156" s="8">
        <v>42172</v>
      </c>
      <c r="I156" s="9">
        <f ca="1">IF(NETWORKDAYS(G156,TODAY())/NETWORKDAYS(G156,H156,)&lt;0,0,IF(NETWORKDAYS(G156,TODAY())/NETWORKDAYS(G156,H156,)&gt;1,1,NETWORKDAYS(G156,TODAY())/NETWORKDAYS(G156,H156,)))</f>
        <v>1</v>
      </c>
      <c r="J156" s="9">
        <v>0.5</v>
      </c>
      <c r="K156" s="10">
        <f t="shared" si="14"/>
        <v>2</v>
      </c>
      <c r="L156" s="4">
        <f>K156*8</f>
        <v>16</v>
      </c>
      <c r="M156" s="4" t="s">
        <v>109</v>
      </c>
      <c r="N156" s="4" t="s">
        <v>110</v>
      </c>
      <c r="O156" s="5">
        <f ca="1">I156*L156</f>
        <v>16</v>
      </c>
      <c r="P156" s="5">
        <f>J156*L156</f>
        <v>8</v>
      </c>
      <c r="Q156" s="5">
        <v>100</v>
      </c>
    </row>
    <row r="157" spans="1:17" ht="14.25" customHeight="1" x14ac:dyDescent="0.25">
      <c r="A157" s="4" t="s">
        <v>517</v>
      </c>
      <c r="B157" s="29" t="s">
        <v>618</v>
      </c>
      <c r="C157" s="29" t="s">
        <v>411</v>
      </c>
      <c r="D157" s="5" t="s">
        <v>47</v>
      </c>
      <c r="E157" s="5" t="s">
        <v>46</v>
      </c>
      <c r="F157" s="33" t="s">
        <v>8</v>
      </c>
      <c r="G157" s="8">
        <v>42172</v>
      </c>
      <c r="H157" s="8">
        <v>42173</v>
      </c>
      <c r="I157" s="9">
        <f ca="1">IF(NETWORKDAYS(G157,TODAY())/NETWORKDAYS(G157,H157,)&lt;0,0,IF(NETWORKDAYS(G157,TODAY())/NETWORKDAYS(G157,H157,)&gt;1,1,NETWORKDAYS(G157,TODAY())/NETWORKDAYS(G157,H157,)))</f>
        <v>1</v>
      </c>
      <c r="J157" s="9">
        <v>0</v>
      </c>
      <c r="K157" s="10">
        <f t="shared" si="14"/>
        <v>2</v>
      </c>
      <c r="L157" s="4">
        <f>K157*8</f>
        <v>16</v>
      </c>
      <c r="M157" s="4" t="s">
        <v>109</v>
      </c>
      <c r="N157" s="4" t="s">
        <v>110</v>
      </c>
      <c r="O157" s="5">
        <f ca="1">I157*L157</f>
        <v>16</v>
      </c>
      <c r="P157" s="5">
        <f>J157*L157</f>
        <v>0</v>
      </c>
      <c r="Q157" s="5">
        <v>100</v>
      </c>
    </row>
    <row r="158" spans="1:17" ht="14.25" customHeight="1" x14ac:dyDescent="0.25">
      <c r="A158" s="4" t="s">
        <v>517</v>
      </c>
      <c r="B158" s="29" t="s">
        <v>618</v>
      </c>
      <c r="C158" s="29" t="s">
        <v>411</v>
      </c>
      <c r="D158" s="5" t="s">
        <v>47</v>
      </c>
      <c r="E158" s="5" t="s">
        <v>46</v>
      </c>
      <c r="F158" s="7" t="s">
        <v>11</v>
      </c>
      <c r="G158" s="8">
        <v>42173</v>
      </c>
      <c r="H158" s="8">
        <v>42177</v>
      </c>
      <c r="I158" s="9">
        <f ca="1">IF(NETWORKDAYS(G158,TODAY())/NETWORKDAYS(G158,H158,)&lt;0,0,IF(NETWORKDAYS(G158,TODAY())/NETWORKDAYS(G158,H158,)&gt;1,1,NETWORKDAYS(G158,TODAY())/NETWORKDAYS(G158,H158,)))</f>
        <v>1</v>
      </c>
      <c r="J158" s="9">
        <v>0</v>
      </c>
      <c r="K158" s="10">
        <f t="shared" si="14"/>
        <v>3</v>
      </c>
      <c r="L158" s="4">
        <f>K158*8</f>
        <v>24</v>
      </c>
      <c r="M158" s="4" t="s">
        <v>109</v>
      </c>
      <c r="N158" s="4" t="s">
        <v>110</v>
      </c>
      <c r="O158" s="5">
        <f ca="1">I158*L158</f>
        <v>24</v>
      </c>
      <c r="P158" s="5">
        <f>J158*L158</f>
        <v>0</v>
      </c>
      <c r="Q158" s="5">
        <v>100</v>
      </c>
    </row>
    <row r="159" spans="1:17" ht="14.25" customHeight="1" x14ac:dyDescent="0.25">
      <c r="A159" s="11" t="s">
        <v>517</v>
      </c>
      <c r="B159" s="30" t="s">
        <v>618</v>
      </c>
      <c r="C159" s="30" t="s">
        <v>411</v>
      </c>
      <c r="D159" s="12" t="s">
        <v>47</v>
      </c>
      <c r="E159" s="12" t="s">
        <v>46</v>
      </c>
      <c r="F159" s="12" t="s">
        <v>34</v>
      </c>
      <c r="G159" s="22" t="s">
        <v>519</v>
      </c>
      <c r="H159" s="22">
        <f>H158</f>
        <v>42177</v>
      </c>
      <c r="I159" s="13">
        <f ca="1">SUM(O155:O158)/L159</f>
        <v>1</v>
      </c>
      <c r="J159" s="13">
        <f>SUM(P155:P158)/L159</f>
        <v>0.33333333333333331</v>
      </c>
      <c r="K159" s="14">
        <f t="shared" si="14"/>
        <v>6</v>
      </c>
      <c r="L159" s="11">
        <f>SUM(L155:L158)</f>
        <v>72</v>
      </c>
      <c r="M159" s="13" t="s">
        <v>109</v>
      </c>
      <c r="N159" s="13" t="s">
        <v>110</v>
      </c>
      <c r="O159" s="5"/>
      <c r="P159" s="5"/>
      <c r="Q159" s="5"/>
    </row>
    <row r="160" spans="1:17" ht="14.25" customHeight="1" x14ac:dyDescent="0.25">
      <c r="A160" s="4" t="s">
        <v>520</v>
      </c>
      <c r="B160" s="29" t="s">
        <v>521</v>
      </c>
      <c r="C160" s="29" t="s">
        <v>411</v>
      </c>
      <c r="D160" s="5" t="s">
        <v>40</v>
      </c>
      <c r="E160" s="5" t="s">
        <v>46</v>
      </c>
      <c r="F160" s="7" t="s">
        <v>9</v>
      </c>
      <c r="G160" s="8">
        <v>42172</v>
      </c>
      <c r="H160" s="8">
        <v>42173</v>
      </c>
      <c r="I160" s="9">
        <f ca="1">IF(NETWORKDAYS(G160,TODAY())/NETWORKDAYS(G160,H160,)&lt;0,0,IF(NETWORKDAYS(G160,TODAY())/NETWORKDAYS(G160,H160,)&gt;1,1,NETWORKDAYS(G160,TODAY())/NETWORKDAYS(G160,H160,)))</f>
        <v>1</v>
      </c>
      <c r="J160" s="9">
        <v>0</v>
      </c>
      <c r="K160" s="10">
        <f t="shared" si="14"/>
        <v>2</v>
      </c>
      <c r="L160" s="4">
        <f>K160*8</f>
        <v>16</v>
      </c>
      <c r="M160" s="4" t="s">
        <v>100</v>
      </c>
      <c r="N160" s="4" t="s">
        <v>125</v>
      </c>
      <c r="O160" s="5">
        <f ca="1">I160*L160</f>
        <v>16</v>
      </c>
      <c r="P160" s="5">
        <f>J160*L160</f>
        <v>0</v>
      </c>
      <c r="Q160" s="5">
        <v>100</v>
      </c>
    </row>
    <row r="161" spans="1:17" ht="15.75" customHeight="1" x14ac:dyDescent="0.25">
      <c r="A161" s="4" t="s">
        <v>520</v>
      </c>
      <c r="B161" s="29" t="s">
        <v>521</v>
      </c>
      <c r="C161" s="29" t="s">
        <v>411</v>
      </c>
      <c r="D161" s="5" t="s">
        <v>40</v>
      </c>
      <c r="E161" s="5" t="s">
        <v>46</v>
      </c>
      <c r="F161" s="7" t="s">
        <v>10</v>
      </c>
      <c r="G161" s="8">
        <v>42174</v>
      </c>
      <c r="H161" s="8">
        <v>42178</v>
      </c>
      <c r="I161" s="9">
        <f ca="1">IF(NETWORKDAYS(G161,TODAY())/NETWORKDAYS(G161,H161,)&lt;0,0,IF(NETWORKDAYS(G161,TODAY())/NETWORKDAYS(G161,H161,)&gt;1,1,NETWORKDAYS(G161,TODAY())/NETWORKDAYS(G161,H161,)))</f>
        <v>1</v>
      </c>
      <c r="J161" s="9">
        <v>0</v>
      </c>
      <c r="K161" s="10">
        <f t="shared" si="14"/>
        <v>3</v>
      </c>
      <c r="L161" s="4">
        <f>K161*8</f>
        <v>24</v>
      </c>
      <c r="M161" s="4" t="s">
        <v>100</v>
      </c>
      <c r="N161" s="4" t="s">
        <v>125</v>
      </c>
      <c r="O161" s="5">
        <f ca="1">I161*L161</f>
        <v>24</v>
      </c>
      <c r="P161" s="5">
        <f>J161*L161</f>
        <v>0</v>
      </c>
      <c r="Q161" s="5">
        <v>100</v>
      </c>
    </row>
    <row r="162" spans="1:17" ht="14.25" customHeight="1" x14ac:dyDescent="0.25">
      <c r="A162" s="4" t="s">
        <v>520</v>
      </c>
      <c r="B162" s="29" t="s">
        <v>521</v>
      </c>
      <c r="C162" s="29" t="s">
        <v>411</v>
      </c>
      <c r="D162" s="5" t="s">
        <v>40</v>
      </c>
      <c r="E162" s="5" t="s">
        <v>46</v>
      </c>
      <c r="F162" s="33" t="s">
        <v>8</v>
      </c>
      <c r="G162" s="8">
        <v>42179</v>
      </c>
      <c r="H162" s="8">
        <v>42180</v>
      </c>
      <c r="I162" s="9">
        <f ca="1">IF(NETWORKDAYS(G162,TODAY())/NETWORKDAYS(G162,H162,)&lt;0,0,IF(NETWORKDAYS(G162,TODAY())/NETWORKDAYS(G162,H162,)&gt;1,1,NETWORKDAYS(G162,TODAY())/NETWORKDAYS(G162,H162,)))</f>
        <v>1</v>
      </c>
      <c r="J162" s="9">
        <v>0</v>
      </c>
      <c r="K162" s="10">
        <f t="shared" si="14"/>
        <v>2</v>
      </c>
      <c r="L162" s="4">
        <f>K162*8</f>
        <v>16</v>
      </c>
      <c r="M162" s="4" t="s">
        <v>100</v>
      </c>
      <c r="N162" s="4" t="s">
        <v>125</v>
      </c>
      <c r="O162" s="5">
        <f ca="1">I162*L162</f>
        <v>16</v>
      </c>
      <c r="P162" s="5">
        <f>J162*L162</f>
        <v>0</v>
      </c>
      <c r="Q162" s="5">
        <v>100</v>
      </c>
    </row>
    <row r="163" spans="1:17" ht="14.25" customHeight="1" x14ac:dyDescent="0.25">
      <c r="A163" s="4" t="s">
        <v>520</v>
      </c>
      <c r="B163" s="29" t="s">
        <v>521</v>
      </c>
      <c r="C163" s="29" t="s">
        <v>411</v>
      </c>
      <c r="D163" s="5" t="s">
        <v>40</v>
      </c>
      <c r="E163" s="5" t="s">
        <v>46</v>
      </c>
      <c r="F163" s="7" t="s">
        <v>11</v>
      </c>
      <c r="G163" s="8">
        <v>42180</v>
      </c>
      <c r="H163" s="8">
        <v>42180</v>
      </c>
      <c r="I163" s="9">
        <f ca="1">IF(NETWORKDAYS(G163,TODAY())/NETWORKDAYS(G163,H163,)&lt;0,0,IF(NETWORKDAYS(G163,TODAY())/NETWORKDAYS(G163,H163,)&gt;1,1,NETWORKDAYS(G163,TODAY())/NETWORKDAYS(G163,H163,)))</f>
        <v>1</v>
      </c>
      <c r="J163" s="9">
        <v>0</v>
      </c>
      <c r="K163" s="10">
        <f t="shared" si="14"/>
        <v>1</v>
      </c>
      <c r="L163" s="4">
        <f>K163*8</f>
        <v>8</v>
      </c>
      <c r="M163" s="4" t="s">
        <v>100</v>
      </c>
      <c r="N163" s="4" t="s">
        <v>125</v>
      </c>
      <c r="O163" s="5">
        <f ca="1">I163*L163</f>
        <v>8</v>
      </c>
      <c r="P163" s="5">
        <f>J163*L163</f>
        <v>0</v>
      </c>
      <c r="Q163" s="5">
        <v>100</v>
      </c>
    </row>
    <row r="164" spans="1:17" ht="14.25" customHeight="1" x14ac:dyDescent="0.25">
      <c r="A164" s="11" t="s">
        <v>520</v>
      </c>
      <c r="B164" s="30" t="s">
        <v>521</v>
      </c>
      <c r="C164" s="30" t="s">
        <v>411</v>
      </c>
      <c r="D164" s="12" t="s">
        <v>40</v>
      </c>
      <c r="E164" s="12" t="s">
        <v>46</v>
      </c>
      <c r="F164" s="12" t="s">
        <v>34</v>
      </c>
      <c r="G164" s="22">
        <f>G160</f>
        <v>42172</v>
      </c>
      <c r="H164" s="22">
        <f>H163</f>
        <v>42180</v>
      </c>
      <c r="I164" s="13">
        <f ca="1">SUM(O160:O163)/L164</f>
        <v>1</v>
      </c>
      <c r="J164" s="13">
        <f>SUM(P160:P163)/L164</f>
        <v>0</v>
      </c>
      <c r="K164" s="14">
        <f t="shared" si="14"/>
        <v>7</v>
      </c>
      <c r="L164" s="11">
        <f>SUM(L160:L163)</f>
        <v>64</v>
      </c>
      <c r="M164" s="13" t="s">
        <v>100</v>
      </c>
      <c r="N164" s="13" t="s">
        <v>125</v>
      </c>
      <c r="O164" s="5"/>
      <c r="P164" s="5"/>
      <c r="Q164" s="5"/>
    </row>
    <row r="165" spans="1:17" ht="14.25" customHeight="1" x14ac:dyDescent="0.25">
      <c r="A165" s="4" t="s">
        <v>587</v>
      </c>
      <c r="B165" s="29" t="s">
        <v>522</v>
      </c>
      <c r="C165" s="29" t="s">
        <v>411</v>
      </c>
      <c r="D165" s="5" t="s">
        <v>40</v>
      </c>
      <c r="E165" s="5" t="s">
        <v>46</v>
      </c>
      <c r="F165" s="7" t="s">
        <v>9</v>
      </c>
      <c r="G165" s="8">
        <v>42181</v>
      </c>
      <c r="H165" s="8">
        <v>42184</v>
      </c>
      <c r="I165" s="9">
        <f ca="1">IF(NETWORKDAYS(G165,TODAY())/NETWORKDAYS(G165,H165,)&lt;0,0,IF(NETWORKDAYS(G165,TODAY())/NETWORKDAYS(G165,H165,)&gt;1,1,NETWORKDAYS(G165,TODAY())/NETWORKDAYS(G165,H165,)))</f>
        <v>1</v>
      </c>
      <c r="J165" s="9">
        <v>0</v>
      </c>
      <c r="K165" s="10">
        <f t="shared" si="14"/>
        <v>2</v>
      </c>
      <c r="L165" s="4">
        <f>K165*8</f>
        <v>16</v>
      </c>
      <c r="M165" s="4" t="s">
        <v>100</v>
      </c>
      <c r="N165" s="4" t="s">
        <v>125</v>
      </c>
      <c r="O165" s="5">
        <f ca="1">I165*L165</f>
        <v>16</v>
      </c>
      <c r="P165" s="5">
        <f>J165*L165</f>
        <v>0</v>
      </c>
      <c r="Q165" s="5">
        <v>100</v>
      </c>
    </row>
    <row r="166" spans="1:17" ht="15.75" customHeight="1" x14ac:dyDescent="0.25">
      <c r="A166" s="4" t="s">
        <v>587</v>
      </c>
      <c r="B166" s="29" t="s">
        <v>522</v>
      </c>
      <c r="C166" s="29" t="s">
        <v>411</v>
      </c>
      <c r="D166" s="5" t="s">
        <v>40</v>
      </c>
      <c r="E166" s="5" t="s">
        <v>46</v>
      </c>
      <c r="F166" s="7" t="s">
        <v>10</v>
      </c>
      <c r="G166" s="8">
        <v>42185</v>
      </c>
      <c r="H166" s="8">
        <v>42187</v>
      </c>
      <c r="I166" s="9">
        <f ca="1">IF(NETWORKDAYS(G166,TODAY())/NETWORKDAYS(G166,H166,)&lt;0,0,IF(NETWORKDAYS(G166,TODAY())/NETWORKDAYS(G166,H166,)&gt;1,1,NETWORKDAYS(G166,TODAY())/NETWORKDAYS(G166,H166,)))</f>
        <v>1</v>
      </c>
      <c r="J166" s="9">
        <v>0</v>
      </c>
      <c r="K166" s="10">
        <f t="shared" si="14"/>
        <v>3</v>
      </c>
      <c r="L166" s="4">
        <f>K166*8</f>
        <v>24</v>
      </c>
      <c r="M166" s="4" t="s">
        <v>100</v>
      </c>
      <c r="N166" s="4" t="s">
        <v>125</v>
      </c>
      <c r="O166" s="5">
        <f ca="1">I166*L166</f>
        <v>24</v>
      </c>
      <c r="P166" s="5">
        <f>J166*L166</f>
        <v>0</v>
      </c>
      <c r="Q166" s="5">
        <v>100</v>
      </c>
    </row>
    <row r="167" spans="1:17" ht="14.25" customHeight="1" x14ac:dyDescent="0.25">
      <c r="A167" s="4" t="s">
        <v>587</v>
      </c>
      <c r="B167" s="29" t="s">
        <v>522</v>
      </c>
      <c r="C167" s="29" t="s">
        <v>411</v>
      </c>
      <c r="D167" s="5" t="s">
        <v>40</v>
      </c>
      <c r="E167" s="5" t="s">
        <v>46</v>
      </c>
      <c r="F167" s="33" t="s">
        <v>8</v>
      </c>
      <c r="G167" s="8">
        <v>42188</v>
      </c>
      <c r="H167" s="8">
        <v>42188</v>
      </c>
      <c r="I167" s="9">
        <f ca="1">IF(NETWORKDAYS(G167,TODAY())/NETWORKDAYS(G167,H167,)&lt;0,0,IF(NETWORKDAYS(G167,TODAY())/NETWORKDAYS(G167,H167,)&gt;1,1,NETWORKDAYS(G167,TODAY())/NETWORKDAYS(G167,H167,)))</f>
        <v>1</v>
      </c>
      <c r="J167" s="9">
        <v>0</v>
      </c>
      <c r="K167" s="10">
        <f t="shared" si="14"/>
        <v>1</v>
      </c>
      <c r="L167" s="4">
        <f>K167*8</f>
        <v>8</v>
      </c>
      <c r="M167" s="4" t="s">
        <v>100</v>
      </c>
      <c r="N167" s="4" t="s">
        <v>125</v>
      </c>
      <c r="O167" s="5">
        <f ca="1">I167*L167</f>
        <v>8</v>
      </c>
      <c r="P167" s="5">
        <f>J167*L167</f>
        <v>0</v>
      </c>
      <c r="Q167" s="5">
        <v>100</v>
      </c>
    </row>
    <row r="168" spans="1:17" ht="14.25" customHeight="1" x14ac:dyDescent="0.25">
      <c r="A168" s="4" t="s">
        <v>587</v>
      </c>
      <c r="B168" s="29" t="s">
        <v>522</v>
      </c>
      <c r="C168" s="29" t="s">
        <v>411</v>
      </c>
      <c r="D168" s="5" t="s">
        <v>40</v>
      </c>
      <c r="E168" s="5" t="s">
        <v>46</v>
      </c>
      <c r="F168" s="7" t="s">
        <v>11</v>
      </c>
      <c r="G168" s="8">
        <f>H167</f>
        <v>42188</v>
      </c>
      <c r="H168" s="8">
        <f>G168</f>
        <v>42188</v>
      </c>
      <c r="I168" s="9">
        <f ca="1">IF(NETWORKDAYS(G168,TODAY())/NETWORKDAYS(G168,H168,)&lt;0,0,IF(NETWORKDAYS(G168,TODAY())/NETWORKDAYS(G168,H168,)&gt;1,1,NETWORKDAYS(G168,TODAY())/NETWORKDAYS(G168,H168,)))</f>
        <v>1</v>
      </c>
      <c r="J168" s="9">
        <v>0</v>
      </c>
      <c r="K168" s="10">
        <f t="shared" si="14"/>
        <v>1</v>
      </c>
      <c r="L168" s="4">
        <f>K168*8</f>
        <v>8</v>
      </c>
      <c r="M168" s="4" t="s">
        <v>100</v>
      </c>
      <c r="N168" s="4" t="s">
        <v>125</v>
      </c>
      <c r="O168" s="5">
        <f ca="1">I168*L168</f>
        <v>8</v>
      </c>
      <c r="P168" s="5">
        <f>J168*L168</f>
        <v>0</v>
      </c>
      <c r="Q168" s="5">
        <v>100</v>
      </c>
    </row>
    <row r="169" spans="1:17" ht="14.25" customHeight="1" x14ac:dyDescent="0.25">
      <c r="A169" s="11" t="s">
        <v>587</v>
      </c>
      <c r="B169" s="30" t="s">
        <v>522</v>
      </c>
      <c r="C169" s="30" t="s">
        <v>411</v>
      </c>
      <c r="D169" s="12" t="s">
        <v>40</v>
      </c>
      <c r="E169" s="12" t="s">
        <v>46</v>
      </c>
      <c r="F169" s="12" t="s">
        <v>34</v>
      </c>
      <c r="G169" s="22">
        <f>G165</f>
        <v>42181</v>
      </c>
      <c r="H169" s="22">
        <f>H168</f>
        <v>42188</v>
      </c>
      <c r="I169" s="13">
        <f ca="1">SUM(O165:O168)/L169</f>
        <v>1</v>
      </c>
      <c r="J169" s="13">
        <f>SUM(P165:P168)/L169</f>
        <v>0</v>
      </c>
      <c r="K169" s="14">
        <f t="shared" si="14"/>
        <v>6</v>
      </c>
      <c r="L169" s="11">
        <f>SUM(L165:L168)</f>
        <v>56</v>
      </c>
      <c r="M169" s="13" t="s">
        <v>100</v>
      </c>
      <c r="N169" s="13" t="s">
        <v>125</v>
      </c>
      <c r="O169" s="5"/>
      <c r="P169" s="5"/>
      <c r="Q169" s="5"/>
    </row>
    <row r="170" spans="1:17" ht="14.25" customHeight="1" x14ac:dyDescent="0.25">
      <c r="A170" s="4" t="s">
        <v>525</v>
      </c>
      <c r="B170" s="29" t="s">
        <v>526</v>
      </c>
      <c r="C170" s="29" t="s">
        <v>411</v>
      </c>
      <c r="D170" s="5" t="s">
        <v>40</v>
      </c>
      <c r="E170" s="5" t="s">
        <v>46</v>
      </c>
      <c r="F170" s="7" t="s">
        <v>9</v>
      </c>
      <c r="G170" s="8">
        <v>42178</v>
      </c>
      <c r="H170" s="8">
        <v>42178</v>
      </c>
      <c r="I170" s="9">
        <f ca="1">IF(NETWORKDAYS(G170,TODAY())/NETWORKDAYS(G170,H170,)&lt;0,0,IF(NETWORKDAYS(G170,TODAY())/NETWORKDAYS(G170,H170,)&gt;1,1,NETWORKDAYS(G170,TODAY())/NETWORKDAYS(G170,H170,)))</f>
        <v>1</v>
      </c>
      <c r="J170" s="9">
        <v>0</v>
      </c>
      <c r="K170" s="10">
        <f t="shared" si="14"/>
        <v>1</v>
      </c>
      <c r="L170" s="4">
        <f>K170*8</f>
        <v>8</v>
      </c>
      <c r="M170" s="4" t="s">
        <v>109</v>
      </c>
      <c r="N170" s="4" t="s">
        <v>110</v>
      </c>
      <c r="O170" s="5">
        <f ca="1">I170*L170</f>
        <v>8</v>
      </c>
      <c r="P170" s="5">
        <f>J170*L170</f>
        <v>0</v>
      </c>
      <c r="Q170" s="5">
        <v>100</v>
      </c>
    </row>
    <row r="171" spans="1:17" ht="15.75" customHeight="1" x14ac:dyDescent="0.25">
      <c r="A171" s="4" t="s">
        <v>525</v>
      </c>
      <c r="B171" s="29" t="s">
        <v>526</v>
      </c>
      <c r="C171" s="29" t="s">
        <v>411</v>
      </c>
      <c r="D171" s="5" t="s">
        <v>40</v>
      </c>
      <c r="E171" s="5" t="s">
        <v>46</v>
      </c>
      <c r="F171" s="7" t="s">
        <v>10</v>
      </c>
      <c r="G171" s="8">
        <v>42178</v>
      </c>
      <c r="H171" s="8">
        <v>42179</v>
      </c>
      <c r="I171" s="9">
        <f ca="1">IF(NETWORKDAYS(G171,TODAY())/NETWORKDAYS(G171,H171,)&lt;0,0,IF(NETWORKDAYS(G171,TODAY())/NETWORKDAYS(G171,H171,)&gt;1,1,NETWORKDAYS(G171,TODAY())/NETWORKDAYS(G171,H171,)))</f>
        <v>1</v>
      </c>
      <c r="J171" s="9">
        <v>0</v>
      </c>
      <c r="K171" s="10">
        <f t="shared" si="14"/>
        <v>2</v>
      </c>
      <c r="L171" s="4">
        <f>K171*8</f>
        <v>16</v>
      </c>
      <c r="M171" s="4" t="s">
        <v>109</v>
      </c>
      <c r="N171" s="4" t="s">
        <v>110</v>
      </c>
      <c r="O171" s="5">
        <f ca="1">I171*L171</f>
        <v>16</v>
      </c>
      <c r="P171" s="5">
        <f>J171*L171</f>
        <v>0</v>
      </c>
      <c r="Q171" s="5">
        <v>100</v>
      </c>
    </row>
    <row r="172" spans="1:17" ht="14.25" customHeight="1" x14ac:dyDescent="0.25">
      <c r="A172" s="4" t="s">
        <v>525</v>
      </c>
      <c r="B172" s="29" t="s">
        <v>526</v>
      </c>
      <c r="C172" s="29" t="s">
        <v>411</v>
      </c>
      <c r="D172" s="5" t="s">
        <v>40</v>
      </c>
      <c r="E172" s="5" t="s">
        <v>46</v>
      </c>
      <c r="F172" s="33" t="s">
        <v>8</v>
      </c>
      <c r="G172" s="8">
        <v>42179</v>
      </c>
      <c r="H172" s="8">
        <v>42180</v>
      </c>
      <c r="I172" s="9">
        <f ca="1">IF(NETWORKDAYS(G172,TODAY())/NETWORKDAYS(G172,H172,)&lt;0,0,IF(NETWORKDAYS(G172,TODAY())/NETWORKDAYS(G172,H172,)&gt;1,1,NETWORKDAYS(G172,TODAY())/NETWORKDAYS(G172,H172,)))</f>
        <v>1</v>
      </c>
      <c r="J172" s="9">
        <v>0</v>
      </c>
      <c r="K172" s="10">
        <f t="shared" si="14"/>
        <v>2</v>
      </c>
      <c r="L172" s="4">
        <f>K172*8</f>
        <v>16</v>
      </c>
      <c r="M172" s="4" t="s">
        <v>109</v>
      </c>
      <c r="N172" s="4" t="s">
        <v>110</v>
      </c>
      <c r="O172" s="5">
        <f ca="1">I172*L172</f>
        <v>16</v>
      </c>
      <c r="P172" s="5">
        <f>J172*L172</f>
        <v>0</v>
      </c>
      <c r="Q172" s="5">
        <v>100</v>
      </c>
    </row>
    <row r="173" spans="1:17" ht="14.25" customHeight="1" x14ac:dyDescent="0.25">
      <c r="A173" s="4" t="s">
        <v>525</v>
      </c>
      <c r="B173" s="29" t="s">
        <v>526</v>
      </c>
      <c r="C173" s="29" t="s">
        <v>411</v>
      </c>
      <c r="D173" s="5" t="s">
        <v>40</v>
      </c>
      <c r="E173" s="5" t="s">
        <v>46</v>
      </c>
      <c r="F173" s="7" t="s">
        <v>11</v>
      </c>
      <c r="G173" s="8">
        <v>42180</v>
      </c>
      <c r="H173" s="8">
        <v>42184</v>
      </c>
      <c r="I173" s="9">
        <f ca="1">IF(NETWORKDAYS(G173,TODAY())/NETWORKDAYS(G173,H173,)&lt;0,0,IF(NETWORKDAYS(G173,TODAY())/NETWORKDAYS(G173,H173,)&gt;1,1,NETWORKDAYS(G173,TODAY())/NETWORKDAYS(G173,H173,)))</f>
        <v>1</v>
      </c>
      <c r="J173" s="9">
        <v>0</v>
      </c>
      <c r="K173" s="10">
        <f t="shared" ref="K173:K195" si="15">NETWORKDAYS(G173,H173)</f>
        <v>3</v>
      </c>
      <c r="L173" s="4">
        <f>K173*8</f>
        <v>24</v>
      </c>
      <c r="M173" s="4" t="s">
        <v>109</v>
      </c>
      <c r="N173" s="4" t="s">
        <v>110</v>
      </c>
      <c r="O173" s="5">
        <f ca="1">I173*L173</f>
        <v>24</v>
      </c>
      <c r="P173" s="5">
        <f>J173*L173</f>
        <v>0</v>
      </c>
      <c r="Q173" s="5">
        <v>100</v>
      </c>
    </row>
    <row r="174" spans="1:17" ht="14.25" customHeight="1" x14ac:dyDescent="0.25">
      <c r="A174" s="11" t="s">
        <v>525</v>
      </c>
      <c r="B174" s="30" t="s">
        <v>526</v>
      </c>
      <c r="C174" s="30" t="s">
        <v>411</v>
      </c>
      <c r="D174" s="12" t="s">
        <v>40</v>
      </c>
      <c r="E174" s="12" t="s">
        <v>46</v>
      </c>
      <c r="F174" s="12" t="s">
        <v>34</v>
      </c>
      <c r="G174" s="22">
        <f>G171</f>
        <v>42178</v>
      </c>
      <c r="H174" s="22">
        <f>H173</f>
        <v>42184</v>
      </c>
      <c r="I174" s="13">
        <f ca="1">SUM(O170:O173)/L174</f>
        <v>1</v>
      </c>
      <c r="J174" s="13">
        <f>SUM(P170:P173)/L174</f>
        <v>0</v>
      </c>
      <c r="K174" s="14">
        <f t="shared" si="15"/>
        <v>5</v>
      </c>
      <c r="L174" s="11">
        <f>SUM(L170:L173)</f>
        <v>64</v>
      </c>
      <c r="M174" s="13" t="s">
        <v>109</v>
      </c>
      <c r="N174" s="13" t="s">
        <v>110</v>
      </c>
      <c r="O174" s="5"/>
      <c r="P174" s="5"/>
      <c r="Q174" s="5"/>
    </row>
    <row r="175" spans="1:17" ht="14.25" customHeight="1" x14ac:dyDescent="0.25">
      <c r="A175" s="4" t="s">
        <v>527</v>
      </c>
      <c r="B175" s="29" t="s">
        <v>528</v>
      </c>
      <c r="C175" s="29" t="s">
        <v>411</v>
      </c>
      <c r="D175" s="5" t="s">
        <v>40</v>
      </c>
      <c r="E175" s="5" t="s">
        <v>46</v>
      </c>
      <c r="F175" s="7" t="s">
        <v>9</v>
      </c>
      <c r="G175" s="8">
        <v>42191</v>
      </c>
      <c r="H175" s="8">
        <v>42191</v>
      </c>
      <c r="I175" s="9">
        <f ca="1">IF(NETWORKDAYS(G175,TODAY())/NETWORKDAYS(G175,H175,)&lt;0,0,IF(NETWORKDAYS(G175,TODAY())/NETWORKDAYS(G175,H175,)&gt;1,1,NETWORKDAYS(G175,TODAY())/NETWORKDAYS(G175,H175,)))</f>
        <v>1</v>
      </c>
      <c r="J175" s="9">
        <v>0</v>
      </c>
      <c r="K175" s="10">
        <f t="shared" si="15"/>
        <v>1</v>
      </c>
      <c r="L175" s="4">
        <f>K175*8</f>
        <v>8</v>
      </c>
      <c r="M175" s="4" t="s">
        <v>100</v>
      </c>
      <c r="N175" s="4" t="s">
        <v>125</v>
      </c>
      <c r="O175" s="5">
        <f ca="1">I175*L175</f>
        <v>8</v>
      </c>
      <c r="P175" s="5">
        <f>J175*L175</f>
        <v>0</v>
      </c>
      <c r="Q175" s="5">
        <v>100</v>
      </c>
    </row>
    <row r="176" spans="1:17" ht="15.75" customHeight="1" x14ac:dyDescent="0.25">
      <c r="A176" s="4" t="s">
        <v>527</v>
      </c>
      <c r="B176" s="29" t="s">
        <v>528</v>
      </c>
      <c r="C176" s="29" t="s">
        <v>411</v>
      </c>
      <c r="D176" s="5" t="s">
        <v>40</v>
      </c>
      <c r="E176" s="5" t="s">
        <v>46</v>
      </c>
      <c r="F176" s="7" t="s">
        <v>10</v>
      </c>
      <c r="G176" s="8">
        <v>42192</v>
      </c>
      <c r="H176" s="8">
        <v>42193</v>
      </c>
      <c r="I176" s="9">
        <f ca="1">IF(NETWORKDAYS(G176,TODAY())/NETWORKDAYS(G176,H176,)&lt;0,0,IF(NETWORKDAYS(G176,TODAY())/NETWORKDAYS(G176,H176,)&gt;1,1,NETWORKDAYS(G176,TODAY())/NETWORKDAYS(G176,H176,)))</f>
        <v>1</v>
      </c>
      <c r="J176" s="9">
        <v>0</v>
      </c>
      <c r="K176" s="10">
        <f t="shared" si="15"/>
        <v>2</v>
      </c>
      <c r="L176" s="4">
        <f>K176*8</f>
        <v>16</v>
      </c>
      <c r="M176" s="4" t="s">
        <v>100</v>
      </c>
      <c r="N176" s="4" t="s">
        <v>125</v>
      </c>
      <c r="O176" s="5">
        <f ca="1">I176*L176</f>
        <v>16</v>
      </c>
      <c r="P176" s="5">
        <f>J176*L176</f>
        <v>0</v>
      </c>
      <c r="Q176" s="5">
        <v>100</v>
      </c>
    </row>
    <row r="177" spans="1:17" ht="14.25" customHeight="1" x14ac:dyDescent="0.25">
      <c r="A177" s="4" t="s">
        <v>527</v>
      </c>
      <c r="B177" s="29" t="s">
        <v>528</v>
      </c>
      <c r="C177" s="29" t="s">
        <v>411</v>
      </c>
      <c r="D177" s="5" t="s">
        <v>40</v>
      </c>
      <c r="E177" s="5" t="s">
        <v>46</v>
      </c>
      <c r="F177" s="33" t="s">
        <v>8</v>
      </c>
      <c r="G177" s="8">
        <v>42194</v>
      </c>
      <c r="H177" s="8">
        <v>42194</v>
      </c>
      <c r="I177" s="9">
        <f ca="1">IF(NETWORKDAYS(G177,TODAY())/NETWORKDAYS(G177,H177,)&lt;0,0,IF(NETWORKDAYS(G177,TODAY())/NETWORKDAYS(G177,H177,)&gt;1,1,NETWORKDAYS(G177,TODAY())/NETWORKDAYS(G177,H177,)))</f>
        <v>1</v>
      </c>
      <c r="J177" s="9">
        <v>0</v>
      </c>
      <c r="K177" s="10">
        <f t="shared" si="15"/>
        <v>1</v>
      </c>
      <c r="L177" s="4">
        <f>K177*8</f>
        <v>8</v>
      </c>
      <c r="M177" s="4" t="s">
        <v>100</v>
      </c>
      <c r="N177" s="4" t="s">
        <v>125</v>
      </c>
      <c r="O177" s="5">
        <f ca="1">I177*L177</f>
        <v>8</v>
      </c>
      <c r="P177" s="5">
        <f>J177*L177</f>
        <v>0</v>
      </c>
      <c r="Q177" s="5">
        <v>100</v>
      </c>
    </row>
    <row r="178" spans="1:17" ht="14.25" customHeight="1" x14ac:dyDescent="0.25">
      <c r="A178" s="4" t="s">
        <v>527</v>
      </c>
      <c r="B178" s="29" t="s">
        <v>528</v>
      </c>
      <c r="C178" s="29" t="s">
        <v>411</v>
      </c>
      <c r="D178" s="5" t="s">
        <v>40</v>
      </c>
      <c r="E178" s="5" t="s">
        <v>46</v>
      </c>
      <c r="F178" s="7" t="s">
        <v>11</v>
      </c>
      <c r="G178" s="8">
        <v>42195</v>
      </c>
      <c r="H178" s="8">
        <v>42195</v>
      </c>
      <c r="I178" s="9">
        <f ca="1">IF(NETWORKDAYS(G178,TODAY())/NETWORKDAYS(G178,H178,)&lt;0,0,IF(NETWORKDAYS(G178,TODAY())/NETWORKDAYS(G178,H178,)&gt;1,1,NETWORKDAYS(G178,TODAY())/NETWORKDAYS(G178,H178,)))</f>
        <v>1</v>
      </c>
      <c r="J178" s="9">
        <v>0</v>
      </c>
      <c r="K178" s="10">
        <f t="shared" si="15"/>
        <v>1</v>
      </c>
      <c r="L178" s="4">
        <f>K178*8</f>
        <v>8</v>
      </c>
      <c r="M178" s="4" t="s">
        <v>100</v>
      </c>
      <c r="N178" s="4" t="s">
        <v>125</v>
      </c>
      <c r="O178" s="5">
        <f ca="1">I178*L178</f>
        <v>8</v>
      </c>
      <c r="P178" s="5">
        <f>J178*L178</f>
        <v>0</v>
      </c>
      <c r="Q178" s="5">
        <v>100</v>
      </c>
    </row>
    <row r="179" spans="1:17" ht="14.25" customHeight="1" x14ac:dyDescent="0.25">
      <c r="A179" s="11" t="s">
        <v>527</v>
      </c>
      <c r="B179" s="30" t="s">
        <v>528</v>
      </c>
      <c r="C179" s="30" t="s">
        <v>411</v>
      </c>
      <c r="D179" s="12" t="s">
        <v>40</v>
      </c>
      <c r="E179" s="12" t="s">
        <v>46</v>
      </c>
      <c r="F179" s="12" t="s">
        <v>34</v>
      </c>
      <c r="G179" s="22">
        <f>G175</f>
        <v>42191</v>
      </c>
      <c r="H179" s="22">
        <f>H178</f>
        <v>42195</v>
      </c>
      <c r="I179" s="13">
        <f ca="1">SUM(O175:O178)/L179</f>
        <v>1</v>
      </c>
      <c r="J179" s="13">
        <f>SUM(P175:P178)/L179</f>
        <v>0</v>
      </c>
      <c r="K179" s="14">
        <f t="shared" si="15"/>
        <v>5</v>
      </c>
      <c r="L179" s="11">
        <f>SUM(L175:L178)</f>
        <v>40</v>
      </c>
      <c r="M179" s="13" t="s">
        <v>100</v>
      </c>
      <c r="N179" s="13" t="s">
        <v>125</v>
      </c>
      <c r="O179" s="5"/>
      <c r="P179" s="5"/>
      <c r="Q179" s="5"/>
    </row>
    <row r="180" spans="1:17" ht="14.25" customHeight="1" x14ac:dyDescent="0.25">
      <c r="A180" s="4" t="s">
        <v>529</v>
      </c>
      <c r="B180" s="29" t="s">
        <v>530</v>
      </c>
      <c r="C180" s="29" t="s">
        <v>411</v>
      </c>
      <c r="D180" s="5" t="s">
        <v>37</v>
      </c>
      <c r="E180" s="5" t="s">
        <v>46</v>
      </c>
      <c r="F180" s="7" t="s">
        <v>9</v>
      </c>
      <c r="G180" s="8">
        <v>42185</v>
      </c>
      <c r="H180" s="8">
        <v>42185</v>
      </c>
      <c r="I180" s="9">
        <f ca="1">IF(NETWORKDAYS(G180,TODAY())/NETWORKDAYS(G180,H180,)&lt;0,0,IF(NETWORKDAYS(G180,TODAY())/NETWORKDAYS(G180,H180,)&gt;1,1,NETWORKDAYS(G180,TODAY())/NETWORKDAYS(G180,H180,)))</f>
        <v>1</v>
      </c>
      <c r="J180" s="9">
        <v>0</v>
      </c>
      <c r="K180" s="10">
        <f t="shared" si="15"/>
        <v>1</v>
      </c>
      <c r="L180" s="4">
        <f>K180*8</f>
        <v>8</v>
      </c>
      <c r="M180" s="4" t="s">
        <v>109</v>
      </c>
      <c r="N180" s="4" t="s">
        <v>110</v>
      </c>
      <c r="O180" s="5">
        <f ca="1">I180*L180</f>
        <v>8</v>
      </c>
      <c r="P180" s="5">
        <f>J180*L180</f>
        <v>0</v>
      </c>
      <c r="Q180" s="5">
        <v>100</v>
      </c>
    </row>
    <row r="181" spans="1:17" ht="15.75" customHeight="1" x14ac:dyDescent="0.25">
      <c r="A181" s="4" t="s">
        <v>529</v>
      </c>
      <c r="B181" s="29" t="s">
        <v>530</v>
      </c>
      <c r="C181" s="29" t="s">
        <v>411</v>
      </c>
      <c r="D181" s="5" t="s">
        <v>37</v>
      </c>
      <c r="E181" s="5" t="s">
        <v>46</v>
      </c>
      <c r="F181" s="7" t="s">
        <v>10</v>
      </c>
      <c r="G181" s="8">
        <v>42185</v>
      </c>
      <c r="H181" s="8">
        <v>42186</v>
      </c>
      <c r="I181" s="9">
        <f ca="1">IF(NETWORKDAYS(G181,TODAY())/NETWORKDAYS(G181,H181,)&lt;0,0,IF(NETWORKDAYS(G181,TODAY())/NETWORKDAYS(G181,H181,)&gt;1,1,NETWORKDAYS(G181,TODAY())/NETWORKDAYS(G181,H181,)))</f>
        <v>1</v>
      </c>
      <c r="J181" s="9">
        <v>0</v>
      </c>
      <c r="K181" s="10">
        <f t="shared" si="15"/>
        <v>2</v>
      </c>
      <c r="L181" s="4">
        <f>K181*8</f>
        <v>16</v>
      </c>
      <c r="M181" s="4" t="s">
        <v>109</v>
      </c>
      <c r="N181" s="4" t="s">
        <v>110</v>
      </c>
      <c r="O181" s="5">
        <f ca="1">I181*L181</f>
        <v>16</v>
      </c>
      <c r="P181" s="5">
        <f>J181*L181</f>
        <v>0</v>
      </c>
      <c r="Q181" s="5">
        <v>100</v>
      </c>
    </row>
    <row r="182" spans="1:17" ht="14.25" customHeight="1" x14ac:dyDescent="0.25">
      <c r="A182" s="4" t="s">
        <v>529</v>
      </c>
      <c r="B182" s="29" t="s">
        <v>530</v>
      </c>
      <c r="C182" s="29" t="s">
        <v>411</v>
      </c>
      <c r="D182" s="5" t="s">
        <v>37</v>
      </c>
      <c r="E182" s="5" t="s">
        <v>46</v>
      </c>
      <c r="F182" s="33" t="s">
        <v>8</v>
      </c>
      <c r="G182" s="8" t="s">
        <v>743</v>
      </c>
      <c r="H182" s="8">
        <v>42187</v>
      </c>
      <c r="I182" s="9">
        <f ca="1">IF(NETWORKDAYS(G182,TODAY())/NETWORKDAYS(G182,H182,)&lt;0,0,IF(NETWORKDAYS(G182,TODAY())/NETWORKDAYS(G182,H182,)&gt;1,1,NETWORKDAYS(G182,TODAY())/NETWORKDAYS(G182,H182,)))</f>
        <v>1</v>
      </c>
      <c r="J182" s="9">
        <v>0</v>
      </c>
      <c r="K182" s="10">
        <f t="shared" si="15"/>
        <v>2</v>
      </c>
      <c r="L182" s="4">
        <f>K182*8</f>
        <v>16</v>
      </c>
      <c r="M182" s="4" t="s">
        <v>109</v>
      </c>
      <c r="N182" s="4" t="s">
        <v>110</v>
      </c>
      <c r="O182" s="5">
        <f ca="1">I182*L182</f>
        <v>16</v>
      </c>
      <c r="P182" s="5">
        <f>J182*L182</f>
        <v>0</v>
      </c>
      <c r="Q182" s="5">
        <v>100</v>
      </c>
    </row>
    <row r="183" spans="1:17" ht="14.25" customHeight="1" x14ac:dyDescent="0.25">
      <c r="A183" s="4" t="s">
        <v>529</v>
      </c>
      <c r="B183" s="29" t="s">
        <v>530</v>
      </c>
      <c r="C183" s="29" t="s">
        <v>411</v>
      </c>
      <c r="D183" s="5" t="s">
        <v>37</v>
      </c>
      <c r="E183" s="5" t="s">
        <v>46</v>
      </c>
      <c r="F183" s="7" t="s">
        <v>11</v>
      </c>
      <c r="G183" s="8">
        <v>42187</v>
      </c>
      <c r="H183" s="8" t="s">
        <v>531</v>
      </c>
      <c r="I183" s="9">
        <f ca="1">IF(NETWORKDAYS(G183,TODAY())/NETWORKDAYS(G183,H183,)&lt;0,0,IF(NETWORKDAYS(G183,TODAY())/NETWORKDAYS(G183,H183,)&gt;1,1,NETWORKDAYS(G183,TODAY())/NETWORKDAYS(G183,H183,)))</f>
        <v>1</v>
      </c>
      <c r="J183" s="9">
        <v>0</v>
      </c>
      <c r="K183" s="10">
        <f t="shared" si="15"/>
        <v>2</v>
      </c>
      <c r="L183" s="4">
        <f>K183*8</f>
        <v>16</v>
      </c>
      <c r="M183" s="4" t="s">
        <v>109</v>
      </c>
      <c r="N183" s="4" t="s">
        <v>110</v>
      </c>
      <c r="O183" s="5">
        <f ca="1">I183*L183</f>
        <v>16</v>
      </c>
      <c r="P183" s="5">
        <f>J183*L183</f>
        <v>0</v>
      </c>
      <c r="Q183" s="5">
        <v>100</v>
      </c>
    </row>
    <row r="184" spans="1:17" ht="14.25" customHeight="1" x14ac:dyDescent="0.25">
      <c r="A184" s="11" t="s">
        <v>529</v>
      </c>
      <c r="B184" s="30" t="s">
        <v>530</v>
      </c>
      <c r="C184" s="30" t="s">
        <v>411</v>
      </c>
      <c r="D184" s="12" t="s">
        <v>37</v>
      </c>
      <c r="E184" s="12" t="s">
        <v>46</v>
      </c>
      <c r="F184" s="12" t="s">
        <v>34</v>
      </c>
      <c r="G184" s="22">
        <f>G180</f>
        <v>42185</v>
      </c>
      <c r="H184" s="22" t="s">
        <v>531</v>
      </c>
      <c r="I184" s="13">
        <f ca="1">SUM(O180:O183)/L184</f>
        <v>1</v>
      </c>
      <c r="J184" s="13">
        <f>SUM(P180:P183)/L184</f>
        <v>0</v>
      </c>
      <c r="K184" s="14">
        <f t="shared" si="15"/>
        <v>4</v>
      </c>
      <c r="L184" s="11">
        <f>SUM(L180:L183)</f>
        <v>56</v>
      </c>
      <c r="M184" s="13" t="s">
        <v>109</v>
      </c>
      <c r="N184" s="13" t="s">
        <v>110</v>
      </c>
      <c r="O184" s="5"/>
      <c r="P184" s="5"/>
      <c r="Q184" s="5"/>
    </row>
    <row r="185" spans="1:17" ht="14.25" customHeight="1" x14ac:dyDescent="0.25">
      <c r="A185" s="4" t="s">
        <v>532</v>
      </c>
      <c r="B185" s="29" t="s">
        <v>533</v>
      </c>
      <c r="C185" s="29" t="s">
        <v>411</v>
      </c>
      <c r="D185" s="5" t="s">
        <v>62</v>
      </c>
      <c r="E185" s="5" t="s">
        <v>53</v>
      </c>
      <c r="F185" s="7" t="s">
        <v>9</v>
      </c>
      <c r="G185" s="8">
        <v>42158</v>
      </c>
      <c r="H185" s="8">
        <v>42160</v>
      </c>
      <c r="I185" s="9">
        <f ca="1">IF(NETWORKDAYS(G185,TODAY())/NETWORKDAYS(G185,H185,)&lt;0,0,IF(NETWORKDAYS(G185,TODAY())/NETWORKDAYS(G185,H185,)&gt;1,1,NETWORKDAYS(G185,TODAY())/NETWORKDAYS(G185,H185,)))</f>
        <v>1</v>
      </c>
      <c r="J185" s="9">
        <v>1</v>
      </c>
      <c r="K185" s="10">
        <f t="shared" si="15"/>
        <v>3</v>
      </c>
      <c r="L185" s="4">
        <f>K185*8</f>
        <v>24</v>
      </c>
      <c r="M185" s="4" t="s">
        <v>103</v>
      </c>
      <c r="N185" s="4" t="s">
        <v>104</v>
      </c>
      <c r="O185" s="5">
        <f ca="1">I185*L185</f>
        <v>24</v>
      </c>
      <c r="P185" s="5">
        <f>J185*L185</f>
        <v>24</v>
      </c>
      <c r="Q185" s="5">
        <v>100</v>
      </c>
    </row>
    <row r="186" spans="1:17" ht="15.75" customHeight="1" x14ac:dyDescent="0.25">
      <c r="A186" s="4" t="s">
        <v>532</v>
      </c>
      <c r="B186" s="29" t="s">
        <v>533</v>
      </c>
      <c r="C186" s="29" t="s">
        <v>411</v>
      </c>
      <c r="D186" s="5" t="s">
        <v>62</v>
      </c>
      <c r="E186" s="5" t="s">
        <v>53</v>
      </c>
      <c r="F186" s="7" t="s">
        <v>10</v>
      </c>
      <c r="G186" s="8">
        <v>42160</v>
      </c>
      <c r="H186" s="8">
        <v>42162</v>
      </c>
      <c r="I186" s="9">
        <f ca="1">IF(NETWORKDAYS(G186,TODAY())/NETWORKDAYS(G186,H186,)&lt;0,0,IF(NETWORKDAYS(G186,TODAY())/NETWORKDAYS(G186,H186,)&gt;1,1,NETWORKDAYS(G186,TODAY())/NETWORKDAYS(G186,H186,)))</f>
        <v>1</v>
      </c>
      <c r="J186" s="9">
        <v>1</v>
      </c>
      <c r="K186" s="10">
        <f t="shared" si="15"/>
        <v>1</v>
      </c>
      <c r="L186" s="4">
        <f>K186*8</f>
        <v>8</v>
      </c>
      <c r="M186" s="4" t="s">
        <v>103</v>
      </c>
      <c r="N186" s="4" t="s">
        <v>104</v>
      </c>
      <c r="O186" s="5">
        <f ca="1">I186*L186</f>
        <v>8</v>
      </c>
      <c r="P186" s="5">
        <f>J186*L186</f>
        <v>8</v>
      </c>
      <c r="Q186" s="5">
        <v>100</v>
      </c>
    </row>
    <row r="187" spans="1:17" ht="14.25" customHeight="1" x14ac:dyDescent="0.25">
      <c r="A187" s="4" t="s">
        <v>532</v>
      </c>
      <c r="B187" s="29" t="s">
        <v>533</v>
      </c>
      <c r="C187" s="29" t="s">
        <v>411</v>
      </c>
      <c r="D187" s="5" t="s">
        <v>62</v>
      </c>
      <c r="E187" s="5" t="s">
        <v>53</v>
      </c>
      <c r="F187" s="33" t="s">
        <v>8</v>
      </c>
      <c r="G187" s="8">
        <v>42162</v>
      </c>
      <c r="H187" s="8">
        <v>42164</v>
      </c>
      <c r="I187" s="9">
        <f ca="1">IF(NETWORKDAYS(G187,TODAY())/NETWORKDAYS(G187,H187,)&lt;0,0,IF(NETWORKDAYS(G187,TODAY())/NETWORKDAYS(G187,H187,)&gt;1,1,NETWORKDAYS(G187,TODAY())/NETWORKDAYS(G187,H187,)))</f>
        <v>1</v>
      </c>
      <c r="J187" s="9">
        <v>1</v>
      </c>
      <c r="K187" s="10">
        <f t="shared" si="15"/>
        <v>2</v>
      </c>
      <c r="L187" s="4">
        <f>K187*8</f>
        <v>16</v>
      </c>
      <c r="M187" s="4" t="s">
        <v>103</v>
      </c>
      <c r="N187" s="4" t="s">
        <v>104</v>
      </c>
      <c r="O187" s="5">
        <f ca="1">I187*L187</f>
        <v>16</v>
      </c>
      <c r="P187" s="5">
        <f>J187*L187</f>
        <v>16</v>
      </c>
      <c r="Q187" s="5">
        <v>100</v>
      </c>
    </row>
    <row r="188" spans="1:17" ht="14.25" customHeight="1" x14ac:dyDescent="0.25">
      <c r="A188" s="4" t="s">
        <v>532</v>
      </c>
      <c r="B188" s="29" t="s">
        <v>533</v>
      </c>
      <c r="C188" s="29" t="s">
        <v>411</v>
      </c>
      <c r="D188" s="5" t="s">
        <v>62</v>
      </c>
      <c r="E188" s="5" t="s">
        <v>53</v>
      </c>
      <c r="F188" s="7" t="s">
        <v>11</v>
      </c>
      <c r="G188" s="8">
        <v>42164</v>
      </c>
      <c r="H188" s="8" t="s">
        <v>505</v>
      </c>
      <c r="I188" s="9">
        <f ca="1">IF(NETWORKDAYS(G188,TODAY())/NETWORKDAYS(G188,H188,)&lt;0,0,IF(NETWORKDAYS(G188,TODAY())/NETWORKDAYS(G188,H188,)&gt;1,1,NETWORKDAYS(G188,TODAY())/NETWORKDAYS(G188,H188,)))</f>
        <v>1</v>
      </c>
      <c r="J188" s="9">
        <v>1</v>
      </c>
      <c r="K188" s="10">
        <f t="shared" si="15"/>
        <v>4</v>
      </c>
      <c r="L188" s="4">
        <f>K188*8</f>
        <v>32</v>
      </c>
      <c r="M188" s="4" t="s">
        <v>103</v>
      </c>
      <c r="N188" s="4" t="s">
        <v>104</v>
      </c>
      <c r="O188" s="5">
        <f ca="1">I188*L188</f>
        <v>32</v>
      </c>
      <c r="P188" s="5">
        <f>J188*L188</f>
        <v>32</v>
      </c>
      <c r="Q188" s="5">
        <v>100</v>
      </c>
    </row>
    <row r="189" spans="1:17" ht="14.25" customHeight="1" x14ac:dyDescent="0.25">
      <c r="A189" s="11" t="s">
        <v>532</v>
      </c>
      <c r="B189" s="30" t="s">
        <v>533</v>
      </c>
      <c r="C189" s="30" t="s">
        <v>411</v>
      </c>
      <c r="D189" s="12" t="s">
        <v>62</v>
      </c>
      <c r="E189" s="12" t="s">
        <v>53</v>
      </c>
      <c r="F189" s="12" t="s">
        <v>34</v>
      </c>
      <c r="G189" s="22" t="s">
        <v>491</v>
      </c>
      <c r="H189" s="22" t="s">
        <v>505</v>
      </c>
      <c r="I189" s="13">
        <f ca="1">SUM(O185:O188)/L189</f>
        <v>1</v>
      </c>
      <c r="J189" s="13">
        <f>SUM(P185:P188)/L189</f>
        <v>1</v>
      </c>
      <c r="K189" s="14">
        <f t="shared" si="15"/>
        <v>8</v>
      </c>
      <c r="L189" s="11">
        <f>SUM(L185:L188)</f>
        <v>80</v>
      </c>
      <c r="M189" s="13" t="s">
        <v>103</v>
      </c>
      <c r="N189" s="13" t="s">
        <v>104</v>
      </c>
      <c r="O189" s="5"/>
      <c r="P189" s="5"/>
      <c r="Q189" s="5"/>
    </row>
    <row r="190" spans="1:17" ht="14.25" customHeight="1" x14ac:dyDescent="0.25">
      <c r="A190" s="4" t="s">
        <v>619</v>
      </c>
      <c r="B190" s="29" t="s">
        <v>78</v>
      </c>
      <c r="C190" s="29" t="s">
        <v>482</v>
      </c>
      <c r="D190" s="5" t="s">
        <v>68</v>
      </c>
      <c r="E190" s="5" t="s">
        <v>53</v>
      </c>
      <c r="F190" s="7" t="s">
        <v>9</v>
      </c>
      <c r="G190" s="8">
        <v>42171</v>
      </c>
      <c r="H190" s="8">
        <v>42174</v>
      </c>
      <c r="I190" s="9">
        <f ca="1">IF(NETWORKDAYS(G190,TODAY())/NETWORKDAYS(G190,H190,)&lt;0,0,IF(NETWORKDAYS(G190,TODAY())/NETWORKDAYS(G190,H190,)&gt;1,1,NETWORKDAYS(G190,TODAY())/NETWORKDAYS(G190,H190,)))</f>
        <v>1</v>
      </c>
      <c r="J190" s="9">
        <v>0.25</v>
      </c>
      <c r="K190" s="10">
        <f t="shared" si="15"/>
        <v>4</v>
      </c>
      <c r="L190" s="4">
        <f>K190*8</f>
        <v>32</v>
      </c>
      <c r="M190" s="4" t="s">
        <v>117</v>
      </c>
      <c r="N190" s="4" t="s">
        <v>118</v>
      </c>
      <c r="O190" s="5">
        <f ca="1">I190*L190</f>
        <v>32</v>
      </c>
      <c r="P190" s="5">
        <f>J190*L190</f>
        <v>8</v>
      </c>
      <c r="Q190" s="5">
        <v>100</v>
      </c>
    </row>
    <row r="191" spans="1:17" ht="15.75" customHeight="1" x14ac:dyDescent="0.25">
      <c r="A191" s="4" t="s">
        <v>619</v>
      </c>
      <c r="B191" s="29" t="s">
        <v>78</v>
      </c>
      <c r="C191" s="29" t="s">
        <v>482</v>
      </c>
      <c r="D191" s="5" t="s">
        <v>68</v>
      </c>
      <c r="E191" s="5" t="s">
        <v>53</v>
      </c>
      <c r="F191" s="7" t="s">
        <v>10</v>
      </c>
      <c r="G191" s="8">
        <v>42177</v>
      </c>
      <c r="H191" s="8">
        <v>42200</v>
      </c>
      <c r="I191" s="9">
        <f ca="1">IF(NETWORKDAYS(G191,TODAY())/NETWORKDAYS(G191,H191,)&lt;0,0,IF(NETWORKDAYS(G191,TODAY())/NETWORKDAYS(G191,H191,)&gt;1,1,NETWORKDAYS(G191,TODAY())/NETWORKDAYS(G191,H191,)))</f>
        <v>0.83333333333333337</v>
      </c>
      <c r="J191" s="9">
        <v>0</v>
      </c>
      <c r="K191" s="10">
        <f t="shared" si="15"/>
        <v>18</v>
      </c>
      <c r="L191" s="4">
        <f>K191*8</f>
        <v>144</v>
      </c>
      <c r="M191" s="4" t="s">
        <v>117</v>
      </c>
      <c r="N191" s="4" t="s">
        <v>118</v>
      </c>
      <c r="O191" s="5">
        <f ca="1">I191*L191</f>
        <v>120</v>
      </c>
      <c r="P191" s="5">
        <f>J191*L191</f>
        <v>0</v>
      </c>
      <c r="Q191" s="5">
        <v>100</v>
      </c>
    </row>
    <row r="192" spans="1:17" ht="14.25" customHeight="1" x14ac:dyDescent="0.25">
      <c r="A192" s="4" t="s">
        <v>619</v>
      </c>
      <c r="B192" s="29" t="s">
        <v>78</v>
      </c>
      <c r="C192" s="29" t="s">
        <v>482</v>
      </c>
      <c r="D192" s="5" t="s">
        <v>68</v>
      </c>
      <c r="E192" s="5" t="s">
        <v>53</v>
      </c>
      <c r="F192" s="33" t="s">
        <v>8</v>
      </c>
      <c r="G192" s="8">
        <v>42201</v>
      </c>
      <c r="H192" s="8">
        <v>42206</v>
      </c>
      <c r="I192" s="9">
        <f ca="1">IF(NETWORKDAYS(G192,TODAY())/NETWORKDAYS(G192,H192,)&lt;0,0,IF(NETWORKDAYS(G192,TODAY())/NETWORKDAYS(G192,H192,)&gt;1,1,NETWORKDAYS(G192,TODAY())/NETWORKDAYS(G192,H192,)))</f>
        <v>0</v>
      </c>
      <c r="J192" s="9">
        <v>0</v>
      </c>
      <c r="K192" s="10">
        <f t="shared" si="15"/>
        <v>4</v>
      </c>
      <c r="L192" s="4">
        <f>K192*8</f>
        <v>32</v>
      </c>
      <c r="M192" s="4" t="s">
        <v>117</v>
      </c>
      <c r="N192" s="4" t="s">
        <v>118</v>
      </c>
      <c r="O192" s="5">
        <f ca="1">I192*L192</f>
        <v>0</v>
      </c>
      <c r="P192" s="5">
        <f>J192*L192</f>
        <v>0</v>
      </c>
      <c r="Q192" s="5">
        <v>100</v>
      </c>
    </row>
    <row r="193" spans="1:17" ht="14.25" customHeight="1" x14ac:dyDescent="0.25">
      <c r="A193" s="4" t="s">
        <v>619</v>
      </c>
      <c r="B193" s="29" t="s">
        <v>78</v>
      </c>
      <c r="C193" s="29" t="s">
        <v>482</v>
      </c>
      <c r="D193" s="5" t="s">
        <v>68</v>
      </c>
      <c r="E193" s="5" t="s">
        <v>53</v>
      </c>
      <c r="F193" s="7" t="s">
        <v>11</v>
      </c>
      <c r="G193" s="8">
        <v>42207</v>
      </c>
      <c r="H193" s="8" t="s">
        <v>620</v>
      </c>
      <c r="I193" s="9">
        <f ca="1">IF(NETWORKDAYS(G193,TODAY())/NETWORKDAYS(G193,H193,)&lt;0,0,IF(NETWORKDAYS(G193,TODAY())/NETWORKDAYS(G193,H193,)&gt;1,1,NETWORKDAYS(G193,TODAY())/NETWORKDAYS(G193,H193,)))</f>
        <v>0</v>
      </c>
      <c r="J193" s="9">
        <v>0</v>
      </c>
      <c r="K193" s="10">
        <f t="shared" si="15"/>
        <v>4</v>
      </c>
      <c r="L193" s="4">
        <f>K193*8</f>
        <v>32</v>
      </c>
      <c r="M193" s="4" t="s">
        <v>117</v>
      </c>
      <c r="N193" s="4" t="s">
        <v>118</v>
      </c>
      <c r="O193" s="5">
        <f ca="1">I193*L193</f>
        <v>0</v>
      </c>
      <c r="P193" s="5">
        <f>J193*L193</f>
        <v>0</v>
      </c>
      <c r="Q193" s="5">
        <v>100</v>
      </c>
    </row>
    <row r="194" spans="1:17" ht="14.25" customHeight="1" x14ac:dyDescent="0.25">
      <c r="A194" s="11" t="s">
        <v>619</v>
      </c>
      <c r="B194" s="30" t="s">
        <v>78</v>
      </c>
      <c r="C194" s="30" t="s">
        <v>482</v>
      </c>
      <c r="D194" s="12" t="s">
        <v>68</v>
      </c>
      <c r="E194" s="12" t="s">
        <v>53</v>
      </c>
      <c r="F194" s="12" t="s">
        <v>34</v>
      </c>
      <c r="G194" s="22" t="s">
        <v>524</v>
      </c>
      <c r="H194" s="22" t="s">
        <v>620</v>
      </c>
      <c r="I194" s="13">
        <f ca="1">SUM(O190:O193)/L194</f>
        <v>0.6333333333333333</v>
      </c>
      <c r="J194" s="13">
        <f>SUM(P190:P193)/L194</f>
        <v>3.3333333333333333E-2</v>
      </c>
      <c r="K194" s="14">
        <f t="shared" si="15"/>
        <v>30</v>
      </c>
      <c r="L194" s="11">
        <f>SUM(L190:L193)</f>
        <v>240</v>
      </c>
      <c r="M194" s="13" t="s">
        <v>117</v>
      </c>
      <c r="N194" s="13" t="s">
        <v>118</v>
      </c>
      <c r="O194" s="5"/>
      <c r="P194" s="5"/>
      <c r="Q194" s="5"/>
    </row>
    <row r="195" spans="1:17" ht="14.25" customHeight="1" x14ac:dyDescent="0.25">
      <c r="A195" s="4" t="s">
        <v>621</v>
      </c>
      <c r="B195" s="29" t="s">
        <v>622</v>
      </c>
      <c r="C195" s="29" t="s">
        <v>482</v>
      </c>
      <c r="D195" s="5" t="s">
        <v>68</v>
      </c>
      <c r="E195" s="5" t="s">
        <v>53</v>
      </c>
      <c r="F195" s="7" t="s">
        <v>9</v>
      </c>
      <c r="G195" s="8">
        <v>42165</v>
      </c>
      <c r="H195" s="8">
        <v>42174</v>
      </c>
      <c r="I195" s="9">
        <f ca="1">IF(NETWORKDAYS(G195,TODAY())/NETWORKDAYS(G195,H195,)&lt;0,0,IF(NETWORKDAYS(G195,TODAY())/NETWORKDAYS(G195,H195,)&gt;1,1,NETWORKDAYS(G195,TODAY())/NETWORKDAYS(G195,H195,)))</f>
        <v>1</v>
      </c>
      <c r="J195" s="9">
        <v>0</v>
      </c>
      <c r="K195" s="10">
        <f t="shared" si="15"/>
        <v>8</v>
      </c>
      <c r="L195" s="4">
        <f>K195*8</f>
        <v>64</v>
      </c>
      <c r="M195" s="4" t="s">
        <v>105</v>
      </c>
      <c r="N195" s="4" t="s">
        <v>106</v>
      </c>
      <c r="O195" s="5">
        <f ca="1">I195*L195</f>
        <v>64</v>
      </c>
      <c r="P195" s="5">
        <f>J195*L195</f>
        <v>0</v>
      </c>
      <c r="Q195" s="5">
        <v>100</v>
      </c>
    </row>
    <row r="196" spans="1:17" ht="15.75" customHeight="1" x14ac:dyDescent="0.25">
      <c r="A196" s="4" t="s">
        <v>621</v>
      </c>
      <c r="B196" s="29" t="s">
        <v>622</v>
      </c>
      <c r="C196" s="29" t="s">
        <v>482</v>
      </c>
      <c r="D196" s="5" t="s">
        <v>68</v>
      </c>
      <c r="E196" s="5" t="s">
        <v>53</v>
      </c>
      <c r="F196" s="7" t="s">
        <v>10</v>
      </c>
      <c r="G196" s="8" t="s">
        <v>13</v>
      </c>
      <c r="H196" s="8" t="s">
        <v>13</v>
      </c>
      <c r="I196" s="9">
        <v>0</v>
      </c>
      <c r="J196" s="9">
        <v>0</v>
      </c>
      <c r="K196" s="10">
        <v>0</v>
      </c>
      <c r="L196" s="4">
        <f>K196*8</f>
        <v>0</v>
      </c>
      <c r="M196" s="4" t="s">
        <v>105</v>
      </c>
      <c r="N196" s="4" t="s">
        <v>106</v>
      </c>
      <c r="O196" s="5">
        <f>I196*L196</f>
        <v>0</v>
      </c>
      <c r="P196" s="5">
        <f>J196*L196</f>
        <v>0</v>
      </c>
      <c r="Q196" s="5">
        <v>100</v>
      </c>
    </row>
    <row r="197" spans="1:17" ht="14.25" customHeight="1" x14ac:dyDescent="0.25">
      <c r="A197" s="4" t="s">
        <v>621</v>
      </c>
      <c r="B197" s="29" t="s">
        <v>622</v>
      </c>
      <c r="C197" s="29" t="s">
        <v>482</v>
      </c>
      <c r="D197" s="5" t="s">
        <v>68</v>
      </c>
      <c r="E197" s="5" t="s">
        <v>53</v>
      </c>
      <c r="F197" s="33" t="s">
        <v>8</v>
      </c>
      <c r="G197" s="8" t="s">
        <v>13</v>
      </c>
      <c r="H197" s="8" t="s">
        <v>13</v>
      </c>
      <c r="I197" s="9">
        <v>0</v>
      </c>
      <c r="J197" s="9">
        <v>0</v>
      </c>
      <c r="K197" s="10">
        <v>0</v>
      </c>
      <c r="L197" s="4">
        <f>K197*8</f>
        <v>0</v>
      </c>
      <c r="M197" s="4" t="s">
        <v>105</v>
      </c>
      <c r="N197" s="4" t="s">
        <v>106</v>
      </c>
      <c r="O197" s="5">
        <f>I197*L197</f>
        <v>0</v>
      </c>
      <c r="P197" s="5">
        <f>J197*L197</f>
        <v>0</v>
      </c>
      <c r="Q197" s="5">
        <v>100</v>
      </c>
    </row>
    <row r="198" spans="1:17" ht="14.25" customHeight="1" x14ac:dyDescent="0.25">
      <c r="A198" s="4" t="s">
        <v>621</v>
      </c>
      <c r="B198" s="29" t="s">
        <v>622</v>
      </c>
      <c r="C198" s="29" t="s">
        <v>482</v>
      </c>
      <c r="D198" s="5" t="s">
        <v>68</v>
      </c>
      <c r="E198" s="5" t="s">
        <v>53</v>
      </c>
      <c r="F198" s="7" t="s">
        <v>11</v>
      </c>
      <c r="G198" s="8" t="s">
        <v>13</v>
      </c>
      <c r="H198" s="8" t="s">
        <v>13</v>
      </c>
      <c r="I198" s="9">
        <v>0</v>
      </c>
      <c r="J198" s="9">
        <v>0</v>
      </c>
      <c r="K198" s="10">
        <v>0</v>
      </c>
      <c r="L198" s="4">
        <f>K198*8</f>
        <v>0</v>
      </c>
      <c r="M198" s="4" t="s">
        <v>105</v>
      </c>
      <c r="N198" s="4" t="s">
        <v>106</v>
      </c>
      <c r="O198" s="5">
        <f>I198*L198</f>
        <v>0</v>
      </c>
      <c r="P198" s="5">
        <f>J198*L198</f>
        <v>0</v>
      </c>
      <c r="Q198" s="5">
        <v>100</v>
      </c>
    </row>
    <row r="199" spans="1:17" ht="14.25" customHeight="1" x14ac:dyDescent="0.25">
      <c r="A199" s="11" t="s">
        <v>621</v>
      </c>
      <c r="B199" s="30" t="s">
        <v>622</v>
      </c>
      <c r="C199" s="30" t="s">
        <v>482</v>
      </c>
      <c r="D199" s="12" t="s">
        <v>68</v>
      </c>
      <c r="E199" s="12" t="s">
        <v>53</v>
      </c>
      <c r="F199" s="12" t="s">
        <v>34</v>
      </c>
      <c r="G199" s="22" t="s">
        <v>623</v>
      </c>
      <c r="H199" s="22">
        <f>H195</f>
        <v>42174</v>
      </c>
      <c r="I199" s="13">
        <f ca="1">SUM(O195:O198)/L199</f>
        <v>1</v>
      </c>
      <c r="J199" s="13">
        <f>SUM(P195:P198)/L199</f>
        <v>0</v>
      </c>
      <c r="K199" s="14">
        <f t="shared" ref="K199:K214" si="16">NETWORKDAYS(G199,H199)</f>
        <v>8</v>
      </c>
      <c r="L199" s="11">
        <f>SUM(L195:L198)</f>
        <v>64</v>
      </c>
      <c r="M199" s="13" t="s">
        <v>105</v>
      </c>
      <c r="N199" s="13" t="s">
        <v>106</v>
      </c>
      <c r="O199" s="5"/>
      <c r="P199" s="5"/>
      <c r="Q199" s="5"/>
    </row>
    <row r="200" spans="1:17" ht="14.25" customHeight="1" x14ac:dyDescent="0.25">
      <c r="A200" s="4" t="s">
        <v>137</v>
      </c>
      <c r="B200" s="29" t="s">
        <v>536</v>
      </c>
      <c r="C200" s="29" t="s">
        <v>482</v>
      </c>
      <c r="D200" s="5" t="s">
        <v>537</v>
      </c>
      <c r="E200" s="5" t="s">
        <v>53</v>
      </c>
      <c r="F200" s="7" t="s">
        <v>9</v>
      </c>
      <c r="G200" s="8">
        <v>42156</v>
      </c>
      <c r="H200" s="8">
        <v>42160</v>
      </c>
      <c r="I200" s="9">
        <f ca="1">IF(NETWORKDAYS(G200,TODAY())/NETWORKDAYS(G200,H200,)&lt;0,0,IF(NETWORKDAYS(G200,TODAY())/NETWORKDAYS(G200,H200,)&gt;1,1,NETWORKDAYS(G200,TODAY())/NETWORKDAYS(G200,H200,)))</f>
        <v>1</v>
      </c>
      <c r="J200" s="9">
        <v>1</v>
      </c>
      <c r="K200" s="10">
        <f t="shared" si="16"/>
        <v>5</v>
      </c>
      <c r="L200" s="4">
        <f>K200*8</f>
        <v>40</v>
      </c>
      <c r="M200" s="4" t="s">
        <v>138</v>
      </c>
      <c r="N200" s="4" t="s">
        <v>139</v>
      </c>
      <c r="O200" s="5">
        <f ca="1">I200*L200</f>
        <v>40</v>
      </c>
      <c r="P200" s="5">
        <f>J200*L200</f>
        <v>40</v>
      </c>
      <c r="Q200" s="5">
        <v>100</v>
      </c>
    </row>
    <row r="201" spans="1:17" ht="15.75" customHeight="1" x14ac:dyDescent="0.25">
      <c r="A201" s="4" t="s">
        <v>137</v>
      </c>
      <c r="B201" s="29" t="s">
        <v>536</v>
      </c>
      <c r="C201" s="29" t="s">
        <v>482</v>
      </c>
      <c r="D201" s="5" t="s">
        <v>537</v>
      </c>
      <c r="E201" s="5" t="s">
        <v>53</v>
      </c>
      <c r="F201" s="7" t="s">
        <v>10</v>
      </c>
      <c r="G201" s="8">
        <v>42160</v>
      </c>
      <c r="H201" s="8">
        <v>42167</v>
      </c>
      <c r="I201" s="9">
        <f ca="1">IF(NETWORKDAYS(G201,TODAY())/NETWORKDAYS(G201,H201,)&lt;0,0,IF(NETWORKDAYS(G201,TODAY())/NETWORKDAYS(G201,H201,)&gt;1,1,NETWORKDAYS(G201,TODAY())/NETWORKDAYS(G201,H201,)))</f>
        <v>1</v>
      </c>
      <c r="J201" s="9">
        <v>1</v>
      </c>
      <c r="K201" s="10">
        <f t="shared" si="16"/>
        <v>6</v>
      </c>
      <c r="L201" s="4">
        <f>K201*8</f>
        <v>48</v>
      </c>
      <c r="M201" s="4" t="s">
        <v>138</v>
      </c>
      <c r="N201" s="4" t="s">
        <v>139</v>
      </c>
      <c r="O201" s="5">
        <f ca="1">I201*L201</f>
        <v>48</v>
      </c>
      <c r="P201" s="5">
        <f>J201*L201</f>
        <v>48</v>
      </c>
      <c r="Q201" s="5">
        <v>100</v>
      </c>
    </row>
    <row r="202" spans="1:17" ht="14.25" customHeight="1" x14ac:dyDescent="0.25">
      <c r="A202" s="4" t="s">
        <v>137</v>
      </c>
      <c r="B202" s="29" t="s">
        <v>536</v>
      </c>
      <c r="C202" s="29" t="s">
        <v>482</v>
      </c>
      <c r="D202" s="5" t="s">
        <v>537</v>
      </c>
      <c r="E202" s="5" t="s">
        <v>53</v>
      </c>
      <c r="F202" s="33" t="s">
        <v>8</v>
      </c>
      <c r="G202" s="8">
        <v>42170</v>
      </c>
      <c r="H202" s="8">
        <v>42172</v>
      </c>
      <c r="I202" s="9">
        <f ca="1">IF(NETWORKDAYS(G202,TODAY())/NETWORKDAYS(G202,H202,)&lt;0,0,IF(NETWORKDAYS(G202,TODAY())/NETWORKDAYS(G202,H202,)&gt;1,1,NETWORKDAYS(G202,TODAY())/NETWORKDAYS(G202,H202,)))</f>
        <v>1</v>
      </c>
      <c r="J202" s="9">
        <v>0.67</v>
      </c>
      <c r="K202" s="10">
        <f t="shared" si="16"/>
        <v>3</v>
      </c>
      <c r="L202" s="4">
        <f>K202*8</f>
        <v>24</v>
      </c>
      <c r="M202" s="4" t="s">
        <v>138</v>
      </c>
      <c r="N202" s="4" t="s">
        <v>139</v>
      </c>
      <c r="O202" s="5">
        <f ca="1">I202*L202</f>
        <v>24</v>
      </c>
      <c r="P202" s="5">
        <f>J202*L202</f>
        <v>16.080000000000002</v>
      </c>
      <c r="Q202" s="5">
        <v>100</v>
      </c>
    </row>
    <row r="203" spans="1:17" ht="14.25" customHeight="1" x14ac:dyDescent="0.25">
      <c r="A203" s="4" t="s">
        <v>137</v>
      </c>
      <c r="B203" s="29" t="s">
        <v>536</v>
      </c>
      <c r="C203" s="29" t="s">
        <v>482</v>
      </c>
      <c r="D203" s="5" t="s">
        <v>537</v>
      </c>
      <c r="E203" s="5" t="s">
        <v>53</v>
      </c>
      <c r="F203" s="7" t="s">
        <v>11</v>
      </c>
      <c r="G203" s="8">
        <v>42173</v>
      </c>
      <c r="H203" s="8" t="s">
        <v>518</v>
      </c>
      <c r="I203" s="9">
        <f ca="1">IF(NETWORKDAYS(G203,TODAY())/NETWORKDAYS(G203,H203,)&lt;0,0,IF(NETWORKDAYS(G203,TODAY())/NETWORKDAYS(G203,H203,)&gt;1,1,NETWORKDAYS(G203,TODAY())/NETWORKDAYS(G203,H203,)))</f>
        <v>1</v>
      </c>
      <c r="J203" s="9">
        <v>0</v>
      </c>
      <c r="K203" s="10">
        <f t="shared" si="16"/>
        <v>2</v>
      </c>
      <c r="L203" s="4">
        <f>K203*8</f>
        <v>16</v>
      </c>
      <c r="M203" s="4" t="s">
        <v>138</v>
      </c>
      <c r="N203" s="4" t="s">
        <v>139</v>
      </c>
      <c r="O203" s="5">
        <f ca="1">I203*L203</f>
        <v>16</v>
      </c>
      <c r="P203" s="5">
        <f>J203*L203</f>
        <v>0</v>
      </c>
      <c r="Q203" s="5">
        <v>100</v>
      </c>
    </row>
    <row r="204" spans="1:17" ht="14.25" customHeight="1" x14ac:dyDescent="0.25">
      <c r="A204" s="11" t="s">
        <v>137</v>
      </c>
      <c r="B204" s="30" t="s">
        <v>536</v>
      </c>
      <c r="C204" s="30" t="s">
        <v>482</v>
      </c>
      <c r="D204" s="12" t="s">
        <v>537</v>
      </c>
      <c r="E204" s="12" t="s">
        <v>53</v>
      </c>
      <c r="F204" s="12" t="s">
        <v>34</v>
      </c>
      <c r="G204" s="22" t="s">
        <v>512</v>
      </c>
      <c r="H204" s="22" t="s">
        <v>518</v>
      </c>
      <c r="I204" s="13">
        <f ca="1">SUM(O200:O203)/L204</f>
        <v>1</v>
      </c>
      <c r="J204" s="13">
        <f>SUM(P200:P203)/L204</f>
        <v>0.81312499999999999</v>
      </c>
      <c r="K204" s="14">
        <f t="shared" si="16"/>
        <v>15</v>
      </c>
      <c r="L204" s="11">
        <f>SUM(L200:L203)</f>
        <v>128</v>
      </c>
      <c r="M204" s="13" t="s">
        <v>138</v>
      </c>
      <c r="N204" s="13" t="s">
        <v>139</v>
      </c>
      <c r="O204" s="5"/>
      <c r="P204" s="5"/>
      <c r="Q204" s="5"/>
    </row>
    <row r="205" spans="1:17" ht="14.25" customHeight="1" x14ac:dyDescent="0.25">
      <c r="A205" s="4" t="s">
        <v>81</v>
      </c>
      <c r="B205" s="29" t="s">
        <v>33</v>
      </c>
      <c r="C205" s="29" t="s">
        <v>482</v>
      </c>
      <c r="D205" s="5" t="s">
        <v>68</v>
      </c>
      <c r="E205" s="5" t="s">
        <v>624</v>
      </c>
      <c r="F205" s="7" t="s">
        <v>9</v>
      </c>
      <c r="G205" s="8">
        <v>42173</v>
      </c>
      <c r="H205" s="8">
        <v>42173</v>
      </c>
      <c r="I205" s="9">
        <f ca="1">IF(NETWORKDAYS(G205,TODAY())/NETWORKDAYS(G205,H205,)&lt;0,0,IF(NETWORKDAYS(G205,TODAY())/NETWORKDAYS(G205,H205,)&gt;1,1,NETWORKDAYS(G205,TODAY())/NETWORKDAYS(G205,H205,)))</f>
        <v>1</v>
      </c>
      <c r="J205" s="9">
        <v>0</v>
      </c>
      <c r="K205" s="10">
        <f t="shared" si="16"/>
        <v>1</v>
      </c>
      <c r="L205" s="4">
        <f>K205*8</f>
        <v>8</v>
      </c>
      <c r="M205" s="4" t="s">
        <v>123</v>
      </c>
      <c r="N205" s="4" t="s">
        <v>124</v>
      </c>
      <c r="O205" s="5">
        <f ca="1">I205*L205</f>
        <v>8</v>
      </c>
      <c r="P205" s="5">
        <f>J205*L205</f>
        <v>0</v>
      </c>
      <c r="Q205" s="5">
        <v>100</v>
      </c>
    </row>
    <row r="206" spans="1:17" ht="15.75" customHeight="1" x14ac:dyDescent="0.25">
      <c r="A206" s="4" t="s">
        <v>81</v>
      </c>
      <c r="B206" s="29" t="s">
        <v>33</v>
      </c>
      <c r="C206" s="29" t="s">
        <v>482</v>
      </c>
      <c r="D206" s="5" t="s">
        <v>68</v>
      </c>
      <c r="E206" s="5" t="s">
        <v>624</v>
      </c>
      <c r="F206" s="7" t="s">
        <v>10</v>
      </c>
      <c r="G206" s="8">
        <v>42173</v>
      </c>
      <c r="H206" s="8">
        <v>42178</v>
      </c>
      <c r="I206" s="9">
        <f ca="1">IF(NETWORKDAYS(G206,TODAY())/NETWORKDAYS(G206,H206,)&lt;0,0,IF(NETWORKDAYS(G206,TODAY())/NETWORKDAYS(G206,H206,)&gt;1,1,NETWORKDAYS(G206,TODAY())/NETWORKDAYS(G206,H206,)))</f>
        <v>1</v>
      </c>
      <c r="J206" s="9">
        <v>0</v>
      </c>
      <c r="K206" s="10">
        <f t="shared" si="16"/>
        <v>4</v>
      </c>
      <c r="L206" s="4">
        <f>K206*8</f>
        <v>32</v>
      </c>
      <c r="M206" s="4" t="s">
        <v>123</v>
      </c>
      <c r="N206" s="4" t="s">
        <v>124</v>
      </c>
      <c r="O206" s="5">
        <f ca="1">I206*L206</f>
        <v>32</v>
      </c>
      <c r="P206" s="5">
        <f>J206*L206</f>
        <v>0</v>
      </c>
      <c r="Q206" s="5">
        <v>100</v>
      </c>
    </row>
    <row r="207" spans="1:17" ht="14.25" customHeight="1" x14ac:dyDescent="0.25">
      <c r="A207" s="4" t="s">
        <v>81</v>
      </c>
      <c r="B207" s="29" t="s">
        <v>33</v>
      </c>
      <c r="C207" s="29" t="s">
        <v>482</v>
      </c>
      <c r="D207" s="5" t="s">
        <v>68</v>
      </c>
      <c r="E207" s="5" t="s">
        <v>624</v>
      </c>
      <c r="F207" s="33" t="s">
        <v>8</v>
      </c>
      <c r="G207" s="8">
        <v>42178</v>
      </c>
      <c r="H207" s="8">
        <v>42181</v>
      </c>
      <c r="I207" s="9">
        <f ca="1">IF(NETWORKDAYS(G207,TODAY())/NETWORKDAYS(G207,H207,)&lt;0,0,IF(NETWORKDAYS(G207,TODAY())/NETWORKDAYS(G207,H207,)&gt;1,1,NETWORKDAYS(G207,TODAY())/NETWORKDAYS(G207,H207,)))</f>
        <v>1</v>
      </c>
      <c r="J207" s="9">
        <v>0</v>
      </c>
      <c r="K207" s="10">
        <f t="shared" si="16"/>
        <v>4</v>
      </c>
      <c r="L207" s="4">
        <f>K207*8</f>
        <v>32</v>
      </c>
      <c r="M207" s="4" t="s">
        <v>123</v>
      </c>
      <c r="N207" s="4" t="s">
        <v>124</v>
      </c>
      <c r="O207" s="5">
        <f ca="1">I207*L207</f>
        <v>32</v>
      </c>
      <c r="P207" s="5">
        <f>J207*L207</f>
        <v>0</v>
      </c>
      <c r="Q207" s="5">
        <v>100</v>
      </c>
    </row>
    <row r="208" spans="1:17" ht="14.25" customHeight="1" x14ac:dyDescent="0.25">
      <c r="A208" s="4" t="s">
        <v>81</v>
      </c>
      <c r="B208" s="29" t="s">
        <v>33</v>
      </c>
      <c r="C208" s="29" t="s">
        <v>482</v>
      </c>
      <c r="D208" s="5" t="s">
        <v>68</v>
      </c>
      <c r="E208" s="5" t="s">
        <v>624</v>
      </c>
      <c r="F208" s="7" t="s">
        <v>11</v>
      </c>
      <c r="G208" s="8">
        <v>42181</v>
      </c>
      <c r="H208" s="8">
        <v>42195</v>
      </c>
      <c r="I208" s="9">
        <f ca="1">IF(NETWORKDAYS(G208,TODAY())/NETWORKDAYS(G208,H208,)&lt;0,0,IF(NETWORKDAYS(G208,TODAY())/NETWORKDAYS(G208,H208,)&gt;1,1,NETWORKDAYS(G208,TODAY())/NETWORKDAYS(G208,H208,)))</f>
        <v>1</v>
      </c>
      <c r="J208" s="9">
        <v>0</v>
      </c>
      <c r="K208" s="10">
        <f t="shared" si="16"/>
        <v>11</v>
      </c>
      <c r="L208" s="4">
        <f>K208*8</f>
        <v>88</v>
      </c>
      <c r="M208" s="4" t="s">
        <v>123</v>
      </c>
      <c r="N208" s="4" t="s">
        <v>124</v>
      </c>
      <c r="O208" s="5">
        <f ca="1">I208*L208</f>
        <v>88</v>
      </c>
      <c r="P208" s="5">
        <f>J208*L208</f>
        <v>0</v>
      </c>
      <c r="Q208" s="5">
        <v>100</v>
      </c>
    </row>
    <row r="209" spans="1:17" ht="14.25" customHeight="1" x14ac:dyDescent="0.25">
      <c r="A209" s="11" t="s">
        <v>81</v>
      </c>
      <c r="B209" s="30" t="s">
        <v>33</v>
      </c>
      <c r="C209" s="30" t="s">
        <v>482</v>
      </c>
      <c r="D209" s="12" t="s">
        <v>68</v>
      </c>
      <c r="E209" s="12" t="s">
        <v>624</v>
      </c>
      <c r="F209" s="12" t="s">
        <v>34</v>
      </c>
      <c r="G209" s="22">
        <f>G205</f>
        <v>42173</v>
      </c>
      <c r="H209" s="22">
        <f>H208</f>
        <v>42195</v>
      </c>
      <c r="I209" s="13">
        <f ca="1">SUM(O205:O208)/L209</f>
        <v>1</v>
      </c>
      <c r="J209" s="13">
        <f>SUM(P205:P208)/L209</f>
        <v>0</v>
      </c>
      <c r="K209" s="14">
        <f t="shared" si="16"/>
        <v>17</v>
      </c>
      <c r="L209" s="11">
        <f>SUM(L205:L208)</f>
        <v>160</v>
      </c>
      <c r="M209" s="13" t="s">
        <v>123</v>
      </c>
      <c r="N209" s="13" t="s">
        <v>124</v>
      </c>
      <c r="O209" s="5"/>
      <c r="P209" s="5"/>
      <c r="Q209" s="5"/>
    </row>
    <row r="210" spans="1:17" ht="14.25" customHeight="1" x14ac:dyDescent="0.25">
      <c r="A210" s="4" t="s">
        <v>625</v>
      </c>
      <c r="B210" s="29" t="s">
        <v>626</v>
      </c>
      <c r="C210" s="29" t="s">
        <v>482</v>
      </c>
      <c r="D210" s="5" t="s">
        <v>62</v>
      </c>
      <c r="E210" s="5" t="s">
        <v>53</v>
      </c>
      <c r="F210" s="7" t="s">
        <v>9</v>
      </c>
      <c r="G210" s="8">
        <v>42170</v>
      </c>
      <c r="H210" s="8">
        <v>42171</v>
      </c>
      <c r="I210" s="9">
        <f ca="1">IF(NETWORKDAYS(G210,TODAY())/NETWORKDAYS(G210,H210,)&lt;0,0,IF(NETWORKDAYS(G210,TODAY())/NETWORKDAYS(G210,H210,)&gt;1,1,NETWORKDAYS(G210,TODAY())/NETWORKDAYS(G210,H210,)))</f>
        <v>1</v>
      </c>
      <c r="J210" s="9">
        <v>0</v>
      </c>
      <c r="K210" s="10">
        <f t="shared" si="16"/>
        <v>2</v>
      </c>
      <c r="L210" s="4">
        <f>K210*8</f>
        <v>16</v>
      </c>
      <c r="M210" s="4" t="s">
        <v>103</v>
      </c>
      <c r="N210" s="4" t="s">
        <v>104</v>
      </c>
      <c r="O210" s="5">
        <f ca="1">I210*L210</f>
        <v>16</v>
      </c>
      <c r="P210" s="5">
        <f>J210*L210</f>
        <v>0</v>
      </c>
      <c r="Q210" s="5">
        <v>100</v>
      </c>
    </row>
    <row r="211" spans="1:17" ht="15.75" customHeight="1" x14ac:dyDescent="0.25">
      <c r="A211" s="4" t="s">
        <v>625</v>
      </c>
      <c r="B211" s="29" t="s">
        <v>626</v>
      </c>
      <c r="C211" s="29" t="s">
        <v>482</v>
      </c>
      <c r="D211" s="5" t="s">
        <v>62</v>
      </c>
      <c r="E211" s="5" t="s">
        <v>53</v>
      </c>
      <c r="F211" s="7" t="s">
        <v>10</v>
      </c>
      <c r="G211" s="8">
        <v>42171</v>
      </c>
      <c r="H211" s="8">
        <v>42172</v>
      </c>
      <c r="I211" s="9">
        <f ca="1">IF(NETWORKDAYS(G211,TODAY())/NETWORKDAYS(G211,H211,)&lt;0,0,IF(NETWORKDAYS(G211,TODAY())/NETWORKDAYS(G211,H211,)&gt;1,1,NETWORKDAYS(G211,TODAY())/NETWORKDAYS(G211,H211,)))</f>
        <v>1</v>
      </c>
      <c r="J211" s="9">
        <v>0</v>
      </c>
      <c r="K211" s="10">
        <f t="shared" si="16"/>
        <v>2</v>
      </c>
      <c r="L211" s="4">
        <f>K211*8</f>
        <v>16</v>
      </c>
      <c r="M211" s="4" t="s">
        <v>103</v>
      </c>
      <c r="N211" s="4" t="s">
        <v>104</v>
      </c>
      <c r="O211" s="5">
        <f ca="1">I211*L211</f>
        <v>16</v>
      </c>
      <c r="P211" s="5">
        <f>J211*L211</f>
        <v>0</v>
      </c>
      <c r="Q211" s="5">
        <v>100</v>
      </c>
    </row>
    <row r="212" spans="1:17" ht="14.25" customHeight="1" x14ac:dyDescent="0.25">
      <c r="A212" s="4" t="s">
        <v>625</v>
      </c>
      <c r="B212" s="29" t="s">
        <v>626</v>
      </c>
      <c r="C212" s="29" t="s">
        <v>482</v>
      </c>
      <c r="D212" s="5" t="s">
        <v>62</v>
      </c>
      <c r="E212" s="5" t="s">
        <v>53</v>
      </c>
      <c r="F212" s="33" t="s">
        <v>8</v>
      </c>
      <c r="G212" s="8">
        <v>42172</v>
      </c>
      <c r="H212" s="8">
        <v>42173</v>
      </c>
      <c r="I212" s="9">
        <f ca="1">IF(NETWORKDAYS(G212,TODAY())/NETWORKDAYS(G212,H212,)&lt;0,0,IF(NETWORKDAYS(G212,TODAY())/NETWORKDAYS(G212,H212,)&gt;1,1,NETWORKDAYS(G212,TODAY())/NETWORKDAYS(G212,H212,)))</f>
        <v>1</v>
      </c>
      <c r="J212" s="9">
        <v>0</v>
      </c>
      <c r="K212" s="10">
        <f t="shared" si="16"/>
        <v>2</v>
      </c>
      <c r="L212" s="4">
        <f>K212*8</f>
        <v>16</v>
      </c>
      <c r="M212" s="4" t="s">
        <v>103</v>
      </c>
      <c r="N212" s="4" t="s">
        <v>104</v>
      </c>
      <c r="O212" s="5">
        <f ca="1">I212*L212</f>
        <v>16</v>
      </c>
      <c r="P212" s="5">
        <f>J212*L212</f>
        <v>0</v>
      </c>
      <c r="Q212" s="5">
        <v>100</v>
      </c>
    </row>
    <row r="213" spans="1:17" ht="14.25" customHeight="1" x14ac:dyDescent="0.25">
      <c r="A213" s="4" t="s">
        <v>625</v>
      </c>
      <c r="B213" s="29" t="s">
        <v>626</v>
      </c>
      <c r="C213" s="29" t="s">
        <v>482</v>
      </c>
      <c r="D213" s="5" t="s">
        <v>62</v>
      </c>
      <c r="E213" s="5" t="s">
        <v>53</v>
      </c>
      <c r="F213" s="7" t="s">
        <v>11</v>
      </c>
      <c r="G213" s="8">
        <v>42173</v>
      </c>
      <c r="H213" s="8">
        <v>42195</v>
      </c>
      <c r="I213" s="9">
        <f ca="1">IF(NETWORKDAYS(G213,TODAY())/NETWORKDAYS(G213,H213,)&lt;0,0,IF(NETWORKDAYS(G213,TODAY())/NETWORKDAYS(G213,H213,)&gt;1,1,NETWORKDAYS(G213,TODAY())/NETWORKDAYS(G213,H213,)))</f>
        <v>1</v>
      </c>
      <c r="J213" s="9">
        <v>0</v>
      </c>
      <c r="K213" s="10">
        <f t="shared" si="16"/>
        <v>17</v>
      </c>
      <c r="L213" s="4">
        <f>K213*8</f>
        <v>136</v>
      </c>
      <c r="M213" s="4" t="s">
        <v>103</v>
      </c>
      <c r="N213" s="4" t="s">
        <v>104</v>
      </c>
      <c r="O213" s="5">
        <f ca="1">I213*L213</f>
        <v>136</v>
      </c>
      <c r="P213" s="5">
        <f>J213*L213</f>
        <v>0</v>
      </c>
      <c r="Q213" s="5">
        <v>100</v>
      </c>
    </row>
    <row r="214" spans="1:17" ht="14.25" customHeight="1" x14ac:dyDescent="0.25">
      <c r="A214" s="11" t="s">
        <v>625</v>
      </c>
      <c r="B214" s="30" t="s">
        <v>626</v>
      </c>
      <c r="C214" s="30" t="s">
        <v>482</v>
      </c>
      <c r="D214" s="12" t="s">
        <v>62</v>
      </c>
      <c r="E214" s="12" t="s">
        <v>53</v>
      </c>
      <c r="F214" s="12" t="s">
        <v>34</v>
      </c>
      <c r="G214" s="22" t="s">
        <v>519</v>
      </c>
      <c r="H214" s="22">
        <f>H213</f>
        <v>42195</v>
      </c>
      <c r="I214" s="13">
        <f ca="1">SUM(O210:O213)/L214</f>
        <v>1</v>
      </c>
      <c r="J214" s="13">
        <f>SUM(P210:P213)/L214</f>
        <v>0</v>
      </c>
      <c r="K214" s="14">
        <f t="shared" si="16"/>
        <v>20</v>
      </c>
      <c r="L214" s="11">
        <f>SUM(L210:L213)</f>
        <v>184</v>
      </c>
      <c r="M214" s="13" t="s">
        <v>103</v>
      </c>
      <c r="N214" s="13" t="s">
        <v>104</v>
      </c>
      <c r="O214" s="5"/>
      <c r="P214" s="5"/>
      <c r="Q214" s="5"/>
    </row>
    <row r="215" spans="1:17" ht="14.25" customHeight="1" x14ac:dyDescent="0.25">
      <c r="A215" s="4" t="s">
        <v>668</v>
      </c>
      <c r="B215" s="29" t="s">
        <v>636</v>
      </c>
      <c r="C215" s="29" t="s">
        <v>482</v>
      </c>
      <c r="D215" s="5" t="s">
        <v>68</v>
      </c>
      <c r="E215" s="5" t="s">
        <v>742</v>
      </c>
      <c r="F215" s="7" t="s">
        <v>9</v>
      </c>
      <c r="G215" s="8">
        <v>42184</v>
      </c>
      <c r="H215" s="8">
        <v>42185</v>
      </c>
      <c r="I215" s="9">
        <f ca="1">IF(NETWORKDAYS(G215,TODAY())/NETWORKDAYS(G215,H215,)&lt;0,0,IF(NETWORKDAYS(G215,TODAY())/NETWORKDAYS(G215,H215,)&gt;1,1,NETWORKDAYS(G215,TODAY())/NETWORKDAYS(G215,H215,)))</f>
        <v>1</v>
      </c>
      <c r="J215" s="9">
        <v>0</v>
      </c>
      <c r="K215" s="10">
        <f t="shared" ref="K215:K246" si="17">NETWORKDAYS(G215,H215)</f>
        <v>2</v>
      </c>
      <c r="L215" s="4">
        <f>K215*8</f>
        <v>16</v>
      </c>
      <c r="M215" s="4" t="s">
        <v>101</v>
      </c>
      <c r="N215" s="4" t="s">
        <v>102</v>
      </c>
      <c r="O215" s="5">
        <f ca="1">I215*L215</f>
        <v>16</v>
      </c>
      <c r="P215" s="5">
        <f>J215*L215</f>
        <v>0</v>
      </c>
      <c r="Q215" s="5">
        <v>100</v>
      </c>
    </row>
    <row r="216" spans="1:17" ht="15.75" customHeight="1" x14ac:dyDescent="0.25">
      <c r="A216" s="4" t="s">
        <v>668</v>
      </c>
      <c r="B216" s="29" t="s">
        <v>636</v>
      </c>
      <c r="C216" s="29" t="s">
        <v>482</v>
      </c>
      <c r="D216" s="5" t="s">
        <v>68</v>
      </c>
      <c r="E216" s="5" t="s">
        <v>742</v>
      </c>
      <c r="F216" s="7" t="s">
        <v>10</v>
      </c>
      <c r="G216" s="8">
        <v>42186</v>
      </c>
      <c r="H216" s="8">
        <v>42198</v>
      </c>
      <c r="I216" s="9">
        <f ca="1">IF(NETWORKDAYS(G216,TODAY())/NETWORKDAYS(G216,H216,)&lt;0,0,IF(NETWORKDAYS(G216,TODAY())/NETWORKDAYS(G216,H216,)&gt;1,1,NETWORKDAYS(G216,TODAY())/NETWORKDAYS(G216,H216,)))</f>
        <v>0.88888888888888884</v>
      </c>
      <c r="J216" s="9">
        <v>0</v>
      </c>
      <c r="K216" s="10">
        <f t="shared" si="17"/>
        <v>9</v>
      </c>
      <c r="L216" s="4">
        <f>K216*8</f>
        <v>72</v>
      </c>
      <c r="M216" s="4" t="s">
        <v>101</v>
      </c>
      <c r="N216" s="4" t="s">
        <v>102</v>
      </c>
      <c r="O216" s="5">
        <f ca="1">I216*L216</f>
        <v>64</v>
      </c>
      <c r="P216" s="5">
        <f>J216*L216</f>
        <v>0</v>
      </c>
      <c r="Q216" s="5">
        <v>100</v>
      </c>
    </row>
    <row r="217" spans="1:17" ht="14.25" customHeight="1" x14ac:dyDescent="0.25">
      <c r="A217" s="4" t="s">
        <v>668</v>
      </c>
      <c r="B217" s="29" t="s">
        <v>636</v>
      </c>
      <c r="C217" s="29" t="s">
        <v>482</v>
      </c>
      <c r="D217" s="5" t="s">
        <v>68</v>
      </c>
      <c r="E217" s="5" t="s">
        <v>742</v>
      </c>
      <c r="F217" s="33" t="s">
        <v>8</v>
      </c>
      <c r="G217" s="8">
        <v>42199</v>
      </c>
      <c r="H217" s="8">
        <v>42200</v>
      </c>
      <c r="I217" s="9">
        <f ca="1">IF(NETWORKDAYS(G217,TODAY())/NETWORKDAYS(G217,H217,)&lt;0,0,IF(NETWORKDAYS(G217,TODAY())/NETWORKDAYS(G217,H217,)&gt;1,1,NETWORKDAYS(G217,TODAY())/NETWORKDAYS(G217,H217,)))</f>
        <v>0</v>
      </c>
      <c r="J217" s="9">
        <v>0</v>
      </c>
      <c r="K217" s="10">
        <f t="shared" si="17"/>
        <v>2</v>
      </c>
      <c r="L217" s="4">
        <f>K217*8</f>
        <v>16</v>
      </c>
      <c r="M217" s="4" t="s">
        <v>101</v>
      </c>
      <c r="N217" s="4" t="s">
        <v>102</v>
      </c>
      <c r="O217" s="5">
        <f ca="1">I217*L217</f>
        <v>0</v>
      </c>
      <c r="P217" s="5">
        <f>J217*L217</f>
        <v>0</v>
      </c>
      <c r="Q217" s="5">
        <v>100</v>
      </c>
    </row>
    <row r="218" spans="1:17" ht="14.25" customHeight="1" x14ac:dyDescent="0.25">
      <c r="A218" s="4" t="s">
        <v>668</v>
      </c>
      <c r="B218" s="29" t="s">
        <v>636</v>
      </c>
      <c r="C218" s="29" t="s">
        <v>482</v>
      </c>
      <c r="D218" s="5" t="s">
        <v>68</v>
      </c>
      <c r="E218" s="5" t="s">
        <v>742</v>
      </c>
      <c r="F218" s="7" t="s">
        <v>11</v>
      </c>
      <c r="G218" s="8">
        <v>42201</v>
      </c>
      <c r="H218" s="8">
        <v>42202</v>
      </c>
      <c r="I218" s="9">
        <f ca="1">IF(NETWORKDAYS(G218,TODAY())/NETWORKDAYS(G218,H218,)&lt;0,0,IF(NETWORKDAYS(G218,TODAY())/NETWORKDAYS(G218,H218,)&gt;1,1,NETWORKDAYS(G218,TODAY())/NETWORKDAYS(G218,H218,)))</f>
        <v>0</v>
      </c>
      <c r="J218" s="9">
        <v>0</v>
      </c>
      <c r="K218" s="10">
        <f t="shared" si="17"/>
        <v>2</v>
      </c>
      <c r="L218" s="4">
        <f>K218*8</f>
        <v>16</v>
      </c>
      <c r="M218" s="4" t="s">
        <v>101</v>
      </c>
      <c r="N218" s="4" t="s">
        <v>102</v>
      </c>
      <c r="O218" s="5">
        <f ca="1">I218*L218</f>
        <v>0</v>
      </c>
      <c r="P218" s="5">
        <f>J218*L218</f>
        <v>0</v>
      </c>
      <c r="Q218" s="5">
        <v>100</v>
      </c>
    </row>
    <row r="219" spans="1:17" ht="14.25" customHeight="1" x14ac:dyDescent="0.25">
      <c r="A219" s="11" t="s">
        <v>668</v>
      </c>
      <c r="B219" s="30" t="s">
        <v>636</v>
      </c>
      <c r="C219" s="30" t="s">
        <v>482</v>
      </c>
      <c r="D219" s="12" t="s">
        <v>68</v>
      </c>
      <c r="E219" s="12" t="s">
        <v>742</v>
      </c>
      <c r="F219" s="12" t="s">
        <v>34</v>
      </c>
      <c r="G219" s="22">
        <f>G215</f>
        <v>42184</v>
      </c>
      <c r="H219" s="22">
        <f>H218</f>
        <v>42202</v>
      </c>
      <c r="I219" s="13">
        <f ca="1">SUM(O215:O218)/L219</f>
        <v>0.66666666666666663</v>
      </c>
      <c r="J219" s="13">
        <f>SUM(P215:P218)/L219</f>
        <v>0</v>
      </c>
      <c r="K219" s="14">
        <f t="shared" si="17"/>
        <v>15</v>
      </c>
      <c r="L219" s="11">
        <f>SUM(L215:L218)</f>
        <v>120</v>
      </c>
      <c r="M219" s="13" t="s">
        <v>101</v>
      </c>
      <c r="N219" s="13" t="s">
        <v>102</v>
      </c>
      <c r="O219" s="5"/>
      <c r="P219" s="5"/>
      <c r="Q219" s="5"/>
    </row>
    <row r="220" spans="1:17" ht="14.25" customHeight="1" x14ac:dyDescent="0.25">
      <c r="A220" s="4" t="s">
        <v>669</v>
      </c>
      <c r="B220" s="29" t="s">
        <v>687</v>
      </c>
      <c r="C220" s="29" t="s">
        <v>482</v>
      </c>
      <c r="D220" s="5" t="s">
        <v>68</v>
      </c>
      <c r="E220" s="5" t="s">
        <v>742</v>
      </c>
      <c r="F220" s="7" t="s">
        <v>9</v>
      </c>
      <c r="G220" s="8">
        <v>42177</v>
      </c>
      <c r="H220" s="8">
        <v>42209</v>
      </c>
      <c r="I220" s="9">
        <f ca="1">IF(NETWORKDAYS(G220,TODAY())/NETWORKDAYS(G220,H220,)&lt;0,0,IF(NETWORKDAYS(G220,TODAY())/NETWORKDAYS(G220,H220,)&gt;1,1,NETWORKDAYS(G220,TODAY())/NETWORKDAYS(G220,H220,)))</f>
        <v>0.6</v>
      </c>
      <c r="J220" s="9">
        <v>0</v>
      </c>
      <c r="K220" s="10">
        <f t="shared" si="17"/>
        <v>25</v>
      </c>
      <c r="L220" s="4">
        <f>K220*8</f>
        <v>200</v>
      </c>
      <c r="M220" s="4" t="s">
        <v>100</v>
      </c>
      <c r="N220" s="4" t="s">
        <v>125</v>
      </c>
      <c r="O220" s="5">
        <f ca="1">I220*L220</f>
        <v>120</v>
      </c>
      <c r="P220" s="5">
        <f>J220*L220</f>
        <v>0</v>
      </c>
      <c r="Q220" s="5">
        <v>100</v>
      </c>
    </row>
    <row r="221" spans="1:17" ht="15.75" customHeight="1" x14ac:dyDescent="0.25">
      <c r="A221" s="4" t="s">
        <v>669</v>
      </c>
      <c r="B221" s="29" t="s">
        <v>687</v>
      </c>
      <c r="C221" s="29" t="s">
        <v>482</v>
      </c>
      <c r="D221" s="5" t="s">
        <v>68</v>
      </c>
      <c r="E221" s="5" t="s">
        <v>742</v>
      </c>
      <c r="F221" s="7" t="s">
        <v>10</v>
      </c>
      <c r="G221" s="8">
        <v>42210</v>
      </c>
      <c r="H221" s="8">
        <v>42191</v>
      </c>
      <c r="I221" s="9">
        <f ca="1">IF(NETWORKDAYS(G221,TODAY())/NETWORKDAYS(G221,H221,)&lt;0,0,IF(NETWORKDAYS(G221,TODAY())/NETWORKDAYS(G221,H221,)&gt;1,1,NETWORKDAYS(G221,TODAY())/NETWORKDAYS(G221,H221,)))</f>
        <v>0.66666666666666663</v>
      </c>
      <c r="J221" s="9">
        <v>0</v>
      </c>
      <c r="K221" s="10">
        <f t="shared" si="17"/>
        <v>-15</v>
      </c>
      <c r="L221" s="4">
        <f>K221*8</f>
        <v>-120</v>
      </c>
      <c r="M221" s="4" t="s">
        <v>100</v>
      </c>
      <c r="N221" s="4" t="s">
        <v>125</v>
      </c>
      <c r="O221" s="5">
        <f ca="1">I221*L221</f>
        <v>-80</v>
      </c>
      <c r="P221" s="5">
        <f>J221*L221</f>
        <v>0</v>
      </c>
      <c r="Q221" s="5">
        <v>100</v>
      </c>
    </row>
    <row r="222" spans="1:17" ht="14.25" customHeight="1" x14ac:dyDescent="0.25">
      <c r="A222" s="4" t="s">
        <v>669</v>
      </c>
      <c r="B222" s="29" t="s">
        <v>687</v>
      </c>
      <c r="C222" s="29" t="s">
        <v>482</v>
      </c>
      <c r="D222" s="5" t="s">
        <v>68</v>
      </c>
      <c r="E222" s="5" t="s">
        <v>742</v>
      </c>
      <c r="F222" s="33" t="s">
        <v>8</v>
      </c>
      <c r="G222" s="8">
        <v>42192</v>
      </c>
      <c r="H222" s="8">
        <v>42193</v>
      </c>
      <c r="I222" s="9">
        <f ca="1">IF(NETWORKDAYS(G222,TODAY())/NETWORKDAYS(G222,H222,)&lt;0,0,IF(NETWORKDAYS(G222,TODAY())/NETWORKDAYS(G222,H222,)&gt;1,1,NETWORKDAYS(G222,TODAY())/NETWORKDAYS(G222,H222,)))</f>
        <v>1</v>
      </c>
      <c r="J222" s="9">
        <v>0</v>
      </c>
      <c r="K222" s="10">
        <f t="shared" si="17"/>
        <v>2</v>
      </c>
      <c r="L222" s="4">
        <f>K222*8</f>
        <v>16</v>
      </c>
      <c r="M222" s="4" t="s">
        <v>100</v>
      </c>
      <c r="N222" s="4" t="s">
        <v>125</v>
      </c>
      <c r="O222" s="5">
        <f ca="1">I222*L222</f>
        <v>16</v>
      </c>
      <c r="P222" s="5">
        <f>J222*L222</f>
        <v>0</v>
      </c>
      <c r="Q222" s="5">
        <v>100</v>
      </c>
    </row>
    <row r="223" spans="1:17" ht="14.25" customHeight="1" x14ac:dyDescent="0.25">
      <c r="A223" s="4" t="s">
        <v>669</v>
      </c>
      <c r="B223" s="29" t="s">
        <v>687</v>
      </c>
      <c r="C223" s="29" t="s">
        <v>482</v>
      </c>
      <c r="D223" s="5" t="s">
        <v>68</v>
      </c>
      <c r="E223" s="5" t="s">
        <v>742</v>
      </c>
      <c r="F223" s="7" t="s">
        <v>11</v>
      </c>
      <c r="G223" s="8">
        <v>42194</v>
      </c>
      <c r="H223" s="8">
        <v>42195</v>
      </c>
      <c r="I223" s="9">
        <f ca="1">IF(NETWORKDAYS(G223,TODAY())/NETWORKDAYS(G223,H223,)&lt;0,0,IF(NETWORKDAYS(G223,TODAY())/NETWORKDAYS(G223,H223,)&gt;1,1,NETWORKDAYS(G223,TODAY())/NETWORKDAYS(G223,H223,)))</f>
        <v>1</v>
      </c>
      <c r="J223" s="9">
        <v>0</v>
      </c>
      <c r="K223" s="10">
        <f t="shared" si="17"/>
        <v>2</v>
      </c>
      <c r="L223" s="4">
        <f>K223*8</f>
        <v>16</v>
      </c>
      <c r="M223" s="4" t="s">
        <v>100</v>
      </c>
      <c r="N223" s="4" t="s">
        <v>125</v>
      </c>
      <c r="O223" s="5">
        <f ca="1">I223*L223</f>
        <v>16</v>
      </c>
      <c r="P223" s="5">
        <f>J223*L223</f>
        <v>0</v>
      </c>
      <c r="Q223" s="5">
        <v>100</v>
      </c>
    </row>
    <row r="224" spans="1:17" ht="14.25" customHeight="1" x14ac:dyDescent="0.25">
      <c r="A224" s="11" t="s">
        <v>669</v>
      </c>
      <c r="B224" s="30" t="s">
        <v>687</v>
      </c>
      <c r="C224" s="30" t="s">
        <v>482</v>
      </c>
      <c r="D224" s="12" t="s">
        <v>68</v>
      </c>
      <c r="E224" s="12" t="s">
        <v>742</v>
      </c>
      <c r="F224" s="12" t="s">
        <v>34</v>
      </c>
      <c r="G224" s="22">
        <f>G220</f>
        <v>42177</v>
      </c>
      <c r="H224" s="22">
        <f>H223</f>
        <v>42195</v>
      </c>
      <c r="I224" s="13">
        <f ca="1">SUM(O220:O223)/L224</f>
        <v>0.6428571428571429</v>
      </c>
      <c r="J224" s="13">
        <f>SUM(P220:P223)/L224</f>
        <v>0</v>
      </c>
      <c r="K224" s="14">
        <f t="shared" si="17"/>
        <v>15</v>
      </c>
      <c r="L224" s="11">
        <f>SUM(L220:L223)</f>
        <v>112</v>
      </c>
      <c r="M224" s="13" t="s">
        <v>100</v>
      </c>
      <c r="N224" s="13" t="s">
        <v>125</v>
      </c>
      <c r="O224" s="5"/>
      <c r="P224" s="5"/>
      <c r="Q224" s="5"/>
    </row>
    <row r="225" spans="1:17" ht="14.25" customHeight="1" x14ac:dyDescent="0.25">
      <c r="A225" s="4" t="s">
        <v>670</v>
      </c>
      <c r="B225" s="29" t="s">
        <v>637</v>
      </c>
      <c r="C225" s="29" t="s">
        <v>482</v>
      </c>
      <c r="D225" s="5" t="s">
        <v>68</v>
      </c>
      <c r="E225" s="5" t="s">
        <v>742</v>
      </c>
      <c r="F225" s="7" t="s">
        <v>9</v>
      </c>
      <c r="G225" s="8">
        <v>42184</v>
      </c>
      <c r="H225" s="8">
        <v>42185</v>
      </c>
      <c r="I225" s="9">
        <f ca="1">IF(NETWORKDAYS(G225,TODAY())/NETWORKDAYS(G225,H225,)&lt;0,0,IF(NETWORKDAYS(G225,TODAY())/NETWORKDAYS(G225,H225,)&gt;1,1,NETWORKDAYS(G225,TODAY())/NETWORKDAYS(G225,H225,)))</f>
        <v>1</v>
      </c>
      <c r="J225" s="9">
        <v>0</v>
      </c>
      <c r="K225" s="10">
        <f t="shared" si="17"/>
        <v>2</v>
      </c>
      <c r="L225" s="4">
        <f>K225*8</f>
        <v>16</v>
      </c>
      <c r="M225" s="4" t="s">
        <v>107</v>
      </c>
      <c r="N225" s="4" t="s">
        <v>108</v>
      </c>
      <c r="O225" s="5">
        <f ca="1">I225*L225</f>
        <v>16</v>
      </c>
      <c r="P225" s="5">
        <f>J225*L225</f>
        <v>0</v>
      </c>
      <c r="Q225" s="5">
        <v>100</v>
      </c>
    </row>
    <row r="226" spans="1:17" ht="15.75" customHeight="1" x14ac:dyDescent="0.25">
      <c r="A226" s="4" t="s">
        <v>670</v>
      </c>
      <c r="B226" s="29" t="s">
        <v>637</v>
      </c>
      <c r="C226" s="29" t="s">
        <v>482</v>
      </c>
      <c r="D226" s="5" t="s">
        <v>68</v>
      </c>
      <c r="E226" s="5" t="s">
        <v>742</v>
      </c>
      <c r="F226" s="7" t="s">
        <v>10</v>
      </c>
      <c r="G226" s="8">
        <v>42186</v>
      </c>
      <c r="H226" s="8">
        <v>42198</v>
      </c>
      <c r="I226" s="9">
        <f ca="1">IF(NETWORKDAYS(G226,TODAY())/NETWORKDAYS(G226,H226,)&lt;0,0,IF(NETWORKDAYS(G226,TODAY())/NETWORKDAYS(G226,H226,)&gt;1,1,NETWORKDAYS(G226,TODAY())/NETWORKDAYS(G226,H226,)))</f>
        <v>0.88888888888888884</v>
      </c>
      <c r="J226" s="9">
        <v>0</v>
      </c>
      <c r="K226" s="10">
        <f t="shared" si="17"/>
        <v>9</v>
      </c>
      <c r="L226" s="4">
        <f>K226*8</f>
        <v>72</v>
      </c>
      <c r="M226" s="4" t="s">
        <v>107</v>
      </c>
      <c r="N226" s="4" t="s">
        <v>108</v>
      </c>
      <c r="O226" s="5">
        <f ca="1">I226*L226</f>
        <v>64</v>
      </c>
      <c r="P226" s="5">
        <f>J226*L226</f>
        <v>0</v>
      </c>
      <c r="Q226" s="5">
        <v>100</v>
      </c>
    </row>
    <row r="227" spans="1:17" ht="14.25" customHeight="1" x14ac:dyDescent="0.25">
      <c r="A227" s="4" t="s">
        <v>670</v>
      </c>
      <c r="B227" s="29" t="s">
        <v>637</v>
      </c>
      <c r="C227" s="29" t="s">
        <v>482</v>
      </c>
      <c r="D227" s="5" t="s">
        <v>68</v>
      </c>
      <c r="E227" s="5" t="s">
        <v>742</v>
      </c>
      <c r="F227" s="33" t="s">
        <v>8</v>
      </c>
      <c r="G227" s="8">
        <v>42199</v>
      </c>
      <c r="H227" s="8">
        <v>42200</v>
      </c>
      <c r="I227" s="9">
        <f ca="1">IF(NETWORKDAYS(G227,TODAY())/NETWORKDAYS(G227,H227,)&lt;0,0,IF(NETWORKDAYS(G227,TODAY())/NETWORKDAYS(G227,H227,)&gt;1,1,NETWORKDAYS(G227,TODAY())/NETWORKDAYS(G227,H227,)))</f>
        <v>0</v>
      </c>
      <c r="J227" s="9">
        <v>0</v>
      </c>
      <c r="K227" s="10">
        <f t="shared" si="17"/>
        <v>2</v>
      </c>
      <c r="L227" s="4">
        <f>K227*8</f>
        <v>16</v>
      </c>
      <c r="M227" s="4" t="s">
        <v>107</v>
      </c>
      <c r="N227" s="4" t="s">
        <v>108</v>
      </c>
      <c r="O227" s="5">
        <f ca="1">I227*L227</f>
        <v>0</v>
      </c>
      <c r="P227" s="5">
        <f>J227*L227</f>
        <v>0</v>
      </c>
      <c r="Q227" s="5">
        <v>100</v>
      </c>
    </row>
    <row r="228" spans="1:17" ht="14.25" customHeight="1" x14ac:dyDescent="0.25">
      <c r="A228" s="4" t="s">
        <v>670</v>
      </c>
      <c r="B228" s="29" t="s">
        <v>637</v>
      </c>
      <c r="C228" s="29" t="s">
        <v>482</v>
      </c>
      <c r="D228" s="5" t="s">
        <v>68</v>
      </c>
      <c r="E228" s="5" t="s">
        <v>742</v>
      </c>
      <c r="F228" s="7" t="s">
        <v>11</v>
      </c>
      <c r="G228" s="8">
        <v>42201</v>
      </c>
      <c r="H228" s="8">
        <v>42202</v>
      </c>
      <c r="I228" s="9">
        <f ca="1">IF(NETWORKDAYS(G228,TODAY())/NETWORKDAYS(G228,H228,)&lt;0,0,IF(NETWORKDAYS(G228,TODAY())/NETWORKDAYS(G228,H228,)&gt;1,1,NETWORKDAYS(G228,TODAY())/NETWORKDAYS(G228,H228,)))</f>
        <v>0</v>
      </c>
      <c r="J228" s="9">
        <v>0</v>
      </c>
      <c r="K228" s="10">
        <f t="shared" si="17"/>
        <v>2</v>
      </c>
      <c r="L228" s="4">
        <f>K228*8</f>
        <v>16</v>
      </c>
      <c r="M228" s="4" t="s">
        <v>107</v>
      </c>
      <c r="N228" s="4" t="s">
        <v>108</v>
      </c>
      <c r="O228" s="5">
        <f ca="1">I228*L228</f>
        <v>0</v>
      </c>
      <c r="P228" s="5">
        <f>J228*L228</f>
        <v>0</v>
      </c>
      <c r="Q228" s="5">
        <v>100</v>
      </c>
    </row>
    <row r="229" spans="1:17" ht="14.25" customHeight="1" x14ac:dyDescent="0.25">
      <c r="A229" s="11" t="s">
        <v>670</v>
      </c>
      <c r="B229" s="30" t="s">
        <v>637</v>
      </c>
      <c r="C229" s="30" t="s">
        <v>482</v>
      </c>
      <c r="D229" s="12" t="s">
        <v>68</v>
      </c>
      <c r="E229" s="12" t="s">
        <v>742</v>
      </c>
      <c r="F229" s="12" t="s">
        <v>34</v>
      </c>
      <c r="G229" s="22">
        <f>G225</f>
        <v>42184</v>
      </c>
      <c r="H229" s="22">
        <f>H228</f>
        <v>42202</v>
      </c>
      <c r="I229" s="13">
        <f ca="1">SUM(O225:O228)/L229</f>
        <v>0.66666666666666663</v>
      </c>
      <c r="J229" s="13">
        <f>SUM(P225:P228)/L229</f>
        <v>0</v>
      </c>
      <c r="K229" s="14">
        <f t="shared" si="17"/>
        <v>15</v>
      </c>
      <c r="L229" s="11">
        <f>SUM(L225:L228)</f>
        <v>120</v>
      </c>
      <c r="M229" s="13" t="s">
        <v>107</v>
      </c>
      <c r="N229" s="13" t="s">
        <v>108</v>
      </c>
      <c r="O229" s="5"/>
      <c r="P229" s="5"/>
      <c r="Q229" s="5"/>
    </row>
    <row r="230" spans="1:17" ht="14.25" customHeight="1" x14ac:dyDescent="0.25">
      <c r="A230" s="4" t="s">
        <v>671</v>
      </c>
      <c r="B230" s="29" t="s">
        <v>638</v>
      </c>
      <c r="C230" s="29" t="s">
        <v>482</v>
      </c>
      <c r="D230" s="5" t="s">
        <v>68</v>
      </c>
      <c r="E230" s="5" t="s">
        <v>742</v>
      </c>
      <c r="F230" s="7" t="s">
        <v>9</v>
      </c>
      <c r="G230" s="8">
        <v>42184</v>
      </c>
      <c r="H230" s="8">
        <v>42188</v>
      </c>
      <c r="I230" s="9">
        <f ca="1">IF(NETWORKDAYS(G230,TODAY())/NETWORKDAYS(G230,H230,)&lt;0,0,IF(NETWORKDAYS(G230,TODAY())/NETWORKDAYS(G230,H230,)&gt;1,1,NETWORKDAYS(G230,TODAY())/NETWORKDAYS(G230,H230,)))</f>
        <v>1</v>
      </c>
      <c r="J230" s="9">
        <v>0</v>
      </c>
      <c r="K230" s="10">
        <f t="shared" si="17"/>
        <v>5</v>
      </c>
      <c r="L230" s="4">
        <f>K230*8</f>
        <v>40</v>
      </c>
      <c r="M230" s="4" t="s">
        <v>111</v>
      </c>
      <c r="N230" s="4" t="s">
        <v>112</v>
      </c>
      <c r="O230" s="5">
        <f ca="1">I230*L230</f>
        <v>40</v>
      </c>
      <c r="P230" s="5">
        <f>J230*L230</f>
        <v>0</v>
      </c>
      <c r="Q230" s="5">
        <v>100</v>
      </c>
    </row>
    <row r="231" spans="1:17" ht="15.75" customHeight="1" x14ac:dyDescent="0.25">
      <c r="A231" s="4" t="s">
        <v>671</v>
      </c>
      <c r="B231" s="29" t="s">
        <v>638</v>
      </c>
      <c r="C231" s="29" t="s">
        <v>482</v>
      </c>
      <c r="D231" s="5" t="s">
        <v>68</v>
      </c>
      <c r="E231" s="5" t="s">
        <v>742</v>
      </c>
      <c r="F231" s="7" t="s">
        <v>10</v>
      </c>
      <c r="G231" s="8">
        <v>42188</v>
      </c>
      <c r="H231" s="8">
        <v>42192</v>
      </c>
      <c r="I231" s="9">
        <f ca="1">IF(NETWORKDAYS(G231,TODAY())/NETWORKDAYS(G231,H231,)&lt;0,0,IF(NETWORKDAYS(G231,TODAY())/NETWORKDAYS(G231,H231,)&gt;1,1,NETWORKDAYS(G231,TODAY())/NETWORKDAYS(G231,H231,)))</f>
        <v>1</v>
      </c>
      <c r="J231" s="9">
        <v>0</v>
      </c>
      <c r="K231" s="10">
        <f t="shared" si="17"/>
        <v>3</v>
      </c>
      <c r="L231" s="4">
        <f>K231*8</f>
        <v>24</v>
      </c>
      <c r="M231" s="4" t="s">
        <v>111</v>
      </c>
      <c r="N231" s="4" t="s">
        <v>112</v>
      </c>
      <c r="O231" s="5">
        <f ca="1">I231*L231</f>
        <v>24</v>
      </c>
      <c r="P231" s="5">
        <f>J231*L231</f>
        <v>0</v>
      </c>
      <c r="Q231" s="5">
        <v>100</v>
      </c>
    </row>
    <row r="232" spans="1:17" ht="14.25" customHeight="1" x14ac:dyDescent="0.25">
      <c r="A232" s="4" t="s">
        <v>671</v>
      </c>
      <c r="B232" s="29" t="s">
        <v>638</v>
      </c>
      <c r="C232" s="29" t="s">
        <v>482</v>
      </c>
      <c r="D232" s="5" t="s">
        <v>68</v>
      </c>
      <c r="E232" s="5" t="s">
        <v>742</v>
      </c>
      <c r="F232" s="33" t="s">
        <v>8</v>
      </c>
      <c r="G232" s="8">
        <v>42192</v>
      </c>
      <c r="H232" s="8">
        <v>42197</v>
      </c>
      <c r="I232" s="9">
        <f ca="1">IF(NETWORKDAYS(G232,TODAY())/NETWORKDAYS(G232,H232,)&lt;0,0,IF(NETWORKDAYS(G232,TODAY())/NETWORKDAYS(G232,H232,)&gt;1,1,NETWORKDAYS(G232,TODAY())/NETWORKDAYS(G232,H232,)))</f>
        <v>1</v>
      </c>
      <c r="J232" s="9">
        <v>0</v>
      </c>
      <c r="K232" s="10">
        <f t="shared" si="17"/>
        <v>4</v>
      </c>
      <c r="L232" s="4">
        <f>K232*8</f>
        <v>32</v>
      </c>
      <c r="M232" s="4" t="s">
        <v>111</v>
      </c>
      <c r="N232" s="4" t="s">
        <v>112</v>
      </c>
      <c r="O232" s="5">
        <f ca="1">I232*L232</f>
        <v>32</v>
      </c>
      <c r="P232" s="5">
        <f>J232*L232</f>
        <v>0</v>
      </c>
      <c r="Q232" s="5">
        <v>100</v>
      </c>
    </row>
    <row r="233" spans="1:17" ht="14.25" customHeight="1" x14ac:dyDescent="0.25">
      <c r="A233" s="4" t="s">
        <v>671</v>
      </c>
      <c r="B233" s="29" t="s">
        <v>638</v>
      </c>
      <c r="C233" s="29" t="s">
        <v>482</v>
      </c>
      <c r="D233" s="5" t="s">
        <v>68</v>
      </c>
      <c r="E233" s="5" t="s">
        <v>742</v>
      </c>
      <c r="F233" s="7" t="s">
        <v>11</v>
      </c>
      <c r="G233" s="8">
        <v>42197</v>
      </c>
      <c r="H233" s="8" t="s">
        <v>684</v>
      </c>
      <c r="I233" s="9">
        <f ca="1">IF(NETWORKDAYS(G233,TODAY())/NETWORKDAYS(G233,H233,)&lt;0,0,IF(NETWORKDAYS(G233,TODAY())/NETWORKDAYS(G233,H233,)&gt;1,1,NETWORKDAYS(G233,TODAY())/NETWORKDAYS(G233,H233,)))</f>
        <v>0</v>
      </c>
      <c r="J233" s="9">
        <v>0</v>
      </c>
      <c r="K233" s="10">
        <f t="shared" si="17"/>
        <v>5</v>
      </c>
      <c r="L233" s="4">
        <f>K233*8</f>
        <v>40</v>
      </c>
      <c r="M233" s="4" t="s">
        <v>111</v>
      </c>
      <c r="N233" s="4" t="s">
        <v>112</v>
      </c>
      <c r="O233" s="5">
        <f ca="1">I233*L233</f>
        <v>0</v>
      </c>
      <c r="P233" s="5">
        <f>J233*L233</f>
        <v>0</v>
      </c>
      <c r="Q233" s="5">
        <v>100</v>
      </c>
    </row>
    <row r="234" spans="1:17" ht="14.25" customHeight="1" x14ac:dyDescent="0.25">
      <c r="A234" s="11" t="s">
        <v>671</v>
      </c>
      <c r="B234" s="30" t="s">
        <v>638</v>
      </c>
      <c r="C234" s="30" t="s">
        <v>482</v>
      </c>
      <c r="D234" s="12" t="s">
        <v>68</v>
      </c>
      <c r="E234" s="12" t="s">
        <v>742</v>
      </c>
      <c r="F234" s="12" t="s">
        <v>34</v>
      </c>
      <c r="G234" s="22" t="s">
        <v>493</v>
      </c>
      <c r="H234" s="22" t="s">
        <v>684</v>
      </c>
      <c r="I234" s="13">
        <f ca="1">SUM(O230:O233)/L234</f>
        <v>0.70588235294117652</v>
      </c>
      <c r="J234" s="13">
        <f>SUM(P230:P233)/L234</f>
        <v>0</v>
      </c>
      <c r="K234" s="14">
        <f t="shared" si="17"/>
        <v>15</v>
      </c>
      <c r="L234" s="11">
        <f>SUM(L230:L233)</f>
        <v>136</v>
      </c>
      <c r="M234" s="13" t="s">
        <v>111</v>
      </c>
      <c r="N234" s="13" t="s">
        <v>112</v>
      </c>
      <c r="O234" s="5"/>
      <c r="P234" s="5"/>
      <c r="Q234" s="5"/>
    </row>
    <row r="235" spans="1:17" ht="14.25" customHeight="1" x14ac:dyDescent="0.25">
      <c r="A235" s="4" t="s">
        <v>672</v>
      </c>
      <c r="B235" s="29" t="s">
        <v>639</v>
      </c>
      <c r="C235" s="29" t="s">
        <v>482</v>
      </c>
      <c r="D235" s="5" t="s">
        <v>68</v>
      </c>
      <c r="E235" s="5" t="s">
        <v>742</v>
      </c>
      <c r="F235" s="7" t="s">
        <v>9</v>
      </c>
      <c r="G235" s="8">
        <v>42198</v>
      </c>
      <c r="H235" s="8">
        <v>42200</v>
      </c>
      <c r="I235" s="9">
        <f ca="1">IF(NETWORKDAYS(G235,TODAY())/NETWORKDAYS(G235,H235,)&lt;0,0,IF(NETWORKDAYS(G235,TODAY())/NETWORKDAYS(G235,H235,)&gt;1,1,NETWORKDAYS(G235,TODAY())/NETWORKDAYS(G235,H235,)))</f>
        <v>0</v>
      </c>
      <c r="J235" s="9">
        <v>0</v>
      </c>
      <c r="K235" s="10">
        <f t="shared" si="17"/>
        <v>3</v>
      </c>
      <c r="L235" s="4">
        <f>K235*8</f>
        <v>24</v>
      </c>
      <c r="M235" s="4" t="s">
        <v>686</v>
      </c>
      <c r="N235" s="4" t="s">
        <v>124</v>
      </c>
      <c r="O235" s="5">
        <f ca="1">I235*L235</f>
        <v>0</v>
      </c>
      <c r="P235" s="5">
        <f>J235*L235</f>
        <v>0</v>
      </c>
      <c r="Q235" s="5">
        <v>100</v>
      </c>
    </row>
    <row r="236" spans="1:17" ht="15.75" customHeight="1" x14ac:dyDescent="0.25">
      <c r="A236" s="4" t="s">
        <v>672</v>
      </c>
      <c r="B236" s="29" t="s">
        <v>639</v>
      </c>
      <c r="C236" s="29" t="s">
        <v>482</v>
      </c>
      <c r="D236" s="5" t="s">
        <v>68</v>
      </c>
      <c r="E236" s="5" t="s">
        <v>742</v>
      </c>
      <c r="F236" s="7" t="s">
        <v>10</v>
      </c>
      <c r="G236" s="8">
        <v>42201</v>
      </c>
      <c r="H236" s="8">
        <v>42209</v>
      </c>
      <c r="I236" s="9">
        <f ca="1">IF(NETWORKDAYS(G236,TODAY())/NETWORKDAYS(G236,H236,)&lt;0,0,IF(NETWORKDAYS(G236,TODAY())/NETWORKDAYS(G236,H236,)&gt;1,1,NETWORKDAYS(G236,TODAY())/NETWORKDAYS(G236,H236,)))</f>
        <v>0</v>
      </c>
      <c r="J236" s="9">
        <v>0</v>
      </c>
      <c r="K236" s="10">
        <f t="shared" si="17"/>
        <v>7</v>
      </c>
      <c r="L236" s="4">
        <f>K236*8</f>
        <v>56</v>
      </c>
      <c r="M236" s="4" t="s">
        <v>686</v>
      </c>
      <c r="N236" s="4" t="s">
        <v>124</v>
      </c>
      <c r="O236" s="5">
        <f ca="1">I236*L236</f>
        <v>0</v>
      </c>
      <c r="P236" s="5">
        <f>J236*L236</f>
        <v>0</v>
      </c>
      <c r="Q236" s="5">
        <v>100</v>
      </c>
    </row>
    <row r="237" spans="1:17" ht="14.25" customHeight="1" x14ac:dyDescent="0.25">
      <c r="A237" s="4" t="s">
        <v>672</v>
      </c>
      <c r="B237" s="29" t="s">
        <v>639</v>
      </c>
      <c r="C237" s="29" t="s">
        <v>482</v>
      </c>
      <c r="D237" s="5" t="s">
        <v>68</v>
      </c>
      <c r="E237" s="5" t="s">
        <v>742</v>
      </c>
      <c r="F237" s="33" t="s">
        <v>8</v>
      </c>
      <c r="G237" s="8">
        <v>42212</v>
      </c>
      <c r="H237" s="8">
        <v>42214</v>
      </c>
      <c r="I237" s="9">
        <f ca="1">IF(NETWORKDAYS(G237,TODAY())/NETWORKDAYS(G237,H237,)&lt;0,0,IF(NETWORKDAYS(G237,TODAY())/NETWORKDAYS(G237,H237,)&gt;1,1,NETWORKDAYS(G237,TODAY())/NETWORKDAYS(G237,H237,)))</f>
        <v>0</v>
      </c>
      <c r="J237" s="9">
        <v>0</v>
      </c>
      <c r="K237" s="10">
        <f t="shared" si="17"/>
        <v>3</v>
      </c>
      <c r="L237" s="4">
        <f>K237*8</f>
        <v>24</v>
      </c>
      <c r="M237" s="4" t="s">
        <v>686</v>
      </c>
      <c r="N237" s="4" t="s">
        <v>124</v>
      </c>
      <c r="O237" s="5">
        <f ca="1">I237*L237</f>
        <v>0</v>
      </c>
      <c r="P237" s="5">
        <f>J237*L237</f>
        <v>0</v>
      </c>
      <c r="Q237" s="5">
        <v>100</v>
      </c>
    </row>
    <row r="238" spans="1:17" ht="14.25" customHeight="1" x14ac:dyDescent="0.25">
      <c r="A238" s="4" t="s">
        <v>672</v>
      </c>
      <c r="B238" s="29" t="s">
        <v>639</v>
      </c>
      <c r="C238" s="29" t="s">
        <v>482</v>
      </c>
      <c r="D238" s="5" t="s">
        <v>68</v>
      </c>
      <c r="E238" s="5" t="s">
        <v>742</v>
      </c>
      <c r="F238" s="7" t="s">
        <v>11</v>
      </c>
      <c r="G238" s="8">
        <v>42215</v>
      </c>
      <c r="H238" s="8">
        <v>42216</v>
      </c>
      <c r="I238" s="9">
        <f ca="1">IF(NETWORKDAYS(G238,TODAY())/NETWORKDAYS(G238,H238,)&lt;0,0,IF(NETWORKDAYS(G238,TODAY())/NETWORKDAYS(G238,H238,)&gt;1,1,NETWORKDAYS(G238,TODAY())/NETWORKDAYS(G238,H238,)))</f>
        <v>0</v>
      </c>
      <c r="J238" s="9">
        <v>0</v>
      </c>
      <c r="K238" s="10">
        <f t="shared" si="17"/>
        <v>2</v>
      </c>
      <c r="L238" s="4">
        <f>K238*8</f>
        <v>16</v>
      </c>
      <c r="M238" s="4" t="s">
        <v>686</v>
      </c>
      <c r="N238" s="4" t="s">
        <v>124</v>
      </c>
      <c r="O238" s="5">
        <f ca="1">I238*L238</f>
        <v>0</v>
      </c>
      <c r="P238" s="5">
        <f>J238*L238</f>
        <v>0</v>
      </c>
      <c r="Q238" s="5">
        <v>100</v>
      </c>
    </row>
    <row r="239" spans="1:17" ht="14.25" customHeight="1" x14ac:dyDescent="0.25">
      <c r="A239" s="11" t="s">
        <v>672</v>
      </c>
      <c r="B239" s="30" t="s">
        <v>639</v>
      </c>
      <c r="C239" s="30" t="s">
        <v>482</v>
      </c>
      <c r="D239" s="12" t="s">
        <v>68</v>
      </c>
      <c r="E239" s="12" t="s">
        <v>742</v>
      </c>
      <c r="F239" s="12" t="s">
        <v>34</v>
      </c>
      <c r="G239" s="22">
        <f>G235</f>
        <v>42198</v>
      </c>
      <c r="H239" s="22">
        <f>H238</f>
        <v>42216</v>
      </c>
      <c r="I239" s="13">
        <f ca="1">SUM(O235:O238)/L239</f>
        <v>0</v>
      </c>
      <c r="J239" s="13">
        <f>SUM(P235:P238)/L239</f>
        <v>0</v>
      </c>
      <c r="K239" s="14">
        <f t="shared" si="17"/>
        <v>15</v>
      </c>
      <c r="L239" s="11">
        <f>SUM(L235:L238)</f>
        <v>120</v>
      </c>
      <c r="M239" s="13" t="s">
        <v>686</v>
      </c>
      <c r="N239" s="13" t="s">
        <v>124</v>
      </c>
      <c r="O239" s="5"/>
      <c r="P239" s="5"/>
      <c r="Q239" s="5"/>
    </row>
    <row r="240" spans="1:17" ht="14.25" customHeight="1" x14ac:dyDescent="0.25">
      <c r="A240" s="4" t="s">
        <v>673</v>
      </c>
      <c r="B240" s="29" t="s">
        <v>640</v>
      </c>
      <c r="C240" s="29" t="s">
        <v>482</v>
      </c>
      <c r="D240" s="5" t="s">
        <v>68</v>
      </c>
      <c r="E240" s="5" t="s">
        <v>742</v>
      </c>
      <c r="F240" s="7" t="s">
        <v>9</v>
      </c>
      <c r="G240" s="8">
        <v>42205</v>
      </c>
      <c r="H240" s="8">
        <v>42207</v>
      </c>
      <c r="I240" s="9">
        <f ca="1">IF(NETWORKDAYS(G240,TODAY())/NETWORKDAYS(G240,H240,)&lt;0,0,IF(NETWORKDAYS(G240,TODAY())/NETWORKDAYS(G240,H240,)&gt;1,1,NETWORKDAYS(G240,TODAY())/NETWORKDAYS(G240,H240,)))</f>
        <v>0</v>
      </c>
      <c r="J240" s="9">
        <v>0</v>
      </c>
      <c r="K240" s="10">
        <f t="shared" si="17"/>
        <v>3</v>
      </c>
      <c r="L240" s="4">
        <f>K240*8</f>
        <v>24</v>
      </c>
      <c r="M240" s="4" t="s">
        <v>105</v>
      </c>
      <c r="N240" s="4" t="s">
        <v>106</v>
      </c>
      <c r="O240" s="5">
        <f ca="1">I240*L240</f>
        <v>0</v>
      </c>
      <c r="P240" s="5">
        <f>J240*L240</f>
        <v>0</v>
      </c>
      <c r="Q240" s="5">
        <v>100</v>
      </c>
    </row>
    <row r="241" spans="1:17" ht="15.75" customHeight="1" x14ac:dyDescent="0.25">
      <c r="A241" s="4" t="s">
        <v>673</v>
      </c>
      <c r="B241" s="29" t="s">
        <v>640</v>
      </c>
      <c r="C241" s="29" t="s">
        <v>482</v>
      </c>
      <c r="D241" s="5" t="s">
        <v>68</v>
      </c>
      <c r="E241" s="5" t="s">
        <v>742</v>
      </c>
      <c r="F241" s="7" t="s">
        <v>10</v>
      </c>
      <c r="G241" s="8">
        <v>42208</v>
      </c>
      <c r="H241" s="8">
        <v>42216</v>
      </c>
      <c r="I241" s="9">
        <f ca="1">IF(NETWORKDAYS(G241,TODAY())/NETWORKDAYS(G241,H241,)&lt;0,0,IF(NETWORKDAYS(G241,TODAY())/NETWORKDAYS(G241,H241,)&gt;1,1,NETWORKDAYS(G241,TODAY())/NETWORKDAYS(G241,H241,)))</f>
        <v>0</v>
      </c>
      <c r="J241" s="9">
        <v>0</v>
      </c>
      <c r="K241" s="10">
        <f t="shared" si="17"/>
        <v>7</v>
      </c>
      <c r="L241" s="4">
        <f>K241*8</f>
        <v>56</v>
      </c>
      <c r="M241" s="4" t="s">
        <v>105</v>
      </c>
      <c r="N241" s="4" t="s">
        <v>106</v>
      </c>
      <c r="O241" s="5">
        <f ca="1">I241*L241</f>
        <v>0</v>
      </c>
      <c r="P241" s="5">
        <f>J241*L241</f>
        <v>0</v>
      </c>
      <c r="Q241" s="5">
        <v>100</v>
      </c>
    </row>
    <row r="242" spans="1:17" ht="14.25" customHeight="1" x14ac:dyDescent="0.25">
      <c r="A242" s="4" t="s">
        <v>673</v>
      </c>
      <c r="B242" s="29" t="s">
        <v>640</v>
      </c>
      <c r="C242" s="29" t="s">
        <v>482</v>
      </c>
      <c r="D242" s="5" t="s">
        <v>68</v>
      </c>
      <c r="E242" s="5" t="s">
        <v>742</v>
      </c>
      <c r="F242" s="33" t="s">
        <v>8</v>
      </c>
      <c r="G242" s="8">
        <v>42219</v>
      </c>
      <c r="H242" s="8">
        <v>42221</v>
      </c>
      <c r="I242" s="9">
        <f ca="1">IF(NETWORKDAYS(G242,TODAY())/NETWORKDAYS(G242,H242,)&lt;0,0,IF(NETWORKDAYS(G242,TODAY())/NETWORKDAYS(G242,H242,)&gt;1,1,NETWORKDAYS(G242,TODAY())/NETWORKDAYS(G242,H242,)))</f>
        <v>0</v>
      </c>
      <c r="J242" s="9">
        <v>0</v>
      </c>
      <c r="K242" s="10">
        <f t="shared" si="17"/>
        <v>3</v>
      </c>
      <c r="L242" s="4">
        <f>K242*8</f>
        <v>24</v>
      </c>
      <c r="M242" s="4" t="s">
        <v>105</v>
      </c>
      <c r="N242" s="4" t="s">
        <v>106</v>
      </c>
      <c r="O242" s="5">
        <f ca="1">I242*L242</f>
        <v>0</v>
      </c>
      <c r="P242" s="5">
        <f>J242*L242</f>
        <v>0</v>
      </c>
      <c r="Q242" s="5">
        <v>100</v>
      </c>
    </row>
    <row r="243" spans="1:17" ht="14.25" customHeight="1" x14ac:dyDescent="0.25">
      <c r="A243" s="4" t="s">
        <v>673</v>
      </c>
      <c r="B243" s="29" t="s">
        <v>640</v>
      </c>
      <c r="C243" s="29" t="s">
        <v>482</v>
      </c>
      <c r="D243" s="5" t="s">
        <v>68</v>
      </c>
      <c r="E243" s="5" t="s">
        <v>742</v>
      </c>
      <c r="F243" s="7" t="s">
        <v>11</v>
      </c>
      <c r="G243" s="8">
        <v>42222</v>
      </c>
      <c r="H243" s="8">
        <v>42223</v>
      </c>
      <c r="I243" s="9">
        <f ca="1">IF(NETWORKDAYS(G243,TODAY())/NETWORKDAYS(G243,H243,)&lt;0,0,IF(NETWORKDAYS(G243,TODAY())/NETWORKDAYS(G243,H243,)&gt;1,1,NETWORKDAYS(G243,TODAY())/NETWORKDAYS(G243,H243,)))</f>
        <v>0</v>
      </c>
      <c r="J243" s="9">
        <v>0</v>
      </c>
      <c r="K243" s="10">
        <f t="shared" si="17"/>
        <v>2</v>
      </c>
      <c r="L243" s="4">
        <f>K243*8</f>
        <v>16</v>
      </c>
      <c r="M243" s="4" t="s">
        <v>105</v>
      </c>
      <c r="N243" s="4" t="s">
        <v>106</v>
      </c>
      <c r="O243" s="5">
        <f ca="1">I243*L243</f>
        <v>0</v>
      </c>
      <c r="P243" s="5">
        <f>J243*L243</f>
        <v>0</v>
      </c>
      <c r="Q243" s="5">
        <v>100</v>
      </c>
    </row>
    <row r="244" spans="1:17" ht="14.25" customHeight="1" x14ac:dyDescent="0.25">
      <c r="A244" s="11" t="s">
        <v>673</v>
      </c>
      <c r="B244" s="30" t="s">
        <v>640</v>
      </c>
      <c r="C244" s="30" t="s">
        <v>482</v>
      </c>
      <c r="D244" s="12" t="s">
        <v>68</v>
      </c>
      <c r="E244" s="12" t="s">
        <v>742</v>
      </c>
      <c r="F244" s="12" t="s">
        <v>34</v>
      </c>
      <c r="G244" s="22">
        <f>G240</f>
        <v>42205</v>
      </c>
      <c r="H244" s="22">
        <f>H243</f>
        <v>42223</v>
      </c>
      <c r="I244" s="13">
        <f ca="1">SUM(O240:O243)/L244</f>
        <v>0</v>
      </c>
      <c r="J244" s="13">
        <f>SUM(P240:P243)/L244</f>
        <v>0</v>
      </c>
      <c r="K244" s="14">
        <f t="shared" si="17"/>
        <v>15</v>
      </c>
      <c r="L244" s="11">
        <f>SUM(L240:L243)</f>
        <v>120</v>
      </c>
      <c r="M244" s="13" t="s">
        <v>105</v>
      </c>
      <c r="N244" s="13" t="s">
        <v>106</v>
      </c>
      <c r="O244" s="5"/>
      <c r="P244" s="5"/>
      <c r="Q244" s="5"/>
    </row>
    <row r="245" spans="1:17" ht="14.25" customHeight="1" x14ac:dyDescent="0.25">
      <c r="A245" s="4" t="s">
        <v>674</v>
      </c>
      <c r="B245" s="29" t="s">
        <v>641</v>
      </c>
      <c r="C245" s="29" t="s">
        <v>482</v>
      </c>
      <c r="D245" s="5" t="s">
        <v>68</v>
      </c>
      <c r="E245" s="5" t="s">
        <v>742</v>
      </c>
      <c r="F245" s="7" t="s">
        <v>9</v>
      </c>
      <c r="G245" s="8">
        <v>42205</v>
      </c>
      <c r="H245" s="8">
        <v>42207</v>
      </c>
      <c r="I245" s="9">
        <f ca="1">IF(NETWORKDAYS(G245,TODAY())/NETWORKDAYS(G245,H245,)&lt;0,0,IF(NETWORKDAYS(G245,TODAY())/NETWORKDAYS(G245,H245,)&gt;1,1,NETWORKDAYS(G245,TODAY())/NETWORKDAYS(G245,H245,)))</f>
        <v>0</v>
      </c>
      <c r="J245" s="9">
        <v>0</v>
      </c>
      <c r="K245" s="10">
        <f t="shared" si="17"/>
        <v>3</v>
      </c>
      <c r="L245" s="4">
        <f>K245*8</f>
        <v>24</v>
      </c>
      <c r="M245" s="4" t="s">
        <v>113</v>
      </c>
      <c r="N245" s="4" t="s">
        <v>114</v>
      </c>
      <c r="O245" s="5">
        <f ca="1">I245*L245</f>
        <v>0</v>
      </c>
      <c r="P245" s="5">
        <f>J245*L245</f>
        <v>0</v>
      </c>
      <c r="Q245" s="5">
        <v>100</v>
      </c>
    </row>
    <row r="246" spans="1:17" ht="15.75" customHeight="1" x14ac:dyDescent="0.25">
      <c r="A246" s="4" t="s">
        <v>674</v>
      </c>
      <c r="B246" s="29" t="s">
        <v>641</v>
      </c>
      <c r="C246" s="29" t="s">
        <v>482</v>
      </c>
      <c r="D246" s="5" t="s">
        <v>68</v>
      </c>
      <c r="E246" s="5" t="s">
        <v>742</v>
      </c>
      <c r="F246" s="7" t="s">
        <v>10</v>
      </c>
      <c r="G246" s="8">
        <v>42208</v>
      </c>
      <c r="H246" s="8">
        <v>42216</v>
      </c>
      <c r="I246" s="9">
        <f ca="1">IF(NETWORKDAYS(G246,TODAY())/NETWORKDAYS(G246,H246,)&lt;0,0,IF(NETWORKDAYS(G246,TODAY())/NETWORKDAYS(G246,H246,)&gt;1,1,NETWORKDAYS(G246,TODAY())/NETWORKDAYS(G246,H246,)))</f>
        <v>0</v>
      </c>
      <c r="J246" s="9">
        <v>0</v>
      </c>
      <c r="K246" s="10">
        <f t="shared" si="17"/>
        <v>7</v>
      </c>
      <c r="L246" s="4">
        <f>K246*8</f>
        <v>56</v>
      </c>
      <c r="M246" s="4" t="s">
        <v>113</v>
      </c>
      <c r="N246" s="4" t="s">
        <v>114</v>
      </c>
      <c r="O246" s="5">
        <f ca="1">I246*L246</f>
        <v>0</v>
      </c>
      <c r="P246" s="5">
        <f>J246*L246</f>
        <v>0</v>
      </c>
      <c r="Q246" s="5">
        <v>100</v>
      </c>
    </row>
    <row r="247" spans="1:17" ht="14.25" customHeight="1" x14ac:dyDescent="0.25">
      <c r="A247" s="4" t="s">
        <v>674</v>
      </c>
      <c r="B247" s="29" t="s">
        <v>641</v>
      </c>
      <c r="C247" s="29" t="s">
        <v>482</v>
      </c>
      <c r="D247" s="5" t="s">
        <v>68</v>
      </c>
      <c r="E247" s="5" t="s">
        <v>742</v>
      </c>
      <c r="F247" s="33" t="s">
        <v>8</v>
      </c>
      <c r="G247" s="8">
        <v>42219</v>
      </c>
      <c r="H247" s="8">
        <v>42221</v>
      </c>
      <c r="I247" s="9">
        <f ca="1">IF(NETWORKDAYS(G247,TODAY())/NETWORKDAYS(G247,H247,)&lt;0,0,IF(NETWORKDAYS(G247,TODAY())/NETWORKDAYS(G247,H247,)&gt;1,1,NETWORKDAYS(G247,TODAY())/NETWORKDAYS(G247,H247,)))</f>
        <v>0</v>
      </c>
      <c r="J247" s="9">
        <v>0</v>
      </c>
      <c r="K247" s="10">
        <f t="shared" ref="K247:K279" si="18">NETWORKDAYS(G247,H247)</f>
        <v>3</v>
      </c>
      <c r="L247" s="4">
        <f>K247*8</f>
        <v>24</v>
      </c>
      <c r="M247" s="4" t="s">
        <v>113</v>
      </c>
      <c r="N247" s="4" t="s">
        <v>114</v>
      </c>
      <c r="O247" s="5">
        <f ca="1">I247*L247</f>
        <v>0</v>
      </c>
      <c r="P247" s="5">
        <f>J247*L247</f>
        <v>0</v>
      </c>
      <c r="Q247" s="5">
        <v>100</v>
      </c>
    </row>
    <row r="248" spans="1:17" ht="14.25" customHeight="1" x14ac:dyDescent="0.25">
      <c r="A248" s="4" t="s">
        <v>674</v>
      </c>
      <c r="B248" s="29" t="s">
        <v>641</v>
      </c>
      <c r="C248" s="29" t="s">
        <v>482</v>
      </c>
      <c r="D248" s="5" t="s">
        <v>68</v>
      </c>
      <c r="E248" s="5" t="s">
        <v>742</v>
      </c>
      <c r="F248" s="7" t="s">
        <v>11</v>
      </c>
      <c r="G248" s="8">
        <v>42222</v>
      </c>
      <c r="H248" s="8">
        <v>42223</v>
      </c>
      <c r="I248" s="9">
        <f ca="1">IF(NETWORKDAYS(G248,TODAY())/NETWORKDAYS(G248,H248,)&lt;0,0,IF(NETWORKDAYS(G248,TODAY())/NETWORKDAYS(G248,H248,)&gt;1,1,NETWORKDAYS(G248,TODAY())/NETWORKDAYS(G248,H248,)))</f>
        <v>0</v>
      </c>
      <c r="J248" s="9">
        <v>0</v>
      </c>
      <c r="K248" s="10">
        <f t="shared" si="18"/>
        <v>2</v>
      </c>
      <c r="L248" s="4">
        <f>K248*8</f>
        <v>16</v>
      </c>
      <c r="M248" s="4" t="s">
        <v>113</v>
      </c>
      <c r="N248" s="4" t="s">
        <v>114</v>
      </c>
      <c r="O248" s="5">
        <f ca="1">I248*L248</f>
        <v>0</v>
      </c>
      <c r="P248" s="5">
        <f>J248*L248</f>
        <v>0</v>
      </c>
      <c r="Q248" s="5">
        <v>100</v>
      </c>
    </row>
    <row r="249" spans="1:17" ht="14.25" customHeight="1" x14ac:dyDescent="0.25">
      <c r="A249" s="11" t="s">
        <v>674</v>
      </c>
      <c r="B249" s="30" t="s">
        <v>641</v>
      </c>
      <c r="C249" s="30" t="s">
        <v>482</v>
      </c>
      <c r="D249" s="12" t="s">
        <v>68</v>
      </c>
      <c r="E249" s="12" t="s">
        <v>742</v>
      </c>
      <c r="F249" s="12" t="s">
        <v>34</v>
      </c>
      <c r="G249" s="22">
        <f>G245</f>
        <v>42205</v>
      </c>
      <c r="H249" s="22">
        <f>H248</f>
        <v>42223</v>
      </c>
      <c r="I249" s="13">
        <f ca="1">SUM(O245:O248)/L249</f>
        <v>0</v>
      </c>
      <c r="J249" s="13">
        <f>SUM(P245:P248)/L249</f>
        <v>0</v>
      </c>
      <c r="K249" s="14">
        <f t="shared" si="18"/>
        <v>15</v>
      </c>
      <c r="L249" s="11">
        <f>SUM(L245:L248)</f>
        <v>120</v>
      </c>
      <c r="M249" s="13" t="s">
        <v>113</v>
      </c>
      <c r="N249" s="13" t="s">
        <v>114</v>
      </c>
      <c r="O249" s="5"/>
      <c r="P249" s="5"/>
      <c r="Q249" s="5"/>
    </row>
    <row r="250" spans="1:17" ht="14.25" customHeight="1" x14ac:dyDescent="0.25">
      <c r="A250" s="4" t="s">
        <v>675</v>
      </c>
      <c r="B250" s="29" t="s">
        <v>642</v>
      </c>
      <c r="C250" s="29" t="s">
        <v>482</v>
      </c>
      <c r="D250" s="5" t="s">
        <v>68</v>
      </c>
      <c r="E250" s="5" t="s">
        <v>742</v>
      </c>
      <c r="F250" s="7" t="s">
        <v>9</v>
      </c>
      <c r="G250" s="8">
        <v>42184</v>
      </c>
      <c r="H250" s="8">
        <v>42185</v>
      </c>
      <c r="I250" s="9">
        <f ca="1">IF(NETWORKDAYS(G250,TODAY())/NETWORKDAYS(G250,H250,)&lt;0,0,IF(NETWORKDAYS(G250,TODAY())/NETWORKDAYS(G250,H250,)&gt;1,1,NETWORKDAYS(G250,TODAY())/NETWORKDAYS(G250,H250,)))</f>
        <v>1</v>
      </c>
      <c r="J250" s="9">
        <v>0</v>
      </c>
      <c r="K250" s="10">
        <f t="shared" si="18"/>
        <v>2</v>
      </c>
      <c r="L250" s="4">
        <f>K250*8</f>
        <v>16</v>
      </c>
      <c r="M250" s="4" t="s">
        <v>105</v>
      </c>
      <c r="N250" s="4" t="s">
        <v>106</v>
      </c>
      <c r="O250" s="5">
        <f ca="1">I250*L250</f>
        <v>16</v>
      </c>
      <c r="P250" s="5">
        <f>J250*L250</f>
        <v>0</v>
      </c>
      <c r="Q250" s="5">
        <v>100</v>
      </c>
    </row>
    <row r="251" spans="1:17" ht="15.75" customHeight="1" x14ac:dyDescent="0.25">
      <c r="A251" s="4" t="s">
        <v>675</v>
      </c>
      <c r="B251" s="29" t="s">
        <v>642</v>
      </c>
      <c r="C251" s="29" t="s">
        <v>482</v>
      </c>
      <c r="D251" s="5" t="s">
        <v>68</v>
      </c>
      <c r="E251" s="5" t="s">
        <v>742</v>
      </c>
      <c r="F251" s="7" t="s">
        <v>10</v>
      </c>
      <c r="G251" s="8">
        <v>42186</v>
      </c>
      <c r="H251" s="8">
        <v>42198</v>
      </c>
      <c r="I251" s="9">
        <f ca="1">IF(NETWORKDAYS(G251,TODAY())/NETWORKDAYS(G251,H251,)&lt;0,0,IF(NETWORKDAYS(G251,TODAY())/NETWORKDAYS(G251,H251,)&gt;1,1,NETWORKDAYS(G251,TODAY())/NETWORKDAYS(G251,H251,)))</f>
        <v>0.88888888888888884</v>
      </c>
      <c r="J251" s="9">
        <v>0</v>
      </c>
      <c r="K251" s="10">
        <f t="shared" si="18"/>
        <v>9</v>
      </c>
      <c r="L251" s="4">
        <f>K251*8</f>
        <v>72</v>
      </c>
      <c r="M251" s="4" t="s">
        <v>105</v>
      </c>
      <c r="N251" s="4" t="s">
        <v>106</v>
      </c>
      <c r="O251" s="5">
        <f ca="1">I251*L251</f>
        <v>64</v>
      </c>
      <c r="P251" s="5">
        <f>J251*L251</f>
        <v>0</v>
      </c>
      <c r="Q251" s="5">
        <v>100</v>
      </c>
    </row>
    <row r="252" spans="1:17" ht="14.25" customHeight="1" x14ac:dyDescent="0.25">
      <c r="A252" s="4" t="s">
        <v>675</v>
      </c>
      <c r="B252" s="29" t="s">
        <v>642</v>
      </c>
      <c r="C252" s="29" t="s">
        <v>482</v>
      </c>
      <c r="D252" s="5" t="s">
        <v>68</v>
      </c>
      <c r="E252" s="5" t="s">
        <v>742</v>
      </c>
      <c r="F252" s="33" t="s">
        <v>8</v>
      </c>
      <c r="G252" s="8">
        <v>42199</v>
      </c>
      <c r="H252" s="8">
        <v>42200</v>
      </c>
      <c r="I252" s="9">
        <f ca="1">IF(NETWORKDAYS(G252,TODAY())/NETWORKDAYS(G252,H252,)&lt;0,0,IF(NETWORKDAYS(G252,TODAY())/NETWORKDAYS(G252,H252,)&gt;1,1,NETWORKDAYS(G252,TODAY())/NETWORKDAYS(G252,H252,)))</f>
        <v>0</v>
      </c>
      <c r="J252" s="9">
        <v>0</v>
      </c>
      <c r="K252" s="10">
        <f t="shared" si="18"/>
        <v>2</v>
      </c>
      <c r="L252" s="4">
        <f>K252*8</f>
        <v>16</v>
      </c>
      <c r="M252" s="4" t="s">
        <v>105</v>
      </c>
      <c r="N252" s="4" t="s">
        <v>106</v>
      </c>
      <c r="O252" s="5">
        <f ca="1">I252*L252</f>
        <v>0</v>
      </c>
      <c r="P252" s="5">
        <f>J252*L252</f>
        <v>0</v>
      </c>
      <c r="Q252" s="5">
        <v>100</v>
      </c>
    </row>
    <row r="253" spans="1:17" ht="14.25" customHeight="1" x14ac:dyDescent="0.25">
      <c r="A253" s="4" t="s">
        <v>675</v>
      </c>
      <c r="B253" s="29" t="s">
        <v>642</v>
      </c>
      <c r="C253" s="29" t="s">
        <v>482</v>
      </c>
      <c r="D253" s="5" t="s">
        <v>68</v>
      </c>
      <c r="E253" s="5" t="s">
        <v>742</v>
      </c>
      <c r="F253" s="7" t="s">
        <v>11</v>
      </c>
      <c r="G253" s="8">
        <v>42201</v>
      </c>
      <c r="H253" s="8">
        <v>42202</v>
      </c>
      <c r="I253" s="9">
        <f ca="1">IF(NETWORKDAYS(G253,TODAY())/NETWORKDAYS(G253,H253,)&lt;0,0,IF(NETWORKDAYS(G253,TODAY())/NETWORKDAYS(G253,H253,)&gt;1,1,NETWORKDAYS(G253,TODAY())/NETWORKDAYS(G253,H253,)))</f>
        <v>0</v>
      </c>
      <c r="J253" s="9">
        <v>0</v>
      </c>
      <c r="K253" s="10">
        <f t="shared" si="18"/>
        <v>2</v>
      </c>
      <c r="L253" s="4">
        <f>K253*8</f>
        <v>16</v>
      </c>
      <c r="M253" s="4" t="s">
        <v>105</v>
      </c>
      <c r="N253" s="4" t="s">
        <v>106</v>
      </c>
      <c r="O253" s="5">
        <f ca="1">I253*L253</f>
        <v>0</v>
      </c>
      <c r="P253" s="5">
        <f>J253*L253</f>
        <v>0</v>
      </c>
      <c r="Q253" s="5">
        <v>100</v>
      </c>
    </row>
    <row r="254" spans="1:17" ht="14.25" customHeight="1" x14ac:dyDescent="0.25">
      <c r="A254" s="11" t="s">
        <v>675</v>
      </c>
      <c r="B254" s="30" t="s">
        <v>642</v>
      </c>
      <c r="C254" s="30" t="s">
        <v>482</v>
      </c>
      <c r="D254" s="12" t="s">
        <v>68</v>
      </c>
      <c r="E254" s="12" t="s">
        <v>742</v>
      </c>
      <c r="F254" s="12" t="s">
        <v>34</v>
      </c>
      <c r="G254" s="22">
        <f>G250</f>
        <v>42184</v>
      </c>
      <c r="H254" s="22">
        <f>H253</f>
        <v>42202</v>
      </c>
      <c r="I254" s="13">
        <f ca="1">SUM(O250:O253)/L254</f>
        <v>0.66666666666666663</v>
      </c>
      <c r="J254" s="13">
        <f>SUM(P250:P253)/L254</f>
        <v>0</v>
      </c>
      <c r="K254" s="14">
        <f t="shared" si="18"/>
        <v>15</v>
      </c>
      <c r="L254" s="11">
        <f>SUM(L250:L253)</f>
        <v>120</v>
      </c>
      <c r="M254" s="13" t="s">
        <v>105</v>
      </c>
      <c r="N254" s="13" t="s">
        <v>106</v>
      </c>
      <c r="O254" s="5"/>
      <c r="P254" s="5"/>
      <c r="Q254" s="5"/>
    </row>
    <row r="255" spans="1:17" ht="14.25" customHeight="1" x14ac:dyDescent="0.25">
      <c r="A255" s="4" t="s">
        <v>676</v>
      </c>
      <c r="B255" s="29" t="s">
        <v>643</v>
      </c>
      <c r="C255" s="29" t="s">
        <v>482</v>
      </c>
      <c r="D255" s="5" t="s">
        <v>68</v>
      </c>
      <c r="E255" s="5" t="s">
        <v>742</v>
      </c>
      <c r="F255" s="7" t="s">
        <v>9</v>
      </c>
      <c r="G255" s="8">
        <v>42205</v>
      </c>
      <c r="H255" s="8">
        <v>42207</v>
      </c>
      <c r="I255" s="9">
        <f ca="1">IF(NETWORKDAYS(G255,TODAY())/NETWORKDAYS(G255,H255,)&lt;0,0,IF(NETWORKDAYS(G255,TODAY())/NETWORKDAYS(G255,H255,)&gt;1,1,NETWORKDAYS(G255,TODAY())/NETWORKDAYS(G255,H255,)))</f>
        <v>0</v>
      </c>
      <c r="J255" s="9">
        <v>0</v>
      </c>
      <c r="K255" s="10">
        <f t="shared" si="18"/>
        <v>3</v>
      </c>
      <c r="L255" s="4">
        <f>K255*8</f>
        <v>24</v>
      </c>
      <c r="M255" s="4" t="s">
        <v>111</v>
      </c>
      <c r="N255" s="4" t="s">
        <v>112</v>
      </c>
      <c r="O255" s="5">
        <f ca="1">I255*L255</f>
        <v>0</v>
      </c>
      <c r="P255" s="5">
        <f>J255*L255</f>
        <v>0</v>
      </c>
      <c r="Q255" s="5">
        <v>100</v>
      </c>
    </row>
    <row r="256" spans="1:17" ht="15.75" customHeight="1" x14ac:dyDescent="0.25">
      <c r="A256" s="4" t="s">
        <v>676</v>
      </c>
      <c r="B256" s="29" t="s">
        <v>643</v>
      </c>
      <c r="C256" s="29" t="s">
        <v>482</v>
      </c>
      <c r="D256" s="5" t="s">
        <v>68</v>
      </c>
      <c r="E256" s="5" t="s">
        <v>742</v>
      </c>
      <c r="F256" s="7" t="s">
        <v>10</v>
      </c>
      <c r="G256" s="8">
        <v>42208</v>
      </c>
      <c r="H256" s="8">
        <v>42216</v>
      </c>
      <c r="I256" s="9">
        <f ca="1">IF(NETWORKDAYS(G256,TODAY())/NETWORKDAYS(G256,H256,)&lt;0,0,IF(NETWORKDAYS(G256,TODAY())/NETWORKDAYS(G256,H256,)&gt;1,1,NETWORKDAYS(G256,TODAY())/NETWORKDAYS(G256,H256,)))</f>
        <v>0</v>
      </c>
      <c r="J256" s="9">
        <v>0</v>
      </c>
      <c r="K256" s="10">
        <f t="shared" si="18"/>
        <v>7</v>
      </c>
      <c r="L256" s="4">
        <f>K256*8</f>
        <v>56</v>
      </c>
      <c r="M256" s="4" t="s">
        <v>111</v>
      </c>
      <c r="N256" s="4" t="s">
        <v>112</v>
      </c>
      <c r="O256" s="5">
        <f ca="1">I256*L256</f>
        <v>0</v>
      </c>
      <c r="P256" s="5">
        <f>J256*L256</f>
        <v>0</v>
      </c>
      <c r="Q256" s="5">
        <v>100</v>
      </c>
    </row>
    <row r="257" spans="1:17" ht="14.25" customHeight="1" x14ac:dyDescent="0.25">
      <c r="A257" s="4" t="s">
        <v>676</v>
      </c>
      <c r="B257" s="29" t="s">
        <v>643</v>
      </c>
      <c r="C257" s="29" t="s">
        <v>482</v>
      </c>
      <c r="D257" s="5" t="s">
        <v>68</v>
      </c>
      <c r="E257" s="5" t="s">
        <v>742</v>
      </c>
      <c r="F257" s="33" t="s">
        <v>8</v>
      </c>
      <c r="G257" s="8">
        <v>42219</v>
      </c>
      <c r="H257" s="8">
        <v>42221</v>
      </c>
      <c r="I257" s="9">
        <f ca="1">IF(NETWORKDAYS(G257,TODAY())/NETWORKDAYS(G257,H257,)&lt;0,0,IF(NETWORKDAYS(G257,TODAY())/NETWORKDAYS(G257,H257,)&gt;1,1,NETWORKDAYS(G257,TODAY())/NETWORKDAYS(G257,H257,)))</f>
        <v>0</v>
      </c>
      <c r="J257" s="9">
        <v>0</v>
      </c>
      <c r="K257" s="10">
        <f t="shared" si="18"/>
        <v>3</v>
      </c>
      <c r="L257" s="4">
        <f>K257*8</f>
        <v>24</v>
      </c>
      <c r="M257" s="4" t="s">
        <v>111</v>
      </c>
      <c r="N257" s="4" t="s">
        <v>112</v>
      </c>
      <c r="O257" s="5">
        <f ca="1">I257*L257</f>
        <v>0</v>
      </c>
      <c r="P257" s="5">
        <f>J257*L257</f>
        <v>0</v>
      </c>
      <c r="Q257" s="5">
        <v>100</v>
      </c>
    </row>
    <row r="258" spans="1:17" ht="14.25" customHeight="1" x14ac:dyDescent="0.25">
      <c r="A258" s="4" t="s">
        <v>676</v>
      </c>
      <c r="B258" s="29" t="s">
        <v>643</v>
      </c>
      <c r="C258" s="29" t="s">
        <v>482</v>
      </c>
      <c r="D258" s="5" t="s">
        <v>68</v>
      </c>
      <c r="E258" s="5" t="s">
        <v>742</v>
      </c>
      <c r="F258" s="7" t="s">
        <v>11</v>
      </c>
      <c r="G258" s="8">
        <v>42222</v>
      </c>
      <c r="H258" s="8">
        <v>42223</v>
      </c>
      <c r="I258" s="9">
        <f ca="1">IF(NETWORKDAYS(G258,TODAY())/NETWORKDAYS(G258,H258,)&lt;0,0,IF(NETWORKDAYS(G258,TODAY())/NETWORKDAYS(G258,H258,)&gt;1,1,NETWORKDAYS(G258,TODAY())/NETWORKDAYS(G258,H258,)))</f>
        <v>0</v>
      </c>
      <c r="J258" s="9">
        <v>0</v>
      </c>
      <c r="K258" s="10">
        <f t="shared" si="18"/>
        <v>2</v>
      </c>
      <c r="L258" s="4">
        <f>K258*8</f>
        <v>16</v>
      </c>
      <c r="M258" s="4" t="s">
        <v>111</v>
      </c>
      <c r="N258" s="4" t="s">
        <v>112</v>
      </c>
      <c r="O258" s="5">
        <f ca="1">I258*L258</f>
        <v>0</v>
      </c>
      <c r="P258" s="5">
        <f>J258*L258</f>
        <v>0</v>
      </c>
      <c r="Q258" s="5">
        <v>100</v>
      </c>
    </row>
    <row r="259" spans="1:17" ht="14.25" customHeight="1" x14ac:dyDescent="0.25">
      <c r="A259" s="11" t="s">
        <v>676</v>
      </c>
      <c r="B259" s="30" t="s">
        <v>643</v>
      </c>
      <c r="C259" s="30" t="s">
        <v>482</v>
      </c>
      <c r="D259" s="12" t="s">
        <v>68</v>
      </c>
      <c r="E259" s="12" t="s">
        <v>742</v>
      </c>
      <c r="F259" s="12" t="s">
        <v>34</v>
      </c>
      <c r="G259" s="22">
        <f>G255</f>
        <v>42205</v>
      </c>
      <c r="H259" s="22">
        <f>H258</f>
        <v>42223</v>
      </c>
      <c r="I259" s="13">
        <f ca="1">SUM(O255:O258)/L259</f>
        <v>0</v>
      </c>
      <c r="J259" s="13">
        <f>SUM(P255:P258)/L259</f>
        <v>0</v>
      </c>
      <c r="K259" s="14">
        <f t="shared" si="18"/>
        <v>15</v>
      </c>
      <c r="L259" s="11">
        <f>SUM(L255:L258)</f>
        <v>120</v>
      </c>
      <c r="M259" s="13" t="s">
        <v>111</v>
      </c>
      <c r="N259" s="13" t="s">
        <v>112</v>
      </c>
      <c r="O259" s="5"/>
      <c r="P259" s="5"/>
      <c r="Q259" s="5"/>
    </row>
    <row r="260" spans="1:17" ht="14.25" customHeight="1" x14ac:dyDescent="0.25">
      <c r="A260" s="4" t="s">
        <v>679</v>
      </c>
      <c r="B260" s="29" t="s">
        <v>646</v>
      </c>
      <c r="C260" s="29" t="s">
        <v>482</v>
      </c>
      <c r="D260" s="5" t="s">
        <v>68</v>
      </c>
      <c r="E260" s="5" t="s">
        <v>742</v>
      </c>
      <c r="F260" s="7" t="s">
        <v>9</v>
      </c>
      <c r="G260" s="8">
        <v>42186</v>
      </c>
      <c r="H260" s="8">
        <v>42188</v>
      </c>
      <c r="I260" s="9">
        <f ca="1">IF(NETWORKDAYS(G260,TODAY())/NETWORKDAYS(G260,H260,)&lt;0,0,IF(NETWORKDAYS(G260,TODAY())/NETWORKDAYS(G260,H260,)&gt;1,1,NETWORKDAYS(G260,TODAY())/NETWORKDAYS(G260,H260,)))</f>
        <v>1</v>
      </c>
      <c r="J260" s="9">
        <v>0</v>
      </c>
      <c r="K260" s="10">
        <f t="shared" si="18"/>
        <v>3</v>
      </c>
      <c r="L260" s="4">
        <f>K260*8</f>
        <v>24</v>
      </c>
      <c r="M260" s="4" t="s">
        <v>130</v>
      </c>
      <c r="N260" s="4" t="s">
        <v>131</v>
      </c>
      <c r="O260" s="5">
        <f ca="1">I260*L260</f>
        <v>24</v>
      </c>
      <c r="P260" s="5">
        <f>J260*L260</f>
        <v>0</v>
      </c>
      <c r="Q260" s="5">
        <v>100</v>
      </c>
    </row>
    <row r="261" spans="1:17" ht="15.75" customHeight="1" x14ac:dyDescent="0.25">
      <c r="A261" s="4" t="s">
        <v>679</v>
      </c>
      <c r="B261" s="29" t="s">
        <v>646</v>
      </c>
      <c r="C261" s="29" t="s">
        <v>482</v>
      </c>
      <c r="D261" s="5" t="s">
        <v>68</v>
      </c>
      <c r="E261" s="5" t="s">
        <v>742</v>
      </c>
      <c r="F261" s="7" t="s">
        <v>10</v>
      </c>
      <c r="G261" s="8">
        <v>42191</v>
      </c>
      <c r="H261" s="8">
        <v>42201</v>
      </c>
      <c r="I261" s="9">
        <f ca="1">IF(NETWORKDAYS(G261,TODAY())/NETWORKDAYS(G261,H261,)&lt;0,0,IF(NETWORKDAYS(G261,TODAY())/NETWORKDAYS(G261,H261,)&gt;1,1,NETWORKDAYS(G261,TODAY())/NETWORKDAYS(G261,H261,)))</f>
        <v>0.55555555555555558</v>
      </c>
      <c r="J261" s="9">
        <v>0</v>
      </c>
      <c r="K261" s="10">
        <f t="shared" si="18"/>
        <v>9</v>
      </c>
      <c r="L261" s="4">
        <f>K261*8</f>
        <v>72</v>
      </c>
      <c r="M261" s="4" t="s">
        <v>130</v>
      </c>
      <c r="N261" s="4" t="s">
        <v>131</v>
      </c>
      <c r="O261" s="5">
        <f ca="1">I261*L261</f>
        <v>40</v>
      </c>
      <c r="P261" s="5">
        <f>J261*L261</f>
        <v>0</v>
      </c>
      <c r="Q261" s="5">
        <v>100</v>
      </c>
    </row>
    <row r="262" spans="1:17" ht="14.25" customHeight="1" x14ac:dyDescent="0.25">
      <c r="A262" s="4" t="s">
        <v>679</v>
      </c>
      <c r="B262" s="29" t="s">
        <v>646</v>
      </c>
      <c r="C262" s="29" t="s">
        <v>482</v>
      </c>
      <c r="D262" s="5" t="s">
        <v>68</v>
      </c>
      <c r="E262" s="5" t="s">
        <v>742</v>
      </c>
      <c r="F262" s="33" t="s">
        <v>8</v>
      </c>
      <c r="G262" s="8">
        <v>42202</v>
      </c>
      <c r="H262" s="8">
        <v>42205</v>
      </c>
      <c r="I262" s="9">
        <f ca="1">IF(NETWORKDAYS(G262,TODAY())/NETWORKDAYS(G262,H262,)&lt;0,0,IF(NETWORKDAYS(G262,TODAY())/NETWORKDAYS(G262,H262,)&gt;1,1,NETWORKDAYS(G262,TODAY())/NETWORKDAYS(G262,H262,)))</f>
        <v>0</v>
      </c>
      <c r="J262" s="9">
        <v>0</v>
      </c>
      <c r="K262" s="10">
        <f t="shared" si="18"/>
        <v>2</v>
      </c>
      <c r="L262" s="4">
        <f>K262*8</f>
        <v>16</v>
      </c>
      <c r="M262" s="4" t="s">
        <v>130</v>
      </c>
      <c r="N262" s="4" t="s">
        <v>131</v>
      </c>
      <c r="O262" s="5">
        <f ca="1">I262*L262</f>
        <v>0</v>
      </c>
      <c r="P262" s="5">
        <f>J262*L262</f>
        <v>0</v>
      </c>
      <c r="Q262" s="5">
        <v>100</v>
      </c>
    </row>
    <row r="263" spans="1:17" ht="14.25" customHeight="1" x14ac:dyDescent="0.25">
      <c r="A263" s="4" t="s">
        <v>679</v>
      </c>
      <c r="B263" s="29" t="s">
        <v>646</v>
      </c>
      <c r="C263" s="29" t="s">
        <v>482</v>
      </c>
      <c r="D263" s="5" t="s">
        <v>68</v>
      </c>
      <c r="E263" s="5" t="s">
        <v>742</v>
      </c>
      <c r="F263" s="7" t="s">
        <v>11</v>
      </c>
      <c r="G263" s="8">
        <v>42206</v>
      </c>
      <c r="H263" s="8">
        <v>42206</v>
      </c>
      <c r="I263" s="9">
        <f ca="1">IF(NETWORKDAYS(G263,TODAY())/NETWORKDAYS(G263,H263,)&lt;0,0,IF(NETWORKDAYS(G263,TODAY())/NETWORKDAYS(G263,H263,)&gt;1,1,NETWORKDAYS(G263,TODAY())/NETWORKDAYS(G263,H263,)))</f>
        <v>0</v>
      </c>
      <c r="J263" s="9">
        <v>0</v>
      </c>
      <c r="K263" s="10">
        <f t="shared" si="18"/>
        <v>1</v>
      </c>
      <c r="L263" s="4">
        <f>K263*8</f>
        <v>8</v>
      </c>
      <c r="M263" s="4" t="s">
        <v>130</v>
      </c>
      <c r="N263" s="4" t="s">
        <v>131</v>
      </c>
      <c r="O263" s="5">
        <f ca="1">I263*L263</f>
        <v>0</v>
      </c>
      <c r="P263" s="5">
        <f>J263*L263</f>
        <v>0</v>
      </c>
      <c r="Q263" s="5">
        <v>100</v>
      </c>
    </row>
    <row r="264" spans="1:17" ht="14.25" customHeight="1" x14ac:dyDescent="0.25">
      <c r="A264" s="11" t="s">
        <v>679</v>
      </c>
      <c r="B264" s="30" t="s">
        <v>646</v>
      </c>
      <c r="C264" s="30" t="s">
        <v>482</v>
      </c>
      <c r="D264" s="12" t="s">
        <v>68</v>
      </c>
      <c r="E264" s="12" t="s">
        <v>742</v>
      </c>
      <c r="F264" s="12" t="s">
        <v>34</v>
      </c>
      <c r="G264" s="22" t="s">
        <v>685</v>
      </c>
      <c r="H264" s="22">
        <f>H263</f>
        <v>42206</v>
      </c>
      <c r="I264" s="13">
        <f ca="1">SUM(O260:O263)/L264</f>
        <v>0.53333333333333333</v>
      </c>
      <c r="J264" s="13">
        <f>SUM(P260:P263)/L264</f>
        <v>0</v>
      </c>
      <c r="K264" s="14">
        <f t="shared" si="18"/>
        <v>7</v>
      </c>
      <c r="L264" s="11">
        <f>SUM(L260:L263)</f>
        <v>120</v>
      </c>
      <c r="M264" s="13" t="s">
        <v>130</v>
      </c>
      <c r="N264" s="13" t="s">
        <v>131</v>
      </c>
      <c r="O264" s="5"/>
      <c r="P264" s="5"/>
      <c r="Q264" s="5"/>
    </row>
    <row r="265" spans="1:17" ht="14.25" customHeight="1" x14ac:dyDescent="0.25">
      <c r="A265" s="4" t="s">
        <v>680</v>
      </c>
      <c r="B265" s="29" t="s">
        <v>647</v>
      </c>
      <c r="C265" s="29" t="s">
        <v>482</v>
      </c>
      <c r="D265" s="5" t="s">
        <v>68</v>
      </c>
      <c r="E265" s="5" t="s">
        <v>742</v>
      </c>
      <c r="F265" s="7" t="s">
        <v>9</v>
      </c>
      <c r="G265" s="8">
        <v>42198</v>
      </c>
      <c r="H265" s="8">
        <v>42200</v>
      </c>
      <c r="I265" s="9">
        <f ca="1">IF(NETWORKDAYS(G265,TODAY())/NETWORKDAYS(G265,H265,)&lt;0,0,IF(NETWORKDAYS(G265,TODAY())/NETWORKDAYS(G265,H265,)&gt;1,1,NETWORKDAYS(G265,TODAY())/NETWORKDAYS(G265,H265,)))</f>
        <v>0</v>
      </c>
      <c r="J265" s="9">
        <v>0</v>
      </c>
      <c r="K265" s="10">
        <f t="shared" si="18"/>
        <v>3</v>
      </c>
      <c r="L265" s="4">
        <f>K265*8</f>
        <v>24</v>
      </c>
      <c r="M265" s="4" t="s">
        <v>115</v>
      </c>
      <c r="N265" s="4" t="s">
        <v>116</v>
      </c>
      <c r="O265" s="5">
        <f ca="1">I265*L265</f>
        <v>0</v>
      </c>
      <c r="P265" s="5">
        <f>J265*L265</f>
        <v>0</v>
      </c>
      <c r="Q265" s="5">
        <v>100</v>
      </c>
    </row>
    <row r="266" spans="1:17" ht="15.75" customHeight="1" x14ac:dyDescent="0.25">
      <c r="A266" s="4" t="s">
        <v>680</v>
      </c>
      <c r="B266" s="29" t="s">
        <v>647</v>
      </c>
      <c r="C266" s="29" t="s">
        <v>482</v>
      </c>
      <c r="D266" s="5" t="s">
        <v>68</v>
      </c>
      <c r="E266" s="5" t="s">
        <v>742</v>
      </c>
      <c r="F266" s="7" t="s">
        <v>10</v>
      </c>
      <c r="G266" s="8">
        <v>42200</v>
      </c>
      <c r="H266" s="8">
        <v>42209</v>
      </c>
      <c r="I266" s="9">
        <f ca="1">IF(NETWORKDAYS(G266,TODAY())/NETWORKDAYS(G266,H266,)&lt;0,0,IF(NETWORKDAYS(G266,TODAY())/NETWORKDAYS(G266,H266,)&gt;1,1,NETWORKDAYS(G266,TODAY())/NETWORKDAYS(G266,H266,)))</f>
        <v>0</v>
      </c>
      <c r="J266" s="9">
        <v>0</v>
      </c>
      <c r="K266" s="10">
        <f t="shared" si="18"/>
        <v>8</v>
      </c>
      <c r="L266" s="4">
        <f>K266*8</f>
        <v>64</v>
      </c>
      <c r="M266" s="4" t="s">
        <v>115</v>
      </c>
      <c r="N266" s="4" t="s">
        <v>116</v>
      </c>
      <c r="O266" s="5">
        <f ca="1">I266*L266</f>
        <v>0</v>
      </c>
      <c r="P266" s="5">
        <f>J266*L266</f>
        <v>0</v>
      </c>
      <c r="Q266" s="5">
        <v>100</v>
      </c>
    </row>
    <row r="267" spans="1:17" ht="14.25" customHeight="1" x14ac:dyDescent="0.25">
      <c r="A267" s="4" t="s">
        <v>680</v>
      </c>
      <c r="B267" s="29" t="s">
        <v>647</v>
      </c>
      <c r="C267" s="29" t="s">
        <v>482</v>
      </c>
      <c r="D267" s="5" t="s">
        <v>68</v>
      </c>
      <c r="E267" s="5" t="s">
        <v>742</v>
      </c>
      <c r="F267" s="33" t="s">
        <v>8</v>
      </c>
      <c r="G267" s="8">
        <v>42212</v>
      </c>
      <c r="H267" s="8">
        <v>42214</v>
      </c>
      <c r="I267" s="9">
        <f ca="1">IF(NETWORKDAYS(G267,TODAY())/NETWORKDAYS(G267,H267,)&lt;0,0,IF(NETWORKDAYS(G267,TODAY())/NETWORKDAYS(G267,H267,)&gt;1,1,NETWORKDAYS(G267,TODAY())/NETWORKDAYS(G267,H267,)))</f>
        <v>0</v>
      </c>
      <c r="J267" s="9">
        <v>0</v>
      </c>
      <c r="K267" s="10">
        <f t="shared" si="18"/>
        <v>3</v>
      </c>
      <c r="L267" s="4">
        <f>K267*8</f>
        <v>24</v>
      </c>
      <c r="M267" s="4" t="s">
        <v>115</v>
      </c>
      <c r="N267" s="4" t="s">
        <v>116</v>
      </c>
      <c r="O267" s="5">
        <f ca="1">I267*L267</f>
        <v>0</v>
      </c>
      <c r="P267" s="5">
        <f>J267*L267</f>
        <v>0</v>
      </c>
      <c r="Q267" s="5">
        <v>100</v>
      </c>
    </row>
    <row r="268" spans="1:17" ht="14.25" customHeight="1" x14ac:dyDescent="0.25">
      <c r="A268" s="4" t="s">
        <v>680</v>
      </c>
      <c r="B268" s="29" t="s">
        <v>647</v>
      </c>
      <c r="C268" s="29" t="s">
        <v>482</v>
      </c>
      <c r="D268" s="5" t="s">
        <v>68</v>
      </c>
      <c r="E268" s="5" t="s">
        <v>742</v>
      </c>
      <c r="F268" s="7" t="s">
        <v>11</v>
      </c>
      <c r="G268" s="8">
        <v>42215</v>
      </c>
      <c r="H268" s="8">
        <v>42216</v>
      </c>
      <c r="I268" s="9">
        <f ca="1">IF(NETWORKDAYS(G268,TODAY())/NETWORKDAYS(G268,H268,)&lt;0,0,IF(NETWORKDAYS(G268,TODAY())/NETWORKDAYS(G268,H268,)&gt;1,1,NETWORKDAYS(G268,TODAY())/NETWORKDAYS(G268,H268,)))</f>
        <v>0</v>
      </c>
      <c r="J268" s="9">
        <v>0</v>
      </c>
      <c r="K268" s="10">
        <f t="shared" si="18"/>
        <v>2</v>
      </c>
      <c r="L268" s="4">
        <f>K268*8</f>
        <v>16</v>
      </c>
      <c r="M268" s="4" t="s">
        <v>115</v>
      </c>
      <c r="N268" s="4" t="s">
        <v>116</v>
      </c>
      <c r="O268" s="5">
        <f ca="1">I268*L268</f>
        <v>0</v>
      </c>
      <c r="P268" s="5">
        <f>J268*L268</f>
        <v>0</v>
      </c>
      <c r="Q268" s="5">
        <v>100</v>
      </c>
    </row>
    <row r="269" spans="1:17" ht="14.25" customHeight="1" x14ac:dyDescent="0.25">
      <c r="A269" s="11" t="s">
        <v>680</v>
      </c>
      <c r="B269" s="30" t="s">
        <v>647</v>
      </c>
      <c r="C269" s="30" t="s">
        <v>482</v>
      </c>
      <c r="D269" s="12" t="s">
        <v>68</v>
      </c>
      <c r="E269" s="12" t="s">
        <v>742</v>
      </c>
      <c r="F269" s="12" t="s">
        <v>34</v>
      </c>
      <c r="G269" s="22" t="s">
        <v>685</v>
      </c>
      <c r="H269" s="22">
        <f>H268</f>
        <v>42216</v>
      </c>
      <c r="I269" s="13">
        <f ca="1">SUM(O265:O268)/L269</f>
        <v>0</v>
      </c>
      <c r="J269" s="13">
        <f>SUM(P265:P268)/L269</f>
        <v>0</v>
      </c>
      <c r="K269" s="14">
        <f t="shared" si="18"/>
        <v>15</v>
      </c>
      <c r="L269" s="11">
        <f>SUM(L265:L268)</f>
        <v>128</v>
      </c>
      <c r="M269" s="13" t="s">
        <v>115</v>
      </c>
      <c r="N269" s="13" t="s">
        <v>116</v>
      </c>
      <c r="O269" s="5"/>
      <c r="P269" s="5"/>
      <c r="Q269" s="5"/>
    </row>
    <row r="270" spans="1:17" ht="14.25" customHeight="1" x14ac:dyDescent="0.25">
      <c r="A270" s="4" t="s">
        <v>681</v>
      </c>
      <c r="B270" s="29" t="s">
        <v>648</v>
      </c>
      <c r="C270" s="29" t="s">
        <v>482</v>
      </c>
      <c r="D270" s="5" t="s">
        <v>68</v>
      </c>
      <c r="E270" s="5" t="s">
        <v>742</v>
      </c>
      <c r="F270" s="7" t="s">
        <v>9</v>
      </c>
      <c r="G270" s="8">
        <v>42191</v>
      </c>
      <c r="H270" s="8">
        <v>42193</v>
      </c>
      <c r="I270" s="9">
        <f ca="1">IF(NETWORKDAYS(G270,TODAY())/NETWORKDAYS(G270,H270,)&lt;0,0,IF(NETWORKDAYS(G270,TODAY())/NETWORKDAYS(G270,H270,)&gt;1,1,NETWORKDAYS(G270,TODAY())/NETWORKDAYS(G270,H270,)))</f>
        <v>1</v>
      </c>
      <c r="J270" s="9">
        <v>0</v>
      </c>
      <c r="K270" s="10">
        <f t="shared" si="18"/>
        <v>3</v>
      </c>
      <c r="L270" s="4">
        <f>K270*8</f>
        <v>24</v>
      </c>
      <c r="M270" s="4" t="s">
        <v>109</v>
      </c>
      <c r="N270" s="4" t="s">
        <v>110</v>
      </c>
      <c r="O270" s="5">
        <f ca="1">I270*L270</f>
        <v>24</v>
      </c>
      <c r="P270" s="5">
        <f>J270*L270</f>
        <v>0</v>
      </c>
      <c r="Q270" s="5">
        <v>100</v>
      </c>
    </row>
    <row r="271" spans="1:17" ht="15.75" customHeight="1" x14ac:dyDescent="0.25">
      <c r="A271" s="4" t="s">
        <v>681</v>
      </c>
      <c r="B271" s="29" t="s">
        <v>648</v>
      </c>
      <c r="C271" s="29" t="s">
        <v>482</v>
      </c>
      <c r="D271" s="5" t="s">
        <v>68</v>
      </c>
      <c r="E271" s="5" t="s">
        <v>742</v>
      </c>
      <c r="F271" s="7" t="s">
        <v>10</v>
      </c>
      <c r="G271" s="8">
        <v>42194</v>
      </c>
      <c r="H271" s="8">
        <v>42206</v>
      </c>
      <c r="I271" s="9">
        <f ca="1">IF(NETWORKDAYS(G271,TODAY())/NETWORKDAYS(G271,H271,)&lt;0,0,IF(NETWORKDAYS(G271,TODAY())/NETWORKDAYS(G271,H271,)&gt;1,1,NETWORKDAYS(G271,TODAY())/NETWORKDAYS(G271,H271,)))</f>
        <v>0.22222222222222221</v>
      </c>
      <c r="J271" s="9">
        <v>0</v>
      </c>
      <c r="K271" s="10">
        <f t="shared" si="18"/>
        <v>9</v>
      </c>
      <c r="L271" s="4">
        <f>K271*8</f>
        <v>72</v>
      </c>
      <c r="M271" s="4" t="s">
        <v>109</v>
      </c>
      <c r="N271" s="4" t="s">
        <v>110</v>
      </c>
      <c r="O271" s="5">
        <f ca="1">I271*L271</f>
        <v>16</v>
      </c>
      <c r="P271" s="5">
        <f>J271*L271</f>
        <v>0</v>
      </c>
      <c r="Q271" s="5">
        <v>100</v>
      </c>
    </row>
    <row r="272" spans="1:17" ht="14.25" customHeight="1" x14ac:dyDescent="0.25">
      <c r="A272" s="4" t="s">
        <v>681</v>
      </c>
      <c r="B272" s="29" t="s">
        <v>648</v>
      </c>
      <c r="C272" s="29" t="s">
        <v>482</v>
      </c>
      <c r="D272" s="5" t="s">
        <v>68</v>
      </c>
      <c r="E272" s="5" t="s">
        <v>742</v>
      </c>
      <c r="F272" s="33" t="s">
        <v>8</v>
      </c>
      <c r="G272" s="8">
        <v>42207</v>
      </c>
      <c r="H272" s="8">
        <v>42208</v>
      </c>
      <c r="I272" s="9">
        <f ca="1">IF(NETWORKDAYS(G272,TODAY())/NETWORKDAYS(G272,H272,)&lt;0,0,IF(NETWORKDAYS(G272,TODAY())/NETWORKDAYS(G272,H272,)&gt;1,1,NETWORKDAYS(G272,TODAY())/NETWORKDAYS(G272,H272,)))</f>
        <v>0</v>
      </c>
      <c r="J272" s="9">
        <v>0</v>
      </c>
      <c r="K272" s="10">
        <f t="shared" si="18"/>
        <v>2</v>
      </c>
      <c r="L272" s="4">
        <f>K272*8</f>
        <v>16</v>
      </c>
      <c r="M272" s="4" t="s">
        <v>109</v>
      </c>
      <c r="N272" s="4" t="s">
        <v>110</v>
      </c>
      <c r="O272" s="5">
        <f ca="1">I272*L272</f>
        <v>0</v>
      </c>
      <c r="P272" s="5">
        <f>J272*L272</f>
        <v>0</v>
      </c>
      <c r="Q272" s="5">
        <v>100</v>
      </c>
    </row>
    <row r="273" spans="1:17" ht="14.25" customHeight="1" x14ac:dyDescent="0.25">
      <c r="A273" s="4" t="s">
        <v>681</v>
      </c>
      <c r="B273" s="29" t="s">
        <v>648</v>
      </c>
      <c r="C273" s="29" t="s">
        <v>482</v>
      </c>
      <c r="D273" s="5" t="s">
        <v>68</v>
      </c>
      <c r="E273" s="5" t="s">
        <v>742</v>
      </c>
      <c r="F273" s="7" t="s">
        <v>11</v>
      </c>
      <c r="G273" s="8">
        <v>42209</v>
      </c>
      <c r="H273" s="8">
        <v>42209</v>
      </c>
      <c r="I273" s="9">
        <f ca="1">IF(NETWORKDAYS(G273,TODAY())/NETWORKDAYS(G273,H273,)&lt;0,0,IF(NETWORKDAYS(G273,TODAY())/NETWORKDAYS(G273,H273,)&gt;1,1,NETWORKDAYS(G273,TODAY())/NETWORKDAYS(G273,H273,)))</f>
        <v>0</v>
      </c>
      <c r="J273" s="9">
        <v>0</v>
      </c>
      <c r="K273" s="10">
        <f t="shared" si="18"/>
        <v>1</v>
      </c>
      <c r="L273" s="4">
        <f>K273*8</f>
        <v>8</v>
      </c>
      <c r="M273" s="4" t="s">
        <v>109</v>
      </c>
      <c r="N273" s="4" t="s">
        <v>110</v>
      </c>
      <c r="O273" s="5">
        <f ca="1">I273*L273</f>
        <v>0</v>
      </c>
      <c r="P273" s="5">
        <f>J273*L273</f>
        <v>0</v>
      </c>
      <c r="Q273" s="5">
        <v>100</v>
      </c>
    </row>
    <row r="274" spans="1:17" ht="14.25" customHeight="1" x14ac:dyDescent="0.25">
      <c r="A274" s="11" t="s">
        <v>681</v>
      </c>
      <c r="B274" s="30" t="s">
        <v>648</v>
      </c>
      <c r="C274" s="30" t="s">
        <v>482</v>
      </c>
      <c r="D274" s="12" t="s">
        <v>68</v>
      </c>
      <c r="E274" s="12" t="s">
        <v>742</v>
      </c>
      <c r="F274" s="12" t="s">
        <v>34</v>
      </c>
      <c r="G274" s="22">
        <f>G270</f>
        <v>42191</v>
      </c>
      <c r="H274" s="22">
        <f>H273</f>
        <v>42209</v>
      </c>
      <c r="I274" s="13">
        <f ca="1">SUM(O270:O273)/L274</f>
        <v>0.33333333333333331</v>
      </c>
      <c r="J274" s="13">
        <f>SUM(P270:P273)/L274</f>
        <v>0</v>
      </c>
      <c r="K274" s="14">
        <f t="shared" si="18"/>
        <v>15</v>
      </c>
      <c r="L274" s="11">
        <f>SUM(L270:L273)</f>
        <v>120</v>
      </c>
      <c r="M274" s="13" t="s">
        <v>109</v>
      </c>
      <c r="N274" s="13" t="s">
        <v>110</v>
      </c>
      <c r="O274" s="5"/>
      <c r="P274" s="5"/>
      <c r="Q274" s="5"/>
    </row>
    <row r="275" spans="1:17" ht="14.25" customHeight="1" x14ac:dyDescent="0.25">
      <c r="A275" s="4" t="s">
        <v>682</v>
      </c>
      <c r="B275" s="29" t="s">
        <v>649</v>
      </c>
      <c r="C275" s="29" t="s">
        <v>482</v>
      </c>
      <c r="D275" s="5" t="s">
        <v>68</v>
      </c>
      <c r="E275" s="5" t="s">
        <v>742</v>
      </c>
      <c r="F275" s="7" t="s">
        <v>9</v>
      </c>
      <c r="G275" s="8">
        <v>42184</v>
      </c>
      <c r="H275" s="8">
        <v>42188</v>
      </c>
      <c r="I275" s="9">
        <f ca="1">IF(NETWORKDAYS(G275,TODAY())/NETWORKDAYS(G275,H275,)&lt;0,0,IF(NETWORKDAYS(G275,TODAY())/NETWORKDAYS(G275,H275,)&gt;1,1,NETWORKDAYS(G275,TODAY())/NETWORKDAYS(G275,H275,)))</f>
        <v>1</v>
      </c>
      <c r="J275" s="9">
        <v>0</v>
      </c>
      <c r="K275" s="10">
        <f t="shared" si="18"/>
        <v>5</v>
      </c>
      <c r="L275" s="4">
        <f>K275*8</f>
        <v>40</v>
      </c>
      <c r="M275" s="4" t="s">
        <v>113</v>
      </c>
      <c r="N275" s="4" t="s">
        <v>114</v>
      </c>
      <c r="O275" s="5">
        <f ca="1">I275*L275</f>
        <v>40</v>
      </c>
      <c r="P275" s="5">
        <f>J275*L275</f>
        <v>0</v>
      </c>
      <c r="Q275" s="5">
        <v>100</v>
      </c>
    </row>
    <row r="276" spans="1:17" ht="15.75" customHeight="1" x14ac:dyDescent="0.25">
      <c r="A276" s="4" t="s">
        <v>682</v>
      </c>
      <c r="B276" s="29" t="s">
        <v>649</v>
      </c>
      <c r="C276" s="29" t="s">
        <v>482</v>
      </c>
      <c r="D276" s="5" t="s">
        <v>68</v>
      </c>
      <c r="E276" s="5" t="s">
        <v>742</v>
      </c>
      <c r="F276" s="7" t="s">
        <v>10</v>
      </c>
      <c r="G276" s="8">
        <v>42188</v>
      </c>
      <c r="H276" s="8">
        <v>42192</v>
      </c>
      <c r="I276" s="9">
        <f ca="1">IF(NETWORKDAYS(G276,TODAY())/NETWORKDAYS(G276,H276,)&lt;0,0,IF(NETWORKDAYS(G276,TODAY())/NETWORKDAYS(G276,H276,)&gt;1,1,NETWORKDAYS(G276,TODAY())/NETWORKDAYS(G276,H276,)))</f>
        <v>1</v>
      </c>
      <c r="J276" s="9">
        <v>0</v>
      </c>
      <c r="K276" s="10">
        <f t="shared" si="18"/>
        <v>3</v>
      </c>
      <c r="L276" s="4">
        <f>K276*8</f>
        <v>24</v>
      </c>
      <c r="M276" s="4" t="s">
        <v>113</v>
      </c>
      <c r="N276" s="4" t="s">
        <v>114</v>
      </c>
      <c r="O276" s="5">
        <f ca="1">I276*L276</f>
        <v>24</v>
      </c>
      <c r="P276" s="5">
        <f>J276*L276</f>
        <v>0</v>
      </c>
      <c r="Q276" s="5">
        <v>100</v>
      </c>
    </row>
    <row r="277" spans="1:17" ht="14.25" customHeight="1" x14ac:dyDescent="0.25">
      <c r="A277" s="4" t="s">
        <v>682</v>
      </c>
      <c r="B277" s="29" t="s">
        <v>649</v>
      </c>
      <c r="C277" s="29" t="s">
        <v>482</v>
      </c>
      <c r="D277" s="5" t="s">
        <v>68</v>
      </c>
      <c r="E277" s="5" t="s">
        <v>742</v>
      </c>
      <c r="F277" s="33" t="s">
        <v>8</v>
      </c>
      <c r="G277" s="8">
        <v>42192</v>
      </c>
      <c r="H277" s="8">
        <v>42197</v>
      </c>
      <c r="I277" s="9">
        <f ca="1">IF(NETWORKDAYS(G277,TODAY())/NETWORKDAYS(G277,H277,)&lt;0,0,IF(NETWORKDAYS(G277,TODAY())/NETWORKDAYS(G277,H277,)&gt;1,1,NETWORKDAYS(G277,TODAY())/NETWORKDAYS(G277,H277,)))</f>
        <v>1</v>
      </c>
      <c r="J277" s="9">
        <v>0</v>
      </c>
      <c r="K277" s="10">
        <f t="shared" si="18"/>
        <v>4</v>
      </c>
      <c r="L277" s="4">
        <f>K277*8</f>
        <v>32</v>
      </c>
      <c r="M277" s="4" t="s">
        <v>113</v>
      </c>
      <c r="N277" s="4" t="s">
        <v>114</v>
      </c>
      <c r="O277" s="5">
        <f ca="1">I277*L277</f>
        <v>32</v>
      </c>
      <c r="P277" s="5">
        <f>J277*L277</f>
        <v>0</v>
      </c>
      <c r="Q277" s="5">
        <v>100</v>
      </c>
    </row>
    <row r="278" spans="1:17" ht="14.25" customHeight="1" x14ac:dyDescent="0.25">
      <c r="A278" s="4" t="s">
        <v>682</v>
      </c>
      <c r="B278" s="29" t="s">
        <v>649</v>
      </c>
      <c r="C278" s="29" t="s">
        <v>482</v>
      </c>
      <c r="D278" s="5" t="s">
        <v>68</v>
      </c>
      <c r="E278" s="5" t="s">
        <v>742</v>
      </c>
      <c r="F278" s="7" t="s">
        <v>11</v>
      </c>
      <c r="G278" s="8">
        <v>42197</v>
      </c>
      <c r="H278" s="8" t="s">
        <v>684</v>
      </c>
      <c r="I278" s="9">
        <f ca="1">IF(NETWORKDAYS(G278,TODAY())/NETWORKDAYS(G278,H278,)&lt;0,0,IF(NETWORKDAYS(G278,TODAY())/NETWORKDAYS(G278,H278,)&gt;1,1,NETWORKDAYS(G278,TODAY())/NETWORKDAYS(G278,H278,)))</f>
        <v>0</v>
      </c>
      <c r="J278" s="9">
        <v>0</v>
      </c>
      <c r="K278" s="10">
        <f t="shared" si="18"/>
        <v>5</v>
      </c>
      <c r="L278" s="4">
        <f>K278*8</f>
        <v>40</v>
      </c>
      <c r="M278" s="4" t="s">
        <v>113</v>
      </c>
      <c r="N278" s="4" t="s">
        <v>114</v>
      </c>
      <c r="O278" s="5">
        <f ca="1">I278*L278</f>
        <v>0</v>
      </c>
      <c r="P278" s="5">
        <f>J278*L278</f>
        <v>0</v>
      </c>
      <c r="Q278" s="5">
        <v>100</v>
      </c>
    </row>
    <row r="279" spans="1:17" ht="14.25" customHeight="1" x14ac:dyDescent="0.25">
      <c r="A279" s="11" t="s">
        <v>682</v>
      </c>
      <c r="B279" s="30" t="s">
        <v>649</v>
      </c>
      <c r="C279" s="30" t="s">
        <v>482</v>
      </c>
      <c r="D279" s="12" t="s">
        <v>68</v>
      </c>
      <c r="E279" s="12" t="s">
        <v>742</v>
      </c>
      <c r="F279" s="12" t="s">
        <v>34</v>
      </c>
      <c r="G279" s="22">
        <f>G275</f>
        <v>42184</v>
      </c>
      <c r="H279" s="22" t="str">
        <f>H278</f>
        <v>17/07/2015</v>
      </c>
      <c r="I279" s="13">
        <f ca="1">SUM(O275:O278)/L279</f>
        <v>0.70588235294117652</v>
      </c>
      <c r="J279" s="13">
        <f>SUM(P275:P278)/L279</f>
        <v>0</v>
      </c>
      <c r="K279" s="14">
        <f t="shared" si="18"/>
        <v>15</v>
      </c>
      <c r="L279" s="11">
        <f>SUM(L275:L278)</f>
        <v>136</v>
      </c>
      <c r="M279" s="13" t="s">
        <v>113</v>
      </c>
      <c r="N279" s="13" t="s">
        <v>114</v>
      </c>
      <c r="O279" s="5"/>
      <c r="P279" s="5"/>
      <c r="Q279" s="5"/>
    </row>
  </sheetData>
  <autoFilter ref="A2:Q279"/>
  <pageMargins left="1.4960629921259843" right="0.51181102362204722" top="0.78740157480314965" bottom="0.78740157480314965" header="0.31496062992125984" footer="0.31496062992125984"/>
  <pageSetup paperSize="9" scale="77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P22"/>
  <sheetViews>
    <sheetView showGridLines="0" tabSelected="1" zoomScale="85" zoomScaleNormal="85" workbookViewId="0"/>
  </sheetViews>
  <sheetFormatPr defaultRowHeight="15" x14ac:dyDescent="0.25"/>
  <cols>
    <col min="1" max="1" width="2.7109375" customWidth="1"/>
    <col min="2" max="2" width="11.7109375" bestFit="1" customWidth="1"/>
    <col min="3" max="3" width="29.7109375" customWidth="1"/>
    <col min="4" max="63" width="2.85546875" customWidth="1"/>
    <col min="64" max="64" width="6.5703125" customWidth="1"/>
    <col min="65" max="142" width="10.7109375" customWidth="1"/>
    <col min="143" max="143" width="7.28515625" customWidth="1"/>
    <col min="144" max="144" width="11.28515625" customWidth="1"/>
    <col min="145" max="145" width="12.5703125" customWidth="1"/>
    <col min="146" max="146" width="10.7109375" customWidth="1"/>
    <col min="147" max="147" width="15.7109375" customWidth="1"/>
    <col min="148" max="148" width="12.5703125" customWidth="1"/>
    <col min="149" max="152" width="10.7109375" customWidth="1"/>
    <col min="153" max="153" width="15.7109375" customWidth="1"/>
    <col min="154" max="154" width="12.5703125" customWidth="1"/>
    <col min="155" max="157" width="10.7109375" customWidth="1"/>
    <col min="158" max="158" width="15.7109375" customWidth="1"/>
    <col min="159" max="159" width="12.5703125" customWidth="1"/>
    <col min="160" max="162" width="10.7109375" customWidth="1"/>
    <col min="163" max="163" width="15.7109375" customWidth="1"/>
    <col min="164" max="164" width="12.5703125" customWidth="1"/>
    <col min="165" max="165" width="15.7109375" customWidth="1"/>
    <col min="166" max="166" width="12.5703125" customWidth="1"/>
    <col min="167" max="172" width="10.7109375" customWidth="1"/>
    <col min="173" max="173" width="15.7109375" customWidth="1"/>
    <col min="174" max="174" width="12.5703125" customWidth="1"/>
    <col min="175" max="175" width="15.7109375" customWidth="1"/>
    <col min="176" max="176" width="12.5703125" customWidth="1"/>
    <col min="177" max="177" width="15.7109375" customWidth="1"/>
    <col min="178" max="178" width="12.5703125" customWidth="1"/>
    <col min="179" max="179" width="15.7109375" customWidth="1"/>
    <col min="180" max="180" width="12.5703125" customWidth="1"/>
    <col min="181" max="181" width="15.7109375" customWidth="1"/>
    <col min="182" max="182" width="12.5703125" customWidth="1"/>
    <col min="183" max="184" width="10.7109375" customWidth="1"/>
    <col min="185" max="185" width="15.7109375" customWidth="1"/>
    <col min="186" max="186" width="12.5703125" customWidth="1"/>
    <col min="187" max="189" width="10.7109375" customWidth="1"/>
    <col min="190" max="190" width="15.7109375" bestFit="1" customWidth="1"/>
    <col min="191" max="191" width="12.5703125" customWidth="1"/>
    <col min="192" max="194" width="10.7109375" customWidth="1"/>
    <col min="195" max="195" width="15.7109375" customWidth="1"/>
    <col min="196" max="196" width="12.5703125" customWidth="1"/>
    <col min="197" max="198" width="10.7109375" customWidth="1"/>
    <col min="199" max="199" width="15.7109375" customWidth="1"/>
    <col min="200" max="200" width="12.5703125" customWidth="1"/>
    <col min="201" max="202" width="10.7109375" customWidth="1"/>
    <col min="203" max="203" width="15.7109375" customWidth="1"/>
    <col min="204" max="204" width="12.5703125" customWidth="1"/>
    <col min="205" max="205" width="15.7109375" customWidth="1"/>
    <col min="206" max="206" width="12.5703125" customWidth="1"/>
    <col min="207" max="208" width="10.7109375" customWidth="1"/>
    <col min="209" max="209" width="15.7109375" customWidth="1"/>
    <col min="210" max="210" width="12.5703125" customWidth="1"/>
    <col min="211" max="211" width="15.7109375" customWidth="1"/>
    <col min="212" max="212" width="12.5703125" customWidth="1"/>
    <col min="213" max="218" width="10.7109375" customWidth="1"/>
    <col min="219" max="219" width="15.7109375" customWidth="1"/>
    <col min="220" max="220" width="12.5703125" customWidth="1"/>
    <col min="221" max="221" width="10.7109375" customWidth="1"/>
    <col min="222" max="222" width="15.7109375" bestFit="1" customWidth="1"/>
    <col min="223" max="223" width="12.5703125" customWidth="1"/>
    <col min="224" max="225" width="10.7109375" customWidth="1"/>
    <col min="226" max="226" width="15.7109375" bestFit="1" customWidth="1"/>
    <col min="227" max="227" width="12.5703125" customWidth="1"/>
    <col min="228" max="228" width="10.7109375" customWidth="1"/>
    <col min="229" max="229" width="15.7109375" customWidth="1"/>
    <col min="230" max="230" width="12.5703125" customWidth="1"/>
    <col min="231" max="231" width="15.7109375" customWidth="1"/>
    <col min="232" max="232" width="12.5703125" customWidth="1"/>
    <col min="233" max="233" width="10.7109375" customWidth="1"/>
    <col min="234" max="234" width="15.7109375" bestFit="1" customWidth="1"/>
    <col min="235" max="235" width="12.5703125" customWidth="1"/>
    <col min="236" max="236" width="15.7109375" bestFit="1" customWidth="1"/>
    <col min="237" max="237" width="12.5703125" customWidth="1"/>
    <col min="238" max="240" width="10.7109375" customWidth="1"/>
    <col min="241" max="241" width="15.7109375" customWidth="1"/>
    <col min="242" max="242" width="12.5703125" customWidth="1"/>
    <col min="243" max="244" width="10.7109375" customWidth="1"/>
    <col min="245" max="246" width="10.7109375" bestFit="1" customWidth="1"/>
    <col min="247" max="247" width="15.7109375" bestFit="1" customWidth="1"/>
    <col min="248" max="248" width="12.5703125" bestFit="1" customWidth="1"/>
    <col min="249" max="250" width="10.7109375" bestFit="1" customWidth="1"/>
    <col min="251" max="251" width="15.7109375" bestFit="1" customWidth="1"/>
    <col min="252" max="252" width="12.5703125" bestFit="1" customWidth="1"/>
    <col min="253" max="253" width="10.7109375" bestFit="1" customWidth="1"/>
    <col min="254" max="254" width="15.7109375" bestFit="1" customWidth="1"/>
    <col min="255" max="255" width="12.5703125" bestFit="1" customWidth="1"/>
    <col min="256" max="256" width="15.7109375" bestFit="1" customWidth="1"/>
    <col min="257" max="257" width="12.5703125" bestFit="1" customWidth="1"/>
    <col min="258" max="258" width="15.7109375" bestFit="1" customWidth="1"/>
    <col min="259" max="259" width="12.5703125" bestFit="1" customWidth="1"/>
    <col min="260" max="261" width="10.7109375" bestFit="1" customWidth="1"/>
    <col min="262" max="262" width="15.7109375" bestFit="1" customWidth="1"/>
    <col min="263" max="263" width="12.5703125" bestFit="1" customWidth="1"/>
    <col min="264" max="265" width="10.7109375" bestFit="1" customWidth="1"/>
    <col min="266" max="266" width="15.7109375" bestFit="1" customWidth="1"/>
    <col min="267" max="267" width="12.5703125" bestFit="1" customWidth="1"/>
    <col min="268" max="271" width="10.7109375" bestFit="1" customWidth="1"/>
    <col min="272" max="272" width="15.7109375" bestFit="1" customWidth="1"/>
    <col min="273" max="273" width="12.5703125" bestFit="1" customWidth="1"/>
    <col min="274" max="275" width="10.7109375" bestFit="1" customWidth="1"/>
    <col min="276" max="276" width="15.7109375" bestFit="1" customWidth="1"/>
    <col min="277" max="277" width="12.5703125" bestFit="1" customWidth="1"/>
    <col min="278" max="282" width="10.7109375" bestFit="1" customWidth="1"/>
    <col min="283" max="283" width="15.7109375" bestFit="1" customWidth="1"/>
    <col min="284" max="284" width="12.5703125" bestFit="1" customWidth="1"/>
    <col min="285" max="286" width="10.7109375" bestFit="1" customWidth="1"/>
    <col min="287" max="287" width="15.7109375" bestFit="1" customWidth="1"/>
    <col min="288" max="288" width="12.5703125" bestFit="1" customWidth="1"/>
    <col min="289" max="289" width="10.7109375" bestFit="1" customWidth="1"/>
    <col min="290" max="290" width="15.7109375" bestFit="1" customWidth="1"/>
    <col min="291" max="291" width="12.5703125" bestFit="1" customWidth="1"/>
    <col min="292" max="296" width="10.7109375" bestFit="1" customWidth="1"/>
    <col min="297" max="297" width="15.7109375" bestFit="1" customWidth="1"/>
    <col min="298" max="298" width="12.5703125" bestFit="1" customWidth="1"/>
    <col min="299" max="302" width="10.7109375" bestFit="1" customWidth="1"/>
    <col min="303" max="303" width="15.7109375" bestFit="1" customWidth="1"/>
    <col min="304" max="304" width="12.5703125" bestFit="1" customWidth="1"/>
    <col min="305" max="305" width="10.7109375" bestFit="1" customWidth="1"/>
    <col min="306" max="306" width="15.7109375" bestFit="1" customWidth="1"/>
    <col min="307" max="307" width="12.5703125" bestFit="1" customWidth="1"/>
    <col min="308" max="311" width="10.7109375" bestFit="1" customWidth="1"/>
    <col min="312" max="312" width="15.7109375" bestFit="1" customWidth="1"/>
    <col min="313" max="313" width="12.5703125" bestFit="1" customWidth="1"/>
    <col min="314" max="317" width="10.7109375" bestFit="1" customWidth="1"/>
    <col min="318" max="318" width="15.7109375" bestFit="1" customWidth="1"/>
    <col min="319" max="319" width="12.5703125" bestFit="1" customWidth="1"/>
    <col min="320" max="320" width="15.7109375" bestFit="1" customWidth="1"/>
    <col min="321" max="321" width="12.5703125" bestFit="1" customWidth="1"/>
    <col min="322" max="323" width="10.7109375" bestFit="1" customWidth="1"/>
    <col min="324" max="324" width="15.7109375" bestFit="1" customWidth="1"/>
    <col min="325" max="325" width="12.5703125" bestFit="1" customWidth="1"/>
    <col min="326" max="327" width="10.7109375" bestFit="1" customWidth="1"/>
    <col min="328" max="328" width="15.7109375" bestFit="1" customWidth="1"/>
    <col min="329" max="329" width="12.5703125" bestFit="1" customWidth="1"/>
    <col min="330" max="330" width="10.7109375" bestFit="1" customWidth="1"/>
    <col min="331" max="331" width="15.7109375" bestFit="1" customWidth="1"/>
    <col min="332" max="332" width="12.5703125" bestFit="1" customWidth="1"/>
    <col min="333" max="334" width="10.7109375" bestFit="1" customWidth="1"/>
    <col min="335" max="335" width="15.7109375" bestFit="1" customWidth="1"/>
    <col min="336" max="336" width="12.5703125" bestFit="1" customWidth="1"/>
    <col min="337" max="337" width="15.7109375" bestFit="1" customWidth="1"/>
    <col min="338" max="338" width="12.5703125" bestFit="1" customWidth="1"/>
    <col min="339" max="340" width="10.7109375" bestFit="1" customWidth="1"/>
    <col min="341" max="341" width="15.7109375" bestFit="1" customWidth="1"/>
    <col min="342" max="342" width="12.5703125" bestFit="1" customWidth="1"/>
    <col min="343" max="345" width="10.7109375" bestFit="1" customWidth="1"/>
    <col min="346" max="346" width="15.7109375" bestFit="1" customWidth="1"/>
    <col min="347" max="347" width="12.5703125" bestFit="1" customWidth="1"/>
    <col min="348" max="348" width="10.7109375" bestFit="1" customWidth="1"/>
    <col min="349" max="349" width="15.7109375" bestFit="1" customWidth="1"/>
    <col min="350" max="350" width="12.5703125" bestFit="1" customWidth="1"/>
    <col min="351" max="351" width="10.7109375" bestFit="1" customWidth="1"/>
    <col min="352" max="352" width="15.7109375" bestFit="1" customWidth="1"/>
    <col min="353" max="353" width="12.5703125" bestFit="1" customWidth="1"/>
    <col min="354" max="354" width="10.7109375" bestFit="1" customWidth="1"/>
    <col min="355" max="355" width="15.7109375" bestFit="1" customWidth="1"/>
    <col min="356" max="356" width="12.5703125" bestFit="1" customWidth="1"/>
    <col min="357" max="357" width="15.7109375" bestFit="1" customWidth="1"/>
    <col min="358" max="358" width="12.5703125" bestFit="1" customWidth="1"/>
    <col min="359" max="359" width="15.7109375" bestFit="1" customWidth="1"/>
    <col min="360" max="360" width="12.5703125" bestFit="1" customWidth="1"/>
    <col min="361" max="361" width="15.7109375" bestFit="1" customWidth="1"/>
    <col min="362" max="362" width="12.5703125" bestFit="1" customWidth="1"/>
    <col min="363" max="363" width="15.7109375" bestFit="1" customWidth="1"/>
    <col min="364" max="364" width="12.5703125" bestFit="1" customWidth="1"/>
    <col min="365" max="365" width="15.7109375" bestFit="1" customWidth="1"/>
    <col min="366" max="366" width="12.5703125" bestFit="1" customWidth="1"/>
    <col min="367" max="367" width="15.7109375" bestFit="1" customWidth="1"/>
    <col min="369" max="369" width="12.140625" bestFit="1" customWidth="1"/>
    <col min="370" max="370" width="11.28515625" bestFit="1" customWidth="1"/>
  </cols>
  <sheetData>
    <row r="1" spans="1:68" s="1" customFormat="1" x14ac:dyDescent="0.25">
      <c r="A1" s="80" t="s">
        <v>613</v>
      </c>
    </row>
    <row r="2" spans="1:68" s="1" customFormat="1" ht="16.5" thickBot="1" x14ac:dyDescent="0.3">
      <c r="C2" s="108" t="s">
        <v>534</v>
      </c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  <c r="BF2" s="109"/>
      <c r="BG2" s="109"/>
      <c r="BH2" s="109"/>
      <c r="BI2" s="109"/>
      <c r="BJ2" s="109"/>
      <c r="BK2" s="109"/>
      <c r="BL2" s="109"/>
      <c r="BM2" s="1" t="s">
        <v>488</v>
      </c>
    </row>
    <row r="3" spans="1:68" s="1" customFormat="1" ht="16.5" thickBot="1" x14ac:dyDescent="0.3">
      <c r="C3" s="41"/>
      <c r="D3" s="110">
        <v>42142</v>
      </c>
      <c r="E3" s="111"/>
      <c r="F3" s="111"/>
      <c r="G3" s="111"/>
      <c r="H3" s="112"/>
      <c r="I3" s="110">
        <v>42149</v>
      </c>
      <c r="J3" s="111"/>
      <c r="K3" s="111"/>
      <c r="L3" s="111"/>
      <c r="M3" s="112"/>
      <c r="N3" s="110">
        <v>42156</v>
      </c>
      <c r="O3" s="111"/>
      <c r="P3" s="111"/>
      <c r="Q3" s="111"/>
      <c r="R3" s="112"/>
      <c r="S3" s="110">
        <v>42163</v>
      </c>
      <c r="T3" s="111"/>
      <c r="U3" s="111"/>
      <c r="V3" s="111"/>
      <c r="W3" s="112"/>
      <c r="X3" s="110">
        <v>42170</v>
      </c>
      <c r="Y3" s="111"/>
      <c r="Z3" s="111"/>
      <c r="AA3" s="111"/>
      <c r="AB3" s="112"/>
      <c r="AC3" s="110">
        <v>42177</v>
      </c>
      <c r="AD3" s="111"/>
      <c r="AE3" s="111"/>
      <c r="AF3" s="111"/>
      <c r="AG3" s="112"/>
      <c r="AH3" s="110">
        <v>42184</v>
      </c>
      <c r="AI3" s="111"/>
      <c r="AJ3" s="111"/>
      <c r="AK3" s="111"/>
      <c r="AL3" s="112"/>
      <c r="AM3" s="110">
        <v>42191</v>
      </c>
      <c r="AN3" s="111"/>
      <c r="AO3" s="111"/>
      <c r="AP3" s="111"/>
      <c r="AQ3" s="112"/>
      <c r="AR3" s="110">
        <v>42198</v>
      </c>
      <c r="AS3" s="111"/>
      <c r="AT3" s="111"/>
      <c r="AU3" s="111"/>
      <c r="AV3" s="112"/>
      <c r="AW3" s="110">
        <v>42205</v>
      </c>
      <c r="AX3" s="111"/>
      <c r="AY3" s="111"/>
      <c r="AZ3" s="111"/>
      <c r="BA3" s="112"/>
      <c r="BB3" s="110">
        <v>42212</v>
      </c>
      <c r="BC3" s="111"/>
      <c r="BD3" s="111"/>
      <c r="BE3" s="111"/>
      <c r="BF3" s="112"/>
      <c r="BG3" s="110">
        <v>42219</v>
      </c>
      <c r="BH3" s="111"/>
      <c r="BI3" s="111"/>
      <c r="BJ3" s="111"/>
      <c r="BK3" s="112"/>
      <c r="BL3" s="55"/>
    </row>
    <row r="4" spans="1:68" s="1" customFormat="1" ht="48" customHeight="1" thickTop="1" thickBot="1" x14ac:dyDescent="0.3">
      <c r="B4" s="62"/>
      <c r="C4" s="56" t="s">
        <v>158</v>
      </c>
      <c r="D4" s="57">
        <v>42142</v>
      </c>
      <c r="E4" s="58">
        <v>42143</v>
      </c>
      <c r="F4" s="58">
        <v>42144</v>
      </c>
      <c r="G4" s="58">
        <v>42145</v>
      </c>
      <c r="H4" s="59">
        <v>42146</v>
      </c>
      <c r="I4" s="60">
        <v>42149</v>
      </c>
      <c r="J4" s="58">
        <v>42150</v>
      </c>
      <c r="K4" s="58">
        <v>42151</v>
      </c>
      <c r="L4" s="58">
        <v>42152</v>
      </c>
      <c r="M4" s="59">
        <v>42153</v>
      </c>
      <c r="N4" s="57">
        <v>42156</v>
      </c>
      <c r="O4" s="58">
        <v>42157</v>
      </c>
      <c r="P4" s="58">
        <v>42158</v>
      </c>
      <c r="Q4" s="58">
        <v>42159</v>
      </c>
      <c r="R4" s="59">
        <v>42160</v>
      </c>
      <c r="S4" s="60">
        <v>42163</v>
      </c>
      <c r="T4" s="58">
        <v>42164</v>
      </c>
      <c r="U4" s="58">
        <v>42165</v>
      </c>
      <c r="V4" s="58">
        <v>42166</v>
      </c>
      <c r="W4" s="59">
        <v>42167</v>
      </c>
      <c r="X4" s="57">
        <v>42170</v>
      </c>
      <c r="Y4" s="58">
        <v>42171</v>
      </c>
      <c r="Z4" s="58">
        <v>42172</v>
      </c>
      <c r="AA4" s="58">
        <v>42173</v>
      </c>
      <c r="AB4" s="59">
        <v>42174</v>
      </c>
      <c r="AC4" s="60">
        <v>42177</v>
      </c>
      <c r="AD4" s="58">
        <v>42178</v>
      </c>
      <c r="AE4" s="58">
        <v>42179</v>
      </c>
      <c r="AF4" s="58">
        <v>42180</v>
      </c>
      <c r="AG4" s="59">
        <v>42181</v>
      </c>
      <c r="AH4" s="57">
        <v>42184</v>
      </c>
      <c r="AI4" s="58">
        <v>42185</v>
      </c>
      <c r="AJ4" s="58">
        <v>42186</v>
      </c>
      <c r="AK4" s="58">
        <v>42187</v>
      </c>
      <c r="AL4" s="59">
        <v>42188</v>
      </c>
      <c r="AM4" s="60">
        <v>42191</v>
      </c>
      <c r="AN4" s="58">
        <v>42192</v>
      </c>
      <c r="AO4" s="58">
        <v>42193</v>
      </c>
      <c r="AP4" s="58">
        <v>42194</v>
      </c>
      <c r="AQ4" s="59">
        <v>42195</v>
      </c>
      <c r="AR4" s="57">
        <v>42198</v>
      </c>
      <c r="AS4" s="58">
        <v>42199</v>
      </c>
      <c r="AT4" s="58">
        <v>42200</v>
      </c>
      <c r="AU4" s="58">
        <v>42201</v>
      </c>
      <c r="AV4" s="59">
        <v>42202</v>
      </c>
      <c r="AW4" s="57">
        <v>42205</v>
      </c>
      <c r="AX4" s="58">
        <v>42206</v>
      </c>
      <c r="AY4" s="58">
        <v>42207</v>
      </c>
      <c r="AZ4" s="58">
        <v>42208</v>
      </c>
      <c r="BA4" s="59">
        <v>42209</v>
      </c>
      <c r="BB4" s="57">
        <v>42212</v>
      </c>
      <c r="BC4" s="58">
        <v>42213</v>
      </c>
      <c r="BD4" s="58">
        <v>42214</v>
      </c>
      <c r="BE4" s="58">
        <v>42215</v>
      </c>
      <c r="BF4" s="59">
        <v>42216</v>
      </c>
      <c r="BG4" s="60">
        <v>42219</v>
      </c>
      <c r="BH4" s="58">
        <v>42220</v>
      </c>
      <c r="BI4" s="58">
        <v>42221</v>
      </c>
      <c r="BJ4" s="58">
        <v>42222</v>
      </c>
      <c r="BK4" s="59">
        <v>42223</v>
      </c>
      <c r="BL4" s="61" t="s">
        <v>134</v>
      </c>
      <c r="BM4" s="38"/>
      <c r="BN4" s="38"/>
      <c r="BO4" s="38"/>
      <c r="BP4" s="38"/>
    </row>
    <row r="5" spans="1:68" ht="15.75" thickTop="1" x14ac:dyDescent="0.25">
      <c r="B5" s="105" t="s">
        <v>482</v>
      </c>
      <c r="C5" s="88" t="s">
        <v>125</v>
      </c>
      <c r="D5" s="89"/>
      <c r="E5" s="90"/>
      <c r="F5" s="90"/>
      <c r="G5" s="90"/>
      <c r="H5" s="91"/>
      <c r="I5" s="92">
        <v>8</v>
      </c>
      <c r="J5" s="90">
        <v>8</v>
      </c>
      <c r="K5" s="90">
        <v>8</v>
      </c>
      <c r="L5" s="90">
        <v>8</v>
      </c>
      <c r="M5" s="91">
        <v>8</v>
      </c>
      <c r="N5" s="92">
        <v>8</v>
      </c>
      <c r="O5" s="90">
        <v>8</v>
      </c>
      <c r="P5" s="90">
        <v>8</v>
      </c>
      <c r="Q5" s="93"/>
      <c r="R5" s="91">
        <v>8</v>
      </c>
      <c r="S5" s="92">
        <v>8</v>
      </c>
      <c r="T5" s="90">
        <v>8</v>
      </c>
      <c r="U5" s="90">
        <v>8</v>
      </c>
      <c r="V5" s="90">
        <v>8</v>
      </c>
      <c r="W5" s="91">
        <v>8</v>
      </c>
      <c r="X5" s="92">
        <v>8</v>
      </c>
      <c r="Y5" s="94">
        <v>8</v>
      </c>
      <c r="Z5" s="90">
        <v>8</v>
      </c>
      <c r="AA5" s="90">
        <v>8</v>
      </c>
      <c r="AB5" s="91">
        <v>8</v>
      </c>
      <c r="AC5" s="92">
        <v>16</v>
      </c>
      <c r="AD5" s="90">
        <v>16</v>
      </c>
      <c r="AE5" s="90">
        <v>16</v>
      </c>
      <c r="AF5" s="94">
        <v>16</v>
      </c>
      <c r="AG5" s="91">
        <v>16</v>
      </c>
      <c r="AH5" s="92">
        <v>16</v>
      </c>
      <c r="AI5" s="90">
        <v>16</v>
      </c>
      <c r="AJ5" s="90">
        <v>16</v>
      </c>
      <c r="AK5" s="90">
        <v>16</v>
      </c>
      <c r="AL5" s="95">
        <v>16</v>
      </c>
      <c r="AM5" s="92">
        <v>16</v>
      </c>
      <c r="AN5" s="90">
        <v>16</v>
      </c>
      <c r="AO5" s="90">
        <v>16</v>
      </c>
      <c r="AP5" s="90">
        <v>16</v>
      </c>
      <c r="AQ5" s="95">
        <v>16</v>
      </c>
      <c r="AR5" s="92"/>
      <c r="AS5" s="90"/>
      <c r="AT5" s="90"/>
      <c r="AU5" s="90"/>
      <c r="AV5" s="91"/>
      <c r="AW5" s="92"/>
      <c r="AX5" s="90"/>
      <c r="AY5" s="90"/>
      <c r="AZ5" s="90"/>
      <c r="BA5" s="91"/>
      <c r="BB5" s="92"/>
      <c r="BC5" s="90"/>
      <c r="BD5" s="90"/>
      <c r="BE5" s="90"/>
      <c r="BF5" s="91"/>
      <c r="BG5" s="92"/>
      <c r="BH5" s="90"/>
      <c r="BI5" s="90"/>
      <c r="BJ5" s="90"/>
      <c r="BK5" s="91"/>
      <c r="BL5" s="96">
        <f t="shared" ref="BL5:BL21" si="0">SUM(D5:BK5)</f>
        <v>392</v>
      </c>
    </row>
    <row r="6" spans="1:68" x14ac:dyDescent="0.25">
      <c r="B6" s="106"/>
      <c r="C6" s="48" t="s">
        <v>129</v>
      </c>
      <c r="D6" s="46"/>
      <c r="E6" s="44"/>
      <c r="F6" s="44"/>
      <c r="G6" s="44"/>
      <c r="H6" s="49"/>
      <c r="I6" s="47"/>
      <c r="J6" s="44"/>
      <c r="K6" s="44"/>
      <c r="L6" s="44"/>
      <c r="M6" s="49"/>
      <c r="N6" s="47"/>
      <c r="O6" s="44"/>
      <c r="P6" s="44"/>
      <c r="Q6" s="45"/>
      <c r="R6" s="49">
        <v>8</v>
      </c>
      <c r="S6" s="47">
        <v>8</v>
      </c>
      <c r="T6" s="44">
        <v>8</v>
      </c>
      <c r="U6" s="44">
        <v>8</v>
      </c>
      <c r="V6" s="44">
        <v>8</v>
      </c>
      <c r="W6" s="49">
        <v>8</v>
      </c>
      <c r="X6" s="47">
        <v>8</v>
      </c>
      <c r="Y6" s="44">
        <v>8</v>
      </c>
      <c r="Z6" s="44">
        <v>8</v>
      </c>
      <c r="AA6" s="44">
        <v>8</v>
      </c>
      <c r="AB6" s="49">
        <v>8</v>
      </c>
      <c r="AC6" s="47">
        <v>8</v>
      </c>
      <c r="AD6" s="44">
        <v>8</v>
      </c>
      <c r="AE6" s="51">
        <v>8</v>
      </c>
      <c r="AF6" s="44"/>
      <c r="AG6" s="49"/>
      <c r="AH6" s="47"/>
      <c r="AI6" s="44"/>
      <c r="AJ6" s="44"/>
      <c r="AK6" s="44"/>
      <c r="AL6" s="49"/>
      <c r="AM6" s="47"/>
      <c r="AN6" s="44"/>
      <c r="AO6" s="44"/>
      <c r="AP6" s="44"/>
      <c r="AQ6" s="49"/>
      <c r="AR6" s="47"/>
      <c r="AS6" s="44"/>
      <c r="AT6" s="44"/>
      <c r="AU6" s="44"/>
      <c r="AV6" s="49"/>
      <c r="AW6" s="47"/>
      <c r="AX6" s="44"/>
      <c r="AY6" s="44"/>
      <c r="AZ6" s="44"/>
      <c r="BA6" s="49"/>
      <c r="BB6" s="47"/>
      <c r="BC6" s="44"/>
      <c r="BD6" s="44"/>
      <c r="BE6" s="44"/>
      <c r="BF6" s="49"/>
      <c r="BG6" s="47"/>
      <c r="BH6" s="44"/>
      <c r="BI6" s="44"/>
      <c r="BJ6" s="44"/>
      <c r="BK6" s="49"/>
      <c r="BL6" s="53">
        <f t="shared" si="0"/>
        <v>112</v>
      </c>
    </row>
    <row r="7" spans="1:68" x14ac:dyDescent="0.25">
      <c r="B7" s="106"/>
      <c r="C7" s="48" t="s">
        <v>102</v>
      </c>
      <c r="D7" s="46">
        <v>8</v>
      </c>
      <c r="E7" s="44">
        <v>8</v>
      </c>
      <c r="F7" s="44">
        <v>8</v>
      </c>
      <c r="G7" s="44">
        <v>8</v>
      </c>
      <c r="H7" s="49">
        <v>8</v>
      </c>
      <c r="I7" s="47">
        <v>8</v>
      </c>
      <c r="J7" s="44">
        <v>8</v>
      </c>
      <c r="K7" s="44">
        <v>8</v>
      </c>
      <c r="L7" s="44">
        <v>8</v>
      </c>
      <c r="M7" s="50">
        <v>8</v>
      </c>
      <c r="N7" s="47">
        <v>8</v>
      </c>
      <c r="O7" s="44">
        <v>8</v>
      </c>
      <c r="P7" s="44">
        <v>8</v>
      </c>
      <c r="Q7" s="45"/>
      <c r="R7" s="49">
        <v>8</v>
      </c>
      <c r="S7" s="47">
        <v>8</v>
      </c>
      <c r="T7" s="44">
        <v>8</v>
      </c>
      <c r="U7" s="44">
        <v>8</v>
      </c>
      <c r="V7" s="44">
        <v>8</v>
      </c>
      <c r="W7" s="50">
        <v>8</v>
      </c>
      <c r="X7" s="47">
        <v>8</v>
      </c>
      <c r="Y7" s="44">
        <v>8</v>
      </c>
      <c r="Z7" s="44">
        <v>8</v>
      </c>
      <c r="AA7" s="44">
        <v>8</v>
      </c>
      <c r="AB7" s="49">
        <v>8</v>
      </c>
      <c r="AC7" s="47">
        <v>8</v>
      </c>
      <c r="AD7" s="44">
        <v>8</v>
      </c>
      <c r="AE7" s="44">
        <v>8</v>
      </c>
      <c r="AF7" s="44">
        <v>8</v>
      </c>
      <c r="AG7" s="50">
        <v>8</v>
      </c>
      <c r="AH7" s="47">
        <v>8</v>
      </c>
      <c r="AI7" s="44">
        <v>8</v>
      </c>
      <c r="AJ7" s="44">
        <v>8</v>
      </c>
      <c r="AK7" s="44">
        <v>8</v>
      </c>
      <c r="AL7" s="49">
        <v>8</v>
      </c>
      <c r="AM7" s="47">
        <v>8</v>
      </c>
      <c r="AN7" s="44">
        <v>8</v>
      </c>
      <c r="AO7" s="44">
        <v>8</v>
      </c>
      <c r="AP7" s="44">
        <v>8</v>
      </c>
      <c r="AQ7" s="49">
        <v>8</v>
      </c>
      <c r="AR7" s="47">
        <v>8</v>
      </c>
      <c r="AS7" s="44">
        <v>8</v>
      </c>
      <c r="AT7" s="44">
        <v>8</v>
      </c>
      <c r="AU7" s="44">
        <v>8</v>
      </c>
      <c r="AV7" s="50">
        <v>8</v>
      </c>
      <c r="AW7" s="47"/>
      <c r="AX7" s="44"/>
      <c r="AY7" s="44"/>
      <c r="AZ7" s="44"/>
      <c r="BA7" s="49"/>
      <c r="BB7" s="47"/>
      <c r="BC7" s="44"/>
      <c r="BD7" s="44"/>
      <c r="BE7" s="44"/>
      <c r="BF7" s="49"/>
      <c r="BG7" s="47" t="s">
        <v>616</v>
      </c>
      <c r="BH7" s="44" t="s">
        <v>616</v>
      </c>
      <c r="BI7" s="44" t="s">
        <v>616</v>
      </c>
      <c r="BJ7" s="44" t="s">
        <v>616</v>
      </c>
      <c r="BK7" s="49" t="s">
        <v>616</v>
      </c>
      <c r="BL7" s="53">
        <f t="shared" si="0"/>
        <v>352</v>
      </c>
    </row>
    <row r="8" spans="1:68" x14ac:dyDescent="0.25">
      <c r="B8" s="106"/>
      <c r="C8" s="48" t="s">
        <v>104</v>
      </c>
      <c r="D8" s="46"/>
      <c r="E8" s="44"/>
      <c r="F8" s="44"/>
      <c r="G8" s="44"/>
      <c r="H8" s="49">
        <v>8</v>
      </c>
      <c r="I8" s="47">
        <v>8</v>
      </c>
      <c r="J8" s="44">
        <v>8</v>
      </c>
      <c r="K8" s="44">
        <v>8</v>
      </c>
      <c r="L8" s="44">
        <v>8</v>
      </c>
      <c r="M8" s="49">
        <v>8</v>
      </c>
      <c r="N8" s="47">
        <v>8</v>
      </c>
      <c r="O8" s="44">
        <v>8</v>
      </c>
      <c r="P8" s="44">
        <v>16</v>
      </c>
      <c r="Q8" s="45"/>
      <c r="R8" s="49">
        <v>16</v>
      </c>
      <c r="S8" s="47">
        <v>16</v>
      </c>
      <c r="T8" s="44">
        <v>16</v>
      </c>
      <c r="U8" s="44">
        <v>16</v>
      </c>
      <c r="V8" s="44">
        <v>16</v>
      </c>
      <c r="W8" s="50">
        <v>16</v>
      </c>
      <c r="X8" s="47">
        <v>8</v>
      </c>
      <c r="Y8" s="44">
        <v>8</v>
      </c>
      <c r="Z8" s="44">
        <v>8</v>
      </c>
      <c r="AA8" s="44">
        <v>8</v>
      </c>
      <c r="AB8" s="49">
        <v>8</v>
      </c>
      <c r="AC8" s="47">
        <v>8</v>
      </c>
      <c r="AD8" s="44">
        <v>8</v>
      </c>
      <c r="AE8" s="44">
        <v>8</v>
      </c>
      <c r="AF8" s="44">
        <v>8</v>
      </c>
      <c r="AG8" s="49">
        <v>8</v>
      </c>
      <c r="AH8" s="47">
        <v>8</v>
      </c>
      <c r="AI8" s="44">
        <v>8</v>
      </c>
      <c r="AJ8" s="44">
        <v>8</v>
      </c>
      <c r="AK8" s="44">
        <v>8</v>
      </c>
      <c r="AL8" s="49">
        <v>8</v>
      </c>
      <c r="AM8" s="47">
        <v>8</v>
      </c>
      <c r="AN8" s="44">
        <v>8</v>
      </c>
      <c r="AO8" s="44">
        <v>8</v>
      </c>
      <c r="AP8" s="44">
        <v>8</v>
      </c>
      <c r="AQ8" s="50">
        <v>8</v>
      </c>
      <c r="AR8" s="47"/>
      <c r="AS8" s="44"/>
      <c r="AT8" s="44"/>
      <c r="AU8" s="44"/>
      <c r="AV8" s="49"/>
      <c r="AW8" s="47" t="s">
        <v>616</v>
      </c>
      <c r="AX8" s="44" t="s">
        <v>616</v>
      </c>
      <c r="AY8" s="44" t="s">
        <v>616</v>
      </c>
      <c r="AZ8" s="44" t="s">
        <v>616</v>
      </c>
      <c r="BA8" s="49" t="s">
        <v>616</v>
      </c>
      <c r="BB8" s="47" t="s">
        <v>616</v>
      </c>
      <c r="BC8" s="44" t="s">
        <v>616</v>
      </c>
      <c r="BD8" s="44" t="s">
        <v>616</v>
      </c>
      <c r="BE8" s="44" t="s">
        <v>616</v>
      </c>
      <c r="BF8" s="49" t="s">
        <v>616</v>
      </c>
      <c r="BG8" s="47" t="s">
        <v>616</v>
      </c>
      <c r="BH8" s="44" t="s">
        <v>616</v>
      </c>
      <c r="BI8" s="44" t="s">
        <v>616</v>
      </c>
      <c r="BJ8" s="44" t="s">
        <v>616</v>
      </c>
      <c r="BK8" s="49" t="s">
        <v>616</v>
      </c>
      <c r="BL8" s="53">
        <f t="shared" si="0"/>
        <v>336</v>
      </c>
    </row>
    <row r="9" spans="1:68" x14ac:dyDescent="0.25">
      <c r="B9" s="106"/>
      <c r="C9" s="48" t="s">
        <v>139</v>
      </c>
      <c r="D9" s="46"/>
      <c r="E9" s="44"/>
      <c r="F9" s="44"/>
      <c r="G9" s="44"/>
      <c r="H9" s="49"/>
      <c r="I9" s="47"/>
      <c r="J9" s="44"/>
      <c r="K9" s="44"/>
      <c r="L9" s="44"/>
      <c r="M9" s="49"/>
      <c r="N9" s="47">
        <v>8</v>
      </c>
      <c r="O9" s="44">
        <v>8</v>
      </c>
      <c r="P9" s="44">
        <v>8</v>
      </c>
      <c r="Q9" s="45"/>
      <c r="R9" s="49">
        <v>8</v>
      </c>
      <c r="S9" s="47">
        <v>8</v>
      </c>
      <c r="T9" s="44">
        <v>8</v>
      </c>
      <c r="U9" s="44">
        <v>8</v>
      </c>
      <c r="V9" s="44">
        <v>8</v>
      </c>
      <c r="W9" s="49">
        <v>8</v>
      </c>
      <c r="X9" s="47">
        <v>8</v>
      </c>
      <c r="Y9" s="44">
        <v>8</v>
      </c>
      <c r="Z9" s="44">
        <v>8</v>
      </c>
      <c r="AA9" s="44">
        <v>8</v>
      </c>
      <c r="AB9" s="50">
        <v>8</v>
      </c>
      <c r="AC9" s="47"/>
      <c r="AD9" s="44"/>
      <c r="AE9" s="44"/>
      <c r="AF9" s="44"/>
      <c r="AG9" s="49"/>
      <c r="AH9" s="47"/>
      <c r="AI9" s="44"/>
      <c r="AJ9" s="44"/>
      <c r="AK9" s="44"/>
      <c r="AL9" s="49"/>
      <c r="AM9" s="47"/>
      <c r="AN9" s="44"/>
      <c r="AO9" s="44"/>
      <c r="AP9" s="44"/>
      <c r="AQ9" s="49"/>
      <c r="AR9" s="47"/>
      <c r="AS9" s="44"/>
      <c r="AT9" s="44"/>
      <c r="AU9" s="44"/>
      <c r="AV9" s="49"/>
      <c r="AW9" s="47"/>
      <c r="AX9" s="44"/>
      <c r="AY9" s="44"/>
      <c r="AZ9" s="44"/>
      <c r="BA9" s="49"/>
      <c r="BB9" s="47"/>
      <c r="BC9" s="44"/>
      <c r="BD9" s="44"/>
      <c r="BE9" s="44"/>
      <c r="BF9" s="49"/>
      <c r="BG9" s="47"/>
      <c r="BH9" s="44"/>
      <c r="BI9" s="44"/>
      <c r="BJ9" s="44"/>
      <c r="BK9" s="49"/>
      <c r="BL9" s="53">
        <f t="shared" si="0"/>
        <v>112</v>
      </c>
    </row>
    <row r="10" spans="1:68" x14ac:dyDescent="0.25">
      <c r="B10" s="106"/>
      <c r="C10" s="48" t="s">
        <v>106</v>
      </c>
      <c r="D10" s="46"/>
      <c r="E10" s="44"/>
      <c r="F10" s="44"/>
      <c r="G10" s="44"/>
      <c r="H10" s="49"/>
      <c r="I10" s="47"/>
      <c r="J10" s="44"/>
      <c r="K10" s="44"/>
      <c r="L10" s="44"/>
      <c r="M10" s="49"/>
      <c r="N10" s="47">
        <v>8</v>
      </c>
      <c r="O10" s="44">
        <v>8</v>
      </c>
      <c r="P10" s="44">
        <v>8</v>
      </c>
      <c r="Q10" s="45"/>
      <c r="R10" s="49">
        <v>8</v>
      </c>
      <c r="S10" s="47">
        <v>8</v>
      </c>
      <c r="T10" s="51">
        <v>8</v>
      </c>
      <c r="U10" s="44">
        <v>8</v>
      </c>
      <c r="V10" s="44">
        <v>8</v>
      </c>
      <c r="W10" s="49">
        <v>8</v>
      </c>
      <c r="X10" s="47">
        <v>8</v>
      </c>
      <c r="Y10" s="44">
        <v>8</v>
      </c>
      <c r="Z10" s="44">
        <v>8</v>
      </c>
      <c r="AA10" s="44">
        <v>8</v>
      </c>
      <c r="AB10" s="50">
        <v>8</v>
      </c>
      <c r="AC10" s="47"/>
      <c r="AD10" s="44"/>
      <c r="AE10" s="44"/>
      <c r="AF10" s="44"/>
      <c r="AG10" s="49"/>
      <c r="AH10" s="47">
        <v>8</v>
      </c>
      <c r="AI10" s="44">
        <v>8</v>
      </c>
      <c r="AJ10" s="44">
        <v>8</v>
      </c>
      <c r="AK10" s="44">
        <v>8</v>
      </c>
      <c r="AL10" s="49">
        <v>8</v>
      </c>
      <c r="AM10" s="47">
        <v>8</v>
      </c>
      <c r="AN10" s="44">
        <v>8</v>
      </c>
      <c r="AO10" s="44">
        <v>8</v>
      </c>
      <c r="AP10" s="44">
        <v>8</v>
      </c>
      <c r="AQ10" s="49">
        <v>8</v>
      </c>
      <c r="AR10" s="47">
        <v>8</v>
      </c>
      <c r="AS10" s="44">
        <v>8</v>
      </c>
      <c r="AT10" s="44">
        <v>8</v>
      </c>
      <c r="AU10" s="44">
        <v>8</v>
      </c>
      <c r="AV10" s="50">
        <v>8</v>
      </c>
      <c r="AW10" s="47">
        <v>8</v>
      </c>
      <c r="AX10" s="44">
        <v>8</v>
      </c>
      <c r="AY10" s="44">
        <v>8</v>
      </c>
      <c r="AZ10" s="44">
        <v>8</v>
      </c>
      <c r="BA10" s="49">
        <v>8</v>
      </c>
      <c r="BB10" s="47">
        <v>8</v>
      </c>
      <c r="BC10" s="44">
        <v>8</v>
      </c>
      <c r="BD10" s="44">
        <v>8</v>
      </c>
      <c r="BE10" s="44">
        <v>8</v>
      </c>
      <c r="BF10" s="49">
        <v>8</v>
      </c>
      <c r="BG10" s="47">
        <v>8</v>
      </c>
      <c r="BH10" s="44">
        <v>8</v>
      </c>
      <c r="BI10" s="44">
        <v>8</v>
      </c>
      <c r="BJ10" s="44">
        <v>8</v>
      </c>
      <c r="BK10" s="50">
        <v>8</v>
      </c>
      <c r="BL10" s="53">
        <f t="shared" si="0"/>
        <v>352</v>
      </c>
    </row>
    <row r="11" spans="1:68" x14ac:dyDescent="0.25">
      <c r="B11" s="106"/>
      <c r="C11" s="48" t="s">
        <v>108</v>
      </c>
      <c r="D11" s="46">
        <v>8</v>
      </c>
      <c r="E11" s="44">
        <v>8</v>
      </c>
      <c r="F11" s="44">
        <v>8</v>
      </c>
      <c r="G11" s="44">
        <v>8</v>
      </c>
      <c r="H11" s="49">
        <v>8</v>
      </c>
      <c r="I11" s="47">
        <v>8</v>
      </c>
      <c r="J11" s="44">
        <v>8</v>
      </c>
      <c r="K11" s="44">
        <v>8</v>
      </c>
      <c r="L11" s="44">
        <v>8</v>
      </c>
      <c r="M11" s="50">
        <v>8</v>
      </c>
      <c r="N11" s="47">
        <v>8</v>
      </c>
      <c r="O11" s="44">
        <v>8</v>
      </c>
      <c r="P11" s="44">
        <v>8</v>
      </c>
      <c r="Q11" s="45"/>
      <c r="R11" s="49">
        <v>8</v>
      </c>
      <c r="S11" s="47">
        <v>8</v>
      </c>
      <c r="T11" s="44">
        <v>8</v>
      </c>
      <c r="U11" s="44">
        <v>8</v>
      </c>
      <c r="V11" s="44">
        <v>8</v>
      </c>
      <c r="W11" s="49">
        <v>8</v>
      </c>
      <c r="X11" s="47">
        <v>8</v>
      </c>
      <c r="Y11" s="44">
        <v>8</v>
      </c>
      <c r="Z11" s="44">
        <v>8</v>
      </c>
      <c r="AA11" s="44">
        <v>8</v>
      </c>
      <c r="AB11" s="49">
        <v>8</v>
      </c>
      <c r="AC11" s="47">
        <v>8</v>
      </c>
      <c r="AD11" s="44">
        <v>8</v>
      </c>
      <c r="AE11" s="44">
        <v>8</v>
      </c>
      <c r="AF11" s="44">
        <v>8</v>
      </c>
      <c r="AG11" s="50">
        <v>8</v>
      </c>
      <c r="AH11" s="47">
        <v>8</v>
      </c>
      <c r="AI11" s="44">
        <v>8</v>
      </c>
      <c r="AJ11" s="44">
        <v>8</v>
      </c>
      <c r="AK11" s="44">
        <v>8</v>
      </c>
      <c r="AL11" s="49">
        <v>8</v>
      </c>
      <c r="AM11" s="47">
        <v>8</v>
      </c>
      <c r="AN11" s="44">
        <v>8</v>
      </c>
      <c r="AO11" s="44">
        <v>8</v>
      </c>
      <c r="AP11" s="44">
        <v>8</v>
      </c>
      <c r="AQ11" s="49">
        <v>8</v>
      </c>
      <c r="AR11" s="47">
        <v>8</v>
      </c>
      <c r="AS11" s="44">
        <v>8</v>
      </c>
      <c r="AT11" s="44">
        <v>8</v>
      </c>
      <c r="AU11" s="44">
        <v>8</v>
      </c>
      <c r="AV11" s="50">
        <v>8</v>
      </c>
      <c r="AW11" s="47"/>
      <c r="AX11" s="44"/>
      <c r="AY11" s="44"/>
      <c r="AZ11" s="44"/>
      <c r="BA11" s="49"/>
      <c r="BB11" s="47"/>
      <c r="BC11" s="44"/>
      <c r="BD11" s="44"/>
      <c r="BE11" s="44"/>
      <c r="BF11" s="49"/>
      <c r="BG11" s="47"/>
      <c r="BH11" s="44"/>
      <c r="BI11" s="44"/>
      <c r="BJ11" s="44"/>
      <c r="BK11" s="49"/>
      <c r="BL11" s="53">
        <f t="shared" si="0"/>
        <v>352</v>
      </c>
    </row>
    <row r="12" spans="1:68" x14ac:dyDescent="0.25">
      <c r="B12" s="106"/>
      <c r="C12" s="48" t="s">
        <v>131</v>
      </c>
      <c r="D12" s="46"/>
      <c r="E12" s="44"/>
      <c r="F12" s="44"/>
      <c r="G12" s="44"/>
      <c r="H12" s="49"/>
      <c r="I12" s="47"/>
      <c r="J12" s="44"/>
      <c r="K12" s="44"/>
      <c r="L12" s="44"/>
      <c r="M12" s="49"/>
      <c r="N12" s="47">
        <v>8</v>
      </c>
      <c r="O12" s="44">
        <v>8</v>
      </c>
      <c r="P12" s="44">
        <v>8</v>
      </c>
      <c r="Q12" s="45"/>
      <c r="R12" s="49">
        <v>8</v>
      </c>
      <c r="S12" s="47">
        <v>8</v>
      </c>
      <c r="T12" s="44">
        <v>8</v>
      </c>
      <c r="U12" s="44">
        <v>8</v>
      </c>
      <c r="V12" s="44">
        <v>8</v>
      </c>
      <c r="W12" s="50">
        <v>8</v>
      </c>
      <c r="X12" s="47">
        <v>8</v>
      </c>
      <c r="Y12" s="44">
        <v>8</v>
      </c>
      <c r="Z12" s="44">
        <v>8</v>
      </c>
      <c r="AA12" s="44">
        <v>8</v>
      </c>
      <c r="AB12" s="49">
        <v>8</v>
      </c>
      <c r="AC12" s="47">
        <v>8</v>
      </c>
      <c r="AD12" s="44">
        <v>8</v>
      </c>
      <c r="AE12" s="44">
        <v>8</v>
      </c>
      <c r="AF12" s="44">
        <v>8</v>
      </c>
      <c r="AG12" s="49">
        <v>8</v>
      </c>
      <c r="AH12" s="47">
        <v>8</v>
      </c>
      <c r="AI12" s="51">
        <v>8</v>
      </c>
      <c r="AJ12" s="44"/>
      <c r="AK12" s="44"/>
      <c r="AL12" s="49"/>
      <c r="AM12" s="47"/>
      <c r="AN12" s="44"/>
      <c r="AO12" s="44"/>
      <c r="AP12" s="44"/>
      <c r="AQ12" s="49"/>
      <c r="AR12" s="47">
        <v>8</v>
      </c>
      <c r="AS12" s="44">
        <v>8</v>
      </c>
      <c r="AT12" s="44">
        <v>8</v>
      </c>
      <c r="AU12" s="44">
        <v>8</v>
      </c>
      <c r="AV12" s="49">
        <v>8</v>
      </c>
      <c r="AW12" s="47">
        <v>8</v>
      </c>
      <c r="AX12" s="51">
        <v>8</v>
      </c>
      <c r="AY12" s="44"/>
      <c r="AZ12" s="44"/>
      <c r="BA12" s="49"/>
      <c r="BB12" s="47"/>
      <c r="BC12" s="44"/>
      <c r="BD12" s="44"/>
      <c r="BE12" s="44"/>
      <c r="BF12" s="49"/>
      <c r="BG12" s="47"/>
      <c r="BH12" s="44"/>
      <c r="BI12" s="44"/>
      <c r="BJ12" s="44"/>
      <c r="BK12" s="49"/>
      <c r="BL12" s="53">
        <f t="shared" si="0"/>
        <v>224</v>
      </c>
    </row>
    <row r="13" spans="1:68" x14ac:dyDescent="0.25">
      <c r="B13" s="106"/>
      <c r="C13" s="48" t="s">
        <v>116</v>
      </c>
      <c r="D13" s="46">
        <v>8</v>
      </c>
      <c r="E13" s="44">
        <v>8</v>
      </c>
      <c r="F13" s="44">
        <v>8</v>
      </c>
      <c r="G13" s="44">
        <v>8</v>
      </c>
      <c r="H13" s="49">
        <v>8</v>
      </c>
      <c r="I13" s="47">
        <v>8</v>
      </c>
      <c r="J13" s="44">
        <v>8</v>
      </c>
      <c r="K13" s="44">
        <v>8</v>
      </c>
      <c r="L13" s="44">
        <v>8</v>
      </c>
      <c r="M13" s="49">
        <v>8</v>
      </c>
      <c r="N13" s="47">
        <v>8</v>
      </c>
      <c r="O13" s="44">
        <v>8</v>
      </c>
      <c r="P13" s="44">
        <v>8</v>
      </c>
      <c r="Q13" s="45"/>
      <c r="R13" s="49">
        <v>8</v>
      </c>
      <c r="S13" s="47">
        <v>8</v>
      </c>
      <c r="T13" s="44">
        <v>8</v>
      </c>
      <c r="U13" s="44">
        <v>8</v>
      </c>
      <c r="V13" s="44">
        <v>8</v>
      </c>
      <c r="W13" s="49">
        <v>8</v>
      </c>
      <c r="X13" s="52">
        <v>8</v>
      </c>
      <c r="Y13" s="44">
        <v>8</v>
      </c>
      <c r="Z13" s="44">
        <v>8</v>
      </c>
      <c r="AA13" s="44">
        <v>8</v>
      </c>
      <c r="AB13" s="49">
        <v>8</v>
      </c>
      <c r="AC13" s="47">
        <v>8</v>
      </c>
      <c r="AD13" s="44">
        <v>8</v>
      </c>
      <c r="AE13" s="44">
        <v>8</v>
      </c>
      <c r="AF13" s="44">
        <v>8</v>
      </c>
      <c r="AG13" s="49">
        <v>8</v>
      </c>
      <c r="AH13" s="47">
        <v>8</v>
      </c>
      <c r="AI13" s="44">
        <v>8</v>
      </c>
      <c r="AJ13" s="44">
        <v>8</v>
      </c>
      <c r="AK13" s="44">
        <v>8</v>
      </c>
      <c r="AL13" s="49">
        <v>8</v>
      </c>
      <c r="AM13" s="47">
        <v>8</v>
      </c>
      <c r="AN13" s="44">
        <v>8</v>
      </c>
      <c r="AO13" s="44">
        <v>8</v>
      </c>
      <c r="AP13" s="44">
        <v>8</v>
      </c>
      <c r="AQ13" s="50">
        <v>8</v>
      </c>
      <c r="AR13" s="47">
        <v>8</v>
      </c>
      <c r="AS13" s="44">
        <v>8</v>
      </c>
      <c r="AT13" s="44">
        <v>8</v>
      </c>
      <c r="AU13" s="44">
        <v>8</v>
      </c>
      <c r="AV13" s="49">
        <v>8</v>
      </c>
      <c r="AW13" s="47">
        <v>8</v>
      </c>
      <c r="AX13" s="44">
        <v>8</v>
      </c>
      <c r="AY13" s="44">
        <v>8</v>
      </c>
      <c r="AZ13" s="44">
        <v>8</v>
      </c>
      <c r="BA13" s="49">
        <v>8</v>
      </c>
      <c r="BB13" s="47">
        <v>8</v>
      </c>
      <c r="BC13" s="44">
        <v>8</v>
      </c>
      <c r="BD13" s="44">
        <v>8</v>
      </c>
      <c r="BE13" s="44">
        <v>8</v>
      </c>
      <c r="BF13" s="50">
        <v>8</v>
      </c>
      <c r="BG13" s="47"/>
      <c r="BH13" s="44"/>
      <c r="BI13" s="44"/>
      <c r="BJ13" s="44"/>
      <c r="BK13" s="49"/>
      <c r="BL13" s="53">
        <f t="shared" si="0"/>
        <v>432</v>
      </c>
    </row>
    <row r="14" spans="1:68" x14ac:dyDescent="0.25">
      <c r="B14" s="106"/>
      <c r="C14" s="48" t="s">
        <v>122</v>
      </c>
      <c r="D14" s="46">
        <v>8</v>
      </c>
      <c r="E14" s="44">
        <v>8</v>
      </c>
      <c r="F14" s="44">
        <v>8</v>
      </c>
      <c r="G14" s="44">
        <v>8</v>
      </c>
      <c r="H14" s="49">
        <v>8</v>
      </c>
      <c r="I14" s="47">
        <v>8</v>
      </c>
      <c r="J14" s="44">
        <v>8</v>
      </c>
      <c r="K14" s="44">
        <v>8</v>
      </c>
      <c r="L14" s="44">
        <v>8</v>
      </c>
      <c r="M14" s="49">
        <v>8</v>
      </c>
      <c r="N14" s="47">
        <v>8</v>
      </c>
      <c r="O14" s="44">
        <v>8</v>
      </c>
      <c r="P14" s="44">
        <v>8</v>
      </c>
      <c r="Q14" s="45"/>
      <c r="R14" s="49">
        <v>8</v>
      </c>
      <c r="S14" s="47">
        <v>8</v>
      </c>
      <c r="T14" s="44">
        <v>8</v>
      </c>
      <c r="U14" s="44">
        <v>8</v>
      </c>
      <c r="V14" s="44">
        <v>8</v>
      </c>
      <c r="W14" s="49">
        <v>8</v>
      </c>
      <c r="X14" s="47">
        <v>8</v>
      </c>
      <c r="Y14" s="44">
        <v>8</v>
      </c>
      <c r="Z14" s="44">
        <v>8</v>
      </c>
      <c r="AA14" s="44">
        <v>8</v>
      </c>
      <c r="AB14" s="50">
        <v>8</v>
      </c>
      <c r="AC14" s="47" t="s">
        <v>616</v>
      </c>
      <c r="AD14" s="44" t="s">
        <v>616</v>
      </c>
      <c r="AE14" s="44" t="s">
        <v>616</v>
      </c>
      <c r="AF14" s="44" t="s">
        <v>616</v>
      </c>
      <c r="AG14" s="49" t="s">
        <v>616</v>
      </c>
      <c r="AH14" s="47" t="s">
        <v>616</v>
      </c>
      <c r="AI14" s="44" t="s">
        <v>616</v>
      </c>
      <c r="AJ14" s="44" t="s">
        <v>616</v>
      </c>
      <c r="AK14" s="44" t="s">
        <v>616</v>
      </c>
      <c r="AL14" s="49" t="s">
        <v>616</v>
      </c>
      <c r="AM14" s="47" t="s">
        <v>616</v>
      </c>
      <c r="AN14" s="44" t="s">
        <v>616</v>
      </c>
      <c r="AO14" s="44" t="s">
        <v>616</v>
      </c>
      <c r="AP14" s="44" t="s">
        <v>616</v>
      </c>
      <c r="AQ14" s="49" t="s">
        <v>616</v>
      </c>
      <c r="AR14" s="47"/>
      <c r="AS14" s="44"/>
      <c r="AT14" s="44"/>
      <c r="AU14" s="44"/>
      <c r="AV14" s="49"/>
      <c r="AW14" s="47"/>
      <c r="AX14" s="44"/>
      <c r="AY14" s="44"/>
      <c r="AZ14" s="44"/>
      <c r="BA14" s="49"/>
      <c r="BB14" s="47"/>
      <c r="BC14" s="44"/>
      <c r="BD14" s="44"/>
      <c r="BE14" s="44"/>
      <c r="BF14" s="49"/>
      <c r="BG14" s="47"/>
      <c r="BH14" s="44"/>
      <c r="BI14" s="44"/>
      <c r="BJ14" s="44"/>
      <c r="BK14" s="49"/>
      <c r="BL14" s="53">
        <f t="shared" si="0"/>
        <v>192</v>
      </c>
    </row>
    <row r="15" spans="1:68" x14ac:dyDescent="0.25">
      <c r="B15" s="106"/>
      <c r="C15" s="48" t="s">
        <v>110</v>
      </c>
      <c r="D15" s="46"/>
      <c r="E15" s="44"/>
      <c r="F15" s="44"/>
      <c r="G15" s="44"/>
      <c r="H15" s="49"/>
      <c r="I15" s="47"/>
      <c r="J15" s="44"/>
      <c r="K15" s="44"/>
      <c r="L15" s="44">
        <v>8</v>
      </c>
      <c r="M15" s="49">
        <v>8</v>
      </c>
      <c r="N15" s="47">
        <v>8</v>
      </c>
      <c r="O15" s="44">
        <v>8</v>
      </c>
      <c r="P15" s="44">
        <v>8</v>
      </c>
      <c r="Q15" s="45"/>
      <c r="R15" s="50">
        <v>8</v>
      </c>
      <c r="S15" s="47">
        <v>8</v>
      </c>
      <c r="T15" s="44">
        <v>8</v>
      </c>
      <c r="U15" s="44">
        <v>8</v>
      </c>
      <c r="V15" s="44">
        <v>8</v>
      </c>
      <c r="W15" s="49">
        <v>8</v>
      </c>
      <c r="X15" s="47">
        <v>8</v>
      </c>
      <c r="Y15" s="44">
        <v>8</v>
      </c>
      <c r="Z15" s="44">
        <v>8</v>
      </c>
      <c r="AA15" s="44">
        <v>8</v>
      </c>
      <c r="AB15" s="49">
        <v>8</v>
      </c>
      <c r="AC15" s="52">
        <v>8</v>
      </c>
      <c r="AD15" s="44">
        <v>8</v>
      </c>
      <c r="AE15" s="44">
        <v>8</v>
      </c>
      <c r="AF15" s="44">
        <v>8</v>
      </c>
      <c r="AG15" s="49">
        <v>8</v>
      </c>
      <c r="AH15" s="52">
        <v>8</v>
      </c>
      <c r="AI15" s="44">
        <v>8</v>
      </c>
      <c r="AJ15" s="44">
        <v>8</v>
      </c>
      <c r="AK15" s="44">
        <v>8</v>
      </c>
      <c r="AL15" s="50">
        <v>8</v>
      </c>
      <c r="AM15" s="47">
        <v>8</v>
      </c>
      <c r="AN15" s="44">
        <v>8</v>
      </c>
      <c r="AO15" s="44">
        <v>8</v>
      </c>
      <c r="AP15" s="44">
        <v>8</v>
      </c>
      <c r="AQ15" s="49">
        <v>8</v>
      </c>
      <c r="AR15" s="47">
        <v>8</v>
      </c>
      <c r="AS15" s="44">
        <v>8</v>
      </c>
      <c r="AT15" s="44">
        <v>8</v>
      </c>
      <c r="AU15" s="44">
        <v>8</v>
      </c>
      <c r="AV15" s="49">
        <v>8</v>
      </c>
      <c r="AW15" s="47">
        <v>8</v>
      </c>
      <c r="AX15" s="44">
        <v>8</v>
      </c>
      <c r="AY15" s="44">
        <v>8</v>
      </c>
      <c r="AZ15" s="44">
        <v>8</v>
      </c>
      <c r="BA15" s="50">
        <v>8</v>
      </c>
      <c r="BB15" s="47"/>
      <c r="BC15" s="44"/>
      <c r="BD15" s="44"/>
      <c r="BE15" s="44"/>
      <c r="BF15" s="49"/>
      <c r="BG15" s="47"/>
      <c r="BH15" s="44"/>
      <c r="BI15" s="44"/>
      <c r="BJ15" s="44"/>
      <c r="BK15" s="49"/>
      <c r="BL15" s="53">
        <f t="shared" si="0"/>
        <v>328</v>
      </c>
    </row>
    <row r="16" spans="1:68" x14ac:dyDescent="0.25">
      <c r="B16" s="106"/>
      <c r="C16" s="48" t="s">
        <v>124</v>
      </c>
      <c r="D16" s="46">
        <v>8</v>
      </c>
      <c r="E16" s="44">
        <v>8</v>
      </c>
      <c r="F16" s="44">
        <v>8</v>
      </c>
      <c r="G16" s="44">
        <v>8</v>
      </c>
      <c r="H16" s="49">
        <v>8</v>
      </c>
      <c r="I16" s="47">
        <v>8</v>
      </c>
      <c r="J16" s="44">
        <v>8</v>
      </c>
      <c r="K16" s="44">
        <v>8</v>
      </c>
      <c r="L16" s="44">
        <v>8</v>
      </c>
      <c r="M16" s="49">
        <v>8</v>
      </c>
      <c r="N16" s="47">
        <v>8</v>
      </c>
      <c r="O16" s="44">
        <v>8</v>
      </c>
      <c r="P16" s="44">
        <v>8</v>
      </c>
      <c r="Q16" s="45"/>
      <c r="R16" s="49">
        <v>8</v>
      </c>
      <c r="S16" s="47">
        <v>8</v>
      </c>
      <c r="T16" s="44">
        <v>8</v>
      </c>
      <c r="U16" s="44">
        <v>8</v>
      </c>
      <c r="V16" s="44">
        <v>8</v>
      </c>
      <c r="W16" s="49">
        <v>8</v>
      </c>
      <c r="X16" s="47">
        <v>8</v>
      </c>
      <c r="Y16" s="44">
        <v>8</v>
      </c>
      <c r="Z16" s="51">
        <v>8</v>
      </c>
      <c r="AA16" s="44">
        <v>8</v>
      </c>
      <c r="AB16" s="49">
        <v>8</v>
      </c>
      <c r="AC16" s="47">
        <v>8</v>
      </c>
      <c r="AD16" s="44">
        <v>8</v>
      </c>
      <c r="AE16" s="44">
        <v>8</v>
      </c>
      <c r="AF16" s="44">
        <v>8</v>
      </c>
      <c r="AG16" s="49">
        <v>8</v>
      </c>
      <c r="AH16" s="47">
        <v>8</v>
      </c>
      <c r="AI16" s="44">
        <v>8</v>
      </c>
      <c r="AJ16" s="44">
        <v>8</v>
      </c>
      <c r="AK16" s="44">
        <v>8</v>
      </c>
      <c r="AL16" s="49">
        <v>8</v>
      </c>
      <c r="AM16" s="47">
        <v>8</v>
      </c>
      <c r="AN16" s="44">
        <v>8</v>
      </c>
      <c r="AO16" s="44">
        <v>8</v>
      </c>
      <c r="AP16" s="44">
        <v>8</v>
      </c>
      <c r="AQ16" s="50">
        <v>8</v>
      </c>
      <c r="AR16" s="47">
        <v>8</v>
      </c>
      <c r="AS16" s="44">
        <v>8</v>
      </c>
      <c r="AT16" s="44">
        <v>8</v>
      </c>
      <c r="AU16" s="44">
        <v>8</v>
      </c>
      <c r="AV16" s="49">
        <v>8</v>
      </c>
      <c r="AW16" s="47">
        <v>8</v>
      </c>
      <c r="AX16" s="44">
        <v>8</v>
      </c>
      <c r="AY16" s="44">
        <v>8</v>
      </c>
      <c r="AZ16" s="44">
        <v>8</v>
      </c>
      <c r="BA16" s="49">
        <v>8</v>
      </c>
      <c r="BB16" s="47">
        <v>8</v>
      </c>
      <c r="BC16" s="44">
        <v>8</v>
      </c>
      <c r="BD16" s="44">
        <v>8</v>
      </c>
      <c r="BE16" s="44">
        <v>8</v>
      </c>
      <c r="BF16" s="50">
        <v>8</v>
      </c>
      <c r="BG16" s="47"/>
      <c r="BH16" s="44"/>
      <c r="BI16" s="44"/>
      <c r="BJ16" s="44"/>
      <c r="BK16" s="49"/>
      <c r="BL16" s="53">
        <f t="shared" si="0"/>
        <v>432</v>
      </c>
    </row>
    <row r="17" spans="2:64" x14ac:dyDescent="0.25">
      <c r="B17" s="106"/>
      <c r="C17" s="48" t="s">
        <v>112</v>
      </c>
      <c r="D17" s="46">
        <v>8</v>
      </c>
      <c r="E17" s="44">
        <v>8</v>
      </c>
      <c r="F17" s="44">
        <v>8</v>
      </c>
      <c r="G17" s="44">
        <v>8</v>
      </c>
      <c r="H17" s="49">
        <v>8</v>
      </c>
      <c r="I17" s="47">
        <v>8</v>
      </c>
      <c r="J17" s="44">
        <v>8</v>
      </c>
      <c r="K17" s="44">
        <v>8</v>
      </c>
      <c r="L17" s="44">
        <v>8</v>
      </c>
      <c r="M17" s="49">
        <v>8</v>
      </c>
      <c r="N17" s="47">
        <v>8</v>
      </c>
      <c r="O17" s="44">
        <v>8</v>
      </c>
      <c r="P17" s="44">
        <v>8</v>
      </c>
      <c r="Q17" s="45"/>
      <c r="R17" s="49">
        <v>8</v>
      </c>
      <c r="S17" s="47">
        <v>8</v>
      </c>
      <c r="T17" s="44">
        <v>8</v>
      </c>
      <c r="U17" s="44">
        <v>8</v>
      </c>
      <c r="V17" s="44">
        <v>8</v>
      </c>
      <c r="W17" s="49">
        <v>8</v>
      </c>
      <c r="X17" s="47">
        <v>8</v>
      </c>
      <c r="Y17" s="44">
        <v>8</v>
      </c>
      <c r="Z17" s="44">
        <v>8</v>
      </c>
      <c r="AA17" s="44">
        <v>8</v>
      </c>
      <c r="AB17" s="49">
        <v>8</v>
      </c>
      <c r="AC17" s="47">
        <v>8</v>
      </c>
      <c r="AD17" s="44">
        <v>8</v>
      </c>
      <c r="AE17" s="44">
        <v>8</v>
      </c>
      <c r="AF17" s="44">
        <v>8</v>
      </c>
      <c r="AG17" s="50">
        <v>8</v>
      </c>
      <c r="AH17" s="47">
        <v>8</v>
      </c>
      <c r="AI17" s="44">
        <v>8</v>
      </c>
      <c r="AJ17" s="44">
        <v>8</v>
      </c>
      <c r="AK17" s="44">
        <v>8</v>
      </c>
      <c r="AL17" s="49">
        <v>8</v>
      </c>
      <c r="AM17" s="47">
        <v>8</v>
      </c>
      <c r="AN17" s="44">
        <v>8</v>
      </c>
      <c r="AO17" s="44">
        <v>8</v>
      </c>
      <c r="AP17" s="44">
        <v>8</v>
      </c>
      <c r="AQ17" s="49">
        <v>8</v>
      </c>
      <c r="AR17" s="47">
        <v>8</v>
      </c>
      <c r="AS17" s="44">
        <v>8</v>
      </c>
      <c r="AT17" s="44">
        <v>8</v>
      </c>
      <c r="AU17" s="44">
        <v>8</v>
      </c>
      <c r="AV17" s="50">
        <v>8</v>
      </c>
      <c r="AW17" s="47">
        <v>8</v>
      </c>
      <c r="AX17" s="44">
        <v>8</v>
      </c>
      <c r="AY17" s="44">
        <v>8</v>
      </c>
      <c r="AZ17" s="44">
        <v>8</v>
      </c>
      <c r="BA17" s="49">
        <v>8</v>
      </c>
      <c r="BB17" s="47">
        <v>8</v>
      </c>
      <c r="BC17" s="44">
        <v>8</v>
      </c>
      <c r="BD17" s="44">
        <v>8</v>
      </c>
      <c r="BE17" s="44">
        <v>8</v>
      </c>
      <c r="BF17" s="49">
        <v>8</v>
      </c>
      <c r="BG17" s="47">
        <v>8</v>
      </c>
      <c r="BH17" s="44">
        <v>8</v>
      </c>
      <c r="BI17" s="44">
        <v>8</v>
      </c>
      <c r="BJ17" s="44">
        <v>8</v>
      </c>
      <c r="BK17" s="50">
        <v>8</v>
      </c>
      <c r="BL17" s="53">
        <f t="shared" si="0"/>
        <v>472</v>
      </c>
    </row>
    <row r="18" spans="2:64" x14ac:dyDescent="0.25">
      <c r="B18" s="106"/>
      <c r="C18" s="48" t="s">
        <v>114</v>
      </c>
      <c r="D18" s="46"/>
      <c r="E18" s="44"/>
      <c r="F18" s="44"/>
      <c r="G18" s="44"/>
      <c r="H18" s="49"/>
      <c r="I18" s="47"/>
      <c r="J18" s="44"/>
      <c r="K18" s="44"/>
      <c r="L18" s="44"/>
      <c r="M18" s="49"/>
      <c r="N18" s="47"/>
      <c r="O18" s="44"/>
      <c r="P18" s="44">
        <v>8</v>
      </c>
      <c r="Q18" s="45"/>
      <c r="R18" s="49">
        <v>8</v>
      </c>
      <c r="S18" s="47">
        <v>8</v>
      </c>
      <c r="T18" s="44">
        <v>8</v>
      </c>
      <c r="U18" s="44">
        <v>8</v>
      </c>
      <c r="V18" s="44">
        <v>8</v>
      </c>
      <c r="W18" s="49">
        <v>8</v>
      </c>
      <c r="X18" s="47">
        <v>8</v>
      </c>
      <c r="Y18" s="44">
        <v>8</v>
      </c>
      <c r="Z18" s="44">
        <v>8</v>
      </c>
      <c r="AA18" s="44">
        <v>8</v>
      </c>
      <c r="AB18" s="49">
        <v>8</v>
      </c>
      <c r="AC18" s="47">
        <v>8</v>
      </c>
      <c r="AD18" s="44">
        <v>8</v>
      </c>
      <c r="AE18" s="44">
        <v>8</v>
      </c>
      <c r="AF18" s="44">
        <v>8</v>
      </c>
      <c r="AG18" s="50">
        <v>8</v>
      </c>
      <c r="AH18" s="47">
        <v>8</v>
      </c>
      <c r="AI18" s="44">
        <v>8</v>
      </c>
      <c r="AJ18" s="44">
        <v>8</v>
      </c>
      <c r="AK18" s="44">
        <v>8</v>
      </c>
      <c r="AL18" s="49">
        <v>8</v>
      </c>
      <c r="AM18" s="47">
        <v>8</v>
      </c>
      <c r="AN18" s="44">
        <v>8</v>
      </c>
      <c r="AO18" s="44">
        <v>8</v>
      </c>
      <c r="AP18" s="44">
        <v>8</v>
      </c>
      <c r="AQ18" s="49">
        <v>8</v>
      </c>
      <c r="AR18" s="47">
        <v>8</v>
      </c>
      <c r="AS18" s="44">
        <v>8</v>
      </c>
      <c r="AT18" s="44">
        <v>8</v>
      </c>
      <c r="AU18" s="44">
        <v>8</v>
      </c>
      <c r="AV18" s="50">
        <v>8</v>
      </c>
      <c r="AW18" s="47">
        <v>8</v>
      </c>
      <c r="AX18" s="44">
        <v>8</v>
      </c>
      <c r="AY18" s="44">
        <v>8</v>
      </c>
      <c r="AZ18" s="44">
        <v>8</v>
      </c>
      <c r="BA18" s="49">
        <v>8</v>
      </c>
      <c r="BB18" s="47">
        <v>8</v>
      </c>
      <c r="BC18" s="44">
        <v>8</v>
      </c>
      <c r="BD18" s="44">
        <v>8</v>
      </c>
      <c r="BE18" s="44">
        <v>8</v>
      </c>
      <c r="BF18" s="49">
        <v>8</v>
      </c>
      <c r="BG18" s="47">
        <v>8</v>
      </c>
      <c r="BH18" s="44">
        <v>8</v>
      </c>
      <c r="BI18" s="44">
        <v>8</v>
      </c>
      <c r="BJ18" s="44">
        <v>8</v>
      </c>
      <c r="BK18" s="50">
        <v>8</v>
      </c>
      <c r="BL18" s="53">
        <f t="shared" si="0"/>
        <v>376</v>
      </c>
    </row>
    <row r="19" spans="2:64" x14ac:dyDescent="0.25">
      <c r="B19" s="106"/>
      <c r="C19" s="48" t="s">
        <v>118</v>
      </c>
      <c r="D19" s="46"/>
      <c r="E19" s="44"/>
      <c r="F19" s="44"/>
      <c r="G19" s="44"/>
      <c r="H19" s="49"/>
      <c r="I19" s="47"/>
      <c r="J19" s="44"/>
      <c r="K19" s="44">
        <v>8</v>
      </c>
      <c r="L19" s="44">
        <v>8</v>
      </c>
      <c r="M19" s="49">
        <v>8</v>
      </c>
      <c r="N19" s="47">
        <v>8</v>
      </c>
      <c r="O19" s="44">
        <v>8</v>
      </c>
      <c r="P19" s="44">
        <v>8</v>
      </c>
      <c r="Q19" s="45"/>
      <c r="R19" s="49">
        <v>8</v>
      </c>
      <c r="S19" s="47">
        <v>8</v>
      </c>
      <c r="T19" s="44">
        <v>8</v>
      </c>
      <c r="U19" s="44">
        <v>8</v>
      </c>
      <c r="V19" s="44">
        <v>8</v>
      </c>
      <c r="W19" s="49">
        <v>8</v>
      </c>
      <c r="X19" s="52">
        <v>8</v>
      </c>
      <c r="Y19" s="44">
        <v>8</v>
      </c>
      <c r="Z19" s="44">
        <v>8</v>
      </c>
      <c r="AA19" s="44">
        <v>8</v>
      </c>
      <c r="AB19" s="49">
        <v>8</v>
      </c>
      <c r="AC19" s="47">
        <v>8</v>
      </c>
      <c r="AD19" s="44">
        <v>8</v>
      </c>
      <c r="AE19" s="44">
        <v>8</v>
      </c>
      <c r="AF19" s="44">
        <v>8</v>
      </c>
      <c r="AG19" s="49">
        <v>8</v>
      </c>
      <c r="AH19" s="47">
        <v>8</v>
      </c>
      <c r="AI19" s="44">
        <v>8</v>
      </c>
      <c r="AJ19" s="44">
        <v>8</v>
      </c>
      <c r="AK19" s="44">
        <v>8</v>
      </c>
      <c r="AL19" s="49">
        <v>8</v>
      </c>
      <c r="AM19" s="47">
        <v>8</v>
      </c>
      <c r="AN19" s="44">
        <v>8</v>
      </c>
      <c r="AO19" s="44">
        <v>8</v>
      </c>
      <c r="AP19" s="44">
        <v>8</v>
      </c>
      <c r="AQ19" s="49">
        <v>8</v>
      </c>
      <c r="AR19" s="47">
        <v>8</v>
      </c>
      <c r="AS19" s="44">
        <v>8</v>
      </c>
      <c r="AT19" s="44">
        <v>8</v>
      </c>
      <c r="AU19" s="44">
        <v>8</v>
      </c>
      <c r="AV19" s="49">
        <v>8</v>
      </c>
      <c r="AW19" s="47">
        <v>8</v>
      </c>
      <c r="AX19" s="44">
        <v>8</v>
      </c>
      <c r="AY19" s="44">
        <v>8</v>
      </c>
      <c r="AZ19" s="44">
        <v>8</v>
      </c>
      <c r="BA19" s="49">
        <v>8</v>
      </c>
      <c r="BB19" s="52">
        <v>8</v>
      </c>
      <c r="BC19" s="44"/>
      <c r="BD19" s="44"/>
      <c r="BE19" s="44"/>
      <c r="BF19" s="49"/>
      <c r="BG19" s="47"/>
      <c r="BH19" s="44"/>
      <c r="BI19" s="44"/>
      <c r="BJ19" s="44"/>
      <c r="BK19" s="49"/>
      <c r="BL19" s="53">
        <f t="shared" si="0"/>
        <v>344</v>
      </c>
    </row>
    <row r="20" spans="2:64" x14ac:dyDescent="0.25">
      <c r="B20" s="106"/>
      <c r="C20" s="48" t="s">
        <v>120</v>
      </c>
      <c r="D20" s="46">
        <v>8</v>
      </c>
      <c r="E20" s="44">
        <v>8</v>
      </c>
      <c r="F20" s="44">
        <v>8</v>
      </c>
      <c r="G20" s="44">
        <v>8</v>
      </c>
      <c r="H20" s="49">
        <v>8</v>
      </c>
      <c r="I20" s="47">
        <v>8</v>
      </c>
      <c r="J20" s="44">
        <v>8</v>
      </c>
      <c r="K20" s="44">
        <v>8</v>
      </c>
      <c r="L20" s="44">
        <v>8</v>
      </c>
      <c r="M20" s="49">
        <v>8</v>
      </c>
      <c r="N20" s="47">
        <v>8</v>
      </c>
      <c r="O20" s="44">
        <v>8</v>
      </c>
      <c r="P20" s="44">
        <v>8</v>
      </c>
      <c r="Q20" s="45"/>
      <c r="R20" s="49">
        <v>8</v>
      </c>
      <c r="S20" s="47">
        <v>8</v>
      </c>
      <c r="T20" s="44">
        <v>8</v>
      </c>
      <c r="U20" s="44">
        <v>8</v>
      </c>
      <c r="V20" s="44">
        <v>8</v>
      </c>
      <c r="W20" s="49">
        <v>8</v>
      </c>
      <c r="X20" s="47">
        <v>8</v>
      </c>
      <c r="Y20" s="44">
        <v>8</v>
      </c>
      <c r="Z20" s="44">
        <v>8</v>
      </c>
      <c r="AA20" s="44">
        <v>8</v>
      </c>
      <c r="AB20" s="49">
        <v>8</v>
      </c>
      <c r="AC20" s="47">
        <v>8</v>
      </c>
      <c r="AD20" s="44">
        <v>8</v>
      </c>
      <c r="AE20" s="51">
        <v>8</v>
      </c>
      <c r="AF20" s="44"/>
      <c r="AG20" s="49"/>
      <c r="AH20" s="47"/>
      <c r="AI20" s="44"/>
      <c r="AJ20" s="44"/>
      <c r="AK20" s="44"/>
      <c r="AL20" s="49"/>
      <c r="AM20" s="47"/>
      <c r="AN20" s="44"/>
      <c r="AO20" s="44"/>
      <c r="AP20" s="44"/>
      <c r="AQ20" s="49"/>
      <c r="AR20" s="47"/>
      <c r="AS20" s="44"/>
      <c r="AT20" s="44"/>
      <c r="AU20" s="44"/>
      <c r="AV20" s="49"/>
      <c r="AW20" s="47"/>
      <c r="AX20" s="44"/>
      <c r="AY20" s="44"/>
      <c r="AZ20" s="44"/>
      <c r="BA20" s="49"/>
      <c r="BB20" s="47"/>
      <c r="BC20" s="44"/>
      <c r="BD20" s="44"/>
      <c r="BE20" s="44"/>
      <c r="BF20" s="49"/>
      <c r="BG20" s="47"/>
      <c r="BH20" s="44"/>
      <c r="BI20" s="44"/>
      <c r="BJ20" s="44"/>
      <c r="BK20" s="49"/>
      <c r="BL20" s="53">
        <f t="shared" si="0"/>
        <v>216</v>
      </c>
    </row>
    <row r="21" spans="2:64" ht="15.75" thickBot="1" x14ac:dyDescent="0.3">
      <c r="B21" s="107"/>
      <c r="C21" s="97" t="s">
        <v>133</v>
      </c>
      <c r="D21" s="98"/>
      <c r="E21" s="99"/>
      <c r="F21" s="99"/>
      <c r="G21" s="99"/>
      <c r="H21" s="100"/>
      <c r="I21" s="101"/>
      <c r="J21" s="99"/>
      <c r="K21" s="99"/>
      <c r="L21" s="99"/>
      <c r="M21" s="100"/>
      <c r="N21" s="101"/>
      <c r="O21" s="99"/>
      <c r="P21" s="99"/>
      <c r="Q21" s="102"/>
      <c r="R21" s="100"/>
      <c r="S21" s="101"/>
      <c r="T21" s="99"/>
      <c r="U21" s="99"/>
      <c r="V21" s="99"/>
      <c r="W21" s="100"/>
      <c r="X21" s="101"/>
      <c r="Y21" s="99"/>
      <c r="Z21" s="99"/>
      <c r="AA21" s="99">
        <v>8</v>
      </c>
      <c r="AB21" s="100">
        <v>8</v>
      </c>
      <c r="AC21" s="101">
        <v>8</v>
      </c>
      <c r="AD21" s="99">
        <v>8</v>
      </c>
      <c r="AE21" s="99">
        <v>8</v>
      </c>
      <c r="AF21" s="99">
        <v>8</v>
      </c>
      <c r="AG21" s="103">
        <v>8</v>
      </c>
      <c r="AH21" s="101"/>
      <c r="AI21" s="99"/>
      <c r="AJ21" s="99"/>
      <c r="AK21" s="99"/>
      <c r="AL21" s="100"/>
      <c r="AM21" s="101"/>
      <c r="AN21" s="99"/>
      <c r="AO21" s="99"/>
      <c r="AP21" s="99"/>
      <c r="AQ21" s="100"/>
      <c r="AR21" s="101"/>
      <c r="AS21" s="99"/>
      <c r="AT21" s="99"/>
      <c r="AU21" s="99"/>
      <c r="AV21" s="100"/>
      <c r="AW21" s="101"/>
      <c r="AX21" s="99"/>
      <c r="AY21" s="99"/>
      <c r="AZ21" s="99"/>
      <c r="BA21" s="100"/>
      <c r="BB21" s="101"/>
      <c r="BC21" s="99"/>
      <c r="BD21" s="99"/>
      <c r="BE21" s="99"/>
      <c r="BF21" s="100"/>
      <c r="BG21" s="101"/>
      <c r="BH21" s="99"/>
      <c r="BI21" s="99"/>
      <c r="BJ21" s="99"/>
      <c r="BK21" s="100"/>
      <c r="BL21" s="104">
        <f t="shared" si="0"/>
        <v>56</v>
      </c>
    </row>
    <row r="22" spans="2:64" ht="15.75" thickTop="1" x14ac:dyDescent="0.25"/>
  </sheetData>
  <mergeCells count="14">
    <mergeCell ref="B5:B21"/>
    <mergeCell ref="C2:BL2"/>
    <mergeCell ref="D3:H3"/>
    <mergeCell ref="I3:M3"/>
    <mergeCell ref="N3:R3"/>
    <mergeCell ref="BG3:BK3"/>
    <mergeCell ref="S3:W3"/>
    <mergeCell ref="X3:AB3"/>
    <mergeCell ref="AC3:AG3"/>
    <mergeCell ref="AH3:AL3"/>
    <mergeCell ref="AM3:AQ3"/>
    <mergeCell ref="AR3:AV3"/>
    <mergeCell ref="AW3:BA3"/>
    <mergeCell ref="BB3:BF3"/>
  </mergeCells>
  <conditionalFormatting sqref="D4:AV4 BG4:BK4">
    <cfRule type="cellIs" dxfId="111" priority="22864" operator="equal">
      <formula>24</formula>
    </cfRule>
    <cfRule type="cellIs" dxfId="110" priority="22865" operator="equal">
      <formula>16</formula>
    </cfRule>
    <cfRule type="cellIs" dxfId="109" priority="22866" operator="equal">
      <formula>8</formula>
    </cfRule>
  </conditionalFormatting>
  <conditionalFormatting sqref="AW4:BA4">
    <cfRule type="cellIs" dxfId="108" priority="11152" operator="equal">
      <formula>24</formula>
    </cfRule>
    <cfRule type="cellIs" dxfId="107" priority="11153" operator="equal">
      <formula>16</formula>
    </cfRule>
    <cfRule type="cellIs" dxfId="106" priority="11154" operator="equal">
      <formula>8</formula>
    </cfRule>
  </conditionalFormatting>
  <conditionalFormatting sqref="BB4:BF4">
    <cfRule type="cellIs" dxfId="105" priority="11149" operator="equal">
      <formula>24</formula>
    </cfRule>
    <cfRule type="cellIs" dxfId="104" priority="11150" operator="equal">
      <formula>16</formula>
    </cfRule>
    <cfRule type="cellIs" dxfId="103" priority="11151" operator="equal">
      <formula>8</formula>
    </cfRule>
  </conditionalFormatting>
  <conditionalFormatting sqref="A1">
    <cfRule type="cellIs" dxfId="102" priority="3661" operator="equal">
      <formula>"F"</formula>
    </cfRule>
    <cfRule type="cellIs" dxfId="101" priority="3665" operator="equal">
      <formula>"F"</formula>
    </cfRule>
    <cfRule type="cellIs" dxfId="100" priority="3669" operator="equal">
      <formula>"F"</formula>
    </cfRule>
    <cfRule type="cellIs" dxfId="99" priority="3673" operator="equal">
      <formula>"F"</formula>
    </cfRule>
    <cfRule type="cellIs" dxfId="98" priority="3677" operator="equal">
      <formula>"F"</formula>
    </cfRule>
    <cfRule type="cellIs" dxfId="97" priority="3681" operator="equal">
      <formula>"F"</formula>
    </cfRule>
    <cfRule type="cellIs" dxfId="96" priority="3685" operator="equal">
      <formula>"F"</formula>
    </cfRule>
    <cfRule type="cellIs" dxfId="95" priority="3689" operator="equal">
      <formula>"F"</formula>
    </cfRule>
    <cfRule type="cellIs" dxfId="94" priority="3693" operator="equal">
      <formula>"F"</formula>
    </cfRule>
    <cfRule type="cellIs" dxfId="93" priority="3697" operator="equal">
      <formula>"F"</formula>
    </cfRule>
    <cfRule type="cellIs" dxfId="92" priority="3701" operator="equal">
      <formula>"F"</formula>
    </cfRule>
    <cfRule type="cellIs" dxfId="91" priority="3705" operator="equal">
      <formula>"F"</formula>
    </cfRule>
    <cfRule type="cellIs" dxfId="90" priority="3709" operator="equal">
      <formula>"F"</formula>
    </cfRule>
    <cfRule type="cellIs" dxfId="89" priority="3713" operator="equal">
      <formula>"F"</formula>
    </cfRule>
    <cfRule type="cellIs" dxfId="88" priority="3717" operator="equal">
      <formula>"F"</formula>
    </cfRule>
    <cfRule type="cellIs" dxfId="87" priority="3721" operator="equal">
      <formula>"F"</formula>
    </cfRule>
    <cfRule type="cellIs" dxfId="86" priority="3725" operator="equal">
      <formula>"F"</formula>
    </cfRule>
    <cfRule type="cellIs" dxfId="85" priority="3729" operator="equal">
      <formula>"F"</formula>
    </cfRule>
    <cfRule type="cellIs" dxfId="84" priority="3733" operator="equal">
      <formula>"F"</formula>
    </cfRule>
    <cfRule type="cellIs" dxfId="83" priority="3737" operator="equal">
      <formula>"F"</formula>
    </cfRule>
    <cfRule type="cellIs" dxfId="82" priority="3741" operator="equal">
      <formula>"F"</formula>
    </cfRule>
    <cfRule type="cellIs" dxfId="81" priority="3745" operator="equal">
      <formula>"F"</formula>
    </cfRule>
    <cfRule type="cellIs" dxfId="80" priority="3749" operator="equal">
      <formula>"F"</formula>
    </cfRule>
    <cfRule type="cellIs" dxfId="79" priority="3753" operator="equal">
      <formula>"F"</formula>
    </cfRule>
    <cfRule type="cellIs" dxfId="78" priority="3757" operator="equal">
      <formula>"F"</formula>
    </cfRule>
    <cfRule type="cellIs" dxfId="77" priority="3761" operator="equal">
      <formula>"F"</formula>
    </cfRule>
    <cfRule type="cellIs" dxfId="76" priority="3765" operator="equal">
      <formula>"F"</formula>
    </cfRule>
    <cfRule type="cellIs" dxfId="75" priority="3769" operator="equal">
      <formula>"F"</formula>
    </cfRule>
    <cfRule type="cellIs" dxfId="74" priority="3773" operator="equal">
      <formula>"F"</formula>
    </cfRule>
    <cfRule type="cellIs" dxfId="73" priority="3777" operator="equal">
      <formula>"F"</formula>
    </cfRule>
    <cfRule type="cellIs" dxfId="72" priority="3781" operator="equal">
      <formula>"F"</formula>
    </cfRule>
    <cfRule type="cellIs" dxfId="71" priority="3785" operator="equal">
      <formula>"F"</formula>
    </cfRule>
    <cfRule type="cellIs" dxfId="70" priority="3789" operator="equal">
      <formula>"F"</formula>
    </cfRule>
  </conditionalFormatting>
  <conditionalFormatting sqref="D5:BK5">
    <cfRule type="cellIs" dxfId="69" priority="65" operator="equal">
      <formula>24</formula>
    </cfRule>
    <cfRule type="cellIs" dxfId="68" priority="66" operator="equal">
      <formula>16</formula>
    </cfRule>
    <cfRule type="cellIs" dxfId="67" priority="67" operator="equal">
      <formula>8</formula>
    </cfRule>
    <cfRule type="expression" dxfId="66" priority="68">
      <formula>LEFT(D5,1)="F"</formula>
    </cfRule>
  </conditionalFormatting>
  <conditionalFormatting sqref="D6:BK6">
    <cfRule type="cellIs" dxfId="65" priority="61" operator="equal">
      <formula>24</formula>
    </cfRule>
    <cfRule type="cellIs" dxfId="64" priority="62" operator="equal">
      <formula>16</formula>
    </cfRule>
    <cfRule type="cellIs" dxfId="63" priority="63" operator="equal">
      <formula>8</formula>
    </cfRule>
    <cfRule type="expression" dxfId="62" priority="64">
      <formula>LEFT(D6,1)="F"</formula>
    </cfRule>
  </conditionalFormatting>
  <conditionalFormatting sqref="D7:BK7">
    <cfRule type="cellIs" dxfId="61" priority="57" operator="equal">
      <formula>24</formula>
    </cfRule>
    <cfRule type="cellIs" dxfId="60" priority="58" operator="equal">
      <formula>16</formula>
    </cfRule>
    <cfRule type="cellIs" dxfId="59" priority="59" operator="equal">
      <formula>8</formula>
    </cfRule>
    <cfRule type="expression" dxfId="58" priority="60">
      <formula>LEFT(D7,1)="F"</formula>
    </cfRule>
  </conditionalFormatting>
  <conditionalFormatting sqref="D8:BK8">
    <cfRule type="cellIs" dxfId="57" priority="53" operator="equal">
      <formula>24</formula>
    </cfRule>
    <cfRule type="cellIs" dxfId="56" priority="54" operator="equal">
      <formula>16</formula>
    </cfRule>
    <cfRule type="cellIs" dxfId="55" priority="55" operator="equal">
      <formula>8</formula>
    </cfRule>
    <cfRule type="expression" dxfId="54" priority="56">
      <formula>LEFT(D8,1)="F"</formula>
    </cfRule>
  </conditionalFormatting>
  <conditionalFormatting sqref="D9:BK9">
    <cfRule type="cellIs" dxfId="53" priority="49" operator="equal">
      <formula>24</formula>
    </cfRule>
    <cfRule type="cellIs" dxfId="52" priority="50" operator="equal">
      <formula>16</formula>
    </cfRule>
    <cfRule type="cellIs" dxfId="51" priority="51" operator="equal">
      <formula>8</formula>
    </cfRule>
    <cfRule type="expression" dxfId="50" priority="52">
      <formula>LEFT(D9,1)="F"</formula>
    </cfRule>
  </conditionalFormatting>
  <conditionalFormatting sqref="D10:BK10">
    <cfRule type="cellIs" dxfId="49" priority="45" operator="equal">
      <formula>24</formula>
    </cfRule>
    <cfRule type="cellIs" dxfId="48" priority="46" operator="equal">
      <formula>16</formula>
    </cfRule>
    <cfRule type="cellIs" dxfId="47" priority="47" operator="equal">
      <formula>8</formula>
    </cfRule>
    <cfRule type="expression" dxfId="46" priority="48">
      <formula>LEFT(D10,1)="F"</formula>
    </cfRule>
  </conditionalFormatting>
  <conditionalFormatting sqref="D11:BK11">
    <cfRule type="cellIs" dxfId="45" priority="41" operator="equal">
      <formula>24</formula>
    </cfRule>
    <cfRule type="cellIs" dxfId="44" priority="42" operator="equal">
      <formula>16</formula>
    </cfRule>
    <cfRule type="cellIs" dxfId="43" priority="43" operator="equal">
      <formula>8</formula>
    </cfRule>
    <cfRule type="expression" dxfId="42" priority="44">
      <formula>LEFT(D11,1)="F"</formula>
    </cfRule>
  </conditionalFormatting>
  <conditionalFormatting sqref="D12:BK12">
    <cfRule type="cellIs" dxfId="41" priority="37" operator="equal">
      <formula>24</formula>
    </cfRule>
    <cfRule type="cellIs" dxfId="40" priority="38" operator="equal">
      <formula>16</formula>
    </cfRule>
    <cfRule type="cellIs" dxfId="39" priority="39" operator="equal">
      <formula>8</formula>
    </cfRule>
    <cfRule type="expression" dxfId="38" priority="40">
      <formula>LEFT(D12,1)="F"</formula>
    </cfRule>
  </conditionalFormatting>
  <conditionalFormatting sqref="D13:BK13">
    <cfRule type="cellIs" dxfId="37" priority="33" operator="equal">
      <formula>24</formula>
    </cfRule>
    <cfRule type="cellIs" dxfId="36" priority="34" operator="equal">
      <formula>16</formula>
    </cfRule>
    <cfRule type="cellIs" dxfId="35" priority="35" operator="equal">
      <formula>8</formula>
    </cfRule>
    <cfRule type="expression" dxfId="34" priority="36">
      <formula>LEFT(D13,1)="F"</formula>
    </cfRule>
  </conditionalFormatting>
  <conditionalFormatting sqref="D14:BK14">
    <cfRule type="cellIs" dxfId="33" priority="29" operator="equal">
      <formula>24</formula>
    </cfRule>
    <cfRule type="cellIs" dxfId="32" priority="30" operator="equal">
      <formula>16</formula>
    </cfRule>
    <cfRule type="cellIs" dxfId="31" priority="31" operator="equal">
      <formula>8</formula>
    </cfRule>
    <cfRule type="expression" dxfId="30" priority="32">
      <formula>LEFT(D14,1)="F"</formula>
    </cfRule>
  </conditionalFormatting>
  <conditionalFormatting sqref="D15:BK15">
    <cfRule type="cellIs" dxfId="29" priority="25" operator="equal">
      <formula>24</formula>
    </cfRule>
    <cfRule type="cellIs" dxfId="28" priority="26" operator="equal">
      <formula>16</formula>
    </cfRule>
    <cfRule type="cellIs" dxfId="27" priority="27" operator="equal">
      <formula>8</formula>
    </cfRule>
    <cfRule type="expression" dxfId="26" priority="28">
      <formula>LEFT(D15,1)="F"</formula>
    </cfRule>
  </conditionalFormatting>
  <conditionalFormatting sqref="D16:BK16">
    <cfRule type="cellIs" dxfId="25" priority="21" operator="equal">
      <formula>24</formula>
    </cfRule>
    <cfRule type="cellIs" dxfId="24" priority="22" operator="equal">
      <formula>16</formula>
    </cfRule>
    <cfRule type="cellIs" dxfId="23" priority="23" operator="equal">
      <formula>8</formula>
    </cfRule>
    <cfRule type="expression" dxfId="22" priority="24">
      <formula>LEFT(D16,1)="F"</formula>
    </cfRule>
  </conditionalFormatting>
  <conditionalFormatting sqref="D17:BK17">
    <cfRule type="cellIs" dxfId="21" priority="17" operator="equal">
      <formula>24</formula>
    </cfRule>
    <cfRule type="cellIs" dxfId="20" priority="18" operator="equal">
      <formula>16</formula>
    </cfRule>
    <cfRule type="cellIs" dxfId="19" priority="19" operator="equal">
      <formula>8</formula>
    </cfRule>
    <cfRule type="expression" dxfId="18" priority="20">
      <formula>LEFT(D17,1)="F"</formula>
    </cfRule>
  </conditionalFormatting>
  <conditionalFormatting sqref="D18:BK18">
    <cfRule type="cellIs" dxfId="17" priority="13" operator="equal">
      <formula>24</formula>
    </cfRule>
    <cfRule type="cellIs" dxfId="16" priority="14" operator="equal">
      <formula>16</formula>
    </cfRule>
    <cfRule type="cellIs" dxfId="15" priority="15" operator="equal">
      <formula>8</formula>
    </cfRule>
    <cfRule type="expression" dxfId="14" priority="16">
      <formula>LEFT(D18,1)="F"</formula>
    </cfRule>
  </conditionalFormatting>
  <conditionalFormatting sqref="D19:BK19">
    <cfRule type="cellIs" dxfId="13" priority="9" operator="equal">
      <formula>24</formula>
    </cfRule>
    <cfRule type="cellIs" dxfId="12" priority="10" operator="equal">
      <formula>16</formula>
    </cfRule>
    <cfRule type="cellIs" dxfId="11" priority="11" operator="equal">
      <formula>8</formula>
    </cfRule>
    <cfRule type="expression" dxfId="10" priority="12">
      <formula>LEFT(D19,1)="F"</formula>
    </cfRule>
  </conditionalFormatting>
  <conditionalFormatting sqref="D20:BK20">
    <cfRule type="expression" dxfId="9" priority="8">
      <formula>LEFT(D20,1)="F"</formula>
    </cfRule>
  </conditionalFormatting>
  <conditionalFormatting sqref="D20:BK20">
    <cfRule type="cellIs" dxfId="8" priority="7" operator="equal">
      <formula>8</formula>
    </cfRule>
  </conditionalFormatting>
  <conditionalFormatting sqref="D20:BK20">
    <cfRule type="cellIs" dxfId="7" priority="6" operator="equal">
      <formula>16</formula>
    </cfRule>
  </conditionalFormatting>
  <conditionalFormatting sqref="D20:BK20">
    <cfRule type="cellIs" dxfId="6" priority="5" operator="equal">
      <formula>24</formula>
    </cfRule>
  </conditionalFormatting>
  <conditionalFormatting sqref="D21:BK21">
    <cfRule type="expression" dxfId="5" priority="4">
      <formula>LEFT(D21,1)="F"</formula>
    </cfRule>
  </conditionalFormatting>
  <conditionalFormatting sqref="D21:BK21">
    <cfRule type="cellIs" dxfId="4" priority="3" operator="equal">
      <formula>8</formula>
    </cfRule>
  </conditionalFormatting>
  <conditionalFormatting sqref="D21:BK21">
    <cfRule type="cellIs" dxfId="3" priority="2" operator="equal">
      <formula>16</formula>
    </cfRule>
  </conditionalFormatting>
  <conditionalFormatting sqref="D21:BK21">
    <cfRule type="cellIs" dxfId="2" priority="1" operator="equal">
      <formula>24</formula>
    </cfRule>
  </conditionalFormatting>
  <dataValidations count="3">
    <dataValidation type="list" allowBlank="1" showInputMessage="1" showErrorMessage="1" sqref="AR4 N4 X4 AH4">
      <formula1>"04/mai,11/mai,18/mai,25/mai,01/jun,08/jun,15/jun"</formula1>
    </dataValidation>
    <dataValidation type="list" allowBlank="1" showInputMessage="1" showErrorMessage="1" sqref="E3:H3">
      <formula1>"ws"</formula1>
    </dataValidation>
    <dataValidation type="list" allowBlank="1" showInputMessage="1" showErrorMessage="1" sqref="D3">
      <formula1>"25/mai,01/jun,08/jun,15/jun,22/jun,29/jun,06/jul,13/jul,20/jul"</formula1>
    </dataValidation>
  </dataValidations>
  <hyperlinks>
    <hyperlink ref="Y5" location="Cronograma!A95:H95" display="Cronograma!A95:H95"/>
    <hyperlink ref="AF5" location="Cronograma!A164:H164" display="Cronograma!A164:H164"/>
    <hyperlink ref="AL5" location="Cronograma!A169:H169" display="Cronograma!A169:H169"/>
    <hyperlink ref="AQ5" location="Cronograma!A224:H224" display="Cronograma!A224:H224"/>
    <hyperlink ref="AE6" location="Cronograma!A129:H129" display="Cronograma!A129:H129"/>
    <hyperlink ref="M7" location="Cronograma!A75:H75" display="Cronograma!A75:H75"/>
    <hyperlink ref="W7" location="Cronograma!A80:H80" display="Cronograma!A80:H80"/>
    <hyperlink ref="AG7" location="Cronograma!A105:H105" display="Cronograma!A105:H105"/>
    <hyperlink ref="AV7" location="Cronograma!A219:H219" display="Cronograma!A219:H219"/>
    <hyperlink ref="W8" location="Cronograma!A189:H189" display="Cronograma!A189:H189"/>
    <hyperlink ref="AQ8" location="Cronograma!A214:H214" display="Cronograma!A214:H214"/>
    <hyperlink ref="AB9" location="Cronograma!A204:H204" display="Cronograma!A204:H204"/>
    <hyperlink ref="T10" location="Cronograma!A144:H144" display="Cronograma!A144:H144"/>
    <hyperlink ref="AB10" location="Cronograma!A199:H199" display="Cronograma!A199:H199"/>
    <hyperlink ref="AV10" location="Cronograma!A254:H254" display="Cronograma!A254:H254"/>
    <hyperlink ref="BK10" location="Cronograma!A244:H244" display="Cronograma!A244:H244"/>
    <hyperlink ref="M11" location="Cronograma!A70:H70" display="Cronograma!A70:H70"/>
    <hyperlink ref="AG11" location="Cronograma!A100:H100" display="Cronograma!A100:H100"/>
    <hyperlink ref="AV11" location="Cronograma!A229:H229" display="Cronograma!A229:H229"/>
    <hyperlink ref="W12" location="Cronograma!A90:H90" display="Cronograma!A90:H90"/>
    <hyperlink ref="AI12" location="Cronograma!A139:H139" display="Cronograma!A139:H139"/>
    <hyperlink ref="AX12" location="Cronograma!A264:H264" display="Cronograma!A264:H264"/>
    <hyperlink ref="X13" location="Cronograma!A29:H29" display="Cronograma!A29:H29"/>
    <hyperlink ref="AQ13" location="Cronograma!A115:H115" display="Cronograma!A115:H115"/>
    <hyperlink ref="BF13" location="Cronograma!A269:H269" display="Cronograma!A269:H269"/>
    <hyperlink ref="AB14" location="Cronograma!A65:H65" display="Cronograma!A65:H65"/>
    <hyperlink ref="R15" location="Cronograma!A149:H149" display="Cronograma!A149:H149"/>
    <hyperlink ref="AC15" location="Cronograma!A159:H159" display="Cronograma!A159:H159"/>
    <hyperlink ref="AH15" location="Cronograma!A174:H174" display="Cronograma!A174:H174"/>
    <hyperlink ref="AL15" location="Cronograma!A184:H184" display="Cronograma!A184:H184"/>
    <hyperlink ref="BA15" location="Cronograma!A274:H274" display="Cronograma!A274:H274"/>
    <hyperlink ref="Z16" location="Cronograma!A34:H34" display="Cronograma!A34:H34"/>
    <hyperlink ref="AQ16" location="Cronograma!A209:H209" display="Cronograma!A209:H209"/>
    <hyperlink ref="BF16" location="Cronograma!A239:H239" display="Cronograma!A239:H239"/>
    <hyperlink ref="AG17" location="Cronograma!A53:H53" display="Cronograma!A53:H53"/>
    <hyperlink ref="AV17" location="Cronograma!A234:H234" display="Cronograma!A234:H234"/>
    <hyperlink ref="BK17" location="Cronograma!A259:H259" display="Cronograma!A259:H259"/>
    <hyperlink ref="AG18" location="Cronograma!A110:H110" display="Cronograma!A110:H110"/>
    <hyperlink ref="AV18" location="Cronograma!A279:H279" display="Cronograma!A279:H279"/>
    <hyperlink ref="BK18" location="Cronograma!A249:H249" display="Cronograma!A249:H249"/>
    <hyperlink ref="X19" location="Cronograma!A120:H120" display="Cronograma!A120:H120"/>
    <hyperlink ref="BB19" location="Cronograma!A194:H194" display="Cronograma!A194:H194"/>
    <hyperlink ref="AE20" location="Cronograma!A60:H60" display="Cronograma!A60:H60"/>
    <hyperlink ref="AG21" location="Cronograma!A44:H44" display="Cronograma!A44:H44"/>
  </hyperlink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ec"/>
  <dimension ref="A1:BB88"/>
  <sheetViews>
    <sheetView workbookViewId="0">
      <pane xSplit="3" ySplit="1" topLeftCell="D41" activePane="bottomRight" state="frozen"/>
      <selection pane="topRight" activeCell="D1" sqref="D1"/>
      <selection pane="bottomLeft" activeCell="A2" sqref="A2"/>
      <selection pane="bottomRight" activeCell="C56" sqref="C56"/>
    </sheetView>
  </sheetViews>
  <sheetFormatPr defaultRowHeight="15" x14ac:dyDescent="0.25"/>
  <cols>
    <col min="1" max="1" width="28.5703125" style="1" bestFit="1" customWidth="1"/>
    <col min="2" max="2" width="20.42578125" style="1" bestFit="1" customWidth="1"/>
    <col min="3" max="3" width="10" style="1" bestFit="1" customWidth="1"/>
    <col min="4" max="4" width="16.5703125" style="1" bestFit="1" customWidth="1"/>
    <col min="5" max="5" width="9.42578125" style="1" bestFit="1" customWidth="1"/>
    <col min="6" max="6" width="11.5703125" style="1" bestFit="1" customWidth="1"/>
    <col min="7" max="7" width="25.5703125" style="1" bestFit="1" customWidth="1"/>
    <col min="8" max="8" width="9" style="1" bestFit="1" customWidth="1"/>
    <col min="9" max="9" width="27.42578125" style="1" bestFit="1" customWidth="1"/>
    <col min="10" max="11" width="12.5703125" style="1" bestFit="1" customWidth="1"/>
    <col min="12" max="12" width="11.42578125" style="1" bestFit="1" customWidth="1"/>
    <col min="13" max="13" width="7.42578125" style="1" bestFit="1" customWidth="1"/>
    <col min="14" max="15" width="14.85546875" style="1" customWidth="1"/>
    <col min="16" max="16" width="8" style="1" bestFit="1" customWidth="1"/>
    <col min="17" max="17" width="52.42578125" style="1" bestFit="1" customWidth="1"/>
    <col min="18" max="18" width="11.28515625" style="1" bestFit="1" customWidth="1"/>
    <col min="19" max="19" width="12.85546875" style="1" bestFit="1" customWidth="1"/>
    <col min="20" max="16384" width="9.140625" style="1"/>
  </cols>
  <sheetData>
    <row r="1" spans="1:54" x14ac:dyDescent="0.25">
      <c r="A1" s="36" t="s">
        <v>140</v>
      </c>
      <c r="B1" s="36" t="s">
        <v>141</v>
      </c>
      <c r="C1" s="36" t="s">
        <v>271</v>
      </c>
      <c r="D1" s="36" t="s">
        <v>269</v>
      </c>
      <c r="E1" s="36" t="s">
        <v>273</v>
      </c>
      <c r="F1" s="36" t="s">
        <v>274</v>
      </c>
      <c r="G1" s="36" t="s">
        <v>275</v>
      </c>
      <c r="H1" s="36" t="s">
        <v>276</v>
      </c>
      <c r="I1" s="36" t="s">
        <v>277</v>
      </c>
      <c r="J1" s="36" t="s">
        <v>278</v>
      </c>
      <c r="K1" s="36" t="s">
        <v>279</v>
      </c>
      <c r="L1" s="36" t="s">
        <v>280</v>
      </c>
      <c r="M1" s="36" t="s">
        <v>281</v>
      </c>
      <c r="N1" s="36" t="s">
        <v>614</v>
      </c>
      <c r="O1" s="36" t="s">
        <v>615</v>
      </c>
      <c r="P1" s="36" t="s">
        <v>588</v>
      </c>
      <c r="Q1" s="36" t="s">
        <v>612</v>
      </c>
      <c r="R1" s="36" t="s">
        <v>282</v>
      </c>
      <c r="S1" s="36" t="s">
        <v>283</v>
      </c>
      <c r="T1" s="67" t="s">
        <v>554</v>
      </c>
      <c r="U1" s="67" t="s">
        <v>54</v>
      </c>
      <c r="V1" s="67" t="s">
        <v>555</v>
      </c>
      <c r="W1" s="67" t="s">
        <v>556</v>
      </c>
      <c r="X1" s="67" t="s">
        <v>62</v>
      </c>
      <c r="Y1" s="67" t="s">
        <v>557</v>
      </c>
      <c r="Z1" s="67" t="s">
        <v>558</v>
      </c>
      <c r="AA1" s="67" t="s">
        <v>559</v>
      </c>
      <c r="AB1" s="67" t="s">
        <v>560</v>
      </c>
      <c r="AC1" s="67" t="s">
        <v>561</v>
      </c>
      <c r="AD1" s="67" t="s">
        <v>562</v>
      </c>
      <c r="AE1" s="67" t="s">
        <v>563</v>
      </c>
      <c r="AF1" s="67" t="s">
        <v>564</v>
      </c>
      <c r="AG1" s="67" t="s">
        <v>565</v>
      </c>
      <c r="AH1" s="67" t="s">
        <v>566</v>
      </c>
      <c r="AI1" s="67" t="s">
        <v>567</v>
      </c>
      <c r="AJ1" s="67" t="s">
        <v>568</v>
      </c>
      <c r="AK1" s="67" t="s">
        <v>569</v>
      </c>
      <c r="AL1" s="67" t="s">
        <v>570</v>
      </c>
      <c r="AM1" s="67" t="s">
        <v>571</v>
      </c>
      <c r="AN1" s="67" t="s">
        <v>572</v>
      </c>
      <c r="AO1" s="67" t="s">
        <v>573</v>
      </c>
      <c r="AP1" s="67" t="s">
        <v>574</v>
      </c>
      <c r="AQ1" s="67" t="s">
        <v>575</v>
      </c>
      <c r="AR1" s="67" t="s">
        <v>576</v>
      </c>
      <c r="AS1" s="67" t="s">
        <v>577</v>
      </c>
      <c r="AT1" s="67" t="s">
        <v>578</v>
      </c>
      <c r="AU1" s="67" t="s">
        <v>579</v>
      </c>
      <c r="AV1" s="67" t="s">
        <v>580</v>
      </c>
      <c r="AW1" s="67" t="s">
        <v>581</v>
      </c>
      <c r="AX1" s="67" t="s">
        <v>582</v>
      </c>
      <c r="AY1" s="67" t="s">
        <v>583</v>
      </c>
      <c r="AZ1" s="67" t="s">
        <v>584</v>
      </c>
      <c r="BA1" s="67" t="s">
        <v>585</v>
      </c>
      <c r="BB1" s="67" t="s">
        <v>586</v>
      </c>
    </row>
    <row r="2" spans="1:54" x14ac:dyDescent="0.25">
      <c r="A2" s="26" t="s">
        <v>478</v>
      </c>
      <c r="B2" s="26" t="s">
        <v>688</v>
      </c>
      <c r="C2" s="26" t="s">
        <v>272</v>
      </c>
      <c r="D2" s="26" t="s">
        <v>551</v>
      </c>
      <c r="E2" s="26">
        <v>10817640</v>
      </c>
      <c r="F2" s="26"/>
      <c r="G2" s="26"/>
      <c r="H2" s="26"/>
      <c r="I2" s="26"/>
      <c r="J2" s="26"/>
      <c r="K2" s="26"/>
      <c r="L2" s="26" t="s">
        <v>689</v>
      </c>
      <c r="M2" s="26"/>
      <c r="N2" s="26"/>
      <c r="O2" s="26"/>
      <c r="P2" s="26">
        <v>971515</v>
      </c>
      <c r="Q2" s="26" t="s">
        <v>290</v>
      </c>
      <c r="R2" s="26"/>
      <c r="S2" s="26"/>
    </row>
    <row r="3" spans="1:54" x14ac:dyDescent="0.25">
      <c r="A3" s="26" t="s">
        <v>125</v>
      </c>
      <c r="B3" s="26" t="s">
        <v>100</v>
      </c>
      <c r="C3" s="26" t="s">
        <v>272</v>
      </c>
      <c r="D3" s="26" t="s">
        <v>411</v>
      </c>
      <c r="E3" s="26" t="s">
        <v>690</v>
      </c>
      <c r="F3" s="26"/>
      <c r="G3" s="26"/>
      <c r="H3" s="26"/>
      <c r="I3" s="26"/>
      <c r="J3" s="26"/>
      <c r="K3" s="26"/>
      <c r="L3" s="26" t="s">
        <v>691</v>
      </c>
      <c r="M3" s="26"/>
      <c r="N3" s="26"/>
      <c r="O3" s="26"/>
      <c r="P3" s="26"/>
      <c r="Q3" s="26"/>
      <c r="R3" s="26"/>
      <c r="S3" s="26"/>
      <c r="T3" s="1">
        <v>1</v>
      </c>
      <c r="U3" s="1">
        <v>1</v>
      </c>
      <c r="V3" s="1">
        <v>1</v>
      </c>
      <c r="W3" s="1">
        <v>1</v>
      </c>
      <c r="X3" s="1">
        <v>1</v>
      </c>
      <c r="Y3" s="1">
        <v>5</v>
      </c>
      <c r="Z3" s="1">
        <v>5</v>
      </c>
      <c r="AA3" s="1">
        <v>1</v>
      </c>
      <c r="AB3" s="1">
        <v>2</v>
      </c>
      <c r="AC3" s="1">
        <v>4</v>
      </c>
      <c r="AD3" s="1">
        <v>4</v>
      </c>
      <c r="AE3" s="1">
        <v>1</v>
      </c>
      <c r="AF3" s="1">
        <v>4</v>
      </c>
      <c r="AG3" s="1">
        <v>4</v>
      </c>
      <c r="AH3" s="1">
        <v>1</v>
      </c>
      <c r="AI3" s="1">
        <v>3</v>
      </c>
      <c r="AJ3" s="1">
        <v>1</v>
      </c>
      <c r="AK3" s="1">
        <v>4</v>
      </c>
      <c r="AL3" s="1">
        <v>1</v>
      </c>
      <c r="AM3" s="1">
        <v>1</v>
      </c>
      <c r="AN3" s="1">
        <v>1</v>
      </c>
      <c r="AO3" s="1">
        <v>2</v>
      </c>
      <c r="AP3" s="1">
        <v>2</v>
      </c>
      <c r="AQ3" s="1">
        <v>1</v>
      </c>
      <c r="AR3" s="1">
        <v>4</v>
      </c>
      <c r="AS3" s="1">
        <v>1</v>
      </c>
      <c r="AT3" s="1">
        <v>2</v>
      </c>
      <c r="AU3" s="1">
        <v>4</v>
      </c>
      <c r="AV3" s="1">
        <v>4</v>
      </c>
      <c r="AW3" s="1">
        <v>1</v>
      </c>
      <c r="AX3" s="1">
        <v>5</v>
      </c>
      <c r="AY3" s="1">
        <v>5</v>
      </c>
      <c r="AZ3" s="1">
        <v>1</v>
      </c>
      <c r="BA3" s="1">
        <v>1</v>
      </c>
      <c r="BB3" s="1">
        <v>1</v>
      </c>
    </row>
    <row r="4" spans="1:54" x14ac:dyDescent="0.25">
      <c r="A4" s="26" t="s">
        <v>472</v>
      </c>
      <c r="B4" s="26" t="s">
        <v>435</v>
      </c>
      <c r="C4" s="26" t="s">
        <v>272</v>
      </c>
      <c r="D4" s="26" t="s">
        <v>483</v>
      </c>
      <c r="E4" s="26" t="s">
        <v>692</v>
      </c>
      <c r="F4" s="26" t="s">
        <v>436</v>
      </c>
      <c r="G4" s="26" t="s">
        <v>437</v>
      </c>
      <c r="H4" s="26"/>
      <c r="I4" s="26"/>
      <c r="J4" s="26"/>
      <c r="K4" s="26"/>
      <c r="L4" s="26" t="s">
        <v>691</v>
      </c>
      <c r="M4" s="26"/>
      <c r="N4" s="26"/>
      <c r="O4" s="26"/>
      <c r="P4" s="26"/>
      <c r="Q4" s="26" t="s">
        <v>591</v>
      </c>
      <c r="R4" s="26"/>
      <c r="S4" s="26"/>
    </row>
    <row r="5" spans="1:54" x14ac:dyDescent="0.25">
      <c r="A5" s="26" t="s">
        <v>447</v>
      </c>
      <c r="B5" s="26" t="s">
        <v>347</v>
      </c>
      <c r="C5" s="26" t="s">
        <v>272</v>
      </c>
      <c r="D5" s="26" t="s">
        <v>411</v>
      </c>
      <c r="E5" s="26">
        <v>10005530</v>
      </c>
      <c r="F5" s="26" t="s">
        <v>348</v>
      </c>
      <c r="G5" s="26" t="s">
        <v>349</v>
      </c>
      <c r="H5" s="26"/>
      <c r="I5" s="26" t="s">
        <v>350</v>
      </c>
      <c r="J5" s="26" t="s">
        <v>351</v>
      </c>
      <c r="K5" s="26"/>
      <c r="L5" s="26" t="s">
        <v>689</v>
      </c>
      <c r="M5" s="26" t="s">
        <v>290</v>
      </c>
      <c r="N5" s="26"/>
      <c r="O5" s="26"/>
      <c r="P5" s="26">
        <v>1368183</v>
      </c>
      <c r="Q5" s="26" t="s">
        <v>290</v>
      </c>
      <c r="R5" s="26" t="s">
        <v>296</v>
      </c>
      <c r="S5" s="26" t="s">
        <v>297</v>
      </c>
    </row>
    <row r="6" spans="1:54" x14ac:dyDescent="0.25">
      <c r="A6" s="26" t="s">
        <v>257</v>
      </c>
      <c r="B6" s="26" t="s">
        <v>256</v>
      </c>
      <c r="C6" s="26" t="s">
        <v>272</v>
      </c>
      <c r="D6" s="26" t="s">
        <v>411</v>
      </c>
      <c r="E6" s="26">
        <v>10954805</v>
      </c>
      <c r="F6" s="26"/>
      <c r="G6" s="26"/>
      <c r="H6" s="26"/>
      <c r="I6" s="26"/>
      <c r="J6" s="26"/>
      <c r="K6" s="26"/>
      <c r="L6" s="26" t="s">
        <v>689</v>
      </c>
      <c r="M6" s="26"/>
      <c r="N6" s="26"/>
      <c r="O6" s="26"/>
      <c r="P6" s="26"/>
      <c r="Q6" s="26"/>
      <c r="R6" s="26"/>
      <c r="S6" s="26"/>
    </row>
    <row r="7" spans="1:54" x14ac:dyDescent="0.25">
      <c r="A7" s="26" t="s">
        <v>474</v>
      </c>
      <c r="B7" s="26" t="s">
        <v>693</v>
      </c>
      <c r="C7" s="26" t="s">
        <v>272</v>
      </c>
      <c r="D7" s="26" t="s">
        <v>551</v>
      </c>
      <c r="E7" s="26">
        <v>10645662</v>
      </c>
      <c r="F7" s="26"/>
      <c r="G7" s="26"/>
      <c r="H7" s="26"/>
      <c r="I7" s="26"/>
      <c r="J7" s="26"/>
      <c r="K7" s="26"/>
      <c r="L7" s="26" t="s">
        <v>689</v>
      </c>
      <c r="M7" s="26"/>
      <c r="N7" s="26"/>
      <c r="O7" s="26"/>
      <c r="P7" s="26">
        <v>64491</v>
      </c>
      <c r="Q7" s="26" t="s">
        <v>290</v>
      </c>
      <c r="R7" s="26"/>
      <c r="S7" s="26"/>
    </row>
    <row r="8" spans="1:54" x14ac:dyDescent="0.25">
      <c r="A8" s="26" t="s">
        <v>129</v>
      </c>
      <c r="B8" s="26" t="s">
        <v>128</v>
      </c>
      <c r="C8" s="26" t="s">
        <v>272</v>
      </c>
      <c r="D8" s="26" t="s">
        <v>411</v>
      </c>
      <c r="E8" s="26">
        <v>10967445</v>
      </c>
      <c r="F8" s="26" t="s">
        <v>367</v>
      </c>
      <c r="G8" s="26" t="s">
        <v>368</v>
      </c>
      <c r="H8" s="26"/>
      <c r="I8" s="26"/>
      <c r="J8" s="26"/>
      <c r="K8" s="26"/>
      <c r="L8" s="26" t="s">
        <v>689</v>
      </c>
      <c r="M8" s="26"/>
      <c r="N8" s="26"/>
      <c r="O8" s="26"/>
      <c r="P8" s="26">
        <v>1275757</v>
      </c>
      <c r="Q8" s="26" t="s">
        <v>290</v>
      </c>
      <c r="R8" s="26"/>
      <c r="S8" s="26"/>
      <c r="T8" s="1">
        <v>1</v>
      </c>
      <c r="U8" s="1">
        <v>0</v>
      </c>
      <c r="V8" s="1">
        <v>1</v>
      </c>
      <c r="W8" s="1">
        <v>1</v>
      </c>
      <c r="X8" s="1">
        <v>0</v>
      </c>
      <c r="Y8" s="1">
        <v>3</v>
      </c>
      <c r="Z8" s="1">
        <v>3</v>
      </c>
      <c r="AA8" s="1">
        <v>0</v>
      </c>
      <c r="AB8" s="1">
        <v>4</v>
      </c>
      <c r="AC8" s="1">
        <v>2</v>
      </c>
      <c r="AD8" s="1">
        <v>2</v>
      </c>
      <c r="AE8" s="1">
        <v>3</v>
      </c>
      <c r="AF8" s="1">
        <v>0</v>
      </c>
      <c r="AG8" s="1">
        <v>4</v>
      </c>
      <c r="AH8" s="1">
        <v>4</v>
      </c>
      <c r="AI8" s="1">
        <v>4</v>
      </c>
      <c r="AJ8" s="1">
        <v>2</v>
      </c>
      <c r="AK8" s="1">
        <v>1</v>
      </c>
      <c r="AL8" s="1">
        <v>4</v>
      </c>
      <c r="AM8" s="1">
        <v>1</v>
      </c>
      <c r="AN8" s="1">
        <v>4</v>
      </c>
      <c r="AO8" s="1">
        <v>3</v>
      </c>
      <c r="AP8" s="1">
        <v>4</v>
      </c>
      <c r="AQ8" s="1">
        <v>2</v>
      </c>
      <c r="AR8" s="1">
        <v>1</v>
      </c>
      <c r="AS8" s="1">
        <v>2</v>
      </c>
      <c r="AT8" s="1">
        <v>1</v>
      </c>
      <c r="AU8" s="1">
        <v>4</v>
      </c>
      <c r="AV8" s="1">
        <v>3</v>
      </c>
      <c r="AW8" s="1">
        <v>1</v>
      </c>
      <c r="AX8" s="1">
        <v>2</v>
      </c>
      <c r="AY8" s="1">
        <v>2</v>
      </c>
      <c r="AZ8" s="1">
        <v>4</v>
      </c>
      <c r="BA8" s="1">
        <v>0</v>
      </c>
      <c r="BB8" s="1">
        <v>2</v>
      </c>
    </row>
    <row r="9" spans="1:54" x14ac:dyDescent="0.25">
      <c r="A9" s="26" t="s">
        <v>442</v>
      </c>
      <c r="B9" s="26" t="s">
        <v>300</v>
      </c>
      <c r="C9" s="26" t="s">
        <v>438</v>
      </c>
      <c r="D9" s="26" t="s">
        <v>411</v>
      </c>
      <c r="E9" s="26">
        <v>10686459</v>
      </c>
      <c r="F9" s="26" t="s">
        <v>301</v>
      </c>
      <c r="G9" s="26" t="s">
        <v>302</v>
      </c>
      <c r="H9" s="26"/>
      <c r="I9" s="26" t="s">
        <v>303</v>
      </c>
      <c r="J9" s="26" t="s">
        <v>288</v>
      </c>
      <c r="K9" s="26"/>
      <c r="L9" s="26" t="s">
        <v>295</v>
      </c>
      <c r="M9" s="26" t="s">
        <v>290</v>
      </c>
      <c r="N9" s="26"/>
      <c r="O9" s="26"/>
      <c r="P9" s="26"/>
      <c r="Q9" s="26"/>
      <c r="R9" s="26" t="s">
        <v>290</v>
      </c>
      <c r="S9" s="26" t="s">
        <v>290</v>
      </c>
    </row>
    <row r="10" spans="1:54" x14ac:dyDescent="0.25">
      <c r="A10" s="26" t="s">
        <v>467</v>
      </c>
      <c r="B10" s="26" t="s">
        <v>420</v>
      </c>
      <c r="C10" s="26" t="s">
        <v>272</v>
      </c>
      <c r="D10" s="26" t="s">
        <v>411</v>
      </c>
      <c r="E10" s="26">
        <v>10277790</v>
      </c>
      <c r="F10" s="26" t="s">
        <v>421</v>
      </c>
      <c r="G10" s="26" t="s">
        <v>422</v>
      </c>
      <c r="H10" s="26"/>
      <c r="I10" s="26"/>
      <c r="J10" s="26"/>
      <c r="K10" s="26"/>
      <c r="L10" s="26" t="s">
        <v>689</v>
      </c>
      <c r="M10" s="26"/>
      <c r="N10" s="26"/>
      <c r="O10" s="26"/>
      <c r="P10" s="26">
        <v>1579478</v>
      </c>
      <c r="Q10" s="26" t="s">
        <v>290</v>
      </c>
      <c r="R10" s="26"/>
      <c r="S10" s="26"/>
    </row>
    <row r="11" spans="1:54" x14ac:dyDescent="0.25">
      <c r="A11" s="26" t="s">
        <v>451</v>
      </c>
      <c r="B11" s="26" t="s">
        <v>377</v>
      </c>
      <c r="C11" s="26" t="s">
        <v>272</v>
      </c>
      <c r="D11" s="26" t="s">
        <v>411</v>
      </c>
      <c r="E11" s="26">
        <v>11046647</v>
      </c>
      <c r="F11" s="26" t="s">
        <v>378</v>
      </c>
      <c r="G11" s="26" t="s">
        <v>379</v>
      </c>
      <c r="H11" s="26"/>
      <c r="I11" s="26"/>
      <c r="J11" s="26"/>
      <c r="K11" s="26"/>
      <c r="L11" s="26" t="s">
        <v>694</v>
      </c>
      <c r="M11" s="26"/>
      <c r="N11" s="26"/>
      <c r="O11" s="26"/>
      <c r="P11" s="26"/>
      <c r="Q11" s="26" t="s">
        <v>592</v>
      </c>
      <c r="R11" s="26"/>
      <c r="S11" s="26"/>
    </row>
    <row r="12" spans="1:54" x14ac:dyDescent="0.25">
      <c r="A12" s="26" t="s">
        <v>445</v>
      </c>
      <c r="B12" s="26" t="s">
        <v>339</v>
      </c>
      <c r="C12" s="26" t="s">
        <v>272</v>
      </c>
      <c r="D12" s="26" t="s">
        <v>741</v>
      </c>
      <c r="E12" s="26">
        <v>10639445</v>
      </c>
      <c r="F12" s="26" t="s">
        <v>340</v>
      </c>
      <c r="G12" s="26" t="s">
        <v>341</v>
      </c>
      <c r="H12" s="26"/>
      <c r="I12" s="26" t="s">
        <v>342</v>
      </c>
      <c r="J12" s="26" t="s">
        <v>309</v>
      </c>
      <c r="K12" s="26"/>
      <c r="L12" s="26" t="s">
        <v>689</v>
      </c>
      <c r="M12" s="26" t="s">
        <v>290</v>
      </c>
      <c r="N12" s="26"/>
      <c r="O12" s="26"/>
      <c r="P12" s="26">
        <v>1451262</v>
      </c>
      <c r="Q12" s="26" t="s">
        <v>290</v>
      </c>
      <c r="R12" s="26" t="s">
        <v>290</v>
      </c>
      <c r="S12" s="26" t="s">
        <v>290</v>
      </c>
    </row>
    <row r="13" spans="1:54" x14ac:dyDescent="0.25">
      <c r="A13" s="26" t="s">
        <v>446</v>
      </c>
      <c r="B13" s="26" t="s">
        <v>343</v>
      </c>
      <c r="C13" s="26" t="s">
        <v>272</v>
      </c>
      <c r="D13" s="26" t="s">
        <v>741</v>
      </c>
      <c r="E13" s="26">
        <v>10063519</v>
      </c>
      <c r="F13" s="26" t="s">
        <v>344</v>
      </c>
      <c r="G13" s="26" t="s">
        <v>345</v>
      </c>
      <c r="H13" s="26"/>
      <c r="I13" s="26" t="s">
        <v>346</v>
      </c>
      <c r="J13" s="26" t="s">
        <v>309</v>
      </c>
      <c r="K13" s="26"/>
      <c r="L13" s="26" t="s">
        <v>689</v>
      </c>
      <c r="M13" s="26" t="s">
        <v>290</v>
      </c>
      <c r="N13" s="26"/>
      <c r="O13" s="26"/>
      <c r="P13" s="26">
        <v>116146</v>
      </c>
      <c r="Q13" s="26" t="s">
        <v>290</v>
      </c>
      <c r="R13" s="26" t="s">
        <v>290</v>
      </c>
      <c r="S13" s="26" t="s">
        <v>290</v>
      </c>
    </row>
    <row r="14" spans="1:54" x14ac:dyDescent="0.25">
      <c r="A14" s="26" t="s">
        <v>102</v>
      </c>
      <c r="B14" s="26" t="s">
        <v>101</v>
      </c>
      <c r="C14" s="26" t="s">
        <v>272</v>
      </c>
      <c r="D14" s="26" t="s">
        <v>411</v>
      </c>
      <c r="E14" s="26">
        <v>10631342</v>
      </c>
      <c r="F14" s="26" t="s">
        <v>369</v>
      </c>
      <c r="G14" s="26" t="s">
        <v>370</v>
      </c>
      <c r="H14" s="26"/>
      <c r="I14" s="26"/>
      <c r="J14" s="26"/>
      <c r="K14" s="26"/>
      <c r="L14" s="26" t="s">
        <v>689</v>
      </c>
      <c r="M14" s="26"/>
      <c r="N14" s="26" t="s">
        <v>632</v>
      </c>
      <c r="O14" s="26" t="s">
        <v>633</v>
      </c>
      <c r="P14" s="26">
        <v>1499454</v>
      </c>
      <c r="Q14" s="26" t="s">
        <v>290</v>
      </c>
      <c r="R14" s="26"/>
      <c r="S14" s="26"/>
      <c r="T14" s="1">
        <v>3</v>
      </c>
      <c r="U14" s="1">
        <v>2</v>
      </c>
      <c r="V14" s="1">
        <v>2</v>
      </c>
      <c r="W14" s="1">
        <v>2</v>
      </c>
      <c r="X14" s="1">
        <v>2</v>
      </c>
      <c r="Y14" s="1">
        <v>4</v>
      </c>
      <c r="Z14" s="1">
        <v>4</v>
      </c>
      <c r="AA14" s="1">
        <v>1</v>
      </c>
      <c r="AB14" s="1">
        <v>2</v>
      </c>
      <c r="AC14" s="1">
        <v>3</v>
      </c>
      <c r="AD14" s="1">
        <v>3</v>
      </c>
      <c r="AE14" s="1">
        <v>2</v>
      </c>
      <c r="AF14" s="1">
        <v>0</v>
      </c>
      <c r="AG14" s="1">
        <v>4</v>
      </c>
      <c r="AH14" s="1">
        <v>3</v>
      </c>
      <c r="AI14" s="1">
        <v>3</v>
      </c>
      <c r="AJ14" s="1">
        <v>3</v>
      </c>
      <c r="AK14" s="1">
        <v>3</v>
      </c>
      <c r="AL14" s="1">
        <v>4</v>
      </c>
      <c r="AM14" s="1">
        <v>1</v>
      </c>
      <c r="AN14" s="1">
        <v>1</v>
      </c>
      <c r="AO14" s="1">
        <v>1</v>
      </c>
      <c r="AP14" s="1">
        <v>3</v>
      </c>
      <c r="AQ14" s="1">
        <v>2</v>
      </c>
      <c r="AR14" s="1">
        <v>4</v>
      </c>
      <c r="AS14" s="1">
        <v>4</v>
      </c>
      <c r="AT14" s="1">
        <v>4</v>
      </c>
      <c r="AU14" s="1">
        <v>4</v>
      </c>
      <c r="AV14" s="1">
        <v>4</v>
      </c>
      <c r="AW14" s="1">
        <v>1</v>
      </c>
      <c r="AX14" s="1">
        <v>3</v>
      </c>
      <c r="AY14" s="1">
        <v>3</v>
      </c>
      <c r="AZ14" s="1">
        <v>2</v>
      </c>
      <c r="BA14" s="1">
        <v>2</v>
      </c>
      <c r="BB14" s="1">
        <v>2</v>
      </c>
    </row>
    <row r="15" spans="1:54" x14ac:dyDescent="0.25">
      <c r="A15" s="26" t="s">
        <v>104</v>
      </c>
      <c r="B15" s="26" t="s">
        <v>103</v>
      </c>
      <c r="C15" s="26" t="s">
        <v>272</v>
      </c>
      <c r="D15" s="26" t="s">
        <v>411</v>
      </c>
      <c r="E15" s="26" t="s">
        <v>310</v>
      </c>
      <c r="F15" s="26" t="s">
        <v>311</v>
      </c>
      <c r="G15" s="26" t="s">
        <v>312</v>
      </c>
      <c r="H15" s="26">
        <v>80349946</v>
      </c>
      <c r="I15" s="26" t="s">
        <v>313</v>
      </c>
      <c r="J15" s="26" t="s">
        <v>288</v>
      </c>
      <c r="K15" s="26"/>
      <c r="L15" s="26" t="s">
        <v>695</v>
      </c>
      <c r="M15" s="26" t="s">
        <v>290</v>
      </c>
      <c r="N15" s="26" t="s">
        <v>634</v>
      </c>
      <c r="O15" s="26" t="s">
        <v>635</v>
      </c>
      <c r="P15" s="26"/>
      <c r="Q15" s="26" t="s">
        <v>589</v>
      </c>
      <c r="R15" s="26" t="s">
        <v>290</v>
      </c>
      <c r="S15" s="26" t="s">
        <v>290</v>
      </c>
      <c r="T15" s="1">
        <v>0</v>
      </c>
      <c r="U15" s="1">
        <v>4</v>
      </c>
      <c r="V15" s="1">
        <v>0</v>
      </c>
      <c r="W15" s="1">
        <v>0</v>
      </c>
      <c r="X15" s="1">
        <v>4</v>
      </c>
      <c r="Y15" s="1">
        <v>5</v>
      </c>
      <c r="Z15" s="1">
        <v>3</v>
      </c>
      <c r="AA15" s="1">
        <v>2</v>
      </c>
      <c r="AB15" s="1">
        <v>5</v>
      </c>
      <c r="AC15" s="1">
        <v>1</v>
      </c>
      <c r="AD15" s="1">
        <v>1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4</v>
      </c>
      <c r="AL15" s="1">
        <v>2</v>
      </c>
      <c r="AM15" s="1">
        <v>0</v>
      </c>
      <c r="AN15" s="1">
        <v>0</v>
      </c>
      <c r="AO15" s="1">
        <v>3</v>
      </c>
      <c r="AP15" s="1">
        <v>1</v>
      </c>
      <c r="AQ15" s="1">
        <v>2</v>
      </c>
      <c r="AR15" s="1">
        <v>3</v>
      </c>
      <c r="AS15" s="1">
        <v>1</v>
      </c>
      <c r="AT15" s="1">
        <v>1</v>
      </c>
      <c r="AU15" s="1">
        <v>0</v>
      </c>
      <c r="AV15" s="1">
        <v>1</v>
      </c>
      <c r="AW15" s="1">
        <v>1</v>
      </c>
      <c r="AX15" s="1">
        <v>3</v>
      </c>
      <c r="AY15" s="1">
        <v>3</v>
      </c>
      <c r="AZ15" s="1">
        <v>0</v>
      </c>
      <c r="BA15" s="1">
        <v>0</v>
      </c>
      <c r="BB15" s="1">
        <v>0</v>
      </c>
    </row>
    <row r="16" spans="1:54" x14ac:dyDescent="0.25">
      <c r="A16" s="26" t="s">
        <v>459</v>
      </c>
      <c r="B16" s="26" t="s">
        <v>401</v>
      </c>
      <c r="C16" s="26" t="s">
        <v>272</v>
      </c>
      <c r="D16" s="26" t="s">
        <v>411</v>
      </c>
      <c r="E16" s="26">
        <v>10716731</v>
      </c>
      <c r="F16" s="26" t="s">
        <v>402</v>
      </c>
      <c r="G16" s="26" t="s">
        <v>403</v>
      </c>
      <c r="H16" s="26"/>
      <c r="I16" s="26"/>
      <c r="J16" s="26"/>
      <c r="K16" s="26"/>
      <c r="L16" s="26" t="s">
        <v>689</v>
      </c>
      <c r="M16" s="26"/>
      <c r="N16" s="26"/>
      <c r="O16" s="26"/>
      <c r="P16" s="26">
        <v>145559</v>
      </c>
      <c r="Q16" s="26" t="s">
        <v>290</v>
      </c>
      <c r="R16" s="26"/>
      <c r="S16" s="26"/>
    </row>
    <row r="17" spans="1:54" x14ac:dyDescent="0.25">
      <c r="A17" s="26" t="s">
        <v>139</v>
      </c>
      <c r="B17" s="26" t="s">
        <v>138</v>
      </c>
      <c r="C17" s="26" t="s">
        <v>272</v>
      </c>
      <c r="D17" s="26" t="s">
        <v>411</v>
      </c>
      <c r="E17" s="26"/>
      <c r="F17" s="26" t="s">
        <v>321</v>
      </c>
      <c r="G17" s="26" t="s">
        <v>322</v>
      </c>
      <c r="H17" s="26"/>
      <c r="I17" s="26" t="s">
        <v>323</v>
      </c>
      <c r="J17" s="26" t="s">
        <v>288</v>
      </c>
      <c r="K17" s="26"/>
      <c r="L17" s="26" t="s">
        <v>695</v>
      </c>
      <c r="M17" s="26" t="s">
        <v>290</v>
      </c>
      <c r="N17" s="26"/>
      <c r="O17" s="26"/>
      <c r="P17" s="26"/>
      <c r="Q17" s="26" t="s">
        <v>589</v>
      </c>
      <c r="R17" s="26" t="s">
        <v>290</v>
      </c>
      <c r="S17" s="26" t="s">
        <v>290</v>
      </c>
      <c r="T17" s="1">
        <v>0</v>
      </c>
      <c r="U17" s="1">
        <v>0</v>
      </c>
      <c r="V17" s="1">
        <v>0</v>
      </c>
      <c r="W17" s="1">
        <v>4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</row>
    <row r="18" spans="1:54" x14ac:dyDescent="0.25">
      <c r="A18" s="26" t="s">
        <v>477</v>
      </c>
      <c r="B18" s="26" t="s">
        <v>696</v>
      </c>
      <c r="C18" s="26" t="s">
        <v>272</v>
      </c>
      <c r="D18" s="26" t="s">
        <v>697</v>
      </c>
      <c r="E18" s="26">
        <v>10448041</v>
      </c>
      <c r="F18" s="26"/>
      <c r="G18" s="26"/>
      <c r="H18" s="26"/>
      <c r="I18" s="26"/>
      <c r="J18" s="26"/>
      <c r="K18" s="26"/>
      <c r="L18" s="26" t="s">
        <v>689</v>
      </c>
      <c r="M18" s="26"/>
      <c r="N18" s="26"/>
      <c r="O18" s="26"/>
      <c r="P18" s="26">
        <v>1545672</v>
      </c>
      <c r="Q18" s="26" t="s">
        <v>290</v>
      </c>
      <c r="R18" s="26"/>
      <c r="S18" s="26"/>
    </row>
    <row r="19" spans="1:54" x14ac:dyDescent="0.25">
      <c r="A19" s="26" t="s">
        <v>455</v>
      </c>
      <c r="B19" s="26" t="s">
        <v>390</v>
      </c>
      <c r="C19" s="26" t="s">
        <v>272</v>
      </c>
      <c r="D19" s="26" t="s">
        <v>411</v>
      </c>
      <c r="E19" s="26">
        <v>10639461</v>
      </c>
      <c r="F19" s="26" t="s">
        <v>391</v>
      </c>
      <c r="G19" s="26" t="s">
        <v>379</v>
      </c>
      <c r="H19" s="26"/>
      <c r="I19" s="26"/>
      <c r="J19" s="26"/>
      <c r="K19" s="26"/>
      <c r="L19" s="26" t="s">
        <v>689</v>
      </c>
      <c r="M19" s="26"/>
      <c r="N19" s="26"/>
      <c r="O19" s="26"/>
      <c r="P19" s="26"/>
      <c r="Q19" s="26" t="s">
        <v>593</v>
      </c>
      <c r="R19" s="26"/>
      <c r="S19" s="26"/>
    </row>
    <row r="20" spans="1:54" x14ac:dyDescent="0.25">
      <c r="A20" s="26" t="s">
        <v>476</v>
      </c>
      <c r="B20" s="26" t="s">
        <v>698</v>
      </c>
      <c r="C20" s="26" t="s">
        <v>272</v>
      </c>
      <c r="D20" s="26" t="s">
        <v>697</v>
      </c>
      <c r="E20" s="26">
        <v>10516439</v>
      </c>
      <c r="F20" s="26"/>
      <c r="G20" s="26"/>
      <c r="H20" s="26"/>
      <c r="I20" s="26"/>
      <c r="J20" s="26"/>
      <c r="K20" s="26"/>
      <c r="L20" s="26" t="s">
        <v>689</v>
      </c>
      <c r="M20" s="26"/>
      <c r="N20" s="26"/>
      <c r="O20" s="26"/>
      <c r="P20" s="26">
        <v>1338392</v>
      </c>
      <c r="Q20" s="26" t="s">
        <v>290</v>
      </c>
      <c r="R20" s="26"/>
      <c r="S20" s="26"/>
    </row>
    <row r="21" spans="1:54" x14ac:dyDescent="0.25">
      <c r="A21" s="26" t="s">
        <v>444</v>
      </c>
      <c r="B21" s="26" t="s">
        <v>335</v>
      </c>
      <c r="C21" s="26" t="s">
        <v>438</v>
      </c>
      <c r="D21" s="26" t="s">
        <v>411</v>
      </c>
      <c r="E21" s="26" t="s">
        <v>336</v>
      </c>
      <c r="F21" s="26" t="s">
        <v>337</v>
      </c>
      <c r="G21" s="26" t="s">
        <v>293</v>
      </c>
      <c r="H21" s="26"/>
      <c r="I21" s="26" t="s">
        <v>338</v>
      </c>
      <c r="J21" s="26" t="s">
        <v>288</v>
      </c>
      <c r="K21" s="26"/>
      <c r="L21" s="26" t="s">
        <v>289</v>
      </c>
      <c r="M21" s="26" t="s">
        <v>290</v>
      </c>
      <c r="N21" s="26"/>
      <c r="O21" s="26"/>
      <c r="P21" s="26"/>
      <c r="Q21" s="26"/>
      <c r="R21" s="26" t="s">
        <v>290</v>
      </c>
      <c r="S21" s="26" t="s">
        <v>290</v>
      </c>
    </row>
    <row r="22" spans="1:54" x14ac:dyDescent="0.25">
      <c r="A22" s="26" t="s">
        <v>553</v>
      </c>
      <c r="B22" s="26" t="s">
        <v>304</v>
      </c>
      <c r="C22" s="26" t="s">
        <v>272</v>
      </c>
      <c r="D22" s="26" t="s">
        <v>305</v>
      </c>
      <c r="E22" s="26">
        <v>10406083</v>
      </c>
      <c r="F22" s="26" t="s">
        <v>306</v>
      </c>
      <c r="G22" s="26" t="s">
        <v>307</v>
      </c>
      <c r="H22" s="26">
        <v>80332812</v>
      </c>
      <c r="I22" s="26" t="s">
        <v>308</v>
      </c>
      <c r="J22" s="26" t="s">
        <v>309</v>
      </c>
      <c r="K22" s="26"/>
      <c r="L22" s="26" t="s">
        <v>689</v>
      </c>
      <c r="M22" s="26" t="s">
        <v>290</v>
      </c>
      <c r="N22" s="26"/>
      <c r="O22" s="26"/>
      <c r="P22" s="26">
        <v>144495</v>
      </c>
      <c r="Q22" s="26" t="s">
        <v>290</v>
      </c>
      <c r="R22" s="26" t="s">
        <v>290</v>
      </c>
      <c r="S22" s="26" t="s">
        <v>290</v>
      </c>
      <c r="T22" s="1">
        <v>1</v>
      </c>
      <c r="U22" s="1">
        <v>2</v>
      </c>
      <c r="V22" s="1">
        <v>1</v>
      </c>
      <c r="W22" s="1">
        <v>1</v>
      </c>
      <c r="X22" s="1">
        <v>2</v>
      </c>
      <c r="Y22" s="1">
        <v>2</v>
      </c>
      <c r="Z22" s="1">
        <v>2</v>
      </c>
      <c r="AA22" s="1">
        <v>2</v>
      </c>
      <c r="AB22" s="1">
        <v>3</v>
      </c>
      <c r="AC22" s="1">
        <v>1</v>
      </c>
      <c r="AD22" s="1">
        <v>1</v>
      </c>
      <c r="AE22" s="1">
        <v>1</v>
      </c>
      <c r="AF22" s="1">
        <v>0</v>
      </c>
      <c r="AG22" s="1">
        <v>0</v>
      </c>
      <c r="AH22" s="1">
        <v>0</v>
      </c>
      <c r="AI22" s="1">
        <v>3</v>
      </c>
      <c r="AJ22" s="1">
        <v>5</v>
      </c>
      <c r="AK22" s="1">
        <v>0</v>
      </c>
      <c r="AL22" s="1">
        <v>5</v>
      </c>
      <c r="AM22" s="1">
        <v>0</v>
      </c>
      <c r="AN22" s="1">
        <v>0</v>
      </c>
      <c r="AO22" s="1">
        <v>1</v>
      </c>
      <c r="AP22" s="1">
        <v>4</v>
      </c>
      <c r="AQ22" s="1">
        <v>0</v>
      </c>
      <c r="AR22" s="1">
        <v>0</v>
      </c>
      <c r="AS22" s="1">
        <v>4</v>
      </c>
      <c r="AT22" s="1">
        <v>0</v>
      </c>
      <c r="AU22" s="1">
        <v>0</v>
      </c>
      <c r="AV22" s="1">
        <v>5</v>
      </c>
      <c r="AW22" s="1">
        <v>4</v>
      </c>
      <c r="AX22" s="1">
        <v>4</v>
      </c>
      <c r="AY22" s="1">
        <v>4</v>
      </c>
      <c r="AZ22" s="1">
        <v>0</v>
      </c>
      <c r="BA22" s="1">
        <v>0</v>
      </c>
      <c r="BB22" s="1">
        <v>0</v>
      </c>
    </row>
    <row r="23" spans="1:54" x14ac:dyDescent="0.25">
      <c r="A23" s="26" t="s">
        <v>469</v>
      </c>
      <c r="B23" s="26" t="s">
        <v>426</v>
      </c>
      <c r="C23" s="26" t="s">
        <v>272</v>
      </c>
      <c r="D23" s="26" t="s">
        <v>411</v>
      </c>
      <c r="E23" s="26">
        <v>10952665</v>
      </c>
      <c r="F23" s="26" t="s">
        <v>427</v>
      </c>
      <c r="G23" s="26" t="s">
        <v>428</v>
      </c>
      <c r="H23" s="26"/>
      <c r="I23" s="26"/>
      <c r="J23" s="26"/>
      <c r="K23" s="26"/>
      <c r="L23" s="26" t="s">
        <v>689</v>
      </c>
      <c r="M23" s="26"/>
      <c r="N23" s="26"/>
      <c r="O23" s="26"/>
      <c r="P23" s="26">
        <v>1579469</v>
      </c>
      <c r="Q23" s="26" t="s">
        <v>290</v>
      </c>
      <c r="R23" s="26"/>
      <c r="S23" s="26"/>
    </row>
    <row r="24" spans="1:54" x14ac:dyDescent="0.25">
      <c r="A24" s="26" t="s">
        <v>106</v>
      </c>
      <c r="B24" s="26" t="s">
        <v>105</v>
      </c>
      <c r="C24" s="26" t="s">
        <v>272</v>
      </c>
      <c r="D24" s="26" t="s">
        <v>411</v>
      </c>
      <c r="E24" s="26" t="s">
        <v>699</v>
      </c>
      <c r="F24" s="26" t="s">
        <v>43</v>
      </c>
      <c r="G24" s="26" t="s">
        <v>373</v>
      </c>
      <c r="H24" s="26"/>
      <c r="I24" s="26"/>
      <c r="J24" s="26"/>
      <c r="K24" s="26"/>
      <c r="L24" s="26" t="s">
        <v>691</v>
      </c>
      <c r="M24" s="26"/>
      <c r="N24" s="26"/>
      <c r="O24" s="26"/>
      <c r="P24" s="26"/>
      <c r="Q24" s="26" t="s">
        <v>591</v>
      </c>
      <c r="R24" s="26"/>
      <c r="S24" s="26"/>
      <c r="T24" s="1">
        <v>5</v>
      </c>
      <c r="U24" s="1">
        <v>5</v>
      </c>
      <c r="V24" s="1">
        <v>0</v>
      </c>
      <c r="W24" s="1">
        <v>0</v>
      </c>
      <c r="X24" s="1">
        <v>3</v>
      </c>
      <c r="Y24" s="1">
        <v>5</v>
      </c>
      <c r="Z24" s="1">
        <v>5</v>
      </c>
      <c r="AA24" s="1">
        <v>5</v>
      </c>
      <c r="AB24" s="1">
        <v>3</v>
      </c>
      <c r="AC24" s="1">
        <v>2</v>
      </c>
      <c r="AD24" s="1">
        <v>5</v>
      </c>
      <c r="AE24" s="1">
        <v>2</v>
      </c>
      <c r="AF24" s="1">
        <v>0</v>
      </c>
      <c r="AG24" s="1">
        <v>0</v>
      </c>
      <c r="AH24" s="1">
        <v>0</v>
      </c>
      <c r="AI24" s="1">
        <v>2</v>
      </c>
      <c r="AJ24" s="1">
        <v>2</v>
      </c>
      <c r="AK24" s="1">
        <v>0</v>
      </c>
      <c r="AL24" s="1">
        <v>3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4</v>
      </c>
      <c r="AT24" s="1">
        <v>0</v>
      </c>
      <c r="AU24" s="1">
        <v>4</v>
      </c>
      <c r="AV24" s="1">
        <v>5</v>
      </c>
      <c r="AW24" s="1">
        <v>0</v>
      </c>
      <c r="AX24" s="1">
        <v>5</v>
      </c>
      <c r="AY24" s="1">
        <v>0</v>
      </c>
      <c r="AZ24" s="1">
        <v>5</v>
      </c>
      <c r="BA24" s="1">
        <v>5</v>
      </c>
      <c r="BB24" s="1">
        <v>5</v>
      </c>
    </row>
    <row r="25" spans="1:54" x14ac:dyDescent="0.25">
      <c r="A25" s="26" t="s">
        <v>327</v>
      </c>
      <c r="B25" s="26" t="s">
        <v>327</v>
      </c>
      <c r="C25" s="26" t="s">
        <v>438</v>
      </c>
      <c r="D25" s="26" t="s">
        <v>411</v>
      </c>
      <c r="E25" s="26">
        <v>10933617</v>
      </c>
      <c r="F25" s="26" t="s">
        <v>328</v>
      </c>
      <c r="G25" s="26" t="s">
        <v>329</v>
      </c>
      <c r="H25" s="26"/>
      <c r="I25" s="26"/>
      <c r="J25" s="26" t="s">
        <v>288</v>
      </c>
      <c r="K25" s="26"/>
      <c r="L25" s="26" t="s">
        <v>330</v>
      </c>
      <c r="M25" s="26" t="s">
        <v>290</v>
      </c>
      <c r="N25" s="26"/>
      <c r="O25" s="26"/>
      <c r="P25" s="26"/>
      <c r="Q25" s="26"/>
      <c r="R25" s="26" t="s">
        <v>290</v>
      </c>
      <c r="S25" s="26"/>
    </row>
    <row r="26" spans="1:54" x14ac:dyDescent="0.25">
      <c r="A26" s="26" t="s">
        <v>108</v>
      </c>
      <c r="B26" s="26" t="s">
        <v>107</v>
      </c>
      <c r="C26" s="26" t="s">
        <v>272</v>
      </c>
      <c r="D26" s="26" t="s">
        <v>411</v>
      </c>
      <c r="E26" s="26">
        <v>10874885</v>
      </c>
      <c r="F26" s="26" t="s">
        <v>14</v>
      </c>
      <c r="G26" s="26" t="s">
        <v>298</v>
      </c>
      <c r="H26" s="26"/>
      <c r="I26" s="26" t="s">
        <v>299</v>
      </c>
      <c r="J26" s="26" t="s">
        <v>288</v>
      </c>
      <c r="K26" s="26"/>
      <c r="L26" s="26" t="s">
        <v>689</v>
      </c>
      <c r="M26" s="26" t="s">
        <v>290</v>
      </c>
      <c r="N26" s="26"/>
      <c r="O26" s="26"/>
      <c r="P26" s="26">
        <v>145558</v>
      </c>
      <c r="Q26" s="26" t="s">
        <v>290</v>
      </c>
      <c r="R26" s="26" t="s">
        <v>290</v>
      </c>
      <c r="S26" s="26" t="s">
        <v>290</v>
      </c>
      <c r="T26" s="1">
        <v>3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1</v>
      </c>
      <c r="AB26" s="1">
        <v>1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3</v>
      </c>
      <c r="AN26" s="1">
        <v>3</v>
      </c>
      <c r="AO26" s="1">
        <v>3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3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</row>
    <row r="27" spans="1:54" x14ac:dyDescent="0.25">
      <c r="A27" s="26" t="s">
        <v>131</v>
      </c>
      <c r="B27" s="26" t="s">
        <v>130</v>
      </c>
      <c r="C27" s="26" t="s">
        <v>272</v>
      </c>
      <c r="D27" s="26" t="s">
        <v>411</v>
      </c>
      <c r="E27" s="26" t="s">
        <v>700</v>
      </c>
      <c r="F27" s="26" t="s">
        <v>375</v>
      </c>
      <c r="G27" s="26" t="s">
        <v>376</v>
      </c>
      <c r="H27" s="26"/>
      <c r="I27" s="26"/>
      <c r="J27" s="26"/>
      <c r="K27" s="26"/>
      <c r="L27" s="26" t="s">
        <v>691</v>
      </c>
      <c r="M27" s="26"/>
      <c r="N27" s="26"/>
      <c r="O27" s="26"/>
      <c r="P27" s="26"/>
      <c r="Q27" s="26" t="s">
        <v>591</v>
      </c>
      <c r="R27" s="26"/>
      <c r="S27" s="26"/>
      <c r="T27" s="1">
        <v>0</v>
      </c>
      <c r="U27" s="1">
        <v>3</v>
      </c>
      <c r="V27" s="1">
        <v>1</v>
      </c>
      <c r="W27" s="1">
        <v>1</v>
      </c>
      <c r="X27" s="1">
        <v>1</v>
      </c>
      <c r="Y27" s="1">
        <v>5</v>
      </c>
      <c r="Z27" s="1">
        <v>5</v>
      </c>
      <c r="AA27" s="1">
        <v>3</v>
      </c>
      <c r="AB27" s="1">
        <v>2</v>
      </c>
      <c r="AC27" s="1">
        <v>1</v>
      </c>
      <c r="AD27" s="1">
        <v>1</v>
      </c>
      <c r="AE27" s="1">
        <v>1</v>
      </c>
      <c r="AF27" s="1">
        <v>1</v>
      </c>
      <c r="AG27" s="1">
        <v>1</v>
      </c>
      <c r="AH27" s="1">
        <v>1</v>
      </c>
      <c r="AI27" s="1">
        <v>1</v>
      </c>
      <c r="AJ27" s="1">
        <v>1</v>
      </c>
      <c r="AK27" s="1">
        <v>2</v>
      </c>
      <c r="AL27" s="1">
        <v>3</v>
      </c>
      <c r="AM27" s="1">
        <v>1</v>
      </c>
      <c r="AN27" s="1">
        <v>1</v>
      </c>
      <c r="AO27" s="1">
        <v>1</v>
      </c>
      <c r="AP27" s="1">
        <v>2</v>
      </c>
      <c r="AQ27" s="1">
        <v>1</v>
      </c>
      <c r="AR27" s="1">
        <v>3</v>
      </c>
      <c r="AS27" s="1">
        <v>3</v>
      </c>
      <c r="AT27" s="1">
        <v>1</v>
      </c>
      <c r="AU27" s="1">
        <v>3</v>
      </c>
      <c r="AV27" s="1">
        <v>2</v>
      </c>
      <c r="AW27" s="1">
        <v>1</v>
      </c>
      <c r="AX27" s="1">
        <v>5</v>
      </c>
      <c r="AY27" s="1">
        <v>4</v>
      </c>
      <c r="AZ27" s="1">
        <v>1</v>
      </c>
      <c r="BA27" s="1">
        <v>4</v>
      </c>
      <c r="BB27" s="1">
        <v>1</v>
      </c>
    </row>
    <row r="28" spans="1:54" x14ac:dyDescent="0.25">
      <c r="A28" s="26" t="s">
        <v>466</v>
      </c>
      <c r="B28" s="26" t="s">
        <v>418</v>
      </c>
      <c r="C28" s="26" t="s">
        <v>272</v>
      </c>
      <c r="D28" s="26"/>
      <c r="E28" s="26">
        <v>10901092</v>
      </c>
      <c r="F28" s="26" t="s">
        <v>14</v>
      </c>
      <c r="G28" s="26" t="s">
        <v>419</v>
      </c>
      <c r="H28" s="26"/>
      <c r="I28" s="26"/>
      <c r="J28" s="26"/>
      <c r="K28" s="26"/>
      <c r="L28" s="26" t="s">
        <v>689</v>
      </c>
      <c r="M28" s="26"/>
      <c r="N28" s="26"/>
      <c r="O28" s="26"/>
      <c r="P28" s="26">
        <v>147855</v>
      </c>
      <c r="Q28" s="26" t="s">
        <v>290</v>
      </c>
      <c r="R28" s="26"/>
      <c r="S28" s="26"/>
    </row>
    <row r="29" spans="1:54" x14ac:dyDescent="0.25">
      <c r="A29" s="26" t="s">
        <v>116</v>
      </c>
      <c r="B29" s="26" t="s">
        <v>115</v>
      </c>
      <c r="C29" s="26" t="s">
        <v>272</v>
      </c>
      <c r="D29" s="26" t="s">
        <v>411</v>
      </c>
      <c r="E29" s="26">
        <v>10448724</v>
      </c>
      <c r="F29" s="26" t="s">
        <v>14</v>
      </c>
      <c r="G29" s="26" t="s">
        <v>362</v>
      </c>
      <c r="H29" s="26"/>
      <c r="I29" s="26"/>
      <c r="J29" s="26"/>
      <c r="K29" s="26"/>
      <c r="L29" s="26" t="s">
        <v>689</v>
      </c>
      <c r="M29" s="26"/>
      <c r="N29" s="26"/>
      <c r="O29" s="26"/>
      <c r="P29" s="26">
        <v>14744</v>
      </c>
      <c r="Q29" s="26" t="s">
        <v>290</v>
      </c>
      <c r="R29" s="26"/>
      <c r="S29" s="26"/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3</v>
      </c>
      <c r="Z29" s="1">
        <v>3</v>
      </c>
      <c r="AA29" s="1">
        <v>0</v>
      </c>
      <c r="AB29" s="1">
        <v>3</v>
      </c>
      <c r="AC29" s="1">
        <v>3</v>
      </c>
      <c r="AD29" s="1">
        <v>3</v>
      </c>
      <c r="AE29" s="1">
        <v>2</v>
      </c>
      <c r="AF29" s="1">
        <v>0</v>
      </c>
      <c r="AG29" s="1">
        <v>0</v>
      </c>
      <c r="AH29" s="1">
        <v>0</v>
      </c>
      <c r="AI29" s="1">
        <v>3</v>
      </c>
      <c r="AJ29" s="1">
        <v>3</v>
      </c>
      <c r="AK29" s="1">
        <v>1</v>
      </c>
      <c r="AL29" s="1">
        <v>3</v>
      </c>
      <c r="AM29" s="1">
        <v>0</v>
      </c>
      <c r="AN29" s="1">
        <v>0</v>
      </c>
      <c r="AO29" s="1">
        <v>0</v>
      </c>
      <c r="AP29" s="1">
        <v>3</v>
      </c>
      <c r="AQ29" s="1">
        <v>3</v>
      </c>
      <c r="AR29" s="1">
        <v>3</v>
      </c>
      <c r="AS29" s="1">
        <v>1</v>
      </c>
      <c r="AT29" s="1">
        <v>0</v>
      </c>
      <c r="AU29" s="1">
        <v>1</v>
      </c>
      <c r="AV29" s="1">
        <v>4</v>
      </c>
      <c r="AW29" s="1">
        <v>4</v>
      </c>
      <c r="AX29" s="1">
        <v>3</v>
      </c>
      <c r="AY29" s="1">
        <v>3</v>
      </c>
      <c r="AZ29" s="1">
        <v>3</v>
      </c>
      <c r="BA29" s="1">
        <v>0</v>
      </c>
      <c r="BB29" s="1">
        <v>0</v>
      </c>
    </row>
    <row r="30" spans="1:54" x14ac:dyDescent="0.25">
      <c r="A30" s="26" t="s">
        <v>453</v>
      </c>
      <c r="B30" s="26" t="s">
        <v>383</v>
      </c>
      <c r="C30" s="26" t="s">
        <v>272</v>
      </c>
      <c r="D30" s="26" t="s">
        <v>411</v>
      </c>
      <c r="E30" s="26"/>
      <c r="F30" s="26" t="s">
        <v>381</v>
      </c>
      <c r="G30" s="26" t="s">
        <v>384</v>
      </c>
      <c r="H30" s="26"/>
      <c r="I30" s="26"/>
      <c r="J30" s="26"/>
      <c r="K30" s="26"/>
      <c r="L30" s="26" t="s">
        <v>691</v>
      </c>
      <c r="M30" s="26"/>
      <c r="N30" s="26"/>
      <c r="O30" s="26"/>
      <c r="P30" s="26"/>
      <c r="Q30" s="26" t="s">
        <v>592</v>
      </c>
      <c r="R30" s="26"/>
      <c r="S30" s="26"/>
    </row>
    <row r="31" spans="1:54" x14ac:dyDescent="0.25">
      <c r="A31" s="26" t="s">
        <v>452</v>
      </c>
      <c r="B31" s="26" t="s">
        <v>380</v>
      </c>
      <c r="C31" s="26" t="s">
        <v>272</v>
      </c>
      <c r="D31" s="26" t="s">
        <v>411</v>
      </c>
      <c r="E31" s="26">
        <v>11046649</v>
      </c>
      <c r="F31" s="26" t="s">
        <v>381</v>
      </c>
      <c r="G31" s="26" t="s">
        <v>382</v>
      </c>
      <c r="H31" s="26"/>
      <c r="I31" s="26"/>
      <c r="J31" s="26"/>
      <c r="K31" s="26"/>
      <c r="L31" s="26" t="s">
        <v>694</v>
      </c>
      <c r="M31" s="26"/>
      <c r="N31" s="26"/>
      <c r="O31" s="26"/>
      <c r="P31" s="26"/>
      <c r="Q31" s="26" t="s">
        <v>592</v>
      </c>
      <c r="R31" s="26"/>
      <c r="S31" s="26"/>
    </row>
    <row r="32" spans="1:54" x14ac:dyDescent="0.25">
      <c r="A32" s="26" t="s">
        <v>440</v>
      </c>
      <c r="B32" s="26" t="s">
        <v>284</v>
      </c>
      <c r="C32" s="26" t="s">
        <v>438</v>
      </c>
      <c r="D32" s="26" t="s">
        <v>411</v>
      </c>
      <c r="E32" s="26" t="s">
        <v>285</v>
      </c>
      <c r="F32" s="26" t="s">
        <v>439</v>
      </c>
      <c r="G32" s="26" t="s">
        <v>286</v>
      </c>
      <c r="H32" s="26"/>
      <c r="I32" s="26" t="s">
        <v>287</v>
      </c>
      <c r="J32" s="26" t="s">
        <v>288</v>
      </c>
      <c r="K32" s="26"/>
      <c r="L32" s="26" t="s">
        <v>289</v>
      </c>
      <c r="M32" s="26" t="s">
        <v>290</v>
      </c>
      <c r="N32" s="26"/>
      <c r="O32" s="26"/>
      <c r="P32" s="26"/>
      <c r="Q32" s="26"/>
      <c r="R32" s="26" t="s">
        <v>290</v>
      </c>
      <c r="S32" s="26"/>
    </row>
    <row r="33" spans="1:54" x14ac:dyDescent="0.25">
      <c r="A33" s="26" t="s">
        <v>468</v>
      </c>
      <c r="B33" s="26" t="s">
        <v>423</v>
      </c>
      <c r="C33" s="26" t="s">
        <v>272</v>
      </c>
      <c r="D33" s="26" t="s">
        <v>411</v>
      </c>
      <c r="E33" s="26">
        <v>10955103</v>
      </c>
      <c r="F33" s="26" t="s">
        <v>424</v>
      </c>
      <c r="G33" s="26" t="s">
        <v>425</v>
      </c>
      <c r="H33" s="26"/>
      <c r="I33" s="26"/>
      <c r="J33" s="26"/>
      <c r="K33" s="26"/>
      <c r="L33" s="26" t="s">
        <v>689</v>
      </c>
      <c r="M33" s="26"/>
      <c r="N33" s="26"/>
      <c r="O33" s="26"/>
      <c r="P33" s="26"/>
      <c r="Q33" s="26" t="s">
        <v>590</v>
      </c>
      <c r="R33" s="26"/>
      <c r="S33" s="26"/>
    </row>
    <row r="34" spans="1:54" x14ac:dyDescent="0.25">
      <c r="A34" s="26" t="s">
        <v>465</v>
      </c>
      <c r="B34" s="26" t="s">
        <v>415</v>
      </c>
      <c r="C34" s="26" t="s">
        <v>272</v>
      </c>
      <c r="D34" s="26"/>
      <c r="E34" s="26">
        <v>10552464</v>
      </c>
      <c r="F34" s="26" t="s">
        <v>416</v>
      </c>
      <c r="G34" s="26" t="s">
        <v>417</v>
      </c>
      <c r="H34" s="26"/>
      <c r="I34" s="26"/>
      <c r="J34" s="26"/>
      <c r="K34" s="26"/>
      <c r="L34" s="26" t="s">
        <v>689</v>
      </c>
      <c r="M34" s="26"/>
      <c r="N34" s="26"/>
      <c r="O34" s="26"/>
      <c r="P34" s="26">
        <v>1326168</v>
      </c>
      <c r="Q34" s="26" t="s">
        <v>290</v>
      </c>
      <c r="R34" s="26"/>
      <c r="S34" s="26"/>
    </row>
    <row r="35" spans="1:54" x14ac:dyDescent="0.25">
      <c r="A35" s="26" t="s">
        <v>475</v>
      </c>
      <c r="B35" s="26" t="s">
        <v>702</v>
      </c>
      <c r="C35" s="26" t="s">
        <v>272</v>
      </c>
      <c r="D35" s="26" t="s">
        <v>551</v>
      </c>
      <c r="E35" s="26">
        <v>10058113</v>
      </c>
      <c r="F35" s="26"/>
      <c r="G35" s="26"/>
      <c r="H35" s="26"/>
      <c r="I35" s="26"/>
      <c r="J35" s="26"/>
      <c r="K35" s="26"/>
      <c r="L35" s="26" t="s">
        <v>689</v>
      </c>
      <c r="M35" s="26"/>
      <c r="N35" s="26"/>
      <c r="O35" s="26"/>
      <c r="P35" s="26">
        <v>94366</v>
      </c>
      <c r="Q35" s="26" t="s">
        <v>290</v>
      </c>
      <c r="R35" s="26"/>
      <c r="S35" s="26"/>
    </row>
    <row r="36" spans="1:54" x14ac:dyDescent="0.25">
      <c r="A36" s="26" t="s">
        <v>471</v>
      </c>
      <c r="B36" s="26" t="s">
        <v>432</v>
      </c>
      <c r="C36" s="26" t="s">
        <v>272</v>
      </c>
      <c r="D36" s="26"/>
      <c r="E36" s="26">
        <v>10056678</v>
      </c>
      <c r="F36" s="26" t="s">
        <v>433</v>
      </c>
      <c r="G36" s="26" t="s">
        <v>434</v>
      </c>
      <c r="H36" s="26"/>
      <c r="I36" s="26"/>
      <c r="J36" s="26"/>
      <c r="K36" s="26"/>
      <c r="L36" s="26" t="s">
        <v>689</v>
      </c>
      <c r="M36" s="26"/>
      <c r="N36" s="26"/>
      <c r="O36" s="26"/>
      <c r="P36" s="26"/>
      <c r="Q36" s="26"/>
      <c r="R36" s="26"/>
      <c r="S36" s="26"/>
    </row>
    <row r="37" spans="1:54" x14ac:dyDescent="0.25">
      <c r="A37" s="26" t="s">
        <v>122</v>
      </c>
      <c r="B37" s="26" t="s">
        <v>121</v>
      </c>
      <c r="C37" s="26" t="s">
        <v>272</v>
      </c>
      <c r="D37" s="26" t="s">
        <v>411</v>
      </c>
      <c r="E37" s="26">
        <v>10725630</v>
      </c>
      <c r="F37" s="26" t="s">
        <v>318</v>
      </c>
      <c r="G37" s="26" t="s">
        <v>319</v>
      </c>
      <c r="H37" s="26"/>
      <c r="I37" s="26" t="s">
        <v>320</v>
      </c>
      <c r="J37" s="26" t="s">
        <v>288</v>
      </c>
      <c r="K37" s="26"/>
      <c r="L37" s="26" t="s">
        <v>689</v>
      </c>
      <c r="M37" s="26" t="s">
        <v>290</v>
      </c>
      <c r="N37" s="26" t="s">
        <v>523</v>
      </c>
      <c r="O37" s="26" t="s">
        <v>617</v>
      </c>
      <c r="P37" s="26">
        <v>1431772</v>
      </c>
      <c r="Q37" s="26" t="s">
        <v>290</v>
      </c>
      <c r="R37" s="26" t="s">
        <v>290</v>
      </c>
      <c r="S37" s="26" t="s">
        <v>290</v>
      </c>
      <c r="T37" s="1">
        <v>4</v>
      </c>
      <c r="U37" s="1">
        <v>3</v>
      </c>
      <c r="V37" s="1">
        <v>1</v>
      </c>
      <c r="W37" s="1">
        <v>1</v>
      </c>
      <c r="X37" s="1">
        <v>4</v>
      </c>
      <c r="Y37" s="1">
        <v>4</v>
      </c>
      <c r="Z37" s="1">
        <v>4</v>
      </c>
      <c r="AA37" s="1">
        <v>1</v>
      </c>
      <c r="AB37" s="1">
        <v>3</v>
      </c>
      <c r="AC37" s="1">
        <v>3</v>
      </c>
      <c r="AD37" s="1">
        <v>4</v>
      </c>
      <c r="AE37" s="1">
        <v>4</v>
      </c>
      <c r="AF37" s="1">
        <v>2</v>
      </c>
      <c r="AG37" s="1">
        <v>3</v>
      </c>
      <c r="AH37" s="1">
        <v>3</v>
      </c>
      <c r="AI37" s="1">
        <v>2</v>
      </c>
      <c r="AJ37" s="1">
        <v>4</v>
      </c>
      <c r="AK37" s="1">
        <v>3</v>
      </c>
      <c r="AL37" s="1">
        <v>4</v>
      </c>
      <c r="AM37" s="1">
        <v>3</v>
      </c>
      <c r="AN37" s="1">
        <v>3</v>
      </c>
      <c r="AO37" s="1">
        <v>3</v>
      </c>
      <c r="AP37" s="1">
        <v>3</v>
      </c>
      <c r="AQ37" s="1">
        <v>5</v>
      </c>
      <c r="AR37" s="1">
        <v>5</v>
      </c>
      <c r="AS37" s="1">
        <v>3</v>
      </c>
      <c r="AT37" s="1">
        <v>3</v>
      </c>
      <c r="AU37" s="1">
        <v>4</v>
      </c>
      <c r="AV37" s="1">
        <v>4</v>
      </c>
      <c r="AW37" s="1">
        <v>5</v>
      </c>
      <c r="AX37" s="1">
        <v>4</v>
      </c>
      <c r="AY37" s="1">
        <v>4</v>
      </c>
      <c r="AZ37" s="1">
        <v>4</v>
      </c>
      <c r="BA37" s="1">
        <v>2</v>
      </c>
      <c r="BB37" s="1">
        <v>4</v>
      </c>
    </row>
    <row r="38" spans="1:54" x14ac:dyDescent="0.25">
      <c r="A38" s="26" t="s">
        <v>463</v>
      </c>
      <c r="B38" s="26" t="s">
        <v>410</v>
      </c>
      <c r="C38" s="26" t="s">
        <v>272</v>
      </c>
      <c r="D38" s="26" t="s">
        <v>411</v>
      </c>
      <c r="E38" s="26">
        <v>11099402</v>
      </c>
      <c r="F38" s="26" t="s">
        <v>412</v>
      </c>
      <c r="G38" s="26" t="s">
        <v>413</v>
      </c>
      <c r="H38" s="26"/>
      <c r="I38" s="26"/>
      <c r="J38" s="26"/>
      <c r="K38" s="26"/>
      <c r="L38" s="26" t="s">
        <v>689</v>
      </c>
      <c r="M38" s="26"/>
      <c r="N38" s="26"/>
      <c r="O38" s="26"/>
      <c r="P38" s="26">
        <v>1478551</v>
      </c>
      <c r="Q38" s="26" t="s">
        <v>290</v>
      </c>
      <c r="R38" s="26"/>
      <c r="S38" s="26"/>
    </row>
    <row r="39" spans="1:54" x14ac:dyDescent="0.25">
      <c r="A39" s="26" t="s">
        <v>703</v>
      </c>
      <c r="B39" s="26" t="s">
        <v>704</v>
      </c>
      <c r="C39" s="26" t="s">
        <v>272</v>
      </c>
      <c r="D39" s="26" t="s">
        <v>551</v>
      </c>
      <c r="E39" s="26">
        <v>10381872</v>
      </c>
      <c r="F39" s="26"/>
      <c r="G39" s="26"/>
      <c r="H39" s="26"/>
      <c r="I39" s="26"/>
      <c r="J39" s="26" t="s">
        <v>309</v>
      </c>
      <c r="K39" s="26"/>
      <c r="L39" s="26" t="s">
        <v>689</v>
      </c>
      <c r="M39" s="26"/>
      <c r="N39" s="26"/>
      <c r="O39" s="26"/>
      <c r="P39" s="26">
        <v>116161</v>
      </c>
      <c r="Q39" s="26" t="s">
        <v>290</v>
      </c>
      <c r="R39" s="26"/>
      <c r="S39" s="26"/>
    </row>
    <row r="40" spans="1:54" x14ac:dyDescent="0.25">
      <c r="A40" s="26" t="s">
        <v>457</v>
      </c>
      <c r="B40" s="26" t="s">
        <v>395</v>
      </c>
      <c r="C40" s="26" t="s">
        <v>272</v>
      </c>
      <c r="D40" s="26" t="s">
        <v>741</v>
      </c>
      <c r="E40" s="26">
        <v>10350174</v>
      </c>
      <c r="F40" s="26" t="s">
        <v>396</v>
      </c>
      <c r="G40" s="26" t="s">
        <v>397</v>
      </c>
      <c r="H40" s="26"/>
      <c r="I40" s="26"/>
      <c r="J40" s="26" t="s">
        <v>309</v>
      </c>
      <c r="K40" s="26"/>
      <c r="L40" s="26" t="s">
        <v>689</v>
      </c>
      <c r="M40" s="26"/>
      <c r="N40" s="26"/>
      <c r="O40" s="26"/>
      <c r="P40" s="26">
        <v>1545589</v>
      </c>
      <c r="Q40" s="26" t="s">
        <v>290</v>
      </c>
      <c r="R40" s="26"/>
      <c r="S40" s="26"/>
    </row>
    <row r="41" spans="1:54" x14ac:dyDescent="0.25">
      <c r="A41" s="26" t="s">
        <v>705</v>
      </c>
      <c r="B41" s="26" t="s">
        <v>385</v>
      </c>
      <c r="C41" s="26" t="s">
        <v>272</v>
      </c>
      <c r="D41" s="26" t="s">
        <v>483</v>
      </c>
      <c r="E41" s="26">
        <v>11025249</v>
      </c>
      <c r="F41" s="26" t="s">
        <v>12</v>
      </c>
      <c r="G41" s="26" t="s">
        <v>386</v>
      </c>
      <c r="H41" s="26"/>
      <c r="I41" s="26"/>
      <c r="J41" s="26"/>
      <c r="K41" s="26"/>
      <c r="L41" s="26" t="s">
        <v>694</v>
      </c>
      <c r="M41" s="26"/>
      <c r="N41" s="26"/>
      <c r="O41" s="26"/>
      <c r="P41" s="26"/>
      <c r="Q41" s="26" t="s">
        <v>592</v>
      </c>
      <c r="R41" s="26"/>
      <c r="S41" s="26"/>
    </row>
    <row r="42" spans="1:54" x14ac:dyDescent="0.25">
      <c r="A42" s="26" t="s">
        <v>110</v>
      </c>
      <c r="B42" s="26" t="s">
        <v>109</v>
      </c>
      <c r="C42" s="26" t="s">
        <v>272</v>
      </c>
      <c r="D42" s="26" t="s">
        <v>411</v>
      </c>
      <c r="E42" s="26" t="s">
        <v>706</v>
      </c>
      <c r="F42" s="26" t="s">
        <v>12</v>
      </c>
      <c r="G42" s="26" t="s">
        <v>364</v>
      </c>
      <c r="H42" s="26"/>
      <c r="I42" s="26"/>
      <c r="J42" s="26"/>
      <c r="K42" s="26"/>
      <c r="L42" s="26" t="s">
        <v>691</v>
      </c>
      <c r="M42" s="26"/>
      <c r="N42" s="26"/>
      <c r="O42" s="26"/>
      <c r="P42" s="26"/>
      <c r="Q42" s="26" t="s">
        <v>591</v>
      </c>
      <c r="R42" s="26"/>
      <c r="S42" s="26"/>
      <c r="T42" s="1">
        <v>3</v>
      </c>
      <c r="U42" s="1">
        <v>1</v>
      </c>
      <c r="V42" s="1">
        <v>1</v>
      </c>
      <c r="W42" s="1">
        <v>1</v>
      </c>
      <c r="X42" s="1">
        <v>1</v>
      </c>
      <c r="Y42" s="1">
        <v>5</v>
      </c>
      <c r="Z42" s="1">
        <v>4</v>
      </c>
      <c r="AA42" s="1">
        <v>1</v>
      </c>
      <c r="AB42" s="1">
        <v>4</v>
      </c>
      <c r="AC42" s="1">
        <v>1</v>
      </c>
      <c r="AD42" s="1">
        <v>2</v>
      </c>
      <c r="AE42" s="1">
        <v>1</v>
      </c>
      <c r="AF42" s="1">
        <v>1</v>
      </c>
      <c r="AG42" s="1">
        <v>1</v>
      </c>
      <c r="AH42" s="1">
        <v>1</v>
      </c>
      <c r="AI42" s="1">
        <v>1</v>
      </c>
      <c r="AJ42" s="1">
        <v>1</v>
      </c>
      <c r="AK42" s="1">
        <v>1</v>
      </c>
      <c r="AL42" s="1">
        <v>1</v>
      </c>
      <c r="AM42" s="1">
        <v>1</v>
      </c>
      <c r="AN42" s="1">
        <v>1</v>
      </c>
      <c r="AO42" s="1">
        <v>1</v>
      </c>
      <c r="AP42" s="1">
        <v>1</v>
      </c>
      <c r="AQ42" s="1">
        <v>1</v>
      </c>
      <c r="AR42" s="1">
        <v>2</v>
      </c>
      <c r="AS42" s="1">
        <v>2</v>
      </c>
      <c r="AT42" s="1">
        <v>1</v>
      </c>
      <c r="AU42" s="1">
        <v>1</v>
      </c>
      <c r="AV42" s="1">
        <v>3</v>
      </c>
      <c r="AW42" s="1">
        <v>1</v>
      </c>
      <c r="AX42" s="1">
        <v>1</v>
      </c>
      <c r="AY42" s="1">
        <v>2</v>
      </c>
      <c r="AZ42" s="1">
        <v>2</v>
      </c>
      <c r="BA42" s="1">
        <v>4</v>
      </c>
      <c r="BB42" s="1">
        <v>2</v>
      </c>
    </row>
    <row r="43" spans="1:54" x14ac:dyDescent="0.25">
      <c r="A43" s="26" t="s">
        <v>707</v>
      </c>
      <c r="B43" s="26" t="s">
        <v>708</v>
      </c>
      <c r="C43" s="26" t="s">
        <v>272</v>
      </c>
      <c r="D43" s="26" t="s">
        <v>551</v>
      </c>
      <c r="E43" s="26">
        <v>10430122</v>
      </c>
      <c r="F43" s="26"/>
      <c r="G43" s="26"/>
      <c r="H43" s="26"/>
      <c r="I43" s="26"/>
      <c r="J43" s="26" t="s">
        <v>309</v>
      </c>
      <c r="K43" s="26"/>
      <c r="L43" s="26" t="s">
        <v>689</v>
      </c>
      <c r="M43" s="26"/>
      <c r="N43" s="26"/>
      <c r="O43" s="26"/>
      <c r="P43" s="26">
        <v>56388</v>
      </c>
      <c r="Q43" s="26" t="s">
        <v>290</v>
      </c>
      <c r="R43" s="26"/>
      <c r="S43" s="26"/>
    </row>
    <row r="44" spans="1:54" x14ac:dyDescent="0.25">
      <c r="A44" s="26" t="s">
        <v>481</v>
      </c>
      <c r="B44" s="26" t="s">
        <v>710</v>
      </c>
      <c r="C44" s="26" t="s">
        <v>272</v>
      </c>
      <c r="D44" s="26" t="s">
        <v>411</v>
      </c>
      <c r="E44" s="26" t="s">
        <v>709</v>
      </c>
      <c r="F44" s="26"/>
      <c r="G44" s="26"/>
      <c r="H44" s="26"/>
      <c r="I44" s="26"/>
      <c r="J44" s="26"/>
      <c r="K44" s="26"/>
      <c r="L44" s="26" t="s">
        <v>711</v>
      </c>
      <c r="M44" s="26"/>
      <c r="N44" s="26"/>
      <c r="O44" s="26"/>
      <c r="P44" s="26"/>
      <c r="Q44" s="26" t="s">
        <v>595</v>
      </c>
      <c r="R44" s="26"/>
      <c r="S44" s="26"/>
    </row>
    <row r="45" spans="1:54" x14ac:dyDescent="0.25">
      <c r="A45" s="26" t="s">
        <v>124</v>
      </c>
      <c r="B45" s="26" t="s">
        <v>686</v>
      </c>
      <c r="C45" s="26" t="s">
        <v>272</v>
      </c>
      <c r="D45" s="26" t="s">
        <v>411</v>
      </c>
      <c r="E45" s="26" t="s">
        <v>712</v>
      </c>
      <c r="F45" s="26" t="s">
        <v>365</v>
      </c>
      <c r="G45" s="26" t="s">
        <v>366</v>
      </c>
      <c r="H45" s="26"/>
      <c r="I45" s="26"/>
      <c r="J45" s="26"/>
      <c r="K45" s="26"/>
      <c r="L45" s="26" t="s">
        <v>691</v>
      </c>
      <c r="M45" s="26"/>
      <c r="N45" s="26"/>
      <c r="O45" s="26"/>
      <c r="P45" s="26"/>
      <c r="Q45" s="26" t="s">
        <v>591</v>
      </c>
      <c r="R45" s="26"/>
      <c r="S45" s="26"/>
      <c r="T45" s="1">
        <v>3</v>
      </c>
      <c r="U45" s="1">
        <v>3</v>
      </c>
      <c r="V45" s="1">
        <v>1</v>
      </c>
      <c r="W45" s="1">
        <v>1</v>
      </c>
      <c r="X45" s="1">
        <v>1</v>
      </c>
      <c r="Y45" s="1">
        <v>5</v>
      </c>
      <c r="Z45" s="1">
        <v>5</v>
      </c>
      <c r="AA45" s="1">
        <v>1</v>
      </c>
      <c r="AB45" s="1">
        <v>4</v>
      </c>
      <c r="AC45" s="1">
        <v>3</v>
      </c>
      <c r="AD45" s="1">
        <v>4</v>
      </c>
      <c r="AE45" s="1">
        <v>1</v>
      </c>
      <c r="AF45" s="1">
        <v>1</v>
      </c>
      <c r="AG45" s="1">
        <v>1</v>
      </c>
      <c r="AH45" s="1">
        <v>3</v>
      </c>
      <c r="AI45" s="1">
        <v>4</v>
      </c>
      <c r="AJ45" s="1">
        <v>1</v>
      </c>
      <c r="AK45" s="1">
        <v>1</v>
      </c>
      <c r="AL45" s="1">
        <v>4</v>
      </c>
      <c r="AM45" s="1">
        <v>1</v>
      </c>
      <c r="AN45" s="1">
        <v>1</v>
      </c>
      <c r="AO45" s="1">
        <v>1</v>
      </c>
      <c r="AP45" s="1">
        <v>1</v>
      </c>
      <c r="AQ45" s="1">
        <v>1</v>
      </c>
      <c r="AR45" s="1">
        <v>2</v>
      </c>
      <c r="AS45" s="1">
        <v>3</v>
      </c>
      <c r="AT45" s="1">
        <v>1</v>
      </c>
      <c r="AU45" s="1">
        <v>3</v>
      </c>
      <c r="AV45" s="1">
        <v>4</v>
      </c>
      <c r="AW45" s="1">
        <v>1</v>
      </c>
      <c r="AX45" s="1">
        <v>5</v>
      </c>
      <c r="AY45" s="1">
        <v>1</v>
      </c>
      <c r="AZ45" s="1">
        <v>1</v>
      </c>
      <c r="BA45" s="1">
        <v>4</v>
      </c>
      <c r="BB45" s="1">
        <v>1</v>
      </c>
    </row>
    <row r="46" spans="1:54" x14ac:dyDescent="0.25">
      <c r="A46" s="26" t="s">
        <v>441</v>
      </c>
      <c r="B46" s="26" t="s">
        <v>291</v>
      </c>
      <c r="C46" s="26" t="s">
        <v>438</v>
      </c>
      <c r="D46" s="26" t="s">
        <v>411</v>
      </c>
      <c r="E46" s="26">
        <v>10500771</v>
      </c>
      <c r="F46" s="26" t="s">
        <v>292</v>
      </c>
      <c r="G46" s="26" t="s">
        <v>293</v>
      </c>
      <c r="H46" s="26"/>
      <c r="I46" s="26" t="s">
        <v>294</v>
      </c>
      <c r="J46" s="26" t="s">
        <v>288</v>
      </c>
      <c r="K46" s="26"/>
      <c r="L46" s="26" t="s">
        <v>295</v>
      </c>
      <c r="M46" s="26" t="s">
        <v>290</v>
      </c>
      <c r="N46" s="26"/>
      <c r="O46" s="26"/>
      <c r="P46" s="26"/>
      <c r="Q46" s="26"/>
      <c r="R46" s="26" t="s">
        <v>296</v>
      </c>
      <c r="S46" s="26" t="s">
        <v>297</v>
      </c>
    </row>
    <row r="47" spans="1:54" x14ac:dyDescent="0.25">
      <c r="A47" s="26" t="s">
        <v>448</v>
      </c>
      <c r="B47" s="26" t="s">
        <v>352</v>
      </c>
      <c r="C47" s="26" t="s">
        <v>272</v>
      </c>
      <c r="D47" s="26" t="s">
        <v>411</v>
      </c>
      <c r="E47" s="26">
        <v>10048319</v>
      </c>
      <c r="F47" s="26" t="s">
        <v>353</v>
      </c>
      <c r="G47" s="26" t="s">
        <v>354</v>
      </c>
      <c r="H47" s="26"/>
      <c r="I47" s="26"/>
      <c r="J47" s="26"/>
      <c r="K47" s="26"/>
      <c r="L47" s="26" t="s">
        <v>689</v>
      </c>
      <c r="M47" s="26"/>
      <c r="N47" s="26"/>
      <c r="O47" s="26"/>
      <c r="P47" s="26">
        <v>1453384</v>
      </c>
      <c r="Q47" s="26" t="s">
        <v>290</v>
      </c>
      <c r="R47" s="26"/>
      <c r="S47" s="26"/>
    </row>
    <row r="48" spans="1:54" x14ac:dyDescent="0.25">
      <c r="A48" s="26" t="s">
        <v>112</v>
      </c>
      <c r="B48" s="26" t="s">
        <v>111</v>
      </c>
      <c r="C48" s="26" t="s">
        <v>272</v>
      </c>
      <c r="D48" s="26" t="s">
        <v>411</v>
      </c>
      <c r="E48" s="26">
        <v>11088661</v>
      </c>
      <c r="F48" s="26" t="s">
        <v>332</v>
      </c>
      <c r="G48" s="26" t="s">
        <v>333</v>
      </c>
      <c r="H48" s="26">
        <v>80359668</v>
      </c>
      <c r="I48" s="26" t="s">
        <v>334</v>
      </c>
      <c r="J48" s="26" t="s">
        <v>288</v>
      </c>
      <c r="K48" s="26"/>
      <c r="L48" s="26" t="s">
        <v>689</v>
      </c>
      <c r="M48" s="26" t="s">
        <v>290</v>
      </c>
      <c r="N48" s="26"/>
      <c r="O48" s="26"/>
      <c r="P48" s="26">
        <v>1478546</v>
      </c>
      <c r="Q48" s="26" t="s">
        <v>290</v>
      </c>
      <c r="R48" s="26" t="s">
        <v>290</v>
      </c>
      <c r="S48" s="26"/>
      <c r="T48" s="1">
        <v>0</v>
      </c>
      <c r="U48" s="1">
        <v>3</v>
      </c>
      <c r="V48" s="1">
        <v>0</v>
      </c>
      <c r="W48" s="1">
        <v>0</v>
      </c>
      <c r="X48" s="1">
        <v>0</v>
      </c>
      <c r="Y48" s="1">
        <v>5</v>
      </c>
      <c r="Z48" s="1">
        <v>3</v>
      </c>
      <c r="AA48" s="1">
        <v>0</v>
      </c>
      <c r="AB48" s="1">
        <v>2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2</v>
      </c>
      <c r="AW48" s="1">
        <v>0</v>
      </c>
      <c r="AX48" s="1">
        <v>3</v>
      </c>
      <c r="AY48" s="1">
        <v>0</v>
      </c>
      <c r="AZ48" s="1">
        <v>0</v>
      </c>
      <c r="BA48" s="1">
        <v>0</v>
      </c>
      <c r="BB48" s="1">
        <v>0</v>
      </c>
    </row>
    <row r="49" spans="1:54" x14ac:dyDescent="0.25">
      <c r="A49" s="26" t="s">
        <v>458</v>
      </c>
      <c r="B49" s="26" t="s">
        <v>398</v>
      </c>
      <c r="C49" s="26" t="s">
        <v>272</v>
      </c>
      <c r="D49" s="26" t="s">
        <v>305</v>
      </c>
      <c r="E49" s="26">
        <v>10630086</v>
      </c>
      <c r="F49" s="26" t="s">
        <v>399</v>
      </c>
      <c r="G49" s="26" t="s">
        <v>400</v>
      </c>
      <c r="H49" s="26"/>
      <c r="I49" s="26"/>
      <c r="J49" s="26"/>
      <c r="K49" s="26"/>
      <c r="L49" s="26" t="s">
        <v>689</v>
      </c>
      <c r="M49" s="26"/>
      <c r="N49" s="26"/>
      <c r="O49" s="26"/>
      <c r="P49" s="26">
        <v>1259283</v>
      </c>
      <c r="Q49" s="26" t="s">
        <v>290</v>
      </c>
      <c r="R49" s="26"/>
      <c r="S49" s="26"/>
    </row>
    <row r="50" spans="1:54" x14ac:dyDescent="0.25">
      <c r="A50" s="26" t="s">
        <v>449</v>
      </c>
      <c r="B50" s="26" t="s">
        <v>355</v>
      </c>
      <c r="C50" s="26" t="s">
        <v>272</v>
      </c>
      <c r="D50" s="26" t="s">
        <v>411</v>
      </c>
      <c r="E50" s="26">
        <v>10304155</v>
      </c>
      <c r="F50" s="26" t="s">
        <v>356</v>
      </c>
      <c r="G50" s="26" t="s">
        <v>357</v>
      </c>
      <c r="H50" s="26"/>
      <c r="I50" s="26"/>
      <c r="J50" s="26"/>
      <c r="K50" s="26"/>
      <c r="L50" s="26" t="s">
        <v>689</v>
      </c>
      <c r="M50" s="26"/>
      <c r="N50" s="26"/>
      <c r="O50" s="26"/>
      <c r="P50" s="26">
        <v>144494</v>
      </c>
      <c r="Q50" s="26" t="s">
        <v>290</v>
      </c>
      <c r="R50" s="26"/>
      <c r="S50" s="26"/>
    </row>
    <row r="51" spans="1:54" x14ac:dyDescent="0.25">
      <c r="A51" s="26" t="s">
        <v>454</v>
      </c>
      <c r="B51" s="26" t="s">
        <v>387</v>
      </c>
      <c r="C51" s="26" t="s">
        <v>272</v>
      </c>
      <c r="D51" s="26" t="s">
        <v>411</v>
      </c>
      <c r="E51" s="26">
        <v>10705112</v>
      </c>
      <c r="F51" s="26" t="s">
        <v>388</v>
      </c>
      <c r="G51" s="26" t="s">
        <v>389</v>
      </c>
      <c r="H51" s="26"/>
      <c r="I51" s="26"/>
      <c r="J51" s="26"/>
      <c r="K51" s="26"/>
      <c r="L51" s="26" t="s">
        <v>689</v>
      </c>
      <c r="M51" s="26"/>
      <c r="N51" s="26"/>
      <c r="O51" s="26"/>
      <c r="P51" s="26"/>
      <c r="Q51" s="26" t="s">
        <v>593</v>
      </c>
      <c r="R51" s="26"/>
      <c r="S51" s="26"/>
    </row>
    <row r="52" spans="1:54" x14ac:dyDescent="0.25">
      <c r="A52" s="26" t="s">
        <v>713</v>
      </c>
      <c r="B52" s="26" t="s">
        <v>714</v>
      </c>
      <c r="C52" s="26" t="s">
        <v>272</v>
      </c>
      <c r="D52" s="26" t="s">
        <v>551</v>
      </c>
      <c r="E52" s="26">
        <v>10827997</v>
      </c>
      <c r="F52" s="26"/>
      <c r="G52" s="26"/>
      <c r="H52" s="26"/>
      <c r="I52" s="26"/>
      <c r="J52" s="26"/>
      <c r="K52" s="26"/>
      <c r="L52" s="26" t="s">
        <v>689</v>
      </c>
      <c r="M52" s="26"/>
      <c r="N52" s="26"/>
      <c r="O52" s="26"/>
      <c r="P52" s="26">
        <v>987498</v>
      </c>
      <c r="Q52" s="26" t="s">
        <v>290</v>
      </c>
      <c r="R52" s="26"/>
      <c r="S52" s="26"/>
    </row>
    <row r="53" spans="1:54" x14ac:dyDescent="0.25">
      <c r="A53" s="26" t="s">
        <v>460</v>
      </c>
      <c r="B53" s="26" t="s">
        <v>404</v>
      </c>
      <c r="C53" s="26" t="s">
        <v>272</v>
      </c>
      <c r="D53" s="26" t="s">
        <v>411</v>
      </c>
      <c r="E53" s="26">
        <v>11088442</v>
      </c>
      <c r="F53" s="26" t="s">
        <v>405</v>
      </c>
      <c r="G53" s="26" t="s">
        <v>370</v>
      </c>
      <c r="H53" s="26"/>
      <c r="I53" s="26"/>
      <c r="J53" s="26"/>
      <c r="K53" s="26"/>
      <c r="L53" s="26" t="s">
        <v>689</v>
      </c>
      <c r="M53" s="26"/>
      <c r="N53" s="26"/>
      <c r="O53" s="26"/>
      <c r="P53" s="26">
        <v>1478548</v>
      </c>
      <c r="Q53" s="26" t="s">
        <v>290</v>
      </c>
      <c r="R53" s="26"/>
      <c r="S53" s="26"/>
    </row>
    <row r="54" spans="1:54" x14ac:dyDescent="0.25">
      <c r="A54" s="26" t="s">
        <v>461</v>
      </c>
      <c r="B54" s="26" t="s">
        <v>406</v>
      </c>
      <c r="C54" s="26" t="s">
        <v>272</v>
      </c>
      <c r="D54" s="26" t="s">
        <v>305</v>
      </c>
      <c r="E54" s="26">
        <v>10323946</v>
      </c>
      <c r="F54" s="26" t="s">
        <v>45</v>
      </c>
      <c r="G54" s="26" t="s">
        <v>407</v>
      </c>
      <c r="H54" s="26"/>
      <c r="I54" s="26"/>
      <c r="J54" s="26"/>
      <c r="K54" s="26"/>
      <c r="L54" s="26" t="s">
        <v>689</v>
      </c>
      <c r="M54" s="26"/>
      <c r="N54" s="26"/>
      <c r="O54" s="26"/>
      <c r="P54" s="26">
        <v>1272667</v>
      </c>
      <c r="Q54" s="26" t="s">
        <v>290</v>
      </c>
      <c r="R54" s="26"/>
      <c r="S54" s="26"/>
    </row>
    <row r="55" spans="1:54" x14ac:dyDescent="0.25">
      <c r="A55" s="26" t="s">
        <v>473</v>
      </c>
      <c r="B55" s="26" t="s">
        <v>715</v>
      </c>
      <c r="C55" s="26" t="s">
        <v>272</v>
      </c>
      <c r="D55" s="26" t="s">
        <v>551</v>
      </c>
      <c r="E55" s="26">
        <v>10412486</v>
      </c>
      <c r="F55" s="26"/>
      <c r="G55" s="26"/>
      <c r="H55" s="26"/>
      <c r="I55" s="26"/>
      <c r="J55" s="26"/>
      <c r="K55" s="26"/>
      <c r="L55" s="26" t="s">
        <v>689</v>
      </c>
      <c r="M55" s="26"/>
      <c r="N55" s="26"/>
      <c r="O55" s="26"/>
      <c r="P55" s="26">
        <v>993538</v>
      </c>
      <c r="Q55" s="26" t="s">
        <v>290</v>
      </c>
      <c r="R55" s="26"/>
      <c r="S55" s="26"/>
    </row>
    <row r="56" spans="1:54" x14ac:dyDescent="0.25">
      <c r="A56" s="26" t="s">
        <v>127</v>
      </c>
      <c r="B56" s="26" t="s">
        <v>126</v>
      </c>
      <c r="C56" s="26" t="s">
        <v>438</v>
      </c>
      <c r="D56" s="26" t="s">
        <v>411</v>
      </c>
      <c r="E56" s="26" t="s">
        <v>363</v>
      </c>
      <c r="F56" s="26" t="s">
        <v>45</v>
      </c>
      <c r="G56" s="26" t="s">
        <v>293</v>
      </c>
      <c r="H56" s="26"/>
      <c r="I56" s="26"/>
      <c r="J56" s="26"/>
      <c r="K56" s="26"/>
      <c r="L56" s="26"/>
      <c r="M56" s="26"/>
      <c r="N56" s="26"/>
      <c r="O56" s="26"/>
      <c r="P56" s="26"/>
      <c r="Q56" s="26" t="s">
        <v>591</v>
      </c>
      <c r="R56" s="26"/>
      <c r="S56" s="26"/>
      <c r="T56" s="1">
        <v>3</v>
      </c>
      <c r="U56" s="1">
        <v>3</v>
      </c>
      <c r="V56" s="1">
        <v>2</v>
      </c>
      <c r="W56" s="1">
        <v>2</v>
      </c>
      <c r="X56" s="1">
        <v>1</v>
      </c>
      <c r="Y56" s="1">
        <v>4</v>
      </c>
      <c r="Z56" s="1">
        <v>4</v>
      </c>
      <c r="AA56" s="1">
        <v>2</v>
      </c>
      <c r="AB56" s="1">
        <v>3</v>
      </c>
      <c r="AC56" s="1">
        <v>4</v>
      </c>
      <c r="AD56" s="1">
        <v>4</v>
      </c>
      <c r="AE56" s="1">
        <v>4</v>
      </c>
      <c r="AF56" s="1">
        <v>3</v>
      </c>
      <c r="AG56" s="1">
        <v>3</v>
      </c>
      <c r="AH56" s="1">
        <v>2</v>
      </c>
      <c r="AI56" s="1">
        <v>4</v>
      </c>
      <c r="AJ56" s="1">
        <v>4</v>
      </c>
      <c r="AK56" s="1">
        <v>2</v>
      </c>
      <c r="AL56" s="1">
        <v>4</v>
      </c>
      <c r="AM56" s="1">
        <v>2</v>
      </c>
      <c r="AN56" s="1">
        <v>2</v>
      </c>
      <c r="AO56" s="1">
        <v>2</v>
      </c>
      <c r="AP56" s="1">
        <v>4</v>
      </c>
      <c r="AQ56" s="1">
        <v>2</v>
      </c>
      <c r="AR56" s="1">
        <v>4</v>
      </c>
      <c r="AS56" s="1">
        <v>3</v>
      </c>
      <c r="AT56" s="1">
        <v>2</v>
      </c>
      <c r="AU56" s="1">
        <v>3</v>
      </c>
      <c r="AV56" s="1">
        <v>4</v>
      </c>
      <c r="AW56" s="1">
        <v>1</v>
      </c>
      <c r="AX56" s="1">
        <v>4</v>
      </c>
      <c r="AY56" s="1">
        <v>4</v>
      </c>
      <c r="AZ56" s="1">
        <v>3</v>
      </c>
      <c r="BA56" s="1">
        <v>3</v>
      </c>
      <c r="BB56" s="1">
        <v>3</v>
      </c>
    </row>
    <row r="57" spans="1:54" x14ac:dyDescent="0.25">
      <c r="A57" s="26" t="s">
        <v>464</v>
      </c>
      <c r="B57" s="26" t="s">
        <v>414</v>
      </c>
      <c r="C57" s="26" t="s">
        <v>272</v>
      </c>
      <c r="D57" s="26" t="s">
        <v>411</v>
      </c>
      <c r="E57" s="26">
        <v>10627248</v>
      </c>
      <c r="F57" s="26" t="s">
        <v>45</v>
      </c>
      <c r="G57" s="26" t="s">
        <v>370</v>
      </c>
      <c r="H57" s="26"/>
      <c r="I57" s="26"/>
      <c r="J57" s="26"/>
      <c r="K57" s="26"/>
      <c r="L57" s="26" t="s">
        <v>689</v>
      </c>
      <c r="M57" s="26"/>
      <c r="N57" s="26"/>
      <c r="O57" s="26"/>
      <c r="P57" s="26">
        <v>167816</v>
      </c>
      <c r="Q57" s="26" t="s">
        <v>594</v>
      </c>
      <c r="R57" s="26"/>
      <c r="S57" s="26"/>
    </row>
    <row r="58" spans="1:54" x14ac:dyDescent="0.25">
      <c r="A58" s="26" t="s">
        <v>716</v>
      </c>
      <c r="B58" s="26" t="s">
        <v>717</v>
      </c>
      <c r="C58" s="26" t="s">
        <v>272</v>
      </c>
      <c r="D58" s="26" t="s">
        <v>551</v>
      </c>
      <c r="E58" s="26">
        <v>11088084</v>
      </c>
      <c r="F58" s="26"/>
      <c r="G58" s="26"/>
      <c r="H58" s="26"/>
      <c r="I58" s="26"/>
      <c r="J58" s="26"/>
      <c r="K58" s="26"/>
      <c r="L58" s="26" t="s">
        <v>689</v>
      </c>
      <c r="M58" s="26"/>
      <c r="N58" s="26"/>
      <c r="O58" s="26"/>
      <c r="P58" s="26">
        <v>1478549</v>
      </c>
      <c r="Q58" s="26" t="s">
        <v>290</v>
      </c>
      <c r="R58" s="26"/>
      <c r="S58" s="26"/>
    </row>
    <row r="59" spans="1:54" x14ac:dyDescent="0.25">
      <c r="A59" s="26" t="s">
        <v>462</v>
      </c>
      <c r="B59" s="26" t="s">
        <v>408</v>
      </c>
      <c r="C59" s="26" t="s">
        <v>272</v>
      </c>
      <c r="D59" s="26" t="s">
        <v>305</v>
      </c>
      <c r="E59" s="26"/>
      <c r="F59" s="26" t="s">
        <v>358</v>
      </c>
      <c r="G59" s="26" t="s">
        <v>409</v>
      </c>
      <c r="H59" s="26"/>
      <c r="I59" s="26"/>
      <c r="J59" s="26"/>
      <c r="K59" s="26"/>
      <c r="L59" s="26" t="s">
        <v>691</v>
      </c>
      <c r="M59" s="26"/>
      <c r="N59" s="26"/>
      <c r="O59" s="26"/>
      <c r="P59" s="26"/>
      <c r="Q59" s="26" t="s">
        <v>591</v>
      </c>
      <c r="R59" s="26"/>
      <c r="S59" s="26"/>
    </row>
    <row r="60" spans="1:54" x14ac:dyDescent="0.25">
      <c r="A60" s="26" t="s">
        <v>450</v>
      </c>
      <c r="B60" s="26" t="s">
        <v>718</v>
      </c>
      <c r="C60" s="26" t="s">
        <v>272</v>
      </c>
      <c r="D60" s="26" t="s">
        <v>411</v>
      </c>
      <c r="E60" s="26">
        <v>10791392</v>
      </c>
      <c r="F60" s="26" t="s">
        <v>358</v>
      </c>
      <c r="G60" s="26" t="s">
        <v>359</v>
      </c>
      <c r="H60" s="26"/>
      <c r="I60" s="26"/>
      <c r="J60" s="26"/>
      <c r="K60" s="26"/>
      <c r="L60" s="26" t="s">
        <v>689</v>
      </c>
      <c r="M60" s="26"/>
      <c r="N60" s="26"/>
      <c r="O60" s="26"/>
      <c r="P60" s="26"/>
      <c r="Q60" s="26" t="s">
        <v>590</v>
      </c>
      <c r="R60" s="26"/>
      <c r="S60" s="26"/>
    </row>
    <row r="61" spans="1:54" x14ac:dyDescent="0.25">
      <c r="A61" s="26" t="s">
        <v>479</v>
      </c>
      <c r="B61" s="26" t="s">
        <v>719</v>
      </c>
      <c r="C61" s="26" t="s">
        <v>272</v>
      </c>
      <c r="D61" s="26" t="s">
        <v>740</v>
      </c>
      <c r="E61" s="26">
        <v>10128304</v>
      </c>
      <c r="F61" s="26"/>
      <c r="G61" s="26"/>
      <c r="H61" s="26"/>
      <c r="I61" s="26"/>
      <c r="J61" s="26"/>
      <c r="K61" s="26"/>
      <c r="L61" s="26" t="s">
        <v>689</v>
      </c>
      <c r="M61" s="26"/>
      <c r="N61" s="26"/>
      <c r="O61" s="26"/>
      <c r="P61" s="26">
        <v>1452535</v>
      </c>
      <c r="Q61" s="26" t="s">
        <v>290</v>
      </c>
      <c r="R61" s="26"/>
      <c r="S61" s="26"/>
    </row>
    <row r="62" spans="1:54" x14ac:dyDescent="0.25">
      <c r="A62" s="26" t="s">
        <v>114</v>
      </c>
      <c r="B62" s="26" t="s">
        <v>113</v>
      </c>
      <c r="C62" s="26" t="s">
        <v>272</v>
      </c>
      <c r="D62" s="26" t="s">
        <v>411</v>
      </c>
      <c r="E62" s="26" t="s">
        <v>720</v>
      </c>
      <c r="F62" s="26" t="s">
        <v>371</v>
      </c>
      <c r="G62" s="26" t="s">
        <v>372</v>
      </c>
      <c r="H62" s="26"/>
      <c r="I62" s="26"/>
      <c r="J62" s="26"/>
      <c r="K62" s="26"/>
      <c r="L62" s="26" t="s">
        <v>691</v>
      </c>
      <c r="M62" s="26"/>
      <c r="N62" s="26"/>
      <c r="O62" s="26"/>
      <c r="P62" s="26"/>
      <c r="Q62" s="26" t="s">
        <v>591</v>
      </c>
      <c r="R62" s="26"/>
      <c r="S62" s="26"/>
      <c r="T62" s="1">
        <v>1</v>
      </c>
      <c r="U62" s="1">
        <v>0</v>
      </c>
      <c r="V62" s="1">
        <v>0</v>
      </c>
      <c r="W62" s="1">
        <v>0</v>
      </c>
      <c r="X62" s="1">
        <v>0</v>
      </c>
      <c r="Y62" s="1">
        <v>5</v>
      </c>
      <c r="Z62" s="1">
        <v>5</v>
      </c>
      <c r="AA62" s="1">
        <v>2</v>
      </c>
      <c r="AB62" s="1">
        <v>5</v>
      </c>
      <c r="AC62" s="1">
        <v>4</v>
      </c>
      <c r="AD62" s="1">
        <v>3</v>
      </c>
      <c r="AE62" s="1">
        <v>1</v>
      </c>
      <c r="AF62" s="1">
        <v>4</v>
      </c>
      <c r="AG62" s="1">
        <v>2</v>
      </c>
      <c r="AH62" s="1">
        <v>2</v>
      </c>
      <c r="AI62" s="1">
        <v>1</v>
      </c>
      <c r="AJ62" s="1">
        <v>1</v>
      </c>
      <c r="AK62" s="1">
        <v>3</v>
      </c>
      <c r="AL62" s="1">
        <v>3</v>
      </c>
      <c r="AM62" s="1">
        <v>1</v>
      </c>
      <c r="AN62" s="1">
        <v>1</v>
      </c>
      <c r="AO62" s="1">
        <v>1</v>
      </c>
      <c r="AP62" s="1">
        <v>2</v>
      </c>
      <c r="AQ62" s="1">
        <v>1</v>
      </c>
      <c r="AR62" s="1">
        <v>3</v>
      </c>
      <c r="AS62" s="1">
        <v>0</v>
      </c>
      <c r="AT62" s="1">
        <v>0</v>
      </c>
      <c r="AU62" s="1">
        <v>0</v>
      </c>
      <c r="AV62" s="1">
        <v>4</v>
      </c>
      <c r="AW62" s="1">
        <v>0</v>
      </c>
      <c r="AX62" s="1">
        <v>4</v>
      </c>
      <c r="AY62" s="1">
        <v>4</v>
      </c>
      <c r="AZ62" s="1">
        <v>2</v>
      </c>
      <c r="BA62" s="1">
        <v>3</v>
      </c>
      <c r="BB62" s="1">
        <v>0</v>
      </c>
    </row>
    <row r="63" spans="1:54" x14ac:dyDescent="0.25">
      <c r="A63" s="26" t="s">
        <v>721</v>
      </c>
      <c r="B63" s="26" t="s">
        <v>722</v>
      </c>
      <c r="C63" s="26" t="s">
        <v>272</v>
      </c>
      <c r="D63" s="26" t="s">
        <v>411</v>
      </c>
      <c r="E63" s="26"/>
      <c r="F63" s="26"/>
      <c r="G63" s="26"/>
      <c r="H63" s="26"/>
      <c r="I63" s="26"/>
      <c r="J63" s="26"/>
      <c r="K63" s="26"/>
      <c r="L63" s="26" t="s">
        <v>695</v>
      </c>
      <c r="M63" s="26"/>
      <c r="N63" s="26"/>
      <c r="O63" s="26"/>
      <c r="P63" s="26">
        <v>1317111</v>
      </c>
      <c r="Q63" s="26" t="s">
        <v>290</v>
      </c>
      <c r="R63" s="26"/>
      <c r="S63" s="26"/>
    </row>
    <row r="64" spans="1:54" x14ac:dyDescent="0.25">
      <c r="A64" s="26" t="s">
        <v>456</v>
      </c>
      <c r="B64" s="26" t="s">
        <v>392</v>
      </c>
      <c r="C64" s="26" t="s">
        <v>272</v>
      </c>
      <c r="D64" s="26" t="s">
        <v>411</v>
      </c>
      <c r="E64" s="26">
        <v>11038215</v>
      </c>
      <c r="F64" s="26" t="s">
        <v>393</v>
      </c>
      <c r="G64" s="26" t="s">
        <v>394</v>
      </c>
      <c r="H64" s="26"/>
      <c r="I64" s="26"/>
      <c r="J64" s="26"/>
      <c r="K64" s="26"/>
      <c r="L64" s="26" t="s">
        <v>689</v>
      </c>
      <c r="M64" s="26"/>
      <c r="N64" s="26"/>
      <c r="O64" s="26"/>
      <c r="P64" s="26">
        <v>1419335</v>
      </c>
      <c r="Q64" s="26" t="s">
        <v>290</v>
      </c>
      <c r="R64" s="26"/>
      <c r="S64" s="26"/>
    </row>
    <row r="65" spans="1:54" x14ac:dyDescent="0.25">
      <c r="A65" s="26" t="s">
        <v>480</v>
      </c>
      <c r="B65" s="26" t="s">
        <v>723</v>
      </c>
      <c r="C65" s="26" t="s">
        <v>272</v>
      </c>
      <c r="D65" s="26" t="s">
        <v>740</v>
      </c>
      <c r="E65" s="26">
        <v>10277027</v>
      </c>
      <c r="F65" s="26"/>
      <c r="G65" s="26"/>
      <c r="H65" s="26"/>
      <c r="I65" s="26"/>
      <c r="J65" s="26"/>
      <c r="K65" s="26"/>
      <c r="L65" s="26" t="s">
        <v>689</v>
      </c>
      <c r="M65" s="26"/>
      <c r="N65" s="26"/>
      <c r="O65" s="26"/>
      <c r="P65" s="26">
        <v>1452534</v>
      </c>
      <c r="Q65" s="26" t="s">
        <v>290</v>
      </c>
      <c r="R65" s="26"/>
      <c r="S65" s="26"/>
    </row>
    <row r="66" spans="1:54" x14ac:dyDescent="0.25">
      <c r="A66" s="26" t="s">
        <v>118</v>
      </c>
      <c r="B66" s="26" t="s">
        <v>117</v>
      </c>
      <c r="C66" s="26" t="s">
        <v>272</v>
      </c>
      <c r="D66" s="26" t="s">
        <v>411</v>
      </c>
      <c r="E66" s="26" t="s">
        <v>724</v>
      </c>
      <c r="F66" s="26" t="s">
        <v>15</v>
      </c>
      <c r="G66" s="26" t="s">
        <v>374</v>
      </c>
      <c r="H66" s="26"/>
      <c r="I66" s="26"/>
      <c r="J66" s="26"/>
      <c r="K66" s="26"/>
      <c r="L66" s="26" t="s">
        <v>691</v>
      </c>
      <c r="M66" s="26"/>
      <c r="N66" s="26"/>
      <c r="O66" s="26"/>
      <c r="P66" s="26"/>
      <c r="Q66" s="26" t="s">
        <v>591</v>
      </c>
      <c r="R66" s="26"/>
      <c r="S66" s="26"/>
      <c r="T66" s="1">
        <v>5</v>
      </c>
      <c r="U66" s="1">
        <v>4</v>
      </c>
      <c r="V66" s="1">
        <v>4</v>
      </c>
      <c r="W66" s="1">
        <v>4</v>
      </c>
      <c r="X66" s="1">
        <v>4</v>
      </c>
      <c r="Y66" s="1">
        <v>4</v>
      </c>
      <c r="Z66" s="1">
        <v>4</v>
      </c>
      <c r="AA66" s="1">
        <v>3</v>
      </c>
      <c r="AB66" s="1">
        <v>4</v>
      </c>
      <c r="AC66" s="1">
        <v>2</v>
      </c>
      <c r="AD66" s="1">
        <v>2</v>
      </c>
      <c r="AE66" s="1">
        <v>2</v>
      </c>
      <c r="AF66" s="1">
        <v>2</v>
      </c>
      <c r="AG66" s="1">
        <v>1</v>
      </c>
      <c r="AH66" s="1">
        <v>1</v>
      </c>
      <c r="AI66" s="1">
        <v>3</v>
      </c>
      <c r="AJ66" s="1">
        <v>2</v>
      </c>
      <c r="AK66" s="1">
        <v>2</v>
      </c>
      <c r="AL66" s="1">
        <v>3</v>
      </c>
      <c r="AM66" s="1">
        <v>2</v>
      </c>
      <c r="AN66" s="1">
        <v>1</v>
      </c>
      <c r="AO66" s="1">
        <v>1</v>
      </c>
      <c r="AP66" s="1">
        <v>1</v>
      </c>
      <c r="AQ66" s="1">
        <v>5</v>
      </c>
      <c r="AR66" s="1">
        <v>4</v>
      </c>
      <c r="AS66" s="1">
        <v>4</v>
      </c>
      <c r="AT66" s="1">
        <v>2</v>
      </c>
      <c r="AU66" s="1">
        <v>4</v>
      </c>
      <c r="AV66" s="1">
        <v>4</v>
      </c>
      <c r="AW66" s="1">
        <v>4</v>
      </c>
      <c r="AX66" s="1">
        <v>2</v>
      </c>
      <c r="AY66" s="1">
        <v>2</v>
      </c>
      <c r="AZ66" s="1">
        <v>4</v>
      </c>
      <c r="BA66" s="1">
        <v>4</v>
      </c>
      <c r="BB66" s="1">
        <v>4</v>
      </c>
    </row>
    <row r="67" spans="1:54" x14ac:dyDescent="0.25">
      <c r="A67" s="26" t="s">
        <v>725</v>
      </c>
      <c r="B67" s="26" t="s">
        <v>726</v>
      </c>
      <c r="C67" s="26" t="s">
        <v>272</v>
      </c>
      <c r="D67" s="26" t="s">
        <v>551</v>
      </c>
      <c r="E67" s="26">
        <v>11089142</v>
      </c>
      <c r="F67" s="26"/>
      <c r="G67" s="26"/>
      <c r="H67" s="26"/>
      <c r="I67" s="26"/>
      <c r="J67" s="26"/>
      <c r="K67" s="26"/>
      <c r="L67" s="26" t="s">
        <v>689</v>
      </c>
      <c r="M67" s="26"/>
      <c r="N67" s="26"/>
      <c r="O67" s="26"/>
      <c r="P67" s="26">
        <v>1478547</v>
      </c>
      <c r="Q67" s="26" t="s">
        <v>290</v>
      </c>
      <c r="R67" s="26"/>
      <c r="S67" s="26"/>
    </row>
    <row r="68" spans="1:54" x14ac:dyDescent="0.25">
      <c r="A68" s="26" t="s">
        <v>470</v>
      </c>
      <c r="B68" s="26" t="s">
        <v>429</v>
      </c>
      <c r="C68" s="26" t="s">
        <v>272</v>
      </c>
      <c r="D68" s="26"/>
      <c r="E68" s="26"/>
      <c r="F68" s="26" t="s">
        <v>430</v>
      </c>
      <c r="G68" s="26" t="s">
        <v>431</v>
      </c>
      <c r="H68" s="26"/>
      <c r="I68" s="26"/>
      <c r="J68" s="26"/>
      <c r="K68" s="26"/>
      <c r="L68" s="26" t="s">
        <v>691</v>
      </c>
      <c r="M68" s="26"/>
      <c r="N68" s="26"/>
      <c r="O68" s="26"/>
      <c r="P68" s="26"/>
      <c r="Q68" s="26" t="s">
        <v>591</v>
      </c>
      <c r="R68" s="26"/>
      <c r="S68" s="26"/>
    </row>
    <row r="69" spans="1:54" x14ac:dyDescent="0.25">
      <c r="A69" s="26" t="s">
        <v>443</v>
      </c>
      <c r="B69" s="26" t="s">
        <v>314</v>
      </c>
      <c r="C69" s="26" t="s">
        <v>438</v>
      </c>
      <c r="D69" s="26" t="s">
        <v>411</v>
      </c>
      <c r="E69" s="26">
        <v>10439355</v>
      </c>
      <c r="F69" s="26" t="s">
        <v>315</v>
      </c>
      <c r="G69" s="26" t="s">
        <v>316</v>
      </c>
      <c r="H69" s="26"/>
      <c r="I69" s="26" t="s">
        <v>317</v>
      </c>
      <c r="J69" s="26" t="s">
        <v>288</v>
      </c>
      <c r="K69" s="26"/>
      <c r="L69" s="26" t="s">
        <v>295</v>
      </c>
      <c r="M69" s="26" t="s">
        <v>290</v>
      </c>
      <c r="N69" s="26"/>
      <c r="O69" s="26"/>
      <c r="P69" s="26"/>
      <c r="Q69" s="26"/>
      <c r="R69" s="26" t="s">
        <v>290</v>
      </c>
      <c r="S69" s="26" t="s">
        <v>290</v>
      </c>
    </row>
    <row r="70" spans="1:54" x14ac:dyDescent="0.25">
      <c r="A70" s="26" t="s">
        <v>120</v>
      </c>
      <c r="B70" s="26" t="s">
        <v>119</v>
      </c>
      <c r="C70" s="26" t="s">
        <v>272</v>
      </c>
      <c r="D70" s="26" t="s">
        <v>411</v>
      </c>
      <c r="E70" s="26">
        <v>10952065</v>
      </c>
      <c r="F70" s="26" t="s">
        <v>360</v>
      </c>
      <c r="G70" s="26" t="s">
        <v>361</v>
      </c>
      <c r="H70" s="26"/>
      <c r="I70" s="26"/>
      <c r="J70" s="26"/>
      <c r="K70" s="26"/>
      <c r="L70" s="26" t="s">
        <v>689</v>
      </c>
      <c r="M70" s="26"/>
      <c r="N70" s="26"/>
      <c r="O70" s="26"/>
      <c r="P70" s="26"/>
      <c r="Q70" s="26" t="s">
        <v>590</v>
      </c>
      <c r="R70" s="26"/>
      <c r="S70" s="26"/>
      <c r="T70" s="1">
        <v>1</v>
      </c>
      <c r="U70" s="1">
        <v>1</v>
      </c>
      <c r="V70" s="1">
        <v>1</v>
      </c>
      <c r="W70" s="1">
        <v>1</v>
      </c>
      <c r="X70" s="1">
        <v>2</v>
      </c>
      <c r="Y70" s="1">
        <v>3</v>
      </c>
      <c r="Z70" s="1">
        <v>2</v>
      </c>
      <c r="AA70" s="1">
        <v>2</v>
      </c>
      <c r="AB70" s="1">
        <v>3</v>
      </c>
      <c r="AC70" s="1">
        <v>1</v>
      </c>
      <c r="AD70" s="1">
        <v>1</v>
      </c>
      <c r="AE70" s="1">
        <v>1</v>
      </c>
      <c r="AF70" s="1">
        <v>0</v>
      </c>
      <c r="AG70" s="1">
        <v>0</v>
      </c>
      <c r="AH70" s="1">
        <v>0</v>
      </c>
      <c r="AI70" s="1">
        <v>2</v>
      </c>
      <c r="AJ70" s="1">
        <v>1</v>
      </c>
      <c r="AK70" s="1">
        <v>3</v>
      </c>
      <c r="AL70" s="1">
        <v>3</v>
      </c>
      <c r="AM70" s="1">
        <v>1</v>
      </c>
      <c r="AN70" s="1">
        <v>1</v>
      </c>
      <c r="AO70" s="1">
        <v>4</v>
      </c>
      <c r="AP70" s="1">
        <v>3</v>
      </c>
      <c r="AQ70" s="1">
        <v>4</v>
      </c>
      <c r="AR70" s="1">
        <v>2</v>
      </c>
      <c r="AS70" s="1">
        <v>3</v>
      </c>
      <c r="AT70" s="1">
        <v>1</v>
      </c>
      <c r="AU70" s="1">
        <v>3</v>
      </c>
      <c r="AV70" s="1">
        <v>2</v>
      </c>
      <c r="AW70" s="1">
        <v>1</v>
      </c>
      <c r="AX70" s="1">
        <v>1</v>
      </c>
      <c r="AY70" s="1">
        <v>1</v>
      </c>
      <c r="AZ70" s="1">
        <v>0</v>
      </c>
      <c r="BA70" s="1">
        <v>1</v>
      </c>
      <c r="BB70" s="1">
        <v>1</v>
      </c>
    </row>
    <row r="71" spans="1:54" x14ac:dyDescent="0.25">
      <c r="A71" s="26" t="s">
        <v>133</v>
      </c>
      <c r="B71" s="26" t="s">
        <v>132</v>
      </c>
      <c r="C71" s="26" t="s">
        <v>272</v>
      </c>
      <c r="D71" s="26" t="s">
        <v>411</v>
      </c>
      <c r="E71" s="26">
        <v>10369521</v>
      </c>
      <c r="F71" s="26" t="s">
        <v>324</v>
      </c>
      <c r="G71" s="26" t="s">
        <v>325</v>
      </c>
      <c r="H71" s="26"/>
      <c r="I71" s="26" t="s">
        <v>326</v>
      </c>
      <c r="J71" s="26" t="s">
        <v>288</v>
      </c>
      <c r="K71" s="26"/>
      <c r="L71" s="26" t="s">
        <v>689</v>
      </c>
      <c r="M71" s="26" t="s">
        <v>290</v>
      </c>
      <c r="N71" s="26"/>
      <c r="O71" s="26"/>
      <c r="P71" s="26">
        <v>158577</v>
      </c>
      <c r="Q71" s="26" t="s">
        <v>290</v>
      </c>
      <c r="R71" s="26" t="s">
        <v>290</v>
      </c>
      <c r="S71" s="26"/>
      <c r="T71" s="1">
        <v>1</v>
      </c>
      <c r="U71" s="1">
        <v>1</v>
      </c>
      <c r="V71" s="1">
        <v>1</v>
      </c>
      <c r="W71" s="1">
        <v>3</v>
      </c>
      <c r="X71" s="1">
        <v>1</v>
      </c>
      <c r="Y71" s="1">
        <v>4</v>
      </c>
      <c r="Z71" s="1">
        <v>4</v>
      </c>
      <c r="AA71" s="1">
        <v>2</v>
      </c>
      <c r="AB71" s="1">
        <v>4</v>
      </c>
      <c r="AC71" s="1">
        <v>3</v>
      </c>
      <c r="AD71" s="1">
        <v>3</v>
      </c>
      <c r="AE71" s="1">
        <v>4</v>
      </c>
      <c r="AF71" s="1">
        <v>2</v>
      </c>
      <c r="AG71" s="1">
        <v>5</v>
      </c>
      <c r="AH71" s="1">
        <v>3</v>
      </c>
      <c r="AI71" s="1">
        <v>5</v>
      </c>
      <c r="AJ71" s="1">
        <v>4</v>
      </c>
      <c r="AK71" s="1">
        <v>3</v>
      </c>
      <c r="AL71" s="1">
        <v>4</v>
      </c>
      <c r="AM71" s="1">
        <v>3</v>
      </c>
      <c r="AN71" s="1">
        <v>3</v>
      </c>
      <c r="AO71" s="1">
        <v>3</v>
      </c>
      <c r="AP71" s="1">
        <v>3</v>
      </c>
      <c r="AQ71" s="1">
        <v>2</v>
      </c>
      <c r="AR71" s="1">
        <v>4</v>
      </c>
      <c r="AS71" s="1">
        <v>4</v>
      </c>
      <c r="AT71" s="1">
        <v>4</v>
      </c>
      <c r="AU71" s="1">
        <v>4</v>
      </c>
      <c r="AV71" s="1">
        <v>4</v>
      </c>
      <c r="AW71" s="1">
        <v>3</v>
      </c>
      <c r="AX71" s="1">
        <v>4</v>
      </c>
      <c r="AY71" s="1">
        <v>4</v>
      </c>
      <c r="AZ71" s="1">
        <v>3</v>
      </c>
      <c r="BA71" s="1">
        <v>3</v>
      </c>
      <c r="BB71" s="1">
        <v>3</v>
      </c>
    </row>
    <row r="72" spans="1:54" x14ac:dyDescent="0.25">
      <c r="A72" s="26" t="s">
        <v>596</v>
      </c>
      <c r="B72" s="26" t="s">
        <v>596</v>
      </c>
      <c r="C72" s="26" t="s">
        <v>272</v>
      </c>
      <c r="D72" s="26" t="s">
        <v>411</v>
      </c>
      <c r="E72" s="26" t="s">
        <v>331</v>
      </c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>
        <v>1335070</v>
      </c>
      <c r="Q72" s="26" t="s">
        <v>290</v>
      </c>
      <c r="R72" s="26"/>
      <c r="S72" s="26"/>
    </row>
    <row r="73" spans="1:54" x14ac:dyDescent="0.25">
      <c r="A73" s="26" t="s">
        <v>597</v>
      </c>
      <c r="B73" s="26" t="s">
        <v>597</v>
      </c>
      <c r="C73" s="26" t="s">
        <v>272</v>
      </c>
      <c r="D73" s="26" t="s">
        <v>552</v>
      </c>
      <c r="E73" s="26" t="s">
        <v>331</v>
      </c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>
        <v>563648</v>
      </c>
      <c r="Q73" s="26" t="s">
        <v>290</v>
      </c>
      <c r="R73" s="26"/>
      <c r="S73" s="26"/>
    </row>
    <row r="74" spans="1:54" x14ac:dyDescent="0.25">
      <c r="A74" s="26" t="s">
        <v>598</v>
      </c>
      <c r="B74" s="26" t="s">
        <v>598</v>
      </c>
      <c r="C74" s="26" t="s">
        <v>272</v>
      </c>
      <c r="D74" s="26"/>
      <c r="E74" s="26"/>
      <c r="F74" s="26"/>
      <c r="G74" s="26"/>
      <c r="H74" s="26"/>
      <c r="I74" s="26"/>
      <c r="J74" s="26"/>
      <c r="K74" s="26"/>
      <c r="L74" s="26" t="s">
        <v>701</v>
      </c>
      <c r="M74" s="26"/>
      <c r="N74" s="26"/>
      <c r="O74" s="26"/>
      <c r="P74" s="26">
        <v>1478552</v>
      </c>
      <c r="Q74" s="26" t="s">
        <v>599</v>
      </c>
      <c r="R74" s="26"/>
      <c r="S74" s="26"/>
    </row>
    <row r="75" spans="1:54" x14ac:dyDescent="0.25">
      <c r="A75" s="26" t="s">
        <v>600</v>
      </c>
      <c r="B75" s="26" t="s">
        <v>600</v>
      </c>
      <c r="C75" s="26" t="s">
        <v>272</v>
      </c>
      <c r="D75" s="26"/>
      <c r="E75" s="26"/>
      <c r="F75" s="26"/>
      <c r="G75" s="26"/>
      <c r="H75" s="26"/>
      <c r="I75" s="26"/>
      <c r="J75" s="26"/>
      <c r="K75" s="26"/>
      <c r="L75" s="26" t="s">
        <v>701</v>
      </c>
      <c r="M75" s="26"/>
      <c r="N75" s="26"/>
      <c r="O75" s="26"/>
      <c r="P75" s="26"/>
      <c r="Q75" s="26" t="s">
        <v>601</v>
      </c>
      <c r="R75" s="26"/>
      <c r="S75" s="26"/>
    </row>
    <row r="76" spans="1:54" x14ac:dyDescent="0.25">
      <c r="A76" s="26" t="s">
        <v>602</v>
      </c>
      <c r="B76" s="26" t="s">
        <v>602</v>
      </c>
      <c r="C76" s="26" t="s">
        <v>13</v>
      </c>
      <c r="D76" s="26"/>
      <c r="E76" s="26"/>
      <c r="F76" s="26"/>
      <c r="G76" s="26"/>
      <c r="H76" s="26"/>
      <c r="I76" s="26"/>
      <c r="J76" s="26"/>
      <c r="K76" s="26"/>
      <c r="L76" s="26" t="s">
        <v>701</v>
      </c>
      <c r="M76" s="26"/>
      <c r="N76" s="26"/>
      <c r="O76" s="26"/>
      <c r="P76" s="26">
        <v>1621937</v>
      </c>
      <c r="Q76" s="26" t="s">
        <v>603</v>
      </c>
      <c r="R76" s="26"/>
      <c r="S76" s="26"/>
    </row>
    <row r="77" spans="1:54" x14ac:dyDescent="0.25">
      <c r="A77" s="26" t="s">
        <v>604</v>
      </c>
      <c r="B77" s="26" t="s">
        <v>604</v>
      </c>
      <c r="C77" s="26" t="s">
        <v>272</v>
      </c>
      <c r="D77" s="26" t="s">
        <v>552</v>
      </c>
      <c r="E77" s="26" t="s">
        <v>331</v>
      </c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>
        <v>1621935</v>
      </c>
      <c r="Q77" s="26" t="s">
        <v>605</v>
      </c>
      <c r="R77" s="26"/>
      <c r="S77" s="26"/>
    </row>
    <row r="78" spans="1:54" x14ac:dyDescent="0.25">
      <c r="A78" s="26" t="s">
        <v>606</v>
      </c>
      <c r="B78" s="26" t="s">
        <v>606</v>
      </c>
      <c r="C78" s="26" t="s">
        <v>272</v>
      </c>
      <c r="D78" s="26"/>
      <c r="E78" s="26"/>
      <c r="F78" s="26"/>
      <c r="G78" s="26"/>
      <c r="H78" s="26"/>
      <c r="I78" s="26"/>
      <c r="J78" s="26"/>
      <c r="K78" s="26"/>
      <c r="L78" s="26" t="s">
        <v>701</v>
      </c>
      <c r="M78" s="26"/>
      <c r="N78" s="26"/>
      <c r="O78" s="26"/>
      <c r="P78" s="26">
        <v>1621912</v>
      </c>
      <c r="Q78" s="26" t="s">
        <v>605</v>
      </c>
      <c r="R78" s="26"/>
      <c r="S78" s="26"/>
    </row>
    <row r="79" spans="1:54" x14ac:dyDescent="0.25">
      <c r="A79" s="26" t="s">
        <v>607</v>
      </c>
      <c r="B79" s="26" t="s">
        <v>607</v>
      </c>
      <c r="C79" s="26" t="s">
        <v>13</v>
      </c>
      <c r="D79" s="26"/>
      <c r="E79" s="26"/>
      <c r="F79" s="26"/>
      <c r="G79" s="26"/>
      <c r="H79" s="26"/>
      <c r="I79" s="26"/>
      <c r="J79" s="26"/>
      <c r="K79" s="26"/>
      <c r="L79" s="26" t="s">
        <v>701</v>
      </c>
      <c r="M79" s="26"/>
      <c r="N79" s="26"/>
      <c r="O79" s="26"/>
      <c r="P79" s="26">
        <v>1621939</v>
      </c>
      <c r="Q79" s="26" t="s">
        <v>603</v>
      </c>
      <c r="R79" s="26"/>
      <c r="S79" s="26"/>
    </row>
    <row r="80" spans="1:54" x14ac:dyDescent="0.25">
      <c r="A80" s="26" t="s">
        <v>608</v>
      </c>
      <c r="B80" s="26" t="s">
        <v>608</v>
      </c>
      <c r="C80" s="26" t="s">
        <v>272</v>
      </c>
      <c r="D80" s="26"/>
      <c r="E80" s="26"/>
      <c r="F80" s="26"/>
      <c r="G80" s="26"/>
      <c r="H80" s="26"/>
      <c r="I80" s="26"/>
      <c r="J80" s="26"/>
      <c r="K80" s="26"/>
      <c r="L80" s="26" t="s">
        <v>701</v>
      </c>
      <c r="M80" s="26"/>
      <c r="N80" s="26"/>
      <c r="O80" s="26"/>
      <c r="P80" s="26">
        <v>1621933</v>
      </c>
      <c r="Q80" s="26" t="s">
        <v>605</v>
      </c>
      <c r="R80" s="26"/>
      <c r="S80" s="26"/>
    </row>
    <row r="81" spans="1:19" x14ac:dyDescent="0.25">
      <c r="A81" s="26" t="s">
        <v>610</v>
      </c>
      <c r="B81" s="26" t="s">
        <v>610</v>
      </c>
      <c r="C81" s="26" t="s">
        <v>272</v>
      </c>
      <c r="D81" s="26" t="s">
        <v>411</v>
      </c>
      <c r="E81" s="26" t="s">
        <v>331</v>
      </c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 t="s">
        <v>590</v>
      </c>
      <c r="R81" s="26"/>
      <c r="S81" s="26"/>
    </row>
    <row r="82" spans="1:19" x14ac:dyDescent="0.25">
      <c r="A82" s="26" t="s">
        <v>611</v>
      </c>
      <c r="B82" s="26" t="s">
        <v>611</v>
      </c>
      <c r="C82" s="26" t="s">
        <v>272</v>
      </c>
      <c r="D82" s="26" t="s">
        <v>411</v>
      </c>
      <c r="E82" s="26" t="s">
        <v>331</v>
      </c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 t="s">
        <v>590</v>
      </c>
      <c r="R82" s="26"/>
      <c r="S82" s="26"/>
    </row>
    <row r="83" spans="1:19" x14ac:dyDescent="0.25">
      <c r="A83" s="1" t="s">
        <v>727</v>
      </c>
      <c r="B83" s="1" t="s">
        <v>728</v>
      </c>
      <c r="C83" s="26" t="s">
        <v>272</v>
      </c>
      <c r="D83" s="1" t="s">
        <v>411</v>
      </c>
      <c r="E83" s="1">
        <v>10985120</v>
      </c>
      <c r="L83" s="1" t="s">
        <v>689</v>
      </c>
    </row>
    <row r="84" spans="1:19" x14ac:dyDescent="0.25">
      <c r="A84" s="1" t="s">
        <v>729</v>
      </c>
      <c r="B84" s="1" t="s">
        <v>730</v>
      </c>
      <c r="C84" s="26" t="s">
        <v>272</v>
      </c>
      <c r="D84" s="1" t="s">
        <v>411</v>
      </c>
      <c r="E84" s="1">
        <v>10954636</v>
      </c>
      <c r="L84" s="1" t="s">
        <v>689</v>
      </c>
    </row>
    <row r="85" spans="1:19" x14ac:dyDescent="0.25">
      <c r="A85" s="1" t="s">
        <v>731</v>
      </c>
      <c r="B85" s="1" t="s">
        <v>732</v>
      </c>
      <c r="C85" s="26" t="s">
        <v>272</v>
      </c>
      <c r="D85" s="1" t="s">
        <v>411</v>
      </c>
      <c r="E85" s="1">
        <v>10708023</v>
      </c>
      <c r="L85" s="1" t="s">
        <v>689</v>
      </c>
    </row>
    <row r="86" spans="1:19" x14ac:dyDescent="0.25">
      <c r="A86" s="1" t="s">
        <v>733</v>
      </c>
      <c r="B86" s="1" t="s">
        <v>734</v>
      </c>
      <c r="C86" s="26" t="s">
        <v>272</v>
      </c>
      <c r="D86" s="1" t="s">
        <v>411</v>
      </c>
      <c r="E86" s="1">
        <v>10315193</v>
      </c>
      <c r="L86" s="1" t="s">
        <v>689</v>
      </c>
    </row>
    <row r="87" spans="1:19" x14ac:dyDescent="0.25">
      <c r="A87" s="1" t="s">
        <v>735</v>
      </c>
      <c r="B87" s="1" t="s">
        <v>737</v>
      </c>
      <c r="C87" s="26" t="s">
        <v>272</v>
      </c>
      <c r="D87" s="1" t="s">
        <v>411</v>
      </c>
      <c r="E87" s="1" t="s">
        <v>736</v>
      </c>
      <c r="L87" s="1" t="s">
        <v>711</v>
      </c>
    </row>
    <row r="88" spans="1:19" x14ac:dyDescent="0.25">
      <c r="A88" s="1" t="s">
        <v>738</v>
      </c>
      <c r="B88" s="1" t="s">
        <v>739</v>
      </c>
      <c r="C88" s="26" t="s">
        <v>272</v>
      </c>
      <c r="D88" s="1" t="s">
        <v>411</v>
      </c>
      <c r="E88" s="1">
        <v>10817502</v>
      </c>
      <c r="L88" s="1" t="s">
        <v>689</v>
      </c>
    </row>
  </sheetData>
  <conditionalFormatting sqref="T2:BB82">
    <cfRule type="cellIs" dxfId="1" priority="1" operator="equal">
      <formula>3</formula>
    </cfRule>
    <cfRule type="cellIs" dxfId="0" priority="2" operator="between">
      <formula>4</formula>
      <formula>5</formula>
    </cfRule>
  </conditionalFormatting>
  <dataValidations count="1">
    <dataValidation type="list" allowBlank="1" showInputMessage="1" showErrorMessage="1" sqref="T2:BB82">
      <formula1>"1,2,3,4,5"</formula1>
    </dataValidation>
  </dataValidations>
  <hyperlinks>
    <hyperlink ref="B17" r:id="rId1" display="d.bueno@accenture.com"/>
    <hyperlink ref="B69" r:id="rId2" display="werbeson.faustino@accenture.com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4"/>
  <sheetViews>
    <sheetView workbookViewId="0">
      <pane ySplit="1" topLeftCell="A2" activePane="bottomLeft" state="frozen"/>
      <selection activeCell="C2" sqref="C2:BL2"/>
      <selection pane="bottomLeft" activeCell="C2" sqref="C2:BL2"/>
    </sheetView>
  </sheetViews>
  <sheetFormatPr defaultColWidth="9.140625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s="36" t="s">
        <v>142</v>
      </c>
      <c r="B1" s="36" t="s">
        <v>143</v>
      </c>
    </row>
    <row r="2" spans="1:2" x14ac:dyDescent="0.25">
      <c r="A2" s="37">
        <v>42005</v>
      </c>
      <c r="B2" t="s">
        <v>144</v>
      </c>
    </row>
    <row r="3" spans="1:2" x14ac:dyDescent="0.25">
      <c r="A3" s="37">
        <v>42052</v>
      </c>
      <c r="B3" t="s">
        <v>151</v>
      </c>
    </row>
    <row r="4" spans="1:2" x14ac:dyDescent="0.25">
      <c r="A4" s="37">
        <v>42097</v>
      </c>
      <c r="B4" t="s">
        <v>152</v>
      </c>
    </row>
    <row r="5" spans="1:2" x14ac:dyDescent="0.25">
      <c r="A5" s="37">
        <v>42099</v>
      </c>
      <c r="B5" t="s">
        <v>153</v>
      </c>
    </row>
    <row r="6" spans="1:2" x14ac:dyDescent="0.25">
      <c r="A6" s="37">
        <v>42115</v>
      </c>
      <c r="B6" t="s">
        <v>145</v>
      </c>
    </row>
    <row r="7" spans="1:2" x14ac:dyDescent="0.25">
      <c r="A7" s="37">
        <v>42125</v>
      </c>
      <c r="B7" t="s">
        <v>146</v>
      </c>
    </row>
    <row r="8" spans="1:2" x14ac:dyDescent="0.25">
      <c r="A8" s="54">
        <v>42159</v>
      </c>
      <c r="B8" t="s">
        <v>154</v>
      </c>
    </row>
    <row r="9" spans="1:2" x14ac:dyDescent="0.25">
      <c r="A9" s="37">
        <v>42254</v>
      </c>
      <c r="B9" s="1" t="s">
        <v>147</v>
      </c>
    </row>
    <row r="10" spans="1:2" x14ac:dyDescent="0.25">
      <c r="A10" s="37">
        <v>42289</v>
      </c>
      <c r="B10" s="1" t="s">
        <v>148</v>
      </c>
    </row>
    <row r="11" spans="1:2" x14ac:dyDescent="0.25">
      <c r="A11" s="37">
        <v>42310</v>
      </c>
      <c r="B11" s="1" t="s">
        <v>149</v>
      </c>
    </row>
    <row r="12" spans="1:2" x14ac:dyDescent="0.25">
      <c r="A12" s="37">
        <v>42323</v>
      </c>
      <c r="B12" s="1" t="s">
        <v>150</v>
      </c>
    </row>
    <row r="13" spans="1:2" x14ac:dyDescent="0.25">
      <c r="A13" s="37">
        <v>42363</v>
      </c>
      <c r="B13" s="1" t="s">
        <v>155</v>
      </c>
    </row>
    <row r="14" spans="1:2" x14ac:dyDescent="0.25">
      <c r="A14" s="37"/>
      <c r="B14" s="1"/>
    </row>
    <row r="15" spans="1:2" x14ac:dyDescent="0.25">
      <c r="A15" s="37"/>
      <c r="B15" s="1"/>
    </row>
    <row r="16" spans="1:2" x14ac:dyDescent="0.25">
      <c r="A16" s="37"/>
      <c r="B16" s="1"/>
    </row>
    <row r="17" spans="1:2" x14ac:dyDescent="0.25">
      <c r="A17" s="37"/>
      <c r="B17" s="1"/>
    </row>
    <row r="18" spans="1:2" x14ac:dyDescent="0.25">
      <c r="A18" s="37"/>
      <c r="B18" s="1"/>
    </row>
    <row r="19" spans="1:2" x14ac:dyDescent="0.25">
      <c r="A19" s="37"/>
      <c r="B19" s="1"/>
    </row>
    <row r="20" spans="1:2" x14ac:dyDescent="0.25">
      <c r="A20" s="37"/>
      <c r="B20" s="1"/>
    </row>
    <row r="21" spans="1:2" x14ac:dyDescent="0.25">
      <c r="A21" s="37"/>
      <c r="B21" s="1"/>
    </row>
    <row r="22" spans="1:2" x14ac:dyDescent="0.25">
      <c r="A22" s="37"/>
      <c r="B22" s="1"/>
    </row>
    <row r="23" spans="1:2" x14ac:dyDescent="0.25">
      <c r="A23" s="37"/>
      <c r="B23" s="1"/>
    </row>
    <row r="24" spans="1:2" x14ac:dyDescent="0.25">
      <c r="A24" s="37"/>
      <c r="B24" s="1"/>
    </row>
  </sheetData>
  <sortState ref="A2:B14">
    <sortCondition ref="A2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Proj"/>
  <dimension ref="A1:B6"/>
  <sheetViews>
    <sheetView workbookViewId="0">
      <pane ySplit="1" topLeftCell="A2" activePane="bottomLeft" state="frozen"/>
      <selection activeCell="C2" sqref="C2:BL2"/>
      <selection pane="bottomLeft" activeCell="B15" sqref="B15"/>
    </sheetView>
  </sheetViews>
  <sheetFormatPr defaultColWidth="0" defaultRowHeight="15" x14ac:dyDescent="0.25"/>
  <cols>
    <col min="1" max="1" width="34.140625" customWidth="1"/>
    <col min="2" max="2" width="11.7109375" customWidth="1"/>
    <col min="3" max="16384" width="9.140625" hidden="1"/>
  </cols>
  <sheetData>
    <row r="1" spans="1:2" x14ac:dyDescent="0.25">
      <c r="A1" s="36" t="s">
        <v>486</v>
      </c>
      <c r="B1" s="36" t="s">
        <v>485</v>
      </c>
    </row>
    <row r="2" spans="1:2" x14ac:dyDescent="0.25">
      <c r="A2" s="1" t="s">
        <v>38</v>
      </c>
      <c r="B2" s="1" t="s">
        <v>487</v>
      </c>
    </row>
    <row r="3" spans="1:2" x14ac:dyDescent="0.25">
      <c r="A3" s="1" t="s">
        <v>46</v>
      </c>
      <c r="B3" s="1" t="s">
        <v>487</v>
      </c>
    </row>
    <row r="4" spans="1:2" x14ac:dyDescent="0.25">
      <c r="A4" s="1" t="s">
        <v>53</v>
      </c>
      <c r="B4" s="1" t="s">
        <v>487</v>
      </c>
    </row>
    <row r="5" spans="1:2" x14ac:dyDescent="0.25">
      <c r="A5" s="1" t="s">
        <v>262</v>
      </c>
      <c r="B5" s="1" t="s">
        <v>487</v>
      </c>
    </row>
    <row r="6" spans="1:2" x14ac:dyDescent="0.25">
      <c r="A6" s="87" t="s">
        <v>742</v>
      </c>
      <c r="B6" s="87" t="s">
        <v>487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li"/>
  <dimension ref="A1:B10"/>
  <sheetViews>
    <sheetView workbookViewId="0">
      <pane ySplit="1" topLeftCell="A2" activePane="bottomLeft" state="frozen"/>
      <selection activeCell="C2" sqref="C2:BL2"/>
      <selection pane="bottomLeft" activeCell="A10" sqref="A10"/>
    </sheetView>
  </sheetViews>
  <sheetFormatPr defaultColWidth="0" defaultRowHeight="15" x14ac:dyDescent="0.25"/>
  <cols>
    <col min="1" max="1" width="34.140625" customWidth="1"/>
    <col min="2" max="2" width="11.7109375" customWidth="1"/>
    <col min="3" max="16384" width="9.140625" hidden="1"/>
  </cols>
  <sheetData>
    <row r="1" spans="1:2" x14ac:dyDescent="0.25">
      <c r="A1" s="36" t="s">
        <v>274</v>
      </c>
      <c r="B1" s="36" t="s">
        <v>485</v>
      </c>
    </row>
    <row r="2" spans="1:2" x14ac:dyDescent="0.25">
      <c r="A2" s="1" t="s">
        <v>484</v>
      </c>
      <c r="B2" s="1"/>
    </row>
    <row r="3" spans="1:2" x14ac:dyDescent="0.25">
      <c r="A3" s="1" t="s">
        <v>270</v>
      </c>
      <c r="B3" s="1"/>
    </row>
    <row r="4" spans="1:2" x14ac:dyDescent="0.25">
      <c r="A4" s="1" t="s">
        <v>483</v>
      </c>
      <c r="B4" s="1"/>
    </row>
    <row r="5" spans="1:2" x14ac:dyDescent="0.25">
      <c r="A5" s="1" t="s">
        <v>482</v>
      </c>
      <c r="B5" s="1" t="s">
        <v>487</v>
      </c>
    </row>
    <row r="6" spans="1:2" x14ac:dyDescent="0.25">
      <c r="A6" s="1" t="s">
        <v>552</v>
      </c>
      <c r="B6" s="1"/>
    </row>
    <row r="7" spans="1:2" x14ac:dyDescent="0.25">
      <c r="A7" s="1" t="s">
        <v>609</v>
      </c>
      <c r="B7" s="1"/>
    </row>
    <row r="8" spans="1:2" x14ac:dyDescent="0.25">
      <c r="A8" t="s">
        <v>741</v>
      </c>
    </row>
    <row r="9" spans="1:2" x14ac:dyDescent="0.25">
      <c r="A9" s="26" t="s">
        <v>697</v>
      </c>
    </row>
    <row r="10" spans="1:2" x14ac:dyDescent="0.25">
      <c r="A10" s="26" t="s">
        <v>740</v>
      </c>
    </row>
  </sheetData>
  <sortState ref="A2:A5">
    <sortCondition ref="A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or"/>
  <dimension ref="A1:B9"/>
  <sheetViews>
    <sheetView workbookViewId="0">
      <pane ySplit="1" topLeftCell="A2" activePane="bottomLeft" state="frozen"/>
      <selection activeCell="C2" sqref="C2:BL2"/>
      <selection pane="bottomLeft" activeCell="A9" sqref="A9"/>
    </sheetView>
  </sheetViews>
  <sheetFormatPr defaultColWidth="0" defaultRowHeight="15" x14ac:dyDescent="0.25"/>
  <cols>
    <col min="1" max="1" width="34.140625" customWidth="1"/>
    <col min="2" max="2" width="11.7109375" customWidth="1"/>
    <col min="3" max="16384" width="9.140625" hidden="1"/>
  </cols>
  <sheetData>
    <row r="1" spans="1:2" x14ac:dyDescent="0.25">
      <c r="A1" s="36" t="s">
        <v>274</v>
      </c>
      <c r="B1" s="36" t="s">
        <v>269</v>
      </c>
    </row>
    <row r="2" spans="1:2" x14ac:dyDescent="0.25">
      <c r="A2" s="1" t="s">
        <v>37</v>
      </c>
      <c r="B2" s="1" t="s">
        <v>482</v>
      </c>
    </row>
    <row r="3" spans="1:2" x14ac:dyDescent="0.25">
      <c r="A3" s="1" t="s">
        <v>40</v>
      </c>
      <c r="B3" s="1" t="s">
        <v>482</v>
      </c>
    </row>
    <row r="4" spans="1:2" x14ac:dyDescent="0.25">
      <c r="A4" s="1" t="s">
        <v>39</v>
      </c>
      <c r="B4" s="1" t="s">
        <v>482</v>
      </c>
    </row>
    <row r="5" spans="1:2" x14ac:dyDescent="0.25">
      <c r="A5" s="1" t="s">
        <v>47</v>
      </c>
      <c r="B5" s="1" t="s">
        <v>482</v>
      </c>
    </row>
    <row r="6" spans="1:2" x14ac:dyDescent="0.25">
      <c r="A6" s="1" t="s">
        <v>136</v>
      </c>
      <c r="B6" s="1" t="s">
        <v>482</v>
      </c>
    </row>
    <row r="7" spans="1:2" x14ac:dyDescent="0.25">
      <c r="A7" s="1" t="s">
        <v>54</v>
      </c>
      <c r="B7" s="1" t="s">
        <v>482</v>
      </c>
    </row>
    <row r="8" spans="1:2" x14ac:dyDescent="0.25">
      <c r="A8" s="1" t="s">
        <v>62</v>
      </c>
      <c r="B8" s="1" t="s">
        <v>482</v>
      </c>
    </row>
    <row r="9" spans="1:2" x14ac:dyDescent="0.25">
      <c r="A9" s="1" t="s">
        <v>68</v>
      </c>
      <c r="B9" s="1" t="s">
        <v>482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customTab" label="SGD - Sistema de Gestão de Demandas" insertBeforeMso="TabHome">
        <group id="grpAdm" label="Administração">
          <button id="cmdImport" label="Consolidar" size="large" onAction="cmdImport_Click" imageMso="Consolidate"/>
          <button id="cmdExport" label="Exportar" size="large" onAction="cmdExport_Click" imageMso="AdpDiagramArrangeTables"/>
          <comboBox id="comboBox" label="UF" getText="GetUF" onChange="SetUF" sizeString="WW">
            <item id="_1" label="AC"/>
            <item id="_2" label="AL"/>
            <item id="_3" label="AP"/>
            <item id="_4" label="AM"/>
            <item id="_5" label="BA"/>
            <item id="_6" label="CE"/>
            <item id="_7" label="DF"/>
            <item id="_8" label="ES"/>
            <item id="_9" label="GO"/>
            <item id="_10" label="MA"/>
            <item id="_11" label="MT"/>
            <item id="_12" label="MS"/>
            <item id="_13" label="MG"/>
            <item id="_14" label="PA"/>
            <item id="_15" label="PB"/>
            <item id="_16" label="PR"/>
            <item id="_17" label="PE"/>
            <item id="_18" label="PI"/>
            <item id="_19" label="RJ"/>
            <item id="_20" label="RN"/>
            <item id="_21" label="RS"/>
            <item id="_22" label="RO"/>
            <item id="_23" label="RR"/>
            <item id="_24" label="SC"/>
            <item id="_25" label="SP"/>
            <item id="_26" label="SE"/>
            <item id="_27" label="TO"/>
          </comboBox>
        </group>
        <group id="grpDemanda" label="Demandas">
          <button id="cmdNewDemand" label="Nova demanda" size="large" onAction="cmdNewDemand_Click" imageMso="AccessFormWizard"/>
          <separator id="separator1"/>
          <button id="cmdBackup" label="Backup (100%)" size="large" onAction="cmdBackup_Click" imageMso="ServerRestoreSqlDatabase"/>
        </group>
        <group id="grpPainel" label="Painel">
          <button id="cmdFilter" label="Filtros" size="large" onAction="cmdFilter_Click" imageMso="PivotChartFilterShow"/>
          <separator id="separator2"/>
          <button id="cmdRefresh" label="Atualizar" size="large" onAction="cmdRefresh_Click" imageMso="TableSharePointListsRefreshList"/>
          <separator id="separator3"/>
          <button id="cmdAddWeek" label="Adicionar semana" onAction="cmdAddWeek_Click" imageMso="OutlineExpand"/>
          <button id="cmdRemWeek" label="Remover semana" onAction="cmdRemWeek_Click" imageMso="OutlineCollapse"/>
        </group>
        <group id="grpInfo" label="INFO">
          <button id="cmdVersionInfo" label="Versão" size="large" onAction="cmdVersionInfo_Click" imageMso="FileProperties"/>
          <button id="cmdHelp" label="Help" size="large" onAction="cmdHelp_Click" imageMso="WhatIfAnalysis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Histórico</vt:lpstr>
      <vt:lpstr>Pipeline</vt:lpstr>
      <vt:lpstr>Cronograma</vt:lpstr>
      <vt:lpstr>Painel</vt:lpstr>
      <vt:lpstr>Recursos</vt:lpstr>
      <vt:lpstr>Feriados</vt:lpstr>
      <vt:lpstr>Projeto</vt:lpstr>
      <vt:lpstr>Cliente</vt:lpstr>
      <vt:lpstr>Torre</vt:lpstr>
      <vt:lpstr>DataInicio</vt:lpstr>
      <vt:lpstr>Recursos!Extract</vt:lpstr>
    </vt:vector>
  </TitlesOfParts>
  <Company>VIVO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V0.4.3</dc:title>
  <dc:creator>80297787</dc:creator>
  <cp:lastModifiedBy>Ailton Zacarias</cp:lastModifiedBy>
  <cp:lastPrinted>2014-06-27T19:23:59Z</cp:lastPrinted>
  <dcterms:created xsi:type="dcterms:W3CDTF">2014-06-27T17:18:59Z</dcterms:created>
  <dcterms:modified xsi:type="dcterms:W3CDTF">2015-07-11T21:36:58Z</dcterms:modified>
</cp:coreProperties>
</file>