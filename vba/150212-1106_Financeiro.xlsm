
<file path=[Content_Types].xml><?xml version="1.0" encoding="utf-8"?>
<Types xmlns="http://schemas.openxmlformats.org/package/2006/content-types">
  <Override PartName="/xl/worksheets/sheet15.xml" ContentType="application/vnd.openxmlformats-officedocument.spreadsheetml.worksheet+xml"/>
  <Override PartName="/xl/worksheets/sheet24.xml" ContentType="application/vnd.openxmlformats-officedocument.spreadsheetml.worksheet+xml"/>
  <Override PartName="/xl/tables/table4.xml" ContentType="application/vnd.openxmlformats-officedocument.spreadsheetml.table+xml"/>
  <Override PartName="/xl/worksheets/sheet9.xml" ContentType="application/vnd.openxmlformats-officedocument.spreadsheetml.worksheet+xml"/>
  <Override PartName="/xl/worksheets/sheet13.xml" ContentType="application/vnd.openxmlformats-officedocument.spreadsheetml.worksheet+xml"/>
  <Override PartName="/xl/worksheets/sheet2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tables/table2.xml" ContentType="application/vnd.openxmlformats-officedocument.spreadsheetml.table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10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pivotCache/pivotCacheDefinition2.xml" ContentType="application/vnd.openxmlformats-officedocument.spreadsheetml.pivotCacheDefinition+xml"/>
  <Override PartName="/xl/drawings/drawing1.xml" ContentType="application/vnd.openxmlformats-officedocument.drawing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calcChain.xml" ContentType="application/vnd.openxmlformats-officedocument.spreadsheetml.calcChain+xml"/>
  <Override PartName="/xl/worksheets/sheet19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sharedStrings.xml" ContentType="application/vnd.openxmlformats-officedocument.spreadsheetml.sharedStrings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pivotCache/pivotCacheRecords1.xml" ContentType="application/vnd.openxmlformats-officedocument.spreadsheetml.pivotCacheRecords+xml"/>
  <Override PartName="/xl/pivotCache/pivotCacheRecords2.xml" ContentType="application/vnd.openxmlformats-officedocument.spreadsheetml.pivotCacheRecords+xml"/>
  <Override PartName="/docProps/core.xml" ContentType="application/vnd.openxmlformats-package.core-properties+xml"/>
  <Override PartName="/xl/worksheets/sheet16.xml" ContentType="application/vnd.openxmlformats-officedocument.spreadsheetml.worksheet+xml"/>
  <Override PartName="/xl/worksheets/sheet25.xml" ContentType="application/vnd.openxmlformats-officedocument.spreadsheetml.worksheet+xml"/>
  <Default Extension="bin" ContentType="application/vnd.openxmlformats-officedocument.spreadsheetml.printerSettings"/>
  <Override PartName="/xl/tables/table3.xml" ContentType="application/vnd.openxmlformats-officedocument.spreadsheetml.table+xml"/>
  <Override PartName="/xl/worksheets/sheet14.xml" ContentType="application/vnd.openxmlformats-officedocument.spreadsheetml.worksheet+xml"/>
  <Override PartName="/xl/worksheets/sheet23.xml" ContentType="application/vnd.openxmlformats-officedocument.spreadsheetml.worksheet+xml"/>
  <Override PartName="/xl/tables/table1.xml" ContentType="application/vnd.openxmlformats-officedocument.spreadsheetml.table+xml"/>
  <Override PartName="/xl/pivotTables/pivotTable3.xml" ContentType="application/vnd.openxmlformats-officedocument.spreadsheetml.pivotTable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308af587c1474bb2" Type="http://schemas.microsoft.com/office/2006/relationships/ui/extensibility" Target="customUI/customUI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updateLinks="never" codeName="EstaPasta_de_trabalho" hidePivotFieldList="1" showPivotChartFilter="1" defaultThemeVersion="124226"/>
  <bookViews>
    <workbookView xWindow="5310" yWindow="2775" windowWidth="19260" windowHeight="3720" tabRatio="604" firstSheet="13" activeTab="19"/>
  </bookViews>
  <sheets>
    <sheet name="140825-1320" sheetId="52" r:id="rId1"/>
    <sheet name="140815-0800" sheetId="49" r:id="rId2"/>
    <sheet name="140815-0830" sheetId="50" r:id="rId3"/>
    <sheet name="140815-0900" sheetId="51" r:id="rId4"/>
    <sheet name="HORAS TRABALHADAS" sheetId="41" r:id="rId5"/>
    <sheet name="CALENDARIO - 2015" sheetId="24" r:id="rId6"/>
    <sheet name="DESAFIO" sheetId="42" r:id="rId7"/>
    <sheet name="0740.70571-0" sheetId="39" r:id="rId8"/>
    <sheet name="jun-2013" sheetId="43" r:id="rId9"/>
    <sheet name="MOVIMENTO" sheetId="2" r:id="rId10"/>
    <sheet name="Plan2" sheetId="45" r:id="rId11"/>
    <sheet name="Plan1" sheetId="44" r:id="rId12"/>
    <sheet name="2014" sheetId="38" r:id="rId13"/>
    <sheet name="2013" sheetId="8" r:id="rId14"/>
    <sheet name="PContas" sheetId="10" r:id="rId15"/>
    <sheet name="140515-1345" sheetId="46" r:id="rId16"/>
    <sheet name="140602-1548" sheetId="47" r:id="rId17"/>
    <sheet name="MODELO-OS" sheetId="48" r:id="rId18"/>
    <sheet name="ANTIVIRUS" sheetId="23" r:id="rId19"/>
    <sheet name="09_2013 - TELEFONES" sheetId="14" r:id="rId20"/>
    <sheet name="ESCOLINHA" sheetId="37" r:id="rId21"/>
    <sheet name="Calculos" sheetId="29" r:id="rId22"/>
    <sheet name="Custos" sheetId="30" r:id="rId23"/>
    <sheet name="Preço" sheetId="31" r:id="rId24"/>
    <sheet name="INVENTARIOS" sheetId="27" r:id="rId25"/>
    <sheet name="Numeros" sheetId="5" r:id="rId26"/>
    <sheet name="OS" sheetId="26" r:id="rId27"/>
    <sheet name="LUKARMONA" sheetId="53" r:id="rId28"/>
    <sheet name="COMPUTADORES" sheetId="54" r:id="rId29"/>
  </sheets>
  <externalReferences>
    <externalReference r:id="rId30"/>
    <externalReference r:id="rId31"/>
    <externalReference r:id="rId32"/>
  </externalReferences>
  <definedNames>
    <definedName name="_xlnm._FilterDatabase" localSheetId="7" hidden="1">'0740.70571-0'!$B$1:$G$158</definedName>
    <definedName name="_xlnm._FilterDatabase" localSheetId="19" hidden="1">'09_2013 - TELEFONES'!$A$9:$D$110</definedName>
    <definedName name="_xlnm._FilterDatabase" localSheetId="4" hidden="1">'HORAS TRABALHADAS'!$A$4:$P$180</definedName>
    <definedName name="_xlnm._FilterDatabase" localSheetId="9" hidden="1">MOVIMENTO!$A$1:$M$1198</definedName>
    <definedName name="_xlnm._FilterDatabase" localSheetId="25" hidden="1">Numeros!$A$1:$D$281</definedName>
    <definedName name="_xlnm._FilterDatabase" localSheetId="14" hidden="1">PContas!$A$1:$B$94</definedName>
    <definedName name="a" localSheetId="1">OFFSET(#REF!,0,0,COUNTA(#REF!)-1,1)</definedName>
    <definedName name="a" localSheetId="2">OFFSET(#REF!,0,0,COUNTA(#REF!)-1,1)</definedName>
    <definedName name="a" localSheetId="3">OFFSET(#REF!,0,0,COUNTA(#REF!)-1,1)</definedName>
    <definedName name="a" localSheetId="0">OFFSET(#REF!,0,0,COUNTA(#REF!)-1,1)</definedName>
    <definedName name="a" localSheetId="28">OFFSET(#REF!,0,0,COUNTA(#REF!)-1,1)</definedName>
    <definedName name="a">OFFSET(#REF!,0,0,COUNTA(#REF!)-1,1)</definedName>
    <definedName name="ANO">INDEX({"01";"02";"03";"04";"05";"06";"07";"08";"09";"10";"11";"12"},MONTH([1]Dados!$B:$B),1)&amp;"/"&amp;YEAR([1]Dados!$B:$B)</definedName>
    <definedName name="_xlnm.Print_Area" localSheetId="7">'0740.70571-0'!$I$1:$M$33</definedName>
    <definedName name="_xlnm.Print_Area" localSheetId="19">'09_2013 - TELEFONES'!$A$1:$J$48</definedName>
    <definedName name="_xlnm.Print_Area" localSheetId="15">'140515-1345'!$A$1:$E$36</definedName>
    <definedName name="_xlnm.Print_Area" localSheetId="16">'140602-1548'!$A$1:$E$51</definedName>
    <definedName name="_xlnm.Print_Area" localSheetId="1">'140815-0800'!$A$1:$E$50</definedName>
    <definedName name="_xlnm.Print_Area" localSheetId="2">'140815-0830'!$A$1:$E$50</definedName>
    <definedName name="_xlnm.Print_Area" localSheetId="3">'140815-0900'!$A$1:$E$50</definedName>
    <definedName name="_xlnm.Print_Area" localSheetId="0">'140825-1320'!$A$1:$E$50</definedName>
    <definedName name="_xlnm.Print_Area" localSheetId="5">'CALENDARIO - 2015'!$B$1:$AK$29</definedName>
    <definedName name="_xlnm.Print_Area" localSheetId="28">COMPUTADORES!$B$1:$Q$24</definedName>
    <definedName name="_xlnm.Print_Area" localSheetId="6">DESAFIO!$A$1:$H$27</definedName>
    <definedName name="_xlnm.Print_Area" localSheetId="4">'HORAS TRABALHADAS'!$A$1:$P$190</definedName>
    <definedName name="_xlnm.Print_Area" localSheetId="24">INVENTARIOS!$B$1:$J$54</definedName>
    <definedName name="_xlnm.Print_Area" localSheetId="8">'jun-2013'!$F$3:$K$40</definedName>
    <definedName name="_xlnm.Print_Area" localSheetId="27">LUKARMONA!$B$1:$R$19</definedName>
    <definedName name="_xlnm.Print_Area" localSheetId="17">'MODELO-OS'!$A$1:$E$50</definedName>
    <definedName name="_xlnm.Print_Area" localSheetId="9">MOVIMENTO!$A$1:$M$1201</definedName>
    <definedName name="BcoDados">OFFSET([1]Dados!$A$1,0,0,COUNTA([1]Dados!$A:$A),COUNTA([1]Dados!$1:$1))</definedName>
    <definedName name="Categoria">[1]Apoio!$A$1:$C$1</definedName>
    <definedName name="CSA" localSheetId="15">INDEX({"01";"02";"03";"04";"05";"06";"07";"08";"09";"10";"11";"12"},MONTH([1]Dados!$B:$B),1)&amp;"/"&amp;YEAR([1]Dados!$B:$B)</definedName>
    <definedName name="CSA" localSheetId="16">INDEX({"01";"02";"03";"04";"05";"06";"07";"08";"09";"10";"11";"12"},MONTH([1]Dados!$B:$B),1)&amp;"/"&amp;YEAR([1]Dados!$B:$B)</definedName>
    <definedName name="CSA" localSheetId="1">INDEX({"01";"02";"03";"04";"05";"06";"07";"08";"09";"10";"11";"12"},MONTH([1]Dados!$B:$B),1)&amp;"/"&amp;YEAR([1]Dados!$B:$B)</definedName>
    <definedName name="CSA" localSheetId="2">INDEX({"01";"02";"03";"04";"05";"06";"07";"08";"09";"10";"11";"12"},MONTH([1]Dados!$B:$B),1)&amp;"/"&amp;YEAR([1]Dados!$B:$B)</definedName>
    <definedName name="CSA" localSheetId="3">INDEX({"01";"02";"03";"04";"05";"06";"07";"08";"09";"10";"11";"12"},MONTH([1]Dados!$B:$B),1)&amp;"/"&amp;YEAR([1]Dados!$B:$B)</definedName>
    <definedName name="CSA" localSheetId="0">INDEX({"01";"02";"03";"04";"05";"06";"07";"08";"09";"10";"11";"12"},MONTH([1]Dados!$B:$B),1)&amp;"/"&amp;YEAR([1]Dados!$B:$B)</definedName>
    <definedName name="CSA" localSheetId="24">INDEX({"01";"02";"03";"04";"05";"06";"07";"08";"09";"10";"11";"12"},MONTH([1]Dados!$B:$B),1)&amp;"/"&amp;YEAR([1]Dados!$B:$B)</definedName>
    <definedName name="CSA" localSheetId="17">INDEX({"01";"02";"03";"04";"05";"06";"07";"08";"09";"10";"11";"12"},MONTH([1]Dados!$B:$B),1)&amp;"/"&amp;YEAR([1]Dados!$B:$B)</definedName>
    <definedName name="CSA" localSheetId="26">INDEX({"01";"02";"03";"04";"05";"06";"07";"08";"09";"10";"11";"12"},MONTH([1]Dados!$B:$B),1)&amp;"/"&amp;YEAR([1]Dados!$B:$B)</definedName>
    <definedName name="CSA">INDEX({"01";"02";"03";"04";"05";"06";"07";"08";"09";"10";"11";"12"},MONTH([1]Dados!$B:$B),1)&amp;"/"&amp;YEAR([1]Dados!$B:$B)</definedName>
    <definedName name="EMPRESA">OFFSET([1]Apoio!$A$2,COUNTA([1]Apoio!$A:$A),0)</definedName>
    <definedName name="lstEmpresa">OFFSET([1]Apoio!$A$2,0,0,COUNTA([1]Apoio!$A:$A)-1,1)</definedName>
    <definedName name="lstFamilia">OFFSET([1]Apoio!$B$2,0,0,COUNTA([1]Apoio!$B:$B)-1,1)</definedName>
    <definedName name="MES_ANO" localSheetId="15">INDEX({"01";"02";"03";"04";"05";"06";"07";"08";"09";"10";"11";"12"},MONTH([1]Dados!$B:$B),1)&amp;"/"&amp;YEAR([1]Dados!$B:$B)</definedName>
    <definedName name="MES_ANO" localSheetId="16">INDEX({"01";"02";"03";"04";"05";"06";"07";"08";"09";"10";"11";"12"},MONTH([1]Dados!$B:$B),1)&amp;"/"&amp;YEAR([1]Dados!$B:$B)</definedName>
    <definedName name="MES_ANO" localSheetId="1">INDEX({"01";"02";"03";"04";"05";"06";"07";"08";"09";"10";"11";"12"},MONTH([1]Dados!$B:$B),1)&amp;"/"&amp;YEAR([1]Dados!$B:$B)</definedName>
    <definedName name="MES_ANO" localSheetId="2">INDEX({"01";"02";"03";"04";"05";"06";"07";"08";"09";"10";"11";"12"},MONTH([1]Dados!$B:$B),1)&amp;"/"&amp;YEAR([1]Dados!$B:$B)</definedName>
    <definedName name="MES_ANO" localSheetId="3">INDEX({"01";"02";"03";"04";"05";"06";"07";"08";"09";"10";"11";"12"},MONTH([1]Dados!$B:$B),1)&amp;"/"&amp;YEAR([1]Dados!$B:$B)</definedName>
    <definedName name="MES_ANO" localSheetId="0">INDEX({"01";"02";"03";"04";"05";"06";"07";"08";"09";"10";"11";"12"},MONTH([1]Dados!$B:$B),1)&amp;"/"&amp;YEAR([1]Dados!$B:$B)</definedName>
    <definedName name="MES_ANO" localSheetId="24">INDEX({"01";"02";"03";"04";"05";"06";"07";"08";"09";"10";"11";"12"},MONTH([1]Dados!$B:$B),1)&amp;"/"&amp;YEAR([1]Dados!$B:$B)</definedName>
    <definedName name="MES_ANO" localSheetId="17">INDEX({"01";"02";"03";"04";"05";"06";"07";"08";"09";"10";"11";"12"},MONTH([1]Dados!$B:$B),1)&amp;"/"&amp;YEAR([1]Dados!$B:$B)</definedName>
    <definedName name="MES_ANO" localSheetId="26">INDEX({"01";"02";"03";"04";"05";"06";"07";"08";"09";"10";"11";"12"},MONTH([1]Dados!$B:$B),1)&amp;"/"&amp;YEAR([1]Dados!$B:$B)</definedName>
    <definedName name="MES_ANO">INDEX({"01";"02";"03";"04";"05";"06";"07";"08";"09";"10";"11";"12"},MONTH([1]Dados!$B:$B),1)&amp;"/"&amp;YEAR([1]Dados!$B:$B)</definedName>
    <definedName name="PCONTAS">OFFSET(PContas!$A$2,0,0,COUNTA(PContas!$A:$A)-1,1)</definedName>
    <definedName name="Pessoal" localSheetId="19">OFFSET(#REF!,0,0,COUNTA(#REF!)-1,1)</definedName>
    <definedName name="Pessoal" localSheetId="15">OFFSET(#REF!,0,0,COUNTA(#REF!)-1,1)</definedName>
    <definedName name="Pessoal" localSheetId="16">OFFSET(#REF!,0,0,COUNTA(#REF!)-1,1)</definedName>
    <definedName name="Pessoal" localSheetId="1">OFFSET(#REF!,0,0,COUNTA(#REF!)-1,1)</definedName>
    <definedName name="Pessoal" localSheetId="2">OFFSET(#REF!,0,0,COUNTA(#REF!)-1,1)</definedName>
    <definedName name="Pessoal" localSheetId="3">OFFSET(#REF!,0,0,COUNTA(#REF!)-1,1)</definedName>
    <definedName name="Pessoal" localSheetId="0">OFFSET(#REF!,0,0,COUNTA(#REF!)-1,1)</definedName>
    <definedName name="Pessoal" localSheetId="12">OFFSET(#REF!,0,0,COUNTA(#REF!)-1,1)</definedName>
    <definedName name="Pessoal" localSheetId="28">OFFSET(#REF!,0,0,COUNTA(#REF!)-1,1)</definedName>
    <definedName name="Pessoal" localSheetId="8">OFFSET(#REF!,0,0,COUNTA(#REF!)-1,1)</definedName>
    <definedName name="Pessoal" localSheetId="17">OFFSET(#REF!,0,0,COUNTA(#REF!)-1,1)</definedName>
    <definedName name="Pessoal" localSheetId="14">OFFSET(PContas!#REF!,0,0,COUNTA(PContas!#REF!)-1,1)</definedName>
    <definedName name="Pessoal">OFFSET(#REF!,0,0,COUNTA(#REF!)-1,1)</definedName>
    <definedName name="Pessoal2" localSheetId="15">OFFSET(#REF!,0,0,COUNTA(#REF!)-1,1)</definedName>
    <definedName name="Pessoal2" localSheetId="16">OFFSET(#REF!,0,0,COUNTA(#REF!)-1,1)</definedName>
    <definedName name="Pessoal2" localSheetId="1">OFFSET(#REF!,0,0,COUNTA(#REF!)-1,1)</definedName>
    <definedName name="Pessoal2" localSheetId="2">OFFSET(#REF!,0,0,COUNTA(#REF!)-1,1)</definedName>
    <definedName name="Pessoal2" localSheetId="3">OFFSET(#REF!,0,0,COUNTA(#REF!)-1,1)</definedName>
    <definedName name="Pessoal2" localSheetId="0">OFFSET(#REF!,0,0,COUNTA(#REF!)-1,1)</definedName>
    <definedName name="Pessoal2" localSheetId="12">OFFSET(#REF!,0,0,COUNTA(#REF!)-1,1)</definedName>
    <definedName name="Pessoal2" localSheetId="28">OFFSET(#REF!,0,0,COUNTA(#REF!)-1,1)</definedName>
    <definedName name="Pessoal2" localSheetId="8">OFFSET(#REF!,0,0,COUNTA(#REF!)-1,1)</definedName>
    <definedName name="Pessoal2" localSheetId="17">OFFSET(#REF!,0,0,COUNTA(#REF!)-1,1)</definedName>
    <definedName name="Pessoal2">OFFSET(#REF!,0,0,COUNTA(#REF!)-1,1)</definedName>
    <definedName name="Profissional" localSheetId="19">OFFSET(#REF!,0,0,COUNTA(#REF!)-1,1)</definedName>
    <definedName name="Profissional" localSheetId="15">OFFSET(#REF!,0,0,COUNTA(#REF!)-1,1)</definedName>
    <definedName name="Profissional" localSheetId="16">OFFSET(#REF!,0,0,COUNTA(#REF!)-1,1)</definedName>
    <definedName name="Profissional" localSheetId="1">OFFSET(#REF!,0,0,COUNTA(#REF!)-1,1)</definedName>
    <definedName name="Profissional" localSheetId="2">OFFSET(#REF!,0,0,COUNTA(#REF!)-1,1)</definedName>
    <definedName name="Profissional" localSheetId="3">OFFSET(#REF!,0,0,COUNTA(#REF!)-1,1)</definedName>
    <definedName name="Profissional" localSheetId="0">OFFSET(#REF!,0,0,COUNTA(#REF!)-1,1)</definedName>
    <definedName name="Profissional" localSheetId="12">OFFSET(#REF!,0,0,COUNTA(#REF!)-1,1)</definedName>
    <definedName name="Profissional" localSheetId="28">OFFSET(#REF!,0,0,COUNTA(#REF!)-1,1)</definedName>
    <definedName name="Profissional" localSheetId="8">OFFSET(#REF!,0,0,COUNTA(#REF!)-1,1)</definedName>
    <definedName name="Profissional" localSheetId="17">OFFSET(#REF!,0,0,COUNTA(#REF!)-1,1)</definedName>
    <definedName name="Profissional" localSheetId="14">OFFSET(PContas!#REF!,0,0,COUNTA(PContas!#REF!)-1,1)</definedName>
    <definedName name="Profissional">OFFSET(#REF!,0,0,COUNTA(#REF!)-1,1)</definedName>
    <definedName name="SubCategoria" localSheetId="15">OFFSET([1]Apoio!$A$1,1,MATCH([1]Dados!XFD1,[2]!Categoria,0)-1,COUNTA(INDIRECT("Apoio!"&amp;LEFT(ADDRESS(1,MATCH([1]Dados!XFD1,[2]!Categoria,0)),2)&amp;":"&amp;LEFT(ADDRESS(1,MATCH([1]Dados!XFD1,[2]!Categoria,0)),2)))-1,1)</definedName>
    <definedName name="SubCategoria" localSheetId="16">OFFSET([1]Apoio!$A$1,1,MATCH([1]Dados!XFD1,[2]!Categoria,0)-1,COUNTA(INDIRECT("Apoio!"&amp;LEFT(ADDRESS(1,MATCH([1]Dados!XFD1,[2]!Categoria,0)),2)&amp;":"&amp;LEFT(ADDRESS(1,MATCH([1]Dados!XFD1,[2]!Categoria,0)),2)))-1,1)</definedName>
    <definedName name="SubCategoria" localSheetId="1">OFFSET([1]Apoio!$A$1,1,MATCH([1]Dados!XFD1,[2]!Categoria,0)-1,COUNTA(INDIRECT("Apoio!"&amp;LEFT(ADDRESS(1,MATCH([1]Dados!XFD1,[2]!Categoria,0)),2)&amp;":"&amp;LEFT(ADDRESS(1,MATCH([1]Dados!XFD1,[2]!Categoria,0)),2)))-1,1)</definedName>
    <definedName name="SubCategoria" localSheetId="2">OFFSET([1]Apoio!$A$1,1,MATCH([1]Dados!XFD1,[2]!Categoria,0)-1,COUNTA(INDIRECT("Apoio!"&amp;LEFT(ADDRESS(1,MATCH([1]Dados!XFD1,[2]!Categoria,0)),2)&amp;":"&amp;LEFT(ADDRESS(1,MATCH([1]Dados!XFD1,[2]!Categoria,0)),2)))-1,1)</definedName>
    <definedName name="SubCategoria" localSheetId="3">OFFSET([1]Apoio!$A$1,1,MATCH([1]Dados!XFD1,[2]!Categoria,0)-1,COUNTA(INDIRECT("Apoio!"&amp;LEFT(ADDRESS(1,MATCH([1]Dados!XFD1,[2]!Categoria,0)),2)&amp;":"&amp;LEFT(ADDRESS(1,MATCH([1]Dados!XFD1,[2]!Categoria,0)),2)))-1,1)</definedName>
    <definedName name="SubCategoria" localSheetId="0">OFFSET([1]Apoio!$A$1,1,MATCH([1]Dados!XFD1,[2]!Categoria,0)-1,COUNTA(INDIRECT("Apoio!"&amp;LEFT(ADDRESS(1,MATCH([1]Dados!XFD1,[2]!Categoria,0)),2)&amp;":"&amp;LEFT(ADDRESS(1,MATCH([1]Dados!XFD1,[2]!Categoria,0)),2)))-1,1)</definedName>
    <definedName name="SubCategoria" localSheetId="24">OFFSET([1]Apoio!$A$1,1,MATCH([1]Dados!XFD1,Categoria,0)-1,COUNTA(INDIRECT("Apoio!"&amp;LEFT(ADDRESS(1,MATCH([1]Dados!XFD1,Categoria,0)),2)&amp;":"&amp;LEFT(ADDRESS(1,MATCH([1]Dados!XFD1,Categoria,0)),2)))-1,1)</definedName>
    <definedName name="SubCategoria" localSheetId="17">OFFSET([1]Apoio!$A$1,1,MATCH([1]Dados!XFD1,[2]!Categoria,0)-1,COUNTA(INDIRECT("Apoio!"&amp;LEFT(ADDRESS(1,MATCH([1]Dados!XFD1,[2]!Categoria,0)),2)&amp;":"&amp;LEFT(ADDRESS(1,MATCH([1]Dados!XFD1,[2]!Categoria,0)),2)))-1,1)</definedName>
    <definedName name="SubCategoria" localSheetId="26">OFFSET([1]Apoio!$A$1,1,MATCH([1]Dados!XFD1,Categoria,0)-1,COUNTA(INDIRECT("Apoio!"&amp;LEFT(ADDRESS(1,MATCH([1]Dados!XFD1,Categoria,0)),2)&amp;":"&amp;LEFT(ADDRESS(1,MATCH([1]Dados!XFD1,Categoria,0)),2)))-1,1)</definedName>
    <definedName name="SubCategoria">OFFSET([1]Apoio!$A$1,1,MATCH([1]Dados!XFD1,Categoria,0)-1,COUNTA(INDIRECT("Apoio!"&amp;LEFT(ADDRESS(1,MATCH([1]Dados!XFD1,Categoria,0)),2)&amp;":"&amp;LEFT(ADDRESS(1,MATCH([1]Dados!XFD1,Categoria,0)),2)))-1,1)</definedName>
    <definedName name="Telefones" localSheetId="15">OFFSET([3]Numeros!$A$2,0,0,COUNTA([3]Numeros!$A:$A)-1,1)</definedName>
    <definedName name="Telefones" localSheetId="16">OFFSET([3]Numeros!$A$2,0,0,COUNTA([3]Numeros!$A:$A)-1,1)</definedName>
    <definedName name="Telefones" localSheetId="1">OFFSET([3]Numeros!$A$2,0,0,COUNTA([3]Numeros!$A:$A)-1,1)</definedName>
    <definedName name="Telefones" localSheetId="2">OFFSET([3]Numeros!$A$2,0,0,COUNTA([3]Numeros!$A:$A)-1,1)</definedName>
    <definedName name="Telefones" localSheetId="3">OFFSET([3]Numeros!$A$2,0,0,COUNTA([3]Numeros!$A:$A)-1,1)</definedName>
    <definedName name="Telefones" localSheetId="0">OFFSET([3]Numeros!$A$2,0,0,COUNTA([3]Numeros!$A:$A)-1,1)</definedName>
    <definedName name="Telefones" localSheetId="5">OFFSET([3]Numeros!$A$2,0,0,COUNTA([3]Numeros!$A:$A)-1,1)</definedName>
    <definedName name="Telefones" localSheetId="24">OFFSET([3]Numeros!$A$2,0,0,COUNTA([3]Numeros!$A:$A)-1,1)</definedName>
    <definedName name="Telefones" localSheetId="17">OFFSET([3]Numeros!$A$2,0,0,COUNTA([3]Numeros!$A:$A)-1,1)</definedName>
    <definedName name="Telefones" localSheetId="26">OFFSET([3]Numeros!$A$2,0,0,COUNTA([3]Numeros!$A:$A)-1,1)</definedName>
    <definedName name="Telefones">OFFSET(Numeros!$A$2,0,0,COUNTA(Numeros!$A:$A)-1,1)</definedName>
    <definedName name="TESTE" localSheetId="15">INDEX({"01";"02";"03";"04";"05";"06";"07";"08";"09";"10";"11";"12"},MONTH([1]Dados!$B:$B),1)&amp;"/"&amp;YEAR([1]Dados!$B:$B)</definedName>
    <definedName name="TESTE" localSheetId="16">INDEX({"01";"02";"03";"04";"05";"06";"07";"08";"09";"10";"11";"12"},MONTH([1]Dados!$B:$B),1)&amp;"/"&amp;YEAR([1]Dados!$B:$B)</definedName>
    <definedName name="TESTE" localSheetId="1">INDEX({"01";"02";"03";"04";"05";"06";"07";"08";"09";"10";"11";"12"},MONTH([1]Dados!$B:$B),1)&amp;"/"&amp;YEAR([1]Dados!$B:$B)</definedName>
    <definedName name="TESTE" localSheetId="2">INDEX({"01";"02";"03";"04";"05";"06";"07";"08";"09";"10";"11";"12"},MONTH([1]Dados!$B:$B),1)&amp;"/"&amp;YEAR([1]Dados!$B:$B)</definedName>
    <definedName name="TESTE" localSheetId="3">INDEX({"01";"02";"03";"04";"05";"06";"07";"08";"09";"10";"11";"12"},MONTH([1]Dados!$B:$B),1)&amp;"/"&amp;YEAR([1]Dados!$B:$B)</definedName>
    <definedName name="TESTE" localSheetId="0">INDEX({"01";"02";"03";"04";"05";"06";"07";"08";"09";"10";"11";"12"},MONTH([1]Dados!$B:$B),1)&amp;"/"&amp;YEAR([1]Dados!$B:$B)</definedName>
    <definedName name="TESTE" localSheetId="24">INDEX({"01";"02";"03";"04";"05";"06";"07";"08";"09";"10";"11";"12"},MONTH([1]Dados!$B:$B),1)&amp;"/"&amp;YEAR([1]Dados!$B:$B)</definedName>
    <definedName name="TESTE" localSheetId="17">INDEX({"01";"02";"03";"04";"05";"06";"07";"08";"09";"10";"11";"12"},MONTH([1]Dados!$B:$B),1)&amp;"/"&amp;YEAR([1]Dados!$B:$B)</definedName>
    <definedName name="TESTE" localSheetId="26">INDEX({"01";"02";"03";"04";"05";"06";"07";"08";"09";"10";"11";"12"},MONTH([1]Dados!$B:$B),1)&amp;"/"&amp;YEAR([1]Dados!$B:$B)</definedName>
    <definedName name="TESTE">INDEX({"01";"02";"03";"04";"05";"06";"07";"08";"09";"10";"11";"12"},MONTH([1]Dados!$B:$B),1)&amp;"/"&amp;YEAR([1]Dados!$B:$B)</definedName>
    <definedName name="_xlnm.Print_Titles" localSheetId="9">MOVIMENTO!$1:$1</definedName>
  </definedNames>
  <calcPr calcId="125725"/>
  <pivotCaches>
    <pivotCache cacheId="93" r:id="rId33"/>
    <pivotCache cacheId="111" r:id="rId34"/>
  </pivotCaches>
</workbook>
</file>

<file path=xl/calcChain.xml><?xml version="1.0" encoding="utf-8"?>
<calcChain xmlns="http://schemas.openxmlformats.org/spreadsheetml/2006/main">
  <c r="L8" i="26"/>
  <c r="G11" l="1"/>
  <c r="H11" s="1"/>
  <c r="G10"/>
  <c r="H10" s="1"/>
  <c r="G6"/>
  <c r="H6"/>
  <c r="G8"/>
  <c r="H8" s="1"/>
  <c r="G9"/>
  <c r="H9" s="1"/>
  <c r="G7"/>
  <c r="H7" s="1"/>
  <c r="G4" l="1"/>
  <c r="I164" i="41" l="1"/>
  <c r="I163"/>
  <c r="I162"/>
  <c r="I161"/>
  <c r="I160"/>
  <c r="I159"/>
  <c r="I158"/>
  <c r="I157"/>
  <c r="I156"/>
  <c r="I155"/>
  <c r="I154"/>
  <c r="I153"/>
  <c r="I152"/>
  <c r="I151"/>
  <c r="I150"/>
  <c r="I149"/>
  <c r="I148"/>
  <c r="I147"/>
  <c r="I146"/>
  <c r="I145"/>
  <c r="I144"/>
  <c r="I143"/>
  <c r="I142"/>
  <c r="I141"/>
  <c r="I140"/>
  <c r="I139"/>
  <c r="I138"/>
  <c r="I137"/>
  <c r="I136"/>
  <c r="I135"/>
  <c r="I134"/>
  <c r="I133"/>
  <c r="I132"/>
  <c r="I131"/>
  <c r="I130"/>
  <c r="I129"/>
  <c r="I128"/>
  <c r="I127"/>
  <c r="I126"/>
  <c r="I125"/>
  <c r="I124"/>
  <c r="I123"/>
  <c r="I122"/>
  <c r="I121"/>
  <c r="I120"/>
  <c r="I119"/>
  <c r="I118"/>
  <c r="I117"/>
  <c r="I116"/>
  <c r="I115"/>
  <c r="I114"/>
  <c r="I113"/>
  <c r="I112"/>
  <c r="I111"/>
  <c r="I110"/>
  <c r="I109"/>
  <c r="I108"/>
  <c r="I107"/>
  <c r="I106"/>
  <c r="I105"/>
  <c r="L164"/>
  <c r="L163"/>
  <c r="M163" s="1"/>
  <c r="L162"/>
  <c r="M162" s="1"/>
  <c r="L161"/>
  <c r="M161" s="1"/>
  <c r="L160"/>
  <c r="M160" s="1"/>
  <c r="L159"/>
  <c r="M159" s="1"/>
  <c r="L158"/>
  <c r="M158" s="1"/>
  <c r="L157"/>
  <c r="M157" s="1"/>
  <c r="L156"/>
  <c r="M156" s="1"/>
  <c r="L155"/>
  <c r="M155" s="1"/>
  <c r="L154"/>
  <c r="M154" s="1"/>
  <c r="L153"/>
  <c r="M153" s="1"/>
  <c r="L152"/>
  <c r="M152" s="1"/>
  <c r="L151"/>
  <c r="M151" s="1"/>
  <c r="L150"/>
  <c r="M150" s="1"/>
  <c r="L149"/>
  <c r="M149" s="1"/>
  <c r="L148"/>
  <c r="M148" s="1"/>
  <c r="L147"/>
  <c r="M147" s="1"/>
  <c r="L146"/>
  <c r="M146" s="1"/>
  <c r="L145"/>
  <c r="M145" s="1"/>
  <c r="L144"/>
  <c r="M144" s="1"/>
  <c r="L143"/>
  <c r="M143" s="1"/>
  <c r="L142"/>
  <c r="M142" s="1"/>
  <c r="L141"/>
  <c r="M141" s="1"/>
  <c r="L140"/>
  <c r="M140" s="1"/>
  <c r="L139"/>
  <c r="M139" s="1"/>
  <c r="L138"/>
  <c r="M138" s="1"/>
  <c r="L137"/>
  <c r="M137" s="1"/>
  <c r="L136"/>
  <c r="M136" s="1"/>
  <c r="L135"/>
  <c r="M135" s="1"/>
  <c r="L134"/>
  <c r="M134" s="1"/>
  <c r="L133"/>
  <c r="M133" s="1"/>
  <c r="L132"/>
  <c r="M132" s="1"/>
  <c r="L131"/>
  <c r="M131" s="1"/>
  <c r="L130"/>
  <c r="M130" s="1"/>
  <c r="L129"/>
  <c r="M129" s="1"/>
  <c r="L128"/>
  <c r="M128" s="1"/>
  <c r="L127"/>
  <c r="M127" s="1"/>
  <c r="L126"/>
  <c r="M126" s="1"/>
  <c r="L125"/>
  <c r="M125" s="1"/>
  <c r="L124"/>
  <c r="M124" s="1"/>
  <c r="L123"/>
  <c r="M123" s="1"/>
  <c r="L122"/>
  <c r="M122" s="1"/>
  <c r="L121"/>
  <c r="M121" s="1"/>
  <c r="L120"/>
  <c r="M120" s="1"/>
  <c r="L119"/>
  <c r="M119" s="1"/>
  <c r="L118"/>
  <c r="M118" s="1"/>
  <c r="L117"/>
  <c r="M117" s="1"/>
  <c r="L116"/>
  <c r="M116" s="1"/>
  <c r="L115"/>
  <c r="M115" s="1"/>
  <c r="L114"/>
  <c r="M114" s="1"/>
  <c r="L113"/>
  <c r="M113" s="1"/>
  <c r="L112"/>
  <c r="M112" s="1"/>
  <c r="L111"/>
  <c r="M111" s="1"/>
  <c r="L110"/>
  <c r="M110" s="1"/>
  <c r="L109"/>
  <c r="M109" s="1"/>
  <c r="L108"/>
  <c r="L107"/>
  <c r="M107" s="1"/>
  <c r="L106"/>
  <c r="L105"/>
  <c r="M105" s="1"/>
  <c r="L74"/>
  <c r="I74"/>
  <c r="L71"/>
  <c r="I71"/>
  <c r="L68"/>
  <c r="I68"/>
  <c r="L65"/>
  <c r="I65"/>
  <c r="L63"/>
  <c r="I63"/>
  <c r="L60"/>
  <c r="I60"/>
  <c r="L57"/>
  <c r="I57"/>
  <c r="L55"/>
  <c r="I55"/>
  <c r="I87"/>
  <c r="E182"/>
  <c r="P212"/>
  <c r="I104"/>
  <c r="L104"/>
  <c r="I165"/>
  <c r="L165"/>
  <c r="I166"/>
  <c r="L166"/>
  <c r="I167"/>
  <c r="L167"/>
  <c r="I168"/>
  <c r="L168"/>
  <c r="I169"/>
  <c r="L169"/>
  <c r="I170"/>
  <c r="L170"/>
  <c r="I171"/>
  <c r="L171"/>
  <c r="I172"/>
  <c r="L172"/>
  <c r="I173"/>
  <c r="L173"/>
  <c r="I174"/>
  <c r="L174"/>
  <c r="I175"/>
  <c r="L175"/>
  <c r="I176"/>
  <c r="L176"/>
  <c r="I177"/>
  <c r="L177"/>
  <c r="I178"/>
  <c r="L178"/>
  <c r="I179"/>
  <c r="L179"/>
  <c r="I90"/>
  <c r="I86"/>
  <c r="I85"/>
  <c r="A1" i="42"/>
  <c r="I84" i="41"/>
  <c r="I88"/>
  <c r="I89"/>
  <c r="I91"/>
  <c r="I92"/>
  <c r="I93"/>
  <c r="I94"/>
  <c r="I95"/>
  <c r="I96"/>
  <c r="I97"/>
  <c r="I98"/>
  <c r="L84"/>
  <c r="L85"/>
  <c r="L86"/>
  <c r="M86" s="1"/>
  <c r="N86" s="1"/>
  <c r="L87"/>
  <c r="L88"/>
  <c r="L89"/>
  <c r="L90"/>
  <c r="L91"/>
  <c r="L92"/>
  <c r="L93"/>
  <c r="L94"/>
  <c r="L95"/>
  <c r="L96"/>
  <c r="L97"/>
  <c r="L98"/>
  <c r="C20" i="24"/>
  <c r="I81" i="41"/>
  <c r="I80"/>
  <c r="I79"/>
  <c r="I76"/>
  <c r="L76"/>
  <c r="I77"/>
  <c r="L77"/>
  <c r="I78"/>
  <c r="L78"/>
  <c r="L79"/>
  <c r="L80"/>
  <c r="L81"/>
  <c r="I82"/>
  <c r="L82"/>
  <c r="I83"/>
  <c r="L83"/>
  <c r="I56"/>
  <c r="I73"/>
  <c r="I72"/>
  <c r="L75"/>
  <c r="I75"/>
  <c r="L73"/>
  <c r="L72"/>
  <c r="L100"/>
  <c r="I100"/>
  <c r="L99"/>
  <c r="I99"/>
  <c r="L70"/>
  <c r="I70"/>
  <c r="L69"/>
  <c r="I69"/>
  <c r="L67"/>
  <c r="I67"/>
  <c r="L61"/>
  <c r="I61"/>
  <c r="L59"/>
  <c r="I59"/>
  <c r="L51"/>
  <c r="I51"/>
  <c r="L50"/>
  <c r="I50"/>
  <c r="L44"/>
  <c r="I44"/>
  <c r="L43"/>
  <c r="I43"/>
  <c r="L66"/>
  <c r="I66"/>
  <c r="L64"/>
  <c r="I64"/>
  <c r="L62"/>
  <c r="I62"/>
  <c r="L58"/>
  <c r="I58"/>
  <c r="L56"/>
  <c r="L54"/>
  <c r="I54"/>
  <c r="L53"/>
  <c r="I53"/>
  <c r="L52"/>
  <c r="I52"/>
  <c r="I49"/>
  <c r="I48"/>
  <c r="I47"/>
  <c r="I46"/>
  <c r="I45"/>
  <c r="L45"/>
  <c r="L46"/>
  <c r="L47"/>
  <c r="L48"/>
  <c r="L49"/>
  <c r="L42"/>
  <c r="I42"/>
  <c r="L41"/>
  <c r="I41"/>
  <c r="L40"/>
  <c r="I40"/>
  <c r="L39"/>
  <c r="I39"/>
  <c r="L38"/>
  <c r="I38"/>
  <c r="L37"/>
  <c r="I37"/>
  <c r="J3" i="27"/>
  <c r="F15" i="52"/>
  <c r="C43"/>
  <c r="F42"/>
  <c r="F41"/>
  <c r="E41"/>
  <c r="F40"/>
  <c r="E39"/>
  <c r="F39" s="1"/>
  <c r="F38"/>
  <c r="F37"/>
  <c r="E37"/>
  <c r="F36"/>
  <c r="E35"/>
  <c r="F35" s="1"/>
  <c r="F34"/>
  <c r="F33"/>
  <c r="E33"/>
  <c r="F32"/>
  <c r="E31"/>
  <c r="F31" s="1"/>
  <c r="F30"/>
  <c r="E29"/>
  <c r="F29" s="1"/>
  <c r="F28"/>
  <c r="E27"/>
  <c r="F27" s="1"/>
  <c r="F26"/>
  <c r="E25"/>
  <c r="F25" s="1"/>
  <c r="F24"/>
  <c r="E23"/>
  <c r="F23" s="1"/>
  <c r="F22"/>
  <c r="E21"/>
  <c r="I7"/>
  <c r="F3"/>
  <c r="H2"/>
  <c r="F2"/>
  <c r="J17" i="29"/>
  <c r="J16"/>
  <c r="J15"/>
  <c r="F42" i="51"/>
  <c r="E41"/>
  <c r="F41" s="1"/>
  <c r="F40"/>
  <c r="F39"/>
  <c r="E39"/>
  <c r="F38"/>
  <c r="E37"/>
  <c r="F37" s="1"/>
  <c r="F36"/>
  <c r="F35"/>
  <c r="E35"/>
  <c r="F34"/>
  <c r="E33"/>
  <c r="F33" s="1"/>
  <c r="F32"/>
  <c r="F31"/>
  <c r="E31"/>
  <c r="F30"/>
  <c r="E29"/>
  <c r="F29" s="1"/>
  <c r="F28"/>
  <c r="E27"/>
  <c r="F27" s="1"/>
  <c r="F26"/>
  <c r="E25"/>
  <c r="F25" s="1"/>
  <c r="F24"/>
  <c r="E23"/>
  <c r="F23" s="1"/>
  <c r="F22"/>
  <c r="E21"/>
  <c r="E43" s="1"/>
  <c r="I7"/>
  <c r="F3"/>
  <c r="H2"/>
  <c r="F2"/>
  <c r="F42" i="50"/>
  <c r="F41"/>
  <c r="E41"/>
  <c r="F40"/>
  <c r="E39"/>
  <c r="F39" s="1"/>
  <c r="F38"/>
  <c r="F37"/>
  <c r="E37"/>
  <c r="F36"/>
  <c r="E35"/>
  <c r="F35" s="1"/>
  <c r="F34"/>
  <c r="F33"/>
  <c r="E33"/>
  <c r="F32"/>
  <c r="E31"/>
  <c r="F31" s="1"/>
  <c r="F30"/>
  <c r="E29"/>
  <c r="F29" s="1"/>
  <c r="F28"/>
  <c r="E27"/>
  <c r="F27" s="1"/>
  <c r="F26"/>
  <c r="E25"/>
  <c r="F25" s="1"/>
  <c r="F24"/>
  <c r="E23"/>
  <c r="F23" s="1"/>
  <c r="F22"/>
  <c r="F21"/>
  <c r="E21"/>
  <c r="I7"/>
  <c r="F3"/>
  <c r="H2"/>
  <c r="F2"/>
  <c r="M90" i="41" l="1"/>
  <c r="N90" s="1"/>
  <c r="M164"/>
  <c r="O164" s="1"/>
  <c r="M106"/>
  <c r="N106" s="1"/>
  <c r="M108"/>
  <c r="O108" s="1"/>
  <c r="O135"/>
  <c r="N135"/>
  <c r="O136"/>
  <c r="N136"/>
  <c r="O137"/>
  <c r="N137"/>
  <c r="O138"/>
  <c r="N138"/>
  <c r="O139"/>
  <c r="N139"/>
  <c r="O140"/>
  <c r="N140"/>
  <c r="O141"/>
  <c r="N141"/>
  <c r="O142"/>
  <c r="N142"/>
  <c r="O143"/>
  <c r="N143"/>
  <c r="O144"/>
  <c r="N144"/>
  <c r="O145"/>
  <c r="N145"/>
  <c r="O146"/>
  <c r="N146"/>
  <c r="O147"/>
  <c r="N147"/>
  <c r="O148"/>
  <c r="N148"/>
  <c r="O149"/>
  <c r="N149"/>
  <c r="O150"/>
  <c r="N150"/>
  <c r="O151"/>
  <c r="N151"/>
  <c r="O152"/>
  <c r="N152"/>
  <c r="O153"/>
  <c r="N153"/>
  <c r="O154"/>
  <c r="N154"/>
  <c r="O155"/>
  <c r="N155"/>
  <c r="O156"/>
  <c r="N156"/>
  <c r="O157"/>
  <c r="N157"/>
  <c r="O158"/>
  <c r="N158"/>
  <c r="O159"/>
  <c r="N159"/>
  <c r="O160"/>
  <c r="N160"/>
  <c r="O161"/>
  <c r="N161"/>
  <c r="O162"/>
  <c r="N162"/>
  <c r="O163"/>
  <c r="N163"/>
  <c r="O105"/>
  <c r="N105"/>
  <c r="O106"/>
  <c r="O107"/>
  <c r="N107"/>
  <c r="O109"/>
  <c r="N109"/>
  <c r="O110"/>
  <c r="N110"/>
  <c r="O111"/>
  <c r="N111"/>
  <c r="O112"/>
  <c r="N112"/>
  <c r="O113"/>
  <c r="N113"/>
  <c r="O114"/>
  <c r="N114"/>
  <c r="O115"/>
  <c r="N115"/>
  <c r="O116"/>
  <c r="N116"/>
  <c r="O117"/>
  <c r="N117"/>
  <c r="O118"/>
  <c r="N118"/>
  <c r="O119"/>
  <c r="N119"/>
  <c r="O120"/>
  <c r="N120"/>
  <c r="O121"/>
  <c r="N121"/>
  <c r="O122"/>
  <c r="N122"/>
  <c r="O123"/>
  <c r="N123"/>
  <c r="O124"/>
  <c r="N124"/>
  <c r="O125"/>
  <c r="N125"/>
  <c r="O126"/>
  <c r="N126"/>
  <c r="O127"/>
  <c r="N127"/>
  <c r="O128"/>
  <c r="N128"/>
  <c r="O129"/>
  <c r="N129"/>
  <c r="O130"/>
  <c r="N130"/>
  <c r="O131"/>
  <c r="N131"/>
  <c r="O132"/>
  <c r="N132"/>
  <c r="O133"/>
  <c r="N133"/>
  <c r="O134"/>
  <c r="N134"/>
  <c r="M57"/>
  <c r="O57" s="1"/>
  <c r="M60"/>
  <c r="N60" s="1"/>
  <c r="M65"/>
  <c r="N65" s="1"/>
  <c r="M68"/>
  <c r="O68" s="1"/>
  <c r="M71"/>
  <c r="N71" s="1"/>
  <c r="M74"/>
  <c r="O74" s="1"/>
  <c r="O71"/>
  <c r="M63"/>
  <c r="O63" s="1"/>
  <c r="M55"/>
  <c r="O55" s="1"/>
  <c r="M82"/>
  <c r="N82" s="1"/>
  <c r="M79"/>
  <c r="N79" s="1"/>
  <c r="M80"/>
  <c r="N80" s="1"/>
  <c r="M96"/>
  <c r="N96" s="1"/>
  <c r="M94"/>
  <c r="N94" s="1"/>
  <c r="M92"/>
  <c r="N92" s="1"/>
  <c r="M84"/>
  <c r="N84" s="1"/>
  <c r="M178"/>
  <c r="N178" s="1"/>
  <c r="M177"/>
  <c r="O177" s="1"/>
  <c r="M176"/>
  <c r="O176" s="1"/>
  <c r="M175"/>
  <c r="O175" s="1"/>
  <c r="M173"/>
  <c r="O173" s="1"/>
  <c r="M172"/>
  <c r="O172" s="1"/>
  <c r="M171"/>
  <c r="O171" s="1"/>
  <c r="M170"/>
  <c r="O170" s="1"/>
  <c r="M169"/>
  <c r="O169" s="1"/>
  <c r="M168"/>
  <c r="O168" s="1"/>
  <c r="M167"/>
  <c r="N167" s="1"/>
  <c r="M166"/>
  <c r="O166" s="1"/>
  <c r="M165"/>
  <c r="N165" s="1"/>
  <c r="M104"/>
  <c r="N104" s="1"/>
  <c r="M179"/>
  <c r="N179" s="1"/>
  <c r="M174"/>
  <c r="N174" s="1"/>
  <c r="N171"/>
  <c r="M97"/>
  <c r="O97" s="1"/>
  <c r="M95"/>
  <c r="O95" s="1"/>
  <c r="M93"/>
  <c r="O93" s="1"/>
  <c r="M91"/>
  <c r="N91" s="1"/>
  <c r="M89"/>
  <c r="N89" s="1"/>
  <c r="M87"/>
  <c r="M85"/>
  <c r="N85" s="1"/>
  <c r="M98"/>
  <c r="N98" s="1"/>
  <c r="O90"/>
  <c r="P90" s="1"/>
  <c r="M88"/>
  <c r="N88" s="1"/>
  <c r="O86"/>
  <c r="P86" s="1"/>
  <c r="M76"/>
  <c r="N76" s="1"/>
  <c r="M78"/>
  <c r="N78" s="1"/>
  <c r="M81"/>
  <c r="N81" s="1"/>
  <c r="M77"/>
  <c r="N77" s="1"/>
  <c r="M72"/>
  <c r="N72" s="1"/>
  <c r="M43"/>
  <c r="N43" s="1"/>
  <c r="M50"/>
  <c r="N50" s="1"/>
  <c r="M51"/>
  <c r="O51" s="1"/>
  <c r="M59"/>
  <c r="N59" s="1"/>
  <c r="M61"/>
  <c r="N61" s="1"/>
  <c r="M83"/>
  <c r="O83" s="1"/>
  <c r="M99"/>
  <c r="O99" s="1"/>
  <c r="M73"/>
  <c r="O73" s="1"/>
  <c r="M100"/>
  <c r="N100" s="1"/>
  <c r="M69"/>
  <c r="N69" s="1"/>
  <c r="M70"/>
  <c r="N70" s="1"/>
  <c r="M49"/>
  <c r="O49" s="1"/>
  <c r="M47"/>
  <c r="O47" s="1"/>
  <c r="M75"/>
  <c r="N75" s="1"/>
  <c r="M67"/>
  <c r="N67" s="1"/>
  <c r="O75"/>
  <c r="N51"/>
  <c r="M44"/>
  <c r="O44" s="1"/>
  <c r="O43"/>
  <c r="M46"/>
  <c r="N46" s="1"/>
  <c r="M52"/>
  <c r="N52" s="1"/>
  <c r="M53"/>
  <c r="N53" s="1"/>
  <c r="M54"/>
  <c r="N54" s="1"/>
  <c r="M56"/>
  <c r="N56" s="1"/>
  <c r="M58"/>
  <c r="O58" s="1"/>
  <c r="M66"/>
  <c r="N66" s="1"/>
  <c r="M48"/>
  <c r="N48" s="1"/>
  <c r="M64"/>
  <c r="O64" s="1"/>
  <c r="M62"/>
  <c r="O62" s="1"/>
  <c r="M45"/>
  <c r="N45" s="1"/>
  <c r="M42"/>
  <c r="O42" s="1"/>
  <c r="M41"/>
  <c r="O41" s="1"/>
  <c r="M40"/>
  <c r="O40" s="1"/>
  <c r="M39"/>
  <c r="O39" s="1"/>
  <c r="M38"/>
  <c r="O38" s="1"/>
  <c r="M37"/>
  <c r="O37" s="1"/>
  <c r="E43" i="52"/>
  <c r="E45" s="1"/>
  <c r="E47" s="1"/>
  <c r="H13"/>
  <c r="F21"/>
  <c r="H13" i="51"/>
  <c r="H10"/>
  <c r="E45"/>
  <c r="E47" s="1"/>
  <c r="F43"/>
  <c r="G43" s="1"/>
  <c r="H12"/>
  <c r="H11"/>
  <c r="F21"/>
  <c r="E43" i="50"/>
  <c r="E45" s="1"/>
  <c r="F43"/>
  <c r="H11"/>
  <c r="G43"/>
  <c r="H10"/>
  <c r="F42" i="49"/>
  <c r="E41"/>
  <c r="F41" s="1"/>
  <c r="F40"/>
  <c r="F39"/>
  <c r="E39"/>
  <c r="F38"/>
  <c r="E37"/>
  <c r="F37" s="1"/>
  <c r="F36"/>
  <c r="E35"/>
  <c r="F35" s="1"/>
  <c r="F34"/>
  <c r="E33"/>
  <c r="F33" s="1"/>
  <c r="F32"/>
  <c r="E31"/>
  <c r="F31" s="1"/>
  <c r="F30"/>
  <c r="E29"/>
  <c r="F29" s="1"/>
  <c r="F28"/>
  <c r="E27"/>
  <c r="F27" s="1"/>
  <c r="F26"/>
  <c r="E25"/>
  <c r="F25" s="1"/>
  <c r="F24"/>
  <c r="E23"/>
  <c r="F23" s="1"/>
  <c r="F22"/>
  <c r="E21"/>
  <c r="E43" s="1"/>
  <c r="I7"/>
  <c r="F3"/>
  <c r="H2"/>
  <c r="F2"/>
  <c r="F42" i="48"/>
  <c r="E41"/>
  <c r="F41" s="1"/>
  <c r="F40"/>
  <c r="E39"/>
  <c r="F39" s="1"/>
  <c r="F38"/>
  <c r="E37"/>
  <c r="F37" s="1"/>
  <c r="F36"/>
  <c r="E35"/>
  <c r="F35" s="1"/>
  <c r="F34"/>
  <c r="E33"/>
  <c r="F33" s="1"/>
  <c r="F32"/>
  <c r="E31"/>
  <c r="F31" s="1"/>
  <c r="F30"/>
  <c r="E29"/>
  <c r="F29" s="1"/>
  <c r="F28"/>
  <c r="E27"/>
  <c r="F27" s="1"/>
  <c r="F26"/>
  <c r="E25"/>
  <c r="F25" s="1"/>
  <c r="F24"/>
  <c r="E23"/>
  <c r="F23" s="1"/>
  <c r="F22"/>
  <c r="F21"/>
  <c r="E21"/>
  <c r="I7"/>
  <c r="F3"/>
  <c r="H2"/>
  <c r="F2"/>
  <c r="E41" i="47"/>
  <c r="E39"/>
  <c r="F39" s="1"/>
  <c r="E37"/>
  <c r="F37" s="1"/>
  <c r="E35"/>
  <c r="E33"/>
  <c r="E31"/>
  <c r="E29"/>
  <c r="E27"/>
  <c r="E25"/>
  <c r="E23"/>
  <c r="E21"/>
  <c r="F42"/>
  <c r="F41"/>
  <c r="F40"/>
  <c r="F38"/>
  <c r="F36"/>
  <c r="F35"/>
  <c r="N57" i="41" l="1"/>
  <c r="O65"/>
  <c r="O84"/>
  <c r="P84" s="1"/>
  <c r="P134"/>
  <c r="P133"/>
  <c r="P132"/>
  <c r="P131"/>
  <c r="P130"/>
  <c r="P129"/>
  <c r="P128"/>
  <c r="P127"/>
  <c r="P126"/>
  <c r="P125"/>
  <c r="P124"/>
  <c r="P123"/>
  <c r="P122"/>
  <c r="P121"/>
  <c r="P120"/>
  <c r="P119"/>
  <c r="P118"/>
  <c r="P117"/>
  <c r="P116"/>
  <c r="P115"/>
  <c r="P114"/>
  <c r="P113"/>
  <c r="P112"/>
  <c r="P111"/>
  <c r="P110"/>
  <c r="P109"/>
  <c r="N108"/>
  <c r="P108" s="1"/>
  <c r="N164"/>
  <c r="P156"/>
  <c r="P155"/>
  <c r="P154"/>
  <c r="P153"/>
  <c r="P152"/>
  <c r="P151"/>
  <c r="P150"/>
  <c r="P149"/>
  <c r="P148"/>
  <c r="P147"/>
  <c r="P146"/>
  <c r="P145"/>
  <c r="P144"/>
  <c r="P143"/>
  <c r="P142"/>
  <c r="P141"/>
  <c r="P140"/>
  <c r="P139"/>
  <c r="P138"/>
  <c r="P137"/>
  <c r="P136"/>
  <c r="P135"/>
  <c r="P107"/>
  <c r="P106"/>
  <c r="P105"/>
  <c r="P164"/>
  <c r="P163"/>
  <c r="P162"/>
  <c r="P161"/>
  <c r="P160"/>
  <c r="P159"/>
  <c r="P158"/>
  <c r="P157"/>
  <c r="O165"/>
  <c r="O60"/>
  <c r="P60" s="1"/>
  <c r="N68"/>
  <c r="O80"/>
  <c r="P80" s="1"/>
  <c r="N168"/>
  <c r="N177"/>
  <c r="P177" s="1"/>
  <c r="N74"/>
  <c r="P74" s="1"/>
  <c r="N63"/>
  <c r="P63" s="1"/>
  <c r="N97"/>
  <c r="P97" s="1"/>
  <c r="O94"/>
  <c r="P94" s="1"/>
  <c r="N55"/>
  <c r="O79"/>
  <c r="P79" s="1"/>
  <c r="O92"/>
  <c r="P92" s="1"/>
  <c r="P65"/>
  <c r="P68"/>
  <c r="P71"/>
  <c r="P57"/>
  <c r="O78"/>
  <c r="P78" s="1"/>
  <c r="O91"/>
  <c r="P91" s="1"/>
  <c r="O82"/>
  <c r="P82" s="1"/>
  <c r="N87"/>
  <c r="O85"/>
  <c r="P85" s="1"/>
  <c r="O96"/>
  <c r="P96" s="1"/>
  <c r="N173"/>
  <c r="O167"/>
  <c r="P167" s="1"/>
  <c r="N169"/>
  <c r="N176"/>
  <c r="O178"/>
  <c r="P178" s="1"/>
  <c r="O76"/>
  <c r="P76" s="1"/>
  <c r="O89"/>
  <c r="P89" s="1"/>
  <c r="N93"/>
  <c r="O104"/>
  <c r="P104" s="1"/>
  <c r="O98"/>
  <c r="P98" s="1"/>
  <c r="O179"/>
  <c r="P179" s="1"/>
  <c r="N172"/>
  <c r="N166"/>
  <c r="N170"/>
  <c r="N175"/>
  <c r="O50"/>
  <c r="P50" s="1"/>
  <c r="O174"/>
  <c r="P165"/>
  <c r="P174"/>
  <c r="P168"/>
  <c r="P171"/>
  <c r="N95"/>
  <c r="O87"/>
  <c r="O88"/>
  <c r="P88" s="1"/>
  <c r="N83"/>
  <c r="O46"/>
  <c r="P46" s="1"/>
  <c r="N49"/>
  <c r="O59"/>
  <c r="P59" s="1"/>
  <c r="O72"/>
  <c r="P72" s="1"/>
  <c r="O69"/>
  <c r="P69" s="1"/>
  <c r="N73"/>
  <c r="O77"/>
  <c r="P77" s="1"/>
  <c r="O81"/>
  <c r="P81" s="1"/>
  <c r="N47"/>
  <c r="O61"/>
  <c r="O53"/>
  <c r="P53" s="1"/>
  <c r="N99"/>
  <c r="O100"/>
  <c r="P100" s="1"/>
  <c r="O70"/>
  <c r="P70" s="1"/>
  <c r="O67"/>
  <c r="P67" s="1"/>
  <c r="O54"/>
  <c r="P54" s="1"/>
  <c r="O52"/>
  <c r="P52" s="1"/>
  <c r="N58"/>
  <c r="N44"/>
  <c r="P61"/>
  <c r="P75"/>
  <c r="P51"/>
  <c r="P43"/>
  <c r="O56"/>
  <c r="P56" s="1"/>
  <c r="O66"/>
  <c r="P66" s="1"/>
  <c r="N62"/>
  <c r="O48"/>
  <c r="P48" s="1"/>
  <c r="N64"/>
  <c r="N39"/>
  <c r="O45"/>
  <c r="P45" s="1"/>
  <c r="N41"/>
  <c r="N37"/>
  <c r="N42"/>
  <c r="N38"/>
  <c r="N40"/>
  <c r="H11" i="52"/>
  <c r="H10"/>
  <c r="F43"/>
  <c r="G43" s="1"/>
  <c r="H12"/>
  <c r="H14" s="1"/>
  <c r="H3" s="1"/>
  <c r="I3" s="1"/>
  <c r="F47"/>
  <c r="G47" s="1"/>
  <c r="E15"/>
  <c r="E12"/>
  <c r="J3" s="1"/>
  <c r="E15" i="51"/>
  <c r="E12"/>
  <c r="J3" s="1"/>
  <c r="F47"/>
  <c r="G47" s="1"/>
  <c r="H14"/>
  <c r="H3" s="1"/>
  <c r="I3" s="1"/>
  <c r="H13" i="50"/>
  <c r="E47"/>
  <c r="F47" s="1"/>
  <c r="G47" s="1"/>
  <c r="H12"/>
  <c r="H14" s="1"/>
  <c r="H3" s="1"/>
  <c r="I3" s="1"/>
  <c r="E15"/>
  <c r="E45" i="49"/>
  <c r="E47" s="1"/>
  <c r="F43"/>
  <c r="H12"/>
  <c r="H11"/>
  <c r="G43"/>
  <c r="H13"/>
  <c r="H10"/>
  <c r="H14" s="1"/>
  <c r="H3" s="1"/>
  <c r="I3" s="1"/>
  <c r="F21"/>
  <c r="E43" i="48"/>
  <c r="E45" s="1"/>
  <c r="H11"/>
  <c r="C43" i="47"/>
  <c r="F34"/>
  <c r="F33"/>
  <c r="F32"/>
  <c r="F31"/>
  <c r="F30"/>
  <c r="F29"/>
  <c r="F28"/>
  <c r="F27"/>
  <c r="F26"/>
  <c r="F25"/>
  <c r="F24"/>
  <c r="F23"/>
  <c r="F22"/>
  <c r="E10"/>
  <c r="I7"/>
  <c r="F3"/>
  <c r="H2"/>
  <c r="F2"/>
  <c r="C28" i="46"/>
  <c r="E27"/>
  <c r="F27" s="1"/>
  <c r="F26"/>
  <c r="E25"/>
  <c r="F25" s="1"/>
  <c r="F24"/>
  <c r="E23"/>
  <c r="F23" s="1"/>
  <c r="F22"/>
  <c r="E21"/>
  <c r="E29" s="1"/>
  <c r="E31" s="1"/>
  <c r="E10"/>
  <c r="I7"/>
  <c r="F3"/>
  <c r="H2"/>
  <c r="F2"/>
  <c r="L35" i="41"/>
  <c r="I35"/>
  <c r="L34"/>
  <c r="I34"/>
  <c r="L33"/>
  <c r="I33"/>
  <c r="L32"/>
  <c r="I32"/>
  <c r="L31"/>
  <c r="I31"/>
  <c r="L30"/>
  <c r="I30"/>
  <c r="L29"/>
  <c r="I29"/>
  <c r="L28"/>
  <c r="I28"/>
  <c r="I19"/>
  <c r="L19"/>
  <c r="I20"/>
  <c r="L20"/>
  <c r="I21"/>
  <c r="L21"/>
  <c r="I22"/>
  <c r="L22"/>
  <c r="I23"/>
  <c r="L23"/>
  <c r="I24"/>
  <c r="L24"/>
  <c r="I25"/>
  <c r="L25"/>
  <c r="I26"/>
  <c r="L26"/>
  <c r="I27"/>
  <c r="L27"/>
  <c r="I36"/>
  <c r="L36"/>
  <c r="I101"/>
  <c r="L101"/>
  <c r="P40" l="1"/>
  <c r="P42"/>
  <c r="P41"/>
  <c r="P39"/>
  <c r="P44"/>
  <c r="P47"/>
  <c r="P83"/>
  <c r="P170"/>
  <c r="P172"/>
  <c r="P169"/>
  <c r="P173"/>
  <c r="P38"/>
  <c r="P37"/>
  <c r="P64"/>
  <c r="P62"/>
  <c r="P209" s="1"/>
  <c r="P58"/>
  <c r="P99"/>
  <c r="P73"/>
  <c r="P49"/>
  <c r="P95"/>
  <c r="P175"/>
  <c r="P166"/>
  <c r="P93"/>
  <c r="P176"/>
  <c r="P55"/>
  <c r="P210" s="1"/>
  <c r="P87"/>
  <c r="K3" i="52"/>
  <c r="E12" i="50"/>
  <c r="J3" s="1"/>
  <c r="K3" i="51"/>
  <c r="K3" i="50"/>
  <c r="F47" i="49"/>
  <c r="G47" s="1"/>
  <c r="E15"/>
  <c r="E12"/>
  <c r="J3" s="1"/>
  <c r="K3" s="1"/>
  <c r="H10" i="48"/>
  <c r="F43"/>
  <c r="G43" s="1"/>
  <c r="H12"/>
  <c r="E47"/>
  <c r="E15" s="1"/>
  <c r="H13"/>
  <c r="F47"/>
  <c r="G47" s="1"/>
  <c r="M35" i="41"/>
  <c r="O35" s="1"/>
  <c r="E33" i="46"/>
  <c r="E44" i="47"/>
  <c r="E46" s="1"/>
  <c r="E48" s="1"/>
  <c r="F48" s="1"/>
  <c r="G48" s="1"/>
  <c r="F21"/>
  <c r="H12" i="46"/>
  <c r="H11"/>
  <c r="H13"/>
  <c r="H10"/>
  <c r="F21"/>
  <c r="F29" s="1"/>
  <c r="M33" i="41"/>
  <c r="N33" s="1"/>
  <c r="M34"/>
  <c r="O34" s="1"/>
  <c r="O33"/>
  <c r="N34"/>
  <c r="M26"/>
  <c r="N26" s="1"/>
  <c r="M25"/>
  <c r="N25" s="1"/>
  <c r="M28"/>
  <c r="N28" s="1"/>
  <c r="M29"/>
  <c r="O29" s="1"/>
  <c r="M30"/>
  <c r="O30" s="1"/>
  <c r="M31"/>
  <c r="N31" s="1"/>
  <c r="M32"/>
  <c r="O32" s="1"/>
  <c r="M101"/>
  <c r="N101" s="1"/>
  <c r="M36"/>
  <c r="M27"/>
  <c r="N27" s="1"/>
  <c r="M23"/>
  <c r="N23" s="1"/>
  <c r="M22"/>
  <c r="N22" s="1"/>
  <c r="M21"/>
  <c r="N21" s="1"/>
  <c r="M20"/>
  <c r="N20" s="1"/>
  <c r="M24"/>
  <c r="N24" s="1"/>
  <c r="M19"/>
  <c r="N19" s="1"/>
  <c r="O21"/>
  <c r="P21" s="1"/>
  <c r="P224" l="1"/>
  <c r="N36"/>
  <c r="O31"/>
  <c r="P31" s="1"/>
  <c r="N29"/>
  <c r="N35"/>
  <c r="O27"/>
  <c r="P27" s="1"/>
  <c r="E12" i="48"/>
  <c r="J3" s="1"/>
  <c r="H14"/>
  <c r="H3" s="1"/>
  <c r="I3" s="1"/>
  <c r="K3" s="1"/>
  <c r="O101" i="41"/>
  <c r="P101" s="1"/>
  <c r="O23"/>
  <c r="P23" s="1"/>
  <c r="N30"/>
  <c r="P33"/>
  <c r="G29" i="46"/>
  <c r="F31"/>
  <c r="G31" s="1"/>
  <c r="E12"/>
  <c r="E15"/>
  <c r="H13" i="47"/>
  <c r="F44"/>
  <c r="G44" s="1"/>
  <c r="H11"/>
  <c r="H10"/>
  <c r="H12"/>
  <c r="E15"/>
  <c r="E12"/>
  <c r="J3" s="1"/>
  <c r="H14" i="46"/>
  <c r="H3" s="1"/>
  <c r="I3" s="1"/>
  <c r="J3"/>
  <c r="P34" i="41"/>
  <c r="O25"/>
  <c r="P25" s="1"/>
  <c r="O36"/>
  <c r="O20"/>
  <c r="P20" s="1"/>
  <c r="O22"/>
  <c r="P22" s="1"/>
  <c r="O28"/>
  <c r="P28" s="1"/>
  <c r="O19"/>
  <c r="P19" s="1"/>
  <c r="N32"/>
  <c r="O24"/>
  <c r="P24" s="1"/>
  <c r="O26"/>
  <c r="P26" s="1"/>
  <c r="P32" l="1"/>
  <c r="P30"/>
  <c r="P35"/>
  <c r="P29"/>
  <c r="P36"/>
  <c r="P208" s="1"/>
  <c r="K3" i="46"/>
  <c r="F33"/>
  <c r="G33" s="1"/>
  <c r="H14" i="47"/>
  <c r="H3" s="1"/>
  <c r="I3" s="1"/>
  <c r="K3" s="1"/>
  <c r="D2" i="43"/>
  <c r="I2"/>
  <c r="G5"/>
  <c r="G6"/>
  <c r="G7"/>
  <c r="G8"/>
  <c r="G9"/>
  <c r="G10"/>
  <c r="G11"/>
  <c r="G12"/>
  <c r="G13"/>
  <c r="G14"/>
  <c r="G15"/>
  <c r="G16"/>
  <c r="G17"/>
  <c r="G18"/>
  <c r="G19"/>
  <c r="G20"/>
  <c r="G21"/>
  <c r="G22"/>
  <c r="G23"/>
  <c r="G4"/>
  <c r="K2"/>
  <c r="M2" s="1"/>
  <c r="A2"/>
  <c r="I14" i="41"/>
  <c r="L14"/>
  <c r="I15"/>
  <c r="L15"/>
  <c r="I16"/>
  <c r="L16"/>
  <c r="I13"/>
  <c r="L13"/>
  <c r="I17"/>
  <c r="L17"/>
  <c r="I18"/>
  <c r="L18"/>
  <c r="G1202" i="2"/>
  <c r="E1202"/>
  <c r="I1" i="39"/>
  <c r="M1198" i="2"/>
  <c r="L1198"/>
  <c r="K1198"/>
  <c r="M1197"/>
  <c r="L1197"/>
  <c r="K1197"/>
  <c r="M1196"/>
  <c r="L1196"/>
  <c r="K1196"/>
  <c r="M1195"/>
  <c r="L1195"/>
  <c r="K1195"/>
  <c r="M1194"/>
  <c r="L1194"/>
  <c r="K1194"/>
  <c r="M1193"/>
  <c r="L1193"/>
  <c r="K1193"/>
  <c r="M1192"/>
  <c r="L1192"/>
  <c r="K1192"/>
  <c r="M1191"/>
  <c r="L1191"/>
  <c r="K1191"/>
  <c r="M1190"/>
  <c r="L1190"/>
  <c r="K1190"/>
  <c r="M1189"/>
  <c r="L1189"/>
  <c r="K1189"/>
  <c r="M1188"/>
  <c r="L1188"/>
  <c r="K1188"/>
  <c r="M1187"/>
  <c r="L1187"/>
  <c r="K1187"/>
  <c r="M1186"/>
  <c r="L1186"/>
  <c r="K1186"/>
  <c r="M1185"/>
  <c r="L1185"/>
  <c r="K1185"/>
  <c r="M1184"/>
  <c r="L1184"/>
  <c r="K1184"/>
  <c r="M1183"/>
  <c r="L1183"/>
  <c r="K1183"/>
  <c r="M1182"/>
  <c r="L1182"/>
  <c r="K1182"/>
  <c r="M1181"/>
  <c r="L1181"/>
  <c r="K1181"/>
  <c r="M1180"/>
  <c r="L1180"/>
  <c r="K1180"/>
  <c r="M1179"/>
  <c r="L1179"/>
  <c r="K1179"/>
  <c r="M1178"/>
  <c r="L1178"/>
  <c r="K1178"/>
  <c r="M1177"/>
  <c r="L1177"/>
  <c r="K1177"/>
  <c r="M1176"/>
  <c r="L1176"/>
  <c r="K1176"/>
  <c r="M1175"/>
  <c r="L1175"/>
  <c r="K1175"/>
  <c r="M1174"/>
  <c r="L1174"/>
  <c r="K1174"/>
  <c r="M1173"/>
  <c r="L1173"/>
  <c r="K1173"/>
  <c r="M1172"/>
  <c r="L1172"/>
  <c r="K1172"/>
  <c r="M1171"/>
  <c r="L1171"/>
  <c r="K1171"/>
  <c r="M1170"/>
  <c r="L1170"/>
  <c r="K1170"/>
  <c r="M1169"/>
  <c r="L1169"/>
  <c r="K1169"/>
  <c r="M1168"/>
  <c r="L1168"/>
  <c r="K1168"/>
  <c r="M1167"/>
  <c r="L1167"/>
  <c r="K1167"/>
  <c r="M1166"/>
  <c r="L1166"/>
  <c r="K1166"/>
  <c r="M1165"/>
  <c r="L1165"/>
  <c r="K1165"/>
  <c r="M1164"/>
  <c r="L1164"/>
  <c r="K1164"/>
  <c r="M1163"/>
  <c r="L1163"/>
  <c r="K1163"/>
  <c r="M1162"/>
  <c r="L1162"/>
  <c r="K1162"/>
  <c r="M1161"/>
  <c r="L1161"/>
  <c r="K1161"/>
  <c r="M1160"/>
  <c r="L1160"/>
  <c r="K1160"/>
  <c r="M1159"/>
  <c r="L1159"/>
  <c r="K1159"/>
  <c r="M1158"/>
  <c r="L1158"/>
  <c r="K1158"/>
  <c r="M1157"/>
  <c r="L1157"/>
  <c r="K1157"/>
  <c r="M1156"/>
  <c r="L1156"/>
  <c r="K1156"/>
  <c r="AS27" i="24"/>
  <c r="AO27"/>
  <c r="AS26"/>
  <c r="AO26"/>
  <c r="AS25"/>
  <c r="AO25"/>
  <c r="AS24"/>
  <c r="AO24"/>
  <c r="AS23"/>
  <c r="AO23"/>
  <c r="AS22"/>
  <c r="AO22"/>
  <c r="AS21"/>
  <c r="AO21"/>
  <c r="AS20"/>
  <c r="AO20"/>
  <c r="AS19"/>
  <c r="AO19"/>
  <c r="AS18"/>
  <c r="AO18"/>
  <c r="AS17"/>
  <c r="AO17"/>
  <c r="AS16"/>
  <c r="AO16"/>
  <c r="AS15"/>
  <c r="AO15"/>
  <c r="AS14"/>
  <c r="AO14"/>
  <c r="AS13"/>
  <c r="AO13"/>
  <c r="AS12"/>
  <c r="AO12"/>
  <c r="AS11"/>
  <c r="AO11"/>
  <c r="AS10"/>
  <c r="AO10"/>
  <c r="AS9"/>
  <c r="AO9"/>
  <c r="AS8"/>
  <c r="AO8"/>
  <c r="AS7"/>
  <c r="AO7"/>
  <c r="AS6"/>
  <c r="AO6"/>
  <c r="AS5"/>
  <c r="AO5"/>
  <c r="AS4"/>
  <c r="AO4"/>
  <c r="AS3"/>
  <c r="AO3"/>
  <c r="AS2"/>
  <c r="AO2"/>
  <c r="AP2" s="1"/>
  <c r="G27" i="42"/>
  <c r="G26"/>
  <c r="G25"/>
  <c r="G24"/>
  <c r="G23"/>
  <c r="G22"/>
  <c r="G21"/>
  <c r="G20"/>
  <c r="G19"/>
  <c r="G18"/>
  <c r="G17"/>
  <c r="G16"/>
  <c r="G15"/>
  <c r="G14"/>
  <c r="G13"/>
  <c r="G12"/>
  <c r="G11"/>
  <c r="G10"/>
  <c r="G9"/>
  <c r="G8"/>
  <c r="G7"/>
  <c r="G6"/>
  <c r="G5"/>
  <c r="G4"/>
  <c r="G3"/>
  <c r="G2"/>
  <c r="C3"/>
  <c r="C4"/>
  <c r="C5"/>
  <c r="C6"/>
  <c r="C7"/>
  <c r="C8"/>
  <c r="C9"/>
  <c r="C10"/>
  <c r="C11"/>
  <c r="C12"/>
  <c r="C13"/>
  <c r="C14"/>
  <c r="C15"/>
  <c r="C16"/>
  <c r="C17"/>
  <c r="C18"/>
  <c r="C19"/>
  <c r="C20"/>
  <c r="C21"/>
  <c r="C22"/>
  <c r="C23"/>
  <c r="C24"/>
  <c r="C25"/>
  <c r="C26"/>
  <c r="C27"/>
  <c r="C2"/>
  <c r="D2" s="1"/>
  <c r="M1111" i="2"/>
  <c r="L1111"/>
  <c r="K1111"/>
  <c r="M1145"/>
  <c r="L1145"/>
  <c r="K1145"/>
  <c r="M1142"/>
  <c r="L1142"/>
  <c r="K1142"/>
  <c r="M1144"/>
  <c r="L1144"/>
  <c r="K1144"/>
  <c r="M1141"/>
  <c r="L1141"/>
  <c r="K1141"/>
  <c r="M1143"/>
  <c r="L1143"/>
  <c r="K1143"/>
  <c r="L180" i="41"/>
  <c r="I180"/>
  <c r="L103"/>
  <c r="I103"/>
  <c r="L102"/>
  <c r="I102"/>
  <c r="L12"/>
  <c r="I12"/>
  <c r="L11"/>
  <c r="I11"/>
  <c r="L10"/>
  <c r="I10"/>
  <c r="L9"/>
  <c r="I9"/>
  <c r="L8"/>
  <c r="I8"/>
  <c r="L7"/>
  <c r="I7"/>
  <c r="L6"/>
  <c r="I6"/>
  <c r="L5"/>
  <c r="I5"/>
  <c r="J2" i="43" l="1"/>
  <c r="M5" i="41"/>
  <c r="M6"/>
  <c r="O6" s="1"/>
  <c r="M7"/>
  <c r="O7" s="1"/>
  <c r="M102"/>
  <c r="O102" s="1"/>
  <c r="M103"/>
  <c r="O103" s="1"/>
  <c r="M180"/>
  <c r="O180" s="1"/>
  <c r="M17"/>
  <c r="N17" s="1"/>
  <c r="M16"/>
  <c r="N16" s="1"/>
  <c r="E2" i="43"/>
  <c r="M14" i="41"/>
  <c r="N14" s="1"/>
  <c r="M15"/>
  <c r="O15" s="1"/>
  <c r="O14"/>
  <c r="P14" s="1"/>
  <c r="D3" i="42"/>
  <c r="D4" s="1"/>
  <c r="D5" s="1"/>
  <c r="D6" s="1"/>
  <c r="D7" s="1"/>
  <c r="D8" s="1"/>
  <c r="D9" s="1"/>
  <c r="D10" s="1"/>
  <c r="D11" s="1"/>
  <c r="D12" s="1"/>
  <c r="D13" s="1"/>
  <c r="D14" s="1"/>
  <c r="D15" s="1"/>
  <c r="D16" s="1"/>
  <c r="D17" s="1"/>
  <c r="D18" s="1"/>
  <c r="D19" s="1"/>
  <c r="D20" s="1"/>
  <c r="D21" s="1"/>
  <c r="D22" s="1"/>
  <c r="D23" s="1"/>
  <c r="D24" s="1"/>
  <c r="D25" s="1"/>
  <c r="D26" s="1"/>
  <c r="D27" s="1"/>
  <c r="H2" s="1"/>
  <c r="H3" s="1"/>
  <c r="H4" s="1"/>
  <c r="H5" s="1"/>
  <c r="H6" s="1"/>
  <c r="H7" s="1"/>
  <c r="H8" s="1"/>
  <c r="H9" s="1"/>
  <c r="H10" s="1"/>
  <c r="H11" s="1"/>
  <c r="H12" s="1"/>
  <c r="H13" s="1"/>
  <c r="H14" s="1"/>
  <c r="H15" s="1"/>
  <c r="H16" s="1"/>
  <c r="H17" s="1"/>
  <c r="H18" s="1"/>
  <c r="H19" s="1"/>
  <c r="H20" s="1"/>
  <c r="H21" s="1"/>
  <c r="H22" s="1"/>
  <c r="H23" s="1"/>
  <c r="H24" s="1"/>
  <c r="H25" s="1"/>
  <c r="H26" s="1"/>
  <c r="H27" s="1"/>
  <c r="M18" i="41"/>
  <c r="N18" s="1"/>
  <c r="M13"/>
  <c r="N13" s="1"/>
  <c r="AP3" i="24"/>
  <c r="AP4" s="1"/>
  <c r="AP5" s="1"/>
  <c r="AP6" s="1"/>
  <c r="AP7" s="1"/>
  <c r="AP8" s="1"/>
  <c r="AP9" s="1"/>
  <c r="AP10" s="1"/>
  <c r="AP11" s="1"/>
  <c r="AP12" s="1"/>
  <c r="AP13" s="1"/>
  <c r="AP14" s="1"/>
  <c r="AP15" s="1"/>
  <c r="AP16" s="1"/>
  <c r="AP17" s="1"/>
  <c r="AP18" s="1"/>
  <c r="AP19" s="1"/>
  <c r="AP20" s="1"/>
  <c r="AP21" s="1"/>
  <c r="AP22" s="1"/>
  <c r="AP23" s="1"/>
  <c r="AP24" s="1"/>
  <c r="AP25" s="1"/>
  <c r="AP26" s="1"/>
  <c r="AP27" s="1"/>
  <c r="AT2" s="1"/>
  <c r="AT3" s="1"/>
  <c r="AT4" s="1"/>
  <c r="AT5" s="1"/>
  <c r="AT6" s="1"/>
  <c r="AT7" s="1"/>
  <c r="AT8" s="1"/>
  <c r="AT9" s="1"/>
  <c r="AT10" s="1"/>
  <c r="AT11" s="1"/>
  <c r="AT12" s="1"/>
  <c r="AT13" s="1"/>
  <c r="AT14" s="1"/>
  <c r="AT15" s="1"/>
  <c r="AT16" s="1"/>
  <c r="AT17" s="1"/>
  <c r="AT18" s="1"/>
  <c r="AT19" s="1"/>
  <c r="AT20" s="1"/>
  <c r="AT21" s="1"/>
  <c r="AT22" s="1"/>
  <c r="AT23" s="1"/>
  <c r="AT24" s="1"/>
  <c r="AT25" s="1"/>
  <c r="AT26" s="1"/>
  <c r="AT27" s="1"/>
  <c r="M8" i="41"/>
  <c r="N8" s="1"/>
  <c r="M9"/>
  <c r="N9" s="1"/>
  <c r="M10"/>
  <c r="N10" s="1"/>
  <c r="M11"/>
  <c r="O11" s="1"/>
  <c r="M12"/>
  <c r="N12" s="1"/>
  <c r="N6"/>
  <c r="O8" l="1"/>
  <c r="P8" s="1"/>
  <c r="O5"/>
  <c r="M182"/>
  <c r="N7"/>
  <c r="N15"/>
  <c r="N5"/>
  <c r="O12"/>
  <c r="P12" s="1"/>
  <c r="N102"/>
  <c r="O10"/>
  <c r="P10" s="1"/>
  <c r="N11"/>
  <c r="O9"/>
  <c r="P9" s="1"/>
  <c r="N103"/>
  <c r="O18"/>
  <c r="P18" s="1"/>
  <c r="O17"/>
  <c r="P17" s="1"/>
  <c r="O16"/>
  <c r="P16" s="1"/>
  <c r="N180"/>
  <c r="O13"/>
  <c r="P13" s="1"/>
  <c r="P6"/>
  <c r="M1155" i="2"/>
  <c r="L1155"/>
  <c r="K1155"/>
  <c r="M1154"/>
  <c r="L1154"/>
  <c r="K1154"/>
  <c r="M1153"/>
  <c r="L1153"/>
  <c r="K1153"/>
  <c r="M1152"/>
  <c r="L1152"/>
  <c r="K1152"/>
  <c r="M1151"/>
  <c r="L1151"/>
  <c r="K1151"/>
  <c r="M1150"/>
  <c r="L1150"/>
  <c r="K1150"/>
  <c r="M1149"/>
  <c r="L1149"/>
  <c r="K1149"/>
  <c r="M1148"/>
  <c r="L1148"/>
  <c r="K1148"/>
  <c r="M1147"/>
  <c r="L1147"/>
  <c r="K1147"/>
  <c r="M1146"/>
  <c r="L1146"/>
  <c r="K1146"/>
  <c r="M1138"/>
  <c r="L1138"/>
  <c r="K1138"/>
  <c r="M1124"/>
  <c r="L1124"/>
  <c r="K1124"/>
  <c r="M1140"/>
  <c r="L1140"/>
  <c r="K1140"/>
  <c r="M1139"/>
  <c r="L1139"/>
  <c r="K1139"/>
  <c r="M1129"/>
  <c r="L1129"/>
  <c r="K1129"/>
  <c r="P15" i="41" l="1"/>
  <c r="P180"/>
  <c r="P103"/>
  <c r="P11"/>
  <c r="P102"/>
  <c r="P211" s="1"/>
  <c r="P214" s="1"/>
  <c r="P5"/>
  <c r="P7"/>
  <c r="O182"/>
  <c r="M183" s="1"/>
  <c r="M1136" i="2"/>
  <c r="L1136"/>
  <c r="K1136"/>
  <c r="M1135"/>
  <c r="L1135"/>
  <c r="K1135"/>
  <c r="M1133"/>
  <c r="L1133"/>
  <c r="K1133"/>
  <c r="M1137"/>
  <c r="L1137"/>
  <c r="K1137"/>
  <c r="M1134"/>
  <c r="L1134"/>
  <c r="K1134"/>
  <c r="M1120"/>
  <c r="L1120"/>
  <c r="K1120"/>
  <c r="M1112"/>
  <c r="L1112"/>
  <c r="K1112"/>
  <c r="M1113"/>
  <c r="L1113"/>
  <c r="K1113"/>
  <c r="M1117"/>
  <c r="L1117"/>
  <c r="K1117"/>
  <c r="M1115"/>
  <c r="L1115"/>
  <c r="K1115"/>
  <c r="M1116"/>
  <c r="L1116"/>
  <c r="K1116"/>
  <c r="M1121"/>
  <c r="L1121"/>
  <c r="K1121"/>
  <c r="M1114"/>
  <c r="L1114"/>
  <c r="K1114"/>
  <c r="M1132"/>
  <c r="L1132"/>
  <c r="K1132"/>
  <c r="M1128"/>
  <c r="L1128"/>
  <c r="K1128"/>
  <c r="M1127"/>
  <c r="L1127"/>
  <c r="K1127"/>
  <c r="M1126"/>
  <c r="L1126"/>
  <c r="K1126"/>
  <c r="M1125"/>
  <c r="L1125"/>
  <c r="K1125"/>
  <c r="M1123"/>
  <c r="L1123"/>
  <c r="K1123"/>
  <c r="M1122"/>
  <c r="L1122"/>
  <c r="K1122"/>
  <c r="F9" i="37"/>
  <c r="J9" s="1"/>
  <c r="K9"/>
  <c r="L895" i="2"/>
  <c r="L1131"/>
  <c r="L1130"/>
  <c r="L1119"/>
  <c r="L1118"/>
  <c r="L909"/>
  <c r="L908"/>
  <c r="L907"/>
  <c r="L906"/>
  <c r="L905"/>
  <c r="L904"/>
  <c r="L903"/>
  <c r="L902"/>
  <c r="L901"/>
  <c r="L900"/>
  <c r="L899"/>
  <c r="L898"/>
  <c r="L897"/>
  <c r="L896"/>
  <c r="L894"/>
  <c r="L893"/>
  <c r="L892"/>
  <c r="L891"/>
  <c r="L890"/>
  <c r="L889"/>
  <c r="L888"/>
  <c r="L887"/>
  <c r="L886"/>
  <c r="L885"/>
  <c r="L884"/>
  <c r="L883"/>
  <c r="L882"/>
  <c r="L881"/>
  <c r="L880"/>
  <c r="L879"/>
  <c r="L878"/>
  <c r="L877"/>
  <c r="L876"/>
  <c r="L875"/>
  <c r="L874"/>
  <c r="L873"/>
  <c r="L872"/>
  <c r="L1110"/>
  <c r="L1109"/>
  <c r="L1108"/>
  <c r="L1107"/>
  <c r="L1106"/>
  <c r="L1105"/>
  <c r="L1104"/>
  <c r="L1103"/>
  <c r="L1102"/>
  <c r="L1101"/>
  <c r="L1100"/>
  <c r="L1099"/>
  <c r="L1098"/>
  <c r="L1097"/>
  <c r="L1096"/>
  <c r="L1095"/>
  <c r="L1094"/>
  <c r="L1093"/>
  <c r="L1092"/>
  <c r="L1091"/>
  <c r="L1090"/>
  <c r="L1089"/>
  <c r="L1088"/>
  <c r="L1087"/>
  <c r="L1086"/>
  <c r="L1085"/>
  <c r="L1084"/>
  <c r="L1083"/>
  <c r="L1082"/>
  <c r="L1081"/>
  <c r="L1080"/>
  <c r="L1079"/>
  <c r="L1078"/>
  <c r="L1077"/>
  <c r="L1076"/>
  <c r="L1075"/>
  <c r="L1074"/>
  <c r="L1073"/>
  <c r="L1072"/>
  <c r="L1071"/>
  <c r="L1070"/>
  <c r="L1069"/>
  <c r="L1068"/>
  <c r="L1067"/>
  <c r="L1066"/>
  <c r="L1065"/>
  <c r="L1064"/>
  <c r="L1063"/>
  <c r="L1062"/>
  <c r="L1061"/>
  <c r="L1060"/>
  <c r="L1059"/>
  <c r="L1058"/>
  <c r="L1057"/>
  <c r="L1056"/>
  <c r="L1055"/>
  <c r="L1054"/>
  <c r="L1053"/>
  <c r="L1052"/>
  <c r="L1051"/>
  <c r="L1050"/>
  <c r="L1049"/>
  <c r="L1048"/>
  <c r="L1047"/>
  <c r="L1046"/>
  <c r="L1045"/>
  <c r="L1044"/>
  <c r="L1043"/>
  <c r="L1042"/>
  <c r="L1041"/>
  <c r="L1040"/>
  <c r="L1039"/>
  <c r="L1038"/>
  <c r="L1037"/>
  <c r="L1036"/>
  <c r="L1035"/>
  <c r="L1034"/>
  <c r="L1033"/>
  <c r="L1032"/>
  <c r="L1031"/>
  <c r="L1030"/>
  <c r="L1029"/>
  <c r="L1028"/>
  <c r="L1027"/>
  <c r="L1026"/>
  <c r="L1025"/>
  <c r="L1024"/>
  <c r="L1023"/>
  <c r="L1022"/>
  <c r="L1021"/>
  <c r="L1020"/>
  <c r="L1019"/>
  <c r="L1018"/>
  <c r="L1017"/>
  <c r="L1016"/>
  <c r="L1015"/>
  <c r="L1014"/>
  <c r="L1013"/>
  <c r="L1012"/>
  <c r="L1011"/>
  <c r="L1010"/>
  <c r="L1009"/>
  <c r="L1008"/>
  <c r="L1007"/>
  <c r="L1006"/>
  <c r="L1005"/>
  <c r="L1004"/>
  <c r="L1003"/>
  <c r="L1002"/>
  <c r="L1001"/>
  <c r="L1000"/>
  <c r="L999"/>
  <c r="L998"/>
  <c r="L997"/>
  <c r="L996"/>
  <c r="L995"/>
  <c r="L994"/>
  <c r="L993"/>
  <c r="L992"/>
  <c r="L991"/>
  <c r="L990"/>
  <c r="L989"/>
  <c r="L988"/>
  <c r="L987"/>
  <c r="L986"/>
  <c r="L985"/>
  <c r="L984"/>
  <c r="L983"/>
  <c r="L982"/>
  <c r="L981"/>
  <c r="L980"/>
  <c r="L979"/>
  <c r="L978"/>
  <c r="L977"/>
  <c r="L976"/>
  <c r="L975"/>
  <c r="L974"/>
  <c r="L973"/>
  <c r="L972"/>
  <c r="L971"/>
  <c r="L970"/>
  <c r="L969"/>
  <c r="L968"/>
  <c r="L967"/>
  <c r="L966"/>
  <c r="L965"/>
  <c r="L964"/>
  <c r="L963"/>
  <c r="L962"/>
  <c r="L961"/>
  <c r="L960"/>
  <c r="L959"/>
  <c r="L958"/>
  <c r="L957"/>
  <c r="L956"/>
  <c r="L955"/>
  <c r="L954"/>
  <c r="L953"/>
  <c r="L952"/>
  <c r="L951"/>
  <c r="L950"/>
  <c r="L949"/>
  <c r="L948"/>
  <c r="L947"/>
  <c r="L946"/>
  <c r="L945"/>
  <c r="L944"/>
  <c r="L943"/>
  <c r="L942"/>
  <c r="L941"/>
  <c r="L940"/>
  <c r="L939"/>
  <c r="L938"/>
  <c r="L937"/>
  <c r="L936"/>
  <c r="L935"/>
  <c r="L934"/>
  <c r="L933"/>
  <c r="L932"/>
  <c r="L931"/>
  <c r="L930"/>
  <c r="L929"/>
  <c r="L928"/>
  <c r="L927"/>
  <c r="L926"/>
  <c r="L925"/>
  <c r="L924"/>
  <c r="L923"/>
  <c r="L922"/>
  <c r="L921"/>
  <c r="L920"/>
  <c r="L919"/>
  <c r="L918"/>
  <c r="L917"/>
  <c r="L916"/>
  <c r="L915"/>
  <c r="L914"/>
  <c r="L913"/>
  <c r="L912"/>
  <c r="L911"/>
  <c r="L871"/>
  <c r="L870"/>
  <c r="L869"/>
  <c r="L868"/>
  <c r="L867"/>
  <c r="L866"/>
  <c r="L865"/>
  <c r="L864"/>
  <c r="L863"/>
  <c r="L862"/>
  <c r="L861"/>
  <c r="L860"/>
  <c r="L859"/>
  <c r="L858"/>
  <c r="L857"/>
  <c r="L856"/>
  <c r="L855"/>
  <c r="L854"/>
  <c r="L853"/>
  <c r="L852"/>
  <c r="L851"/>
  <c r="L850"/>
  <c r="L849"/>
  <c r="L848"/>
  <c r="L847"/>
  <c r="L846"/>
  <c r="L845"/>
  <c r="L844"/>
  <c r="L843"/>
  <c r="L842"/>
  <c r="L841"/>
  <c r="L840"/>
  <c r="L839"/>
  <c r="L838"/>
  <c r="L837"/>
  <c r="L836"/>
  <c r="L835"/>
  <c r="L834"/>
  <c r="L833"/>
  <c r="L832"/>
  <c r="L831"/>
  <c r="L830"/>
  <c r="L829"/>
  <c r="L828"/>
  <c r="L827"/>
  <c r="L826"/>
  <c r="L825"/>
  <c r="L824"/>
  <c r="L823"/>
  <c r="L822"/>
  <c r="L821"/>
  <c r="L820"/>
  <c r="L819"/>
  <c r="L818"/>
  <c r="L817"/>
  <c r="L816"/>
  <c r="L815"/>
  <c r="L814"/>
  <c r="L813"/>
  <c r="L812"/>
  <c r="L811"/>
  <c r="L810"/>
  <c r="L809"/>
  <c r="L808"/>
  <c r="L807"/>
  <c r="L806"/>
  <c r="L805"/>
  <c r="L804"/>
  <c r="L803"/>
  <c r="L802"/>
  <c r="L801"/>
  <c r="L800"/>
  <c r="L799"/>
  <c r="L798"/>
  <c r="L797"/>
  <c r="L796"/>
  <c r="L795"/>
  <c r="L794"/>
  <c r="L793"/>
  <c r="L792"/>
  <c r="L791"/>
  <c r="L790"/>
  <c r="L785"/>
  <c r="L789"/>
  <c r="L788"/>
  <c r="L787"/>
  <c r="L786"/>
  <c r="L784"/>
  <c r="L783"/>
  <c r="L782"/>
  <c r="L781"/>
  <c r="L780"/>
  <c r="L779"/>
  <c r="L778"/>
  <c r="L777"/>
  <c r="L776"/>
  <c r="L775"/>
  <c r="L774"/>
  <c r="L773"/>
  <c r="L771"/>
  <c r="L770"/>
  <c r="L769"/>
  <c r="L768"/>
  <c r="L767"/>
  <c r="L766"/>
  <c r="L765"/>
  <c r="L764"/>
  <c r="L763"/>
  <c r="L762"/>
  <c r="L761"/>
  <c r="L760"/>
  <c r="L759"/>
  <c r="L758"/>
  <c r="L757"/>
  <c r="L756"/>
  <c r="L755"/>
  <c r="L754"/>
  <c r="L753"/>
  <c r="L752"/>
  <c r="L751"/>
  <c r="L750"/>
  <c r="L749"/>
  <c r="L748"/>
  <c r="L747"/>
  <c r="L746"/>
  <c r="L745"/>
  <c r="L744"/>
  <c r="L743"/>
  <c r="L742"/>
  <c r="L741"/>
  <c r="L772"/>
  <c r="L740"/>
  <c r="L739"/>
  <c r="L738"/>
  <c r="L737"/>
  <c r="L736"/>
  <c r="L735"/>
  <c r="L734"/>
  <c r="L733"/>
  <c r="L732"/>
  <c r="L731"/>
  <c r="L730"/>
  <c r="L729"/>
  <c r="L728"/>
  <c r="L727"/>
  <c r="L726"/>
  <c r="L725"/>
  <c r="L724"/>
  <c r="L723"/>
  <c r="L722"/>
  <c r="L721"/>
  <c r="L720"/>
  <c r="L719"/>
  <c r="L718"/>
  <c r="L717"/>
  <c r="L716"/>
  <c r="L715"/>
  <c r="L714"/>
  <c r="L713"/>
  <c r="L712"/>
  <c r="L711"/>
  <c r="L710"/>
  <c r="L709"/>
  <c r="L708"/>
  <c r="L707"/>
  <c r="L706"/>
  <c r="L705"/>
  <c r="L704"/>
  <c r="L703"/>
  <c r="L702"/>
  <c r="L701"/>
  <c r="L700"/>
  <c r="L699"/>
  <c r="L698"/>
  <c r="L697"/>
  <c r="L696"/>
  <c r="L695"/>
  <c r="L694"/>
  <c r="L693"/>
  <c r="L692"/>
  <c r="L691"/>
  <c r="L690"/>
  <c r="L689"/>
  <c r="L688"/>
  <c r="L687"/>
  <c r="L686"/>
  <c r="L685"/>
  <c r="L684"/>
  <c r="L683"/>
  <c r="L682"/>
  <c r="L681"/>
  <c r="L680"/>
  <c r="L679"/>
  <c r="L678"/>
  <c r="L677"/>
  <c r="L676"/>
  <c r="L675"/>
  <c r="L674"/>
  <c r="L673"/>
  <c r="L672"/>
  <c r="L671"/>
  <c r="L670"/>
  <c r="L669"/>
  <c r="L668"/>
  <c r="L667"/>
  <c r="L666"/>
  <c r="L665"/>
  <c r="L664"/>
  <c r="L663"/>
  <c r="L662"/>
  <c r="L661"/>
  <c r="L660"/>
  <c r="L659"/>
  <c r="L658"/>
  <c r="L657"/>
  <c r="L656"/>
  <c r="L655"/>
  <c r="L654"/>
  <c r="L653"/>
  <c r="L652"/>
  <c r="L651"/>
  <c r="L650"/>
  <c r="L649"/>
  <c r="L648"/>
  <c r="L647"/>
  <c r="L646"/>
  <c r="L645"/>
  <c r="L644"/>
  <c r="L643"/>
  <c r="L642"/>
  <c r="L641"/>
  <c r="L640"/>
  <c r="L639"/>
  <c r="L638"/>
  <c r="L637"/>
  <c r="L636"/>
  <c r="L635"/>
  <c r="L634"/>
  <c r="L633"/>
  <c r="L632"/>
  <c r="L631"/>
  <c r="L630"/>
  <c r="L629"/>
  <c r="L628"/>
  <c r="L627"/>
  <c r="L626"/>
  <c r="L625"/>
  <c r="L624"/>
  <c r="L623"/>
  <c r="L622"/>
  <c r="L621"/>
  <c r="L620"/>
  <c r="L619"/>
  <c r="L618"/>
  <c r="L617"/>
  <c r="L616"/>
  <c r="L615"/>
  <c r="L614"/>
  <c r="L613"/>
  <c r="L612"/>
  <c r="L611"/>
  <c r="L610"/>
  <c r="L609"/>
  <c r="L608"/>
  <c r="L607"/>
  <c r="L606"/>
  <c r="L605"/>
  <c r="L604"/>
  <c r="L603"/>
  <c r="L602"/>
  <c r="L601"/>
  <c r="L600"/>
  <c r="L599"/>
  <c r="L598"/>
  <c r="L597"/>
  <c r="L596"/>
  <c r="L595"/>
  <c r="L594"/>
  <c r="L593"/>
  <c r="L592"/>
  <c r="L591"/>
  <c r="L590"/>
  <c r="L589"/>
  <c r="L588"/>
  <c r="L587"/>
  <c r="L586"/>
  <c r="L585"/>
  <c r="L584"/>
  <c r="L583"/>
  <c r="L582"/>
  <c r="L581"/>
  <c r="L580"/>
  <c r="L579"/>
  <c r="L578"/>
  <c r="L577"/>
  <c r="L576"/>
  <c r="L575"/>
  <c r="L574"/>
  <c r="L573"/>
  <c r="L572"/>
  <c r="L571"/>
  <c r="L570"/>
  <c r="L569"/>
  <c r="L568"/>
  <c r="L567"/>
  <c r="L566"/>
  <c r="L565"/>
  <c r="L564"/>
  <c r="L563"/>
  <c r="L562"/>
  <c r="L561"/>
  <c r="L560"/>
  <c r="L559"/>
  <c r="L558"/>
  <c r="L557"/>
  <c r="L556"/>
  <c r="L555"/>
  <c r="L554"/>
  <c r="L553"/>
  <c r="L552"/>
  <c r="L551"/>
  <c r="L550"/>
  <c r="L549"/>
  <c r="L548"/>
  <c r="L547"/>
  <c r="L546"/>
  <c r="L545"/>
  <c r="L544"/>
  <c r="L543"/>
  <c r="L542"/>
  <c r="L541"/>
  <c r="L540"/>
  <c r="L539"/>
  <c r="L538"/>
  <c r="L537"/>
  <c r="L536"/>
  <c r="L535"/>
  <c r="L534"/>
  <c r="L533"/>
  <c r="L532"/>
  <c r="L531"/>
  <c r="L530"/>
  <c r="L529"/>
  <c r="L528"/>
  <c r="L527"/>
  <c r="L526"/>
  <c r="L525"/>
  <c r="L524"/>
  <c r="L523"/>
  <c r="L522"/>
  <c r="L521"/>
  <c r="L520"/>
  <c r="L519"/>
  <c r="L518"/>
  <c r="L517"/>
  <c r="L516"/>
  <c r="L515"/>
  <c r="L514"/>
  <c r="L513"/>
  <c r="L512"/>
  <c r="L511"/>
  <c r="L510"/>
  <c r="L509"/>
  <c r="L508"/>
  <c r="L507"/>
  <c r="L506"/>
  <c r="L505"/>
  <c r="L504"/>
  <c r="L503"/>
  <c r="L502"/>
  <c r="L501"/>
  <c r="L500"/>
  <c r="L499"/>
  <c r="L498"/>
  <c r="L497"/>
  <c r="L496"/>
  <c r="L495"/>
  <c r="L494"/>
  <c r="L493"/>
  <c r="L492"/>
  <c r="L491"/>
  <c r="L490"/>
  <c r="L489"/>
  <c r="L488"/>
  <c r="L487"/>
  <c r="L486"/>
  <c r="L485"/>
  <c r="L484"/>
  <c r="L483"/>
  <c r="L482"/>
  <c r="L481"/>
  <c r="L480"/>
  <c r="L479"/>
  <c r="L478"/>
  <c r="L477"/>
  <c r="L476"/>
  <c r="L475"/>
  <c r="L474"/>
  <c r="L473"/>
  <c r="L472"/>
  <c r="L471"/>
  <c r="L470"/>
  <c r="L469"/>
  <c r="L468"/>
  <c r="L467"/>
  <c r="L466"/>
  <c r="L465"/>
  <c r="L464"/>
  <c r="L463"/>
  <c r="L462"/>
  <c r="L461"/>
  <c r="L460"/>
  <c r="L459"/>
  <c r="L458"/>
  <c r="L457"/>
  <c r="L456"/>
  <c r="L455"/>
  <c r="L454"/>
  <c r="L453"/>
  <c r="L452"/>
  <c r="L451"/>
  <c r="L450"/>
  <c r="L449"/>
  <c r="L448"/>
  <c r="L447"/>
  <c r="L446"/>
  <c r="L445"/>
  <c r="L444"/>
  <c r="L443"/>
  <c r="L442"/>
  <c r="L441"/>
  <c r="L440"/>
  <c r="L439"/>
  <c r="L438"/>
  <c r="L437"/>
  <c r="L436"/>
  <c r="L435"/>
  <c r="L434"/>
  <c r="L433"/>
  <c r="L432"/>
  <c r="L431"/>
  <c r="L430"/>
  <c r="L429"/>
  <c r="L428"/>
  <c r="L427"/>
  <c r="L426"/>
  <c r="L425"/>
  <c r="L424"/>
  <c r="L423"/>
  <c r="L422"/>
  <c r="L421"/>
  <c r="L420"/>
  <c r="L419"/>
  <c r="L418"/>
  <c r="L417"/>
  <c r="L416"/>
  <c r="L415"/>
  <c r="L414"/>
  <c r="L413"/>
  <c r="L412"/>
  <c r="L411"/>
  <c r="L410"/>
  <c r="L409"/>
  <c r="L408"/>
  <c r="L407"/>
  <c r="L406"/>
  <c r="L405"/>
  <c r="L404"/>
  <c r="L403"/>
  <c r="L402"/>
  <c r="L401"/>
  <c r="L400"/>
  <c r="L399"/>
  <c r="L398"/>
  <c r="L397"/>
  <c r="L396"/>
  <c r="L395"/>
  <c r="L394"/>
  <c r="L393"/>
  <c r="L392"/>
  <c r="L391"/>
  <c r="L390"/>
  <c r="L389"/>
  <c r="L388"/>
  <c r="L387"/>
  <c r="L386"/>
  <c r="L385"/>
  <c r="L384"/>
  <c r="L383"/>
  <c r="L382"/>
  <c r="L381"/>
  <c r="L380"/>
  <c r="L379"/>
  <c r="L378"/>
  <c r="L377"/>
  <c r="L376"/>
  <c r="L375"/>
  <c r="L374"/>
  <c r="L373"/>
  <c r="L372"/>
  <c r="L371"/>
  <c r="L370"/>
  <c r="L369"/>
  <c r="L368"/>
  <c r="L367"/>
  <c r="L366"/>
  <c r="L365"/>
  <c r="L364"/>
  <c r="L363"/>
  <c r="L362"/>
  <c r="L361"/>
  <c r="L360"/>
  <c r="L359"/>
  <c r="L358"/>
  <c r="L357"/>
  <c r="L356"/>
  <c r="L355"/>
  <c r="L354"/>
  <c r="L353"/>
  <c r="L352"/>
  <c r="L351"/>
  <c r="L350"/>
  <c r="L349"/>
  <c r="L348"/>
  <c r="L347"/>
  <c r="L346"/>
  <c r="L345"/>
  <c r="L344"/>
  <c r="L343"/>
  <c r="L342"/>
  <c r="L341"/>
  <c r="L340"/>
  <c r="L339"/>
  <c r="L338"/>
  <c r="L337"/>
  <c r="L336"/>
  <c r="L910"/>
  <c r="L335"/>
  <c r="L334"/>
  <c r="L333"/>
  <c r="L332"/>
  <c r="L331"/>
  <c r="L330"/>
  <c r="L329"/>
  <c r="L328"/>
  <c r="L327"/>
  <c r="L326"/>
  <c r="L325"/>
  <c r="L324"/>
  <c r="L323"/>
  <c r="L322"/>
  <c r="L321"/>
  <c r="L320"/>
  <c r="L319"/>
  <c r="L318"/>
  <c r="L317"/>
  <c r="L316"/>
  <c r="L315"/>
  <c r="L314"/>
  <c r="L313"/>
  <c r="L312"/>
  <c r="L311"/>
  <c r="L310"/>
  <c r="L309"/>
  <c r="L308"/>
  <c r="L307"/>
  <c r="L306"/>
  <c r="L305"/>
  <c r="L304"/>
  <c r="L303"/>
  <c r="L302"/>
  <c r="L301"/>
  <c r="L300"/>
  <c r="L299"/>
  <c r="L298"/>
  <c r="L297"/>
  <c r="L296"/>
  <c r="L295"/>
  <c r="L294"/>
  <c r="L293"/>
  <c r="L292"/>
  <c r="L291"/>
  <c r="L290"/>
  <c r="L289"/>
  <c r="L288"/>
  <c r="L287"/>
  <c r="L286"/>
  <c r="L285"/>
  <c r="L284"/>
  <c r="L283"/>
  <c r="L282"/>
  <c r="L281"/>
  <c r="L280"/>
  <c r="L279"/>
  <c r="L278"/>
  <c r="L277"/>
  <c r="L276"/>
  <c r="L275"/>
  <c r="L274"/>
  <c r="L273"/>
  <c r="L272"/>
  <c r="L271"/>
  <c r="L270"/>
  <c r="L269"/>
  <c r="L268"/>
  <c r="L267"/>
  <c r="L266"/>
  <c r="L265"/>
  <c r="L264"/>
  <c r="L263"/>
  <c r="L262"/>
  <c r="L261"/>
  <c r="L260"/>
  <c r="L259"/>
  <c r="L258"/>
  <c r="L257"/>
  <c r="L256"/>
  <c r="L255"/>
  <c r="L254"/>
  <c r="L253"/>
  <c r="L252"/>
  <c r="L251"/>
  <c r="L250"/>
  <c r="L249"/>
  <c r="L248"/>
  <c r="L247"/>
  <c r="L246"/>
  <c r="L245"/>
  <c r="L244"/>
  <c r="L243"/>
  <c r="L242"/>
  <c r="L241"/>
  <c r="L240"/>
  <c r="L239"/>
  <c r="L238"/>
  <c r="L237"/>
  <c r="L236"/>
  <c r="L235"/>
  <c r="L234"/>
  <c r="L233"/>
  <c r="L232"/>
  <c r="L231"/>
  <c r="L230"/>
  <c r="L229"/>
  <c r="L228"/>
  <c r="L227"/>
  <c r="L226"/>
  <c r="L225"/>
  <c r="L224"/>
  <c r="L223"/>
  <c r="L222"/>
  <c r="L221"/>
  <c r="L220"/>
  <c r="L219"/>
  <c r="L218"/>
  <c r="L217"/>
  <c r="L216"/>
  <c r="L215"/>
  <c r="L214"/>
  <c r="L213"/>
  <c r="L212"/>
  <c r="L211"/>
  <c r="L210"/>
  <c r="L209"/>
  <c r="L208"/>
  <c r="L207"/>
  <c r="L206"/>
  <c r="L205"/>
  <c r="L204"/>
  <c r="L203"/>
  <c r="L202"/>
  <c r="L201"/>
  <c r="L200"/>
  <c r="L199"/>
  <c r="L198"/>
  <c r="L197"/>
  <c r="L196"/>
  <c r="L195"/>
  <c r="L194"/>
  <c r="L193"/>
  <c r="L192"/>
  <c r="L191"/>
  <c r="L190"/>
  <c r="L189"/>
  <c r="L188"/>
  <c r="L187"/>
  <c r="L186"/>
  <c r="L185"/>
  <c r="L184"/>
  <c r="L183"/>
  <c r="L182"/>
  <c r="L181"/>
  <c r="L180"/>
  <c r="L179"/>
  <c r="L178"/>
  <c r="L177"/>
  <c r="L176"/>
  <c r="L175"/>
  <c r="L174"/>
  <c r="L173"/>
  <c r="L172"/>
  <c r="L171"/>
  <c r="L170"/>
  <c r="L169"/>
  <c r="L168"/>
  <c r="L167"/>
  <c r="L166"/>
  <c r="L165"/>
  <c r="L164"/>
  <c r="L163"/>
  <c r="L162"/>
  <c r="L161"/>
  <c r="L160"/>
  <c r="L159"/>
  <c r="L158"/>
  <c r="L157"/>
  <c r="L156"/>
  <c r="L155"/>
  <c r="L154"/>
  <c r="L153"/>
  <c r="L152"/>
  <c r="L151"/>
  <c r="L150"/>
  <c r="L149"/>
  <c r="L148"/>
  <c r="L147"/>
  <c r="L146"/>
  <c r="L145"/>
  <c r="L144"/>
  <c r="L143"/>
  <c r="L142"/>
  <c r="L141"/>
  <c r="L140"/>
  <c r="L139"/>
  <c r="L138"/>
  <c r="L137"/>
  <c r="L136"/>
  <c r="L135"/>
  <c r="L134"/>
  <c r="L133"/>
  <c r="L132"/>
  <c r="L131"/>
  <c r="L130"/>
  <c r="L129"/>
  <c r="L128"/>
  <c r="L127"/>
  <c r="L126"/>
  <c r="L125"/>
  <c r="L124"/>
  <c r="L123"/>
  <c r="L122"/>
  <c r="L121"/>
  <c r="L120"/>
  <c r="L119"/>
  <c r="L118"/>
  <c r="L117"/>
  <c r="L116"/>
  <c r="L115"/>
  <c r="L114"/>
  <c r="L113"/>
  <c r="L112"/>
  <c r="L111"/>
  <c r="L110"/>
  <c r="L109"/>
  <c r="L108"/>
  <c r="L107"/>
  <c r="L106"/>
  <c r="L105"/>
  <c r="L104"/>
  <c r="L103"/>
  <c r="L102"/>
  <c r="L101"/>
  <c r="L100"/>
  <c r="L99"/>
  <c r="L98"/>
  <c r="L97"/>
  <c r="L96"/>
  <c r="L95"/>
  <c r="L94"/>
  <c r="L93"/>
  <c r="L92"/>
  <c r="L91"/>
  <c r="L90"/>
  <c r="L89"/>
  <c r="L88"/>
  <c r="L87"/>
  <c r="L86"/>
  <c r="L85"/>
  <c r="L84"/>
  <c r="L83"/>
  <c r="L82"/>
  <c r="L81"/>
  <c r="L80"/>
  <c r="L79"/>
  <c r="L78"/>
  <c r="L77"/>
  <c r="L76"/>
  <c r="L75"/>
  <c r="L74"/>
  <c r="L73"/>
  <c r="L72"/>
  <c r="L71"/>
  <c r="L70"/>
  <c r="L69"/>
  <c r="L68"/>
  <c r="L67"/>
  <c r="L66"/>
  <c r="L65"/>
  <c r="L64"/>
  <c r="L63"/>
  <c r="L62"/>
  <c r="L61"/>
  <c r="L60"/>
  <c r="L59"/>
  <c r="L58"/>
  <c r="L57"/>
  <c r="L56"/>
  <c r="L55"/>
  <c r="L54"/>
  <c r="L53"/>
  <c r="L52"/>
  <c r="L51"/>
  <c r="L50"/>
  <c r="L49"/>
  <c r="L48"/>
  <c r="L47"/>
  <c r="L46"/>
  <c r="L45"/>
  <c r="L44"/>
  <c r="L43"/>
  <c r="L42"/>
  <c r="L41"/>
  <c r="L40"/>
  <c r="L39"/>
  <c r="L38"/>
  <c r="L37"/>
  <c r="L36"/>
  <c r="L35"/>
  <c r="L34"/>
  <c r="L33"/>
  <c r="L32"/>
  <c r="L31"/>
  <c r="L30"/>
  <c r="L29"/>
  <c r="L28"/>
  <c r="L27"/>
  <c r="L26"/>
  <c r="L25"/>
  <c r="L24"/>
  <c r="L23"/>
  <c r="L22"/>
  <c r="L21"/>
  <c r="L20"/>
  <c r="L19"/>
  <c r="L18"/>
  <c r="L17"/>
  <c r="L16"/>
  <c r="L15"/>
  <c r="L14"/>
  <c r="L13"/>
  <c r="L12"/>
  <c r="L11"/>
  <c r="L10"/>
  <c r="L9"/>
  <c r="L8"/>
  <c r="L7"/>
  <c r="L6"/>
  <c r="L5"/>
  <c r="L4"/>
  <c r="L3"/>
  <c r="L2"/>
  <c r="M335"/>
  <c r="K335"/>
  <c r="M1029"/>
  <c r="K1029"/>
  <c r="M1110"/>
  <c r="K1110"/>
  <c r="M1109"/>
  <c r="K1109"/>
  <c r="M1108"/>
  <c r="K1108"/>
  <c r="M1107"/>
  <c r="K1107"/>
  <c r="M1106"/>
  <c r="K1106"/>
  <c r="M1105"/>
  <c r="K1105"/>
  <c r="M1104"/>
  <c r="K1104"/>
  <c r="M1103"/>
  <c r="K1103"/>
  <c r="M1102"/>
  <c r="K1102"/>
  <c r="M1101"/>
  <c r="K1101"/>
  <c r="M1100"/>
  <c r="K1100"/>
  <c r="M1099"/>
  <c r="K1099"/>
  <c r="M1098"/>
  <c r="K1098"/>
  <c r="M1097"/>
  <c r="K1097"/>
  <c r="M1096"/>
  <c r="K1096"/>
  <c r="M1095"/>
  <c r="K1095"/>
  <c r="M1094"/>
  <c r="K1094"/>
  <c r="M1093"/>
  <c r="K1093"/>
  <c r="M1092"/>
  <c r="K1092"/>
  <c r="M1091"/>
  <c r="K1091"/>
  <c r="M1090"/>
  <c r="K1090"/>
  <c r="M1089"/>
  <c r="K1089"/>
  <c r="M1088"/>
  <c r="K1088"/>
  <c r="M1087"/>
  <c r="K1087"/>
  <c r="M1086"/>
  <c r="K1086"/>
  <c r="M1085"/>
  <c r="K1085"/>
  <c r="M1084"/>
  <c r="K1084"/>
  <c r="M1083"/>
  <c r="K1083"/>
  <c r="M1082"/>
  <c r="K1082"/>
  <c r="M1081"/>
  <c r="K1081"/>
  <c r="M1080"/>
  <c r="K1080"/>
  <c r="M1079"/>
  <c r="K1079"/>
  <c r="M1078"/>
  <c r="K1078"/>
  <c r="M1077"/>
  <c r="K1077"/>
  <c r="M1076"/>
  <c r="K1076"/>
  <c r="M1075"/>
  <c r="K1075"/>
  <c r="M1074"/>
  <c r="K1074"/>
  <c r="M1073"/>
  <c r="K1073"/>
  <c r="M1072"/>
  <c r="K1072"/>
  <c r="M1071"/>
  <c r="K1071"/>
  <c r="M1070"/>
  <c r="K1070"/>
  <c r="M1069"/>
  <c r="K1069"/>
  <c r="M1068"/>
  <c r="K1068"/>
  <c r="M1067"/>
  <c r="K1067"/>
  <c r="M1066"/>
  <c r="K1066"/>
  <c r="M1065"/>
  <c r="K1065"/>
  <c r="M1064"/>
  <c r="K1064"/>
  <c r="M1063"/>
  <c r="K1063"/>
  <c r="M1062"/>
  <c r="K1062"/>
  <c r="M1061"/>
  <c r="K1061"/>
  <c r="M1060"/>
  <c r="K1060"/>
  <c r="M1059"/>
  <c r="K1059"/>
  <c r="M1058"/>
  <c r="K1058"/>
  <c r="M1057"/>
  <c r="K1057"/>
  <c r="M1056"/>
  <c r="K1056"/>
  <c r="M1055"/>
  <c r="K1055"/>
  <c r="K1054"/>
  <c r="M1053"/>
  <c r="K1053"/>
  <c r="M1052"/>
  <c r="K1052"/>
  <c r="M1051"/>
  <c r="K1051"/>
  <c r="M1050"/>
  <c r="K1050"/>
  <c r="M1049"/>
  <c r="K1049"/>
  <c r="M1048"/>
  <c r="K1048"/>
  <c r="M1047"/>
  <c r="K1047"/>
  <c r="M1046"/>
  <c r="K1046"/>
  <c r="M1045"/>
  <c r="K1045"/>
  <c r="M1044"/>
  <c r="K1044"/>
  <c r="M1043"/>
  <c r="K1043"/>
  <c r="M1042"/>
  <c r="K1042"/>
  <c r="M1041"/>
  <c r="K1041"/>
  <c r="M1040"/>
  <c r="K1040"/>
  <c r="M1039"/>
  <c r="K1039"/>
  <c r="M1038"/>
  <c r="K1038"/>
  <c r="M1037"/>
  <c r="K1037"/>
  <c r="M1036"/>
  <c r="K1036"/>
  <c r="M1035"/>
  <c r="K1035"/>
  <c r="M1034"/>
  <c r="K1034"/>
  <c r="M1033"/>
  <c r="K1033"/>
  <c r="M1032"/>
  <c r="K1032"/>
  <c r="M1031"/>
  <c r="K1031"/>
  <c r="M1030"/>
  <c r="K1030"/>
  <c r="M1028"/>
  <c r="K1028"/>
  <c r="M1027"/>
  <c r="K1027"/>
  <c r="M1026"/>
  <c r="K1026"/>
  <c r="M1025"/>
  <c r="K1025"/>
  <c r="M1024"/>
  <c r="K1024"/>
  <c r="M1023"/>
  <c r="K1023"/>
  <c r="M1022"/>
  <c r="K1022"/>
  <c r="M1021"/>
  <c r="K1021"/>
  <c r="M1020"/>
  <c r="K1020"/>
  <c r="M1019"/>
  <c r="K1019"/>
  <c r="M1018"/>
  <c r="K1018"/>
  <c r="M1017"/>
  <c r="K1017"/>
  <c r="M1016"/>
  <c r="K1016"/>
  <c r="M1015"/>
  <c r="K1015"/>
  <c r="M1014"/>
  <c r="K1014"/>
  <c r="M1013"/>
  <c r="K1013"/>
  <c r="M1012"/>
  <c r="K1012"/>
  <c r="M1011"/>
  <c r="K1011"/>
  <c r="M1010"/>
  <c r="K1010"/>
  <c r="M1009"/>
  <c r="K1009"/>
  <c r="M1008"/>
  <c r="K1008"/>
  <c r="M1007"/>
  <c r="K1007"/>
  <c r="M1006"/>
  <c r="K1006"/>
  <c r="M1005"/>
  <c r="K1005"/>
  <c r="M1004"/>
  <c r="K1004"/>
  <c r="M1003"/>
  <c r="K1003"/>
  <c r="M1002"/>
  <c r="K1002"/>
  <c r="M1001"/>
  <c r="K1001"/>
  <c r="M1000"/>
  <c r="K1000"/>
  <c r="M999"/>
  <c r="K999"/>
  <c r="M998"/>
  <c r="K998"/>
  <c r="M997"/>
  <c r="K997"/>
  <c r="M996"/>
  <c r="K996"/>
  <c r="M995"/>
  <c r="K995"/>
  <c r="M994"/>
  <c r="K994"/>
  <c r="M993"/>
  <c r="K993"/>
  <c r="M992"/>
  <c r="K992"/>
  <c r="M991"/>
  <c r="K991"/>
  <c r="M990"/>
  <c r="K990"/>
  <c r="M989"/>
  <c r="K989"/>
  <c r="M988"/>
  <c r="K988"/>
  <c r="M987"/>
  <c r="K987"/>
  <c r="M986"/>
  <c r="K986"/>
  <c r="M985"/>
  <c r="K985"/>
  <c r="M984"/>
  <c r="K984"/>
  <c r="M983"/>
  <c r="K983"/>
  <c r="M982"/>
  <c r="K982"/>
  <c r="M981"/>
  <c r="K981"/>
  <c r="M980"/>
  <c r="K980"/>
  <c r="M979"/>
  <c r="K979"/>
  <c r="M978"/>
  <c r="K978"/>
  <c r="M977"/>
  <c r="K977"/>
  <c r="M976"/>
  <c r="K976"/>
  <c r="M975"/>
  <c r="K975"/>
  <c r="M974"/>
  <c r="K974"/>
  <c r="M973"/>
  <c r="K973"/>
  <c r="M972"/>
  <c r="K972"/>
  <c r="M971"/>
  <c r="K971"/>
  <c r="M970"/>
  <c r="K970"/>
  <c r="M969"/>
  <c r="K969"/>
  <c r="M968"/>
  <c r="K968"/>
  <c r="M967"/>
  <c r="K967"/>
  <c r="M966"/>
  <c r="K966"/>
  <c r="M965"/>
  <c r="K965"/>
  <c r="M964"/>
  <c r="K964"/>
  <c r="M963"/>
  <c r="K963"/>
  <c r="M962"/>
  <c r="K962"/>
  <c r="M961"/>
  <c r="K961"/>
  <c r="M960"/>
  <c r="K960"/>
  <c r="M959"/>
  <c r="K959"/>
  <c r="M958"/>
  <c r="K958"/>
  <c r="M957"/>
  <c r="K957"/>
  <c r="M956"/>
  <c r="K956"/>
  <c r="M955"/>
  <c r="K955"/>
  <c r="M954"/>
  <c r="K954"/>
  <c r="M953"/>
  <c r="K953"/>
  <c r="M952"/>
  <c r="K952"/>
  <c r="M951"/>
  <c r="K951"/>
  <c r="M950"/>
  <c r="K950"/>
  <c r="M949"/>
  <c r="K949"/>
  <c r="M948"/>
  <c r="K948"/>
  <c r="M947"/>
  <c r="K947"/>
  <c r="M946"/>
  <c r="K946"/>
  <c r="M945"/>
  <c r="K945"/>
  <c r="M944"/>
  <c r="K944"/>
  <c r="M943"/>
  <c r="K943"/>
  <c r="M942"/>
  <c r="K942"/>
  <c r="M941"/>
  <c r="K941"/>
  <c r="M940"/>
  <c r="K940"/>
  <c r="M939"/>
  <c r="K939"/>
  <c r="M938"/>
  <c r="K938"/>
  <c r="M937"/>
  <c r="K937"/>
  <c r="M936"/>
  <c r="K936"/>
  <c r="M935"/>
  <c r="K935"/>
  <c r="M934"/>
  <c r="K934"/>
  <c r="M933"/>
  <c r="K933"/>
  <c r="M932"/>
  <c r="K932"/>
  <c r="M931"/>
  <c r="K931"/>
  <c r="M930"/>
  <c r="K930"/>
  <c r="M929"/>
  <c r="K929"/>
  <c r="M928"/>
  <c r="K928"/>
  <c r="M927"/>
  <c r="K927"/>
  <c r="M926"/>
  <c r="K926"/>
  <c r="M925"/>
  <c r="K925"/>
  <c r="M924"/>
  <c r="K924"/>
  <c r="M923"/>
  <c r="K923"/>
  <c r="M922"/>
  <c r="K922"/>
  <c r="M921"/>
  <c r="K921"/>
  <c r="M920"/>
  <c r="K920"/>
  <c r="M919"/>
  <c r="K919"/>
  <c r="M918"/>
  <c r="K918"/>
  <c r="M917"/>
  <c r="K917"/>
  <c r="M916"/>
  <c r="K916"/>
  <c r="M915"/>
  <c r="K915"/>
  <c r="M914"/>
  <c r="K914"/>
  <c r="M913"/>
  <c r="K913"/>
  <c r="M912"/>
  <c r="K912"/>
  <c r="M911"/>
  <c r="K911"/>
  <c r="M772"/>
  <c r="K772"/>
  <c r="M450"/>
  <c r="K450"/>
  <c r="M876"/>
  <c r="K876"/>
  <c r="M785"/>
  <c r="K785"/>
  <c r="M2"/>
  <c r="K2"/>
  <c r="M895"/>
  <c r="K895"/>
  <c r="M900"/>
  <c r="K900"/>
  <c r="M893"/>
  <c r="K893"/>
  <c r="M892"/>
  <c r="K892"/>
  <c r="M884"/>
  <c r="K884"/>
  <c r="M904"/>
  <c r="K904"/>
  <c r="M899"/>
  <c r="K899"/>
  <c r="M894"/>
  <c r="K894"/>
  <c r="M901"/>
  <c r="K901"/>
  <c r="M890"/>
  <c r="K890"/>
  <c r="M903"/>
  <c r="K903"/>
  <c r="M883"/>
  <c r="K883"/>
  <c r="M889"/>
  <c r="K889"/>
  <c r="M888"/>
  <c r="K888"/>
  <c r="M887"/>
  <c r="K887"/>
  <c r="M902"/>
  <c r="K902"/>
  <c r="M796"/>
  <c r="K796"/>
  <c r="M886"/>
  <c r="K886"/>
  <c r="M885"/>
  <c r="K885"/>
  <c r="M898"/>
  <c r="K898"/>
  <c r="M897"/>
  <c r="K897"/>
  <c r="M896"/>
  <c r="K896"/>
  <c r="M908"/>
  <c r="K908"/>
  <c r="M906"/>
  <c r="K906"/>
  <c r="M907"/>
  <c r="K907"/>
  <c r="M905"/>
  <c r="K905"/>
  <c r="M891"/>
  <c r="K891"/>
  <c r="M788"/>
  <c r="K788"/>
  <c r="C3" i="24"/>
  <c r="D3"/>
  <c r="E3"/>
  <c r="F3"/>
  <c r="G3"/>
  <c r="H3"/>
  <c r="I3"/>
  <c r="J3"/>
  <c r="K3"/>
  <c r="L3"/>
  <c r="M3"/>
  <c r="N3"/>
  <c r="O3"/>
  <c r="P3"/>
  <c r="Q3"/>
  <c r="R3"/>
  <c r="S3"/>
  <c r="T3"/>
  <c r="U3"/>
  <c r="V3"/>
  <c r="W3"/>
  <c r="X3"/>
  <c r="Y3"/>
  <c r="Z3"/>
  <c r="AA3"/>
  <c r="AB3"/>
  <c r="AC3"/>
  <c r="AD3"/>
  <c r="C4"/>
  <c r="D4"/>
  <c r="E4"/>
  <c r="F4"/>
  <c r="G4"/>
  <c r="H4"/>
  <c r="I4"/>
  <c r="J4"/>
  <c r="K4"/>
  <c r="L4"/>
  <c r="M4"/>
  <c r="N4"/>
  <c r="O4"/>
  <c r="P4"/>
  <c r="Q4"/>
  <c r="R4"/>
  <c r="S4"/>
  <c r="T4"/>
  <c r="U4"/>
  <c r="V4"/>
  <c r="W4"/>
  <c r="X4"/>
  <c r="Y4"/>
  <c r="Z4"/>
  <c r="AA4"/>
  <c r="AB4"/>
  <c r="AC4"/>
  <c r="AD4"/>
  <c r="AE4"/>
  <c r="AF4"/>
  <c r="AG4"/>
  <c r="C5"/>
  <c r="D5"/>
  <c r="E5"/>
  <c r="F5"/>
  <c r="G5"/>
  <c r="H5"/>
  <c r="I5"/>
  <c r="J5"/>
  <c r="K5"/>
  <c r="L5"/>
  <c r="M5"/>
  <c r="N5"/>
  <c r="O5"/>
  <c r="P5"/>
  <c r="Q5"/>
  <c r="R5"/>
  <c r="S5"/>
  <c r="T5"/>
  <c r="U5"/>
  <c r="V5"/>
  <c r="W5"/>
  <c r="X5"/>
  <c r="Y5"/>
  <c r="Z5"/>
  <c r="AA5"/>
  <c r="AB5"/>
  <c r="AC5"/>
  <c r="AD5"/>
  <c r="AE5"/>
  <c r="AF5"/>
  <c r="C6"/>
  <c r="D6"/>
  <c r="E6"/>
  <c r="F6"/>
  <c r="G6"/>
  <c r="H6"/>
  <c r="I6"/>
  <c r="J6"/>
  <c r="K6"/>
  <c r="L6"/>
  <c r="M6"/>
  <c r="N6"/>
  <c r="O6"/>
  <c r="P6"/>
  <c r="Q6"/>
  <c r="R6"/>
  <c r="S6"/>
  <c r="T6"/>
  <c r="U6"/>
  <c r="V6"/>
  <c r="W6"/>
  <c r="X6"/>
  <c r="Y6"/>
  <c r="Z6"/>
  <c r="AA6"/>
  <c r="AB6"/>
  <c r="AC6"/>
  <c r="AD6"/>
  <c r="AE6"/>
  <c r="AF6"/>
  <c r="AG6"/>
  <c r="C7"/>
  <c r="D7"/>
  <c r="E7"/>
  <c r="F7"/>
  <c r="G7"/>
  <c r="H7"/>
  <c r="I7"/>
  <c r="J7"/>
  <c r="K7"/>
  <c r="L7"/>
  <c r="M7"/>
  <c r="N7"/>
  <c r="O7"/>
  <c r="P7"/>
  <c r="Q7"/>
  <c r="R7"/>
  <c r="S7"/>
  <c r="T7"/>
  <c r="U7"/>
  <c r="V7"/>
  <c r="W7"/>
  <c r="X7"/>
  <c r="Y7"/>
  <c r="Z7"/>
  <c r="AA7"/>
  <c r="AB7"/>
  <c r="AC7"/>
  <c r="AD7"/>
  <c r="AE7"/>
  <c r="AF7"/>
  <c r="C8"/>
  <c r="D8"/>
  <c r="E8"/>
  <c r="F8"/>
  <c r="G8"/>
  <c r="H8"/>
  <c r="I8"/>
  <c r="J8"/>
  <c r="K8"/>
  <c r="L8"/>
  <c r="M8"/>
  <c r="N8"/>
  <c r="O8"/>
  <c r="P8"/>
  <c r="Q8"/>
  <c r="R8"/>
  <c r="S8"/>
  <c r="T8"/>
  <c r="U8"/>
  <c r="V8"/>
  <c r="W8"/>
  <c r="X8"/>
  <c r="Y8"/>
  <c r="Z8"/>
  <c r="AA8"/>
  <c r="AB8"/>
  <c r="AC8"/>
  <c r="AD8"/>
  <c r="AE8"/>
  <c r="AF8"/>
  <c r="AG8"/>
  <c r="C9"/>
  <c r="D9"/>
  <c r="E9"/>
  <c r="F9"/>
  <c r="G9"/>
  <c r="H9"/>
  <c r="I9"/>
  <c r="J9"/>
  <c r="K9"/>
  <c r="L9"/>
  <c r="M9"/>
  <c r="N9"/>
  <c r="O9"/>
  <c r="P9"/>
  <c r="Q9"/>
  <c r="R9"/>
  <c r="S9"/>
  <c r="T9"/>
  <c r="U9"/>
  <c r="V9"/>
  <c r="W9"/>
  <c r="X9"/>
  <c r="Y9"/>
  <c r="Z9"/>
  <c r="AA9"/>
  <c r="AB9"/>
  <c r="AC9"/>
  <c r="AD9"/>
  <c r="AE9"/>
  <c r="AF9"/>
  <c r="AG9"/>
  <c r="C10"/>
  <c r="D10"/>
  <c r="E10"/>
  <c r="F10"/>
  <c r="G10"/>
  <c r="H10"/>
  <c r="I10"/>
  <c r="J10"/>
  <c r="K10"/>
  <c r="L10"/>
  <c r="M10"/>
  <c r="N10"/>
  <c r="O10"/>
  <c r="P10"/>
  <c r="Q10"/>
  <c r="R10"/>
  <c r="S10"/>
  <c r="T10"/>
  <c r="U10"/>
  <c r="V10"/>
  <c r="W10"/>
  <c r="X10"/>
  <c r="Y10"/>
  <c r="Z10"/>
  <c r="AA10"/>
  <c r="AB10"/>
  <c r="AC10"/>
  <c r="AD10"/>
  <c r="AE10"/>
  <c r="AF10"/>
  <c r="C11"/>
  <c r="D11"/>
  <c r="E11"/>
  <c r="F11"/>
  <c r="G11"/>
  <c r="H11"/>
  <c r="I11"/>
  <c r="J11"/>
  <c r="K11"/>
  <c r="L11"/>
  <c r="M11"/>
  <c r="N11"/>
  <c r="O11"/>
  <c r="P11"/>
  <c r="Q11"/>
  <c r="R11"/>
  <c r="S11"/>
  <c r="T11"/>
  <c r="U11"/>
  <c r="V11"/>
  <c r="W11"/>
  <c r="X11"/>
  <c r="Y11"/>
  <c r="Z11"/>
  <c r="AA11"/>
  <c r="AB11"/>
  <c r="AC11"/>
  <c r="AD11"/>
  <c r="AE11"/>
  <c r="AF11"/>
  <c r="AG11"/>
  <c r="C12"/>
  <c r="D12"/>
  <c r="E12"/>
  <c r="F12"/>
  <c r="G12"/>
  <c r="H12"/>
  <c r="I12"/>
  <c r="J12"/>
  <c r="K12"/>
  <c r="L12"/>
  <c r="M12"/>
  <c r="N12"/>
  <c r="O12"/>
  <c r="P12"/>
  <c r="Q12"/>
  <c r="R12"/>
  <c r="S12"/>
  <c r="T12"/>
  <c r="U12"/>
  <c r="V12"/>
  <c r="W12"/>
  <c r="X12"/>
  <c r="Y12"/>
  <c r="Z12"/>
  <c r="AA12"/>
  <c r="AB12"/>
  <c r="AC12"/>
  <c r="AD12"/>
  <c r="AE12"/>
  <c r="AF12"/>
  <c r="C13"/>
  <c r="D13"/>
  <c r="E13"/>
  <c r="F13"/>
  <c r="G13"/>
  <c r="H13"/>
  <c r="I13"/>
  <c r="J13"/>
  <c r="K13"/>
  <c r="L13"/>
  <c r="M13"/>
  <c r="N13"/>
  <c r="O13"/>
  <c r="P13"/>
  <c r="Q13"/>
  <c r="R13"/>
  <c r="S13"/>
  <c r="T13"/>
  <c r="U13"/>
  <c r="V13"/>
  <c r="W13"/>
  <c r="X13"/>
  <c r="Y13"/>
  <c r="Z13"/>
  <c r="AA13"/>
  <c r="AB13"/>
  <c r="AC13"/>
  <c r="AD13"/>
  <c r="AE13"/>
  <c r="AF13"/>
  <c r="AG13"/>
  <c r="D2"/>
  <c r="E2"/>
  <c r="F2"/>
  <c r="G2"/>
  <c r="H2"/>
  <c r="I2"/>
  <c r="J2"/>
  <c r="K2"/>
  <c r="L2"/>
  <c r="M2"/>
  <c r="N2"/>
  <c r="O2"/>
  <c r="P2"/>
  <c r="Q2"/>
  <c r="R2"/>
  <c r="S2"/>
  <c r="T2"/>
  <c r="U2"/>
  <c r="V2"/>
  <c r="W2"/>
  <c r="X2"/>
  <c r="Y2"/>
  <c r="Z2"/>
  <c r="AA2"/>
  <c r="AB2"/>
  <c r="AC2"/>
  <c r="AD2"/>
  <c r="AE2"/>
  <c r="AF2"/>
  <c r="AG2"/>
  <c r="C2"/>
  <c r="M871" i="2"/>
  <c r="K871"/>
  <c r="M870"/>
  <c r="K870"/>
  <c r="M869"/>
  <c r="K869"/>
  <c r="M868"/>
  <c r="K868"/>
  <c r="M867"/>
  <c r="K867"/>
  <c r="M866"/>
  <c r="K866"/>
  <c r="M865"/>
  <c r="K865"/>
  <c r="M864"/>
  <c r="K864"/>
  <c r="M863"/>
  <c r="K863"/>
  <c r="M862"/>
  <c r="K862"/>
  <c r="M861"/>
  <c r="K861"/>
  <c r="M860"/>
  <c r="K860"/>
  <c r="M859"/>
  <c r="K859"/>
  <c r="M858"/>
  <c r="K858"/>
  <c r="M857"/>
  <c r="K857"/>
  <c r="M856"/>
  <c r="K856"/>
  <c r="M855"/>
  <c r="K855"/>
  <c r="M854"/>
  <c r="K854"/>
  <c r="M853"/>
  <c r="K853"/>
  <c r="M852"/>
  <c r="K852"/>
  <c r="M851"/>
  <c r="K851"/>
  <c r="M850"/>
  <c r="K850"/>
  <c r="M849"/>
  <c r="K849"/>
  <c r="M848"/>
  <c r="K848"/>
  <c r="M847"/>
  <c r="K847"/>
  <c r="M846"/>
  <c r="K846"/>
  <c r="M845"/>
  <c r="K845"/>
  <c r="M844"/>
  <c r="K844"/>
  <c r="M843"/>
  <c r="K843"/>
  <c r="M842"/>
  <c r="K842"/>
  <c r="M841"/>
  <c r="K841"/>
  <c r="M840"/>
  <c r="K840"/>
  <c r="M839"/>
  <c r="K839"/>
  <c r="M838"/>
  <c r="K838"/>
  <c r="M837"/>
  <c r="K837"/>
  <c r="M836"/>
  <c r="K836"/>
  <c r="M834"/>
  <c r="K834"/>
  <c r="M835"/>
  <c r="K835"/>
  <c r="M833"/>
  <c r="K833"/>
  <c r="M832"/>
  <c r="K832"/>
  <c r="M831"/>
  <c r="K831"/>
  <c r="M830"/>
  <c r="K830"/>
  <c r="M829"/>
  <c r="K829"/>
  <c r="M828"/>
  <c r="K828"/>
  <c r="M827"/>
  <c r="K827"/>
  <c r="M826"/>
  <c r="K826"/>
  <c r="M825"/>
  <c r="K825"/>
  <c r="M824"/>
  <c r="K824"/>
  <c r="M810"/>
  <c r="K810"/>
  <c r="M881"/>
  <c r="K881"/>
  <c r="M880"/>
  <c r="K880"/>
  <c r="K2" i="37"/>
  <c r="E2"/>
  <c r="J2" s="1"/>
  <c r="K6"/>
  <c r="K3"/>
  <c r="K7"/>
  <c r="K4"/>
  <c r="F7"/>
  <c r="D7"/>
  <c r="F6"/>
  <c r="D6"/>
  <c r="E4"/>
  <c r="J4" s="1"/>
  <c r="E3"/>
  <c r="J3" s="1"/>
  <c r="O3" s="1"/>
  <c r="M882" i="2"/>
  <c r="K882"/>
  <c r="M364"/>
  <c r="K364"/>
  <c r="M791"/>
  <c r="K791"/>
  <c r="M572"/>
  <c r="K572"/>
  <c r="M879"/>
  <c r="K879"/>
  <c r="M878"/>
  <c r="K878"/>
  <c r="M755"/>
  <c r="K755"/>
  <c r="M795"/>
  <c r="K795"/>
  <c r="M799"/>
  <c r="K799"/>
  <c r="M798"/>
  <c r="K798"/>
  <c r="M797"/>
  <c r="K797"/>
  <c r="M874"/>
  <c r="K874"/>
  <c r="M873"/>
  <c r="K873"/>
  <c r="M872"/>
  <c r="K872"/>
  <c r="M877"/>
  <c r="K877"/>
  <c r="M875"/>
  <c r="K875"/>
  <c r="M1130"/>
  <c r="K1130"/>
  <c r="M823"/>
  <c r="K823"/>
  <c r="M822"/>
  <c r="K822"/>
  <c r="M821"/>
  <c r="K821"/>
  <c r="M820"/>
  <c r="K820"/>
  <c r="M819"/>
  <c r="K819"/>
  <c r="M818"/>
  <c r="K818"/>
  <c r="M817"/>
  <c r="K817"/>
  <c r="M816"/>
  <c r="K816"/>
  <c r="M815"/>
  <c r="K815"/>
  <c r="M814"/>
  <c r="K814"/>
  <c r="M813"/>
  <c r="K813"/>
  <c r="M812"/>
  <c r="K812"/>
  <c r="M811"/>
  <c r="K811"/>
  <c r="M809"/>
  <c r="K809"/>
  <c r="M808"/>
  <c r="K808"/>
  <c r="M807"/>
  <c r="K807"/>
  <c r="M806"/>
  <c r="K806"/>
  <c r="M805"/>
  <c r="K805"/>
  <c r="M804"/>
  <c r="K804"/>
  <c r="M803"/>
  <c r="K803"/>
  <c r="M802"/>
  <c r="K802"/>
  <c r="M801"/>
  <c r="K801"/>
  <c r="M800"/>
  <c r="K800"/>
  <c r="M794"/>
  <c r="K794"/>
  <c r="M793"/>
  <c r="K793"/>
  <c r="M789"/>
  <c r="K789"/>
  <c r="M771"/>
  <c r="K771"/>
  <c r="M768"/>
  <c r="K768"/>
  <c r="M770"/>
  <c r="K770"/>
  <c r="M777"/>
  <c r="K777"/>
  <c r="M776"/>
  <c r="K776"/>
  <c r="M775"/>
  <c r="K775"/>
  <c r="M769"/>
  <c r="K769"/>
  <c r="M773"/>
  <c r="K773"/>
  <c r="M767"/>
  <c r="K767"/>
  <c r="M778"/>
  <c r="K778"/>
  <c r="M783"/>
  <c r="K783"/>
  <c r="M784"/>
  <c r="K784"/>
  <c r="M790"/>
  <c r="K790"/>
  <c r="M792"/>
  <c r="K792"/>
  <c r="M766"/>
  <c r="K766"/>
  <c r="M765"/>
  <c r="K765"/>
  <c r="M764"/>
  <c r="K764"/>
  <c r="M762"/>
  <c r="K762"/>
  <c r="M757"/>
  <c r="K757"/>
  <c r="M758"/>
  <c r="K758"/>
  <c r="M756"/>
  <c r="K756"/>
  <c r="M750"/>
  <c r="K750"/>
  <c r="M752"/>
  <c r="K752"/>
  <c r="M754"/>
  <c r="K754"/>
  <c r="M753"/>
  <c r="K753"/>
  <c r="M761"/>
  <c r="K761"/>
  <c r="M760"/>
  <c r="K760"/>
  <c r="M736"/>
  <c r="K736"/>
  <c r="M726"/>
  <c r="K726"/>
  <c r="M759"/>
  <c r="K759"/>
  <c r="M675"/>
  <c r="K675"/>
  <c r="M735"/>
  <c r="K735"/>
  <c r="M706"/>
  <c r="K706"/>
  <c r="M671"/>
  <c r="K671"/>
  <c r="M742"/>
  <c r="K742"/>
  <c r="M749"/>
  <c r="K749"/>
  <c r="M741"/>
  <c r="K741"/>
  <c r="M740"/>
  <c r="K740"/>
  <c r="M713"/>
  <c r="K713"/>
  <c r="M712"/>
  <c r="K712"/>
  <c r="M745"/>
  <c r="K745"/>
  <c r="M744"/>
  <c r="K744"/>
  <c r="M739"/>
  <c r="K739"/>
  <c r="M743"/>
  <c r="K743"/>
  <c r="M738"/>
  <c r="K738"/>
  <c r="M737"/>
  <c r="K737"/>
  <c r="M751"/>
  <c r="K751"/>
  <c r="M650"/>
  <c r="K650"/>
  <c r="M909"/>
  <c r="K909"/>
  <c r="M774"/>
  <c r="K774"/>
  <c r="M718"/>
  <c r="K718"/>
  <c r="M649"/>
  <c r="K649"/>
  <c r="M609"/>
  <c r="K609"/>
  <c r="M541"/>
  <c r="K541"/>
  <c r="M240"/>
  <c r="K240"/>
  <c r="M196"/>
  <c r="K196"/>
  <c r="M156"/>
  <c r="K156"/>
  <c r="M123"/>
  <c r="K123"/>
  <c r="M66"/>
  <c r="K66"/>
  <c r="M42"/>
  <c r="K42"/>
  <c r="M537"/>
  <c r="K537"/>
  <c r="M720"/>
  <c r="K720"/>
  <c r="M719"/>
  <c r="K719"/>
  <c r="M725"/>
  <c r="K725"/>
  <c r="M724"/>
  <c r="K724"/>
  <c r="M723"/>
  <c r="K723"/>
  <c r="M722"/>
  <c r="K722"/>
  <c r="M734"/>
  <c r="K734"/>
  <c r="M714"/>
  <c r="K714"/>
  <c r="M711"/>
  <c r="K711"/>
  <c r="M683"/>
  <c r="K683"/>
  <c r="M717"/>
  <c r="K717"/>
  <c r="M709"/>
  <c r="K709"/>
  <c r="M708"/>
  <c r="K708"/>
  <c r="M710"/>
  <c r="K710"/>
  <c r="M716"/>
  <c r="K716"/>
  <c r="M715"/>
  <c r="K715"/>
  <c r="M701"/>
  <c r="K701"/>
  <c r="M700"/>
  <c r="K700"/>
  <c r="M707"/>
  <c r="K707"/>
  <c r="M703"/>
  <c r="K703"/>
  <c r="M705"/>
  <c r="K705"/>
  <c r="M704"/>
  <c r="K704"/>
  <c r="M702"/>
  <c r="K702"/>
  <c r="M699"/>
  <c r="K699"/>
  <c r="M698"/>
  <c r="K698"/>
  <c r="M697"/>
  <c r="K697"/>
  <c r="M696"/>
  <c r="K696"/>
  <c r="M695"/>
  <c r="K695"/>
  <c r="M733"/>
  <c r="K733"/>
  <c r="M730"/>
  <c r="K730"/>
  <c r="M729"/>
  <c r="K729"/>
  <c r="M732"/>
  <c r="K732"/>
  <c r="M1131"/>
  <c r="K1131"/>
  <c r="M1119"/>
  <c r="K1119"/>
  <c r="M1118"/>
  <c r="K1118"/>
  <c r="M787"/>
  <c r="K787"/>
  <c r="M786"/>
  <c r="K786"/>
  <c r="M747"/>
  <c r="K747"/>
  <c r="M746"/>
  <c r="K746"/>
  <c r="M694"/>
  <c r="K694"/>
  <c r="M782"/>
  <c r="K782"/>
  <c r="M781"/>
  <c r="K781"/>
  <c r="M780"/>
  <c r="K780"/>
  <c r="M779"/>
  <c r="K779"/>
  <c r="M731"/>
  <c r="K731"/>
  <c r="M693"/>
  <c r="K693"/>
  <c r="M728"/>
  <c r="K728"/>
  <c r="M727"/>
  <c r="K727"/>
  <c r="M692"/>
  <c r="K692"/>
  <c r="M691"/>
  <c r="K691"/>
  <c r="M690"/>
  <c r="K690"/>
  <c r="M689"/>
  <c r="K689"/>
  <c r="M688"/>
  <c r="K688"/>
  <c r="M687"/>
  <c r="K687"/>
  <c r="M686"/>
  <c r="K686"/>
  <c r="M685"/>
  <c r="K685"/>
  <c r="M684"/>
  <c r="K684"/>
  <c r="M682"/>
  <c r="K682"/>
  <c r="M681"/>
  <c r="K681"/>
  <c r="M680"/>
  <c r="K680"/>
  <c r="M679"/>
  <c r="K679"/>
  <c r="M678"/>
  <c r="K678"/>
  <c r="M677"/>
  <c r="K677"/>
  <c r="M676"/>
  <c r="K676"/>
  <c r="M748"/>
  <c r="K748"/>
  <c r="M674"/>
  <c r="K674"/>
  <c r="M673"/>
  <c r="K673"/>
  <c r="M672"/>
  <c r="K672"/>
  <c r="M670"/>
  <c r="K670"/>
  <c r="M669"/>
  <c r="K669"/>
  <c r="M668"/>
  <c r="K668"/>
  <c r="M667"/>
  <c r="K667"/>
  <c r="M666"/>
  <c r="K666"/>
  <c r="M665"/>
  <c r="K665"/>
  <c r="M664"/>
  <c r="K664"/>
  <c r="M663"/>
  <c r="K663"/>
  <c r="M662"/>
  <c r="K662"/>
  <c r="M661"/>
  <c r="K661"/>
  <c r="M660"/>
  <c r="K660"/>
  <c r="M659"/>
  <c r="K659"/>
  <c r="M658"/>
  <c r="K658"/>
  <c r="M657"/>
  <c r="K657"/>
  <c r="M656"/>
  <c r="K656"/>
  <c r="M655"/>
  <c r="K655"/>
  <c r="M654"/>
  <c r="K654"/>
  <c r="M653"/>
  <c r="K653"/>
  <c r="M652"/>
  <c r="K652"/>
  <c r="M651"/>
  <c r="K651"/>
  <c r="M648"/>
  <c r="K648"/>
  <c r="M647"/>
  <c r="K647"/>
  <c r="M646"/>
  <c r="K646"/>
  <c r="M645"/>
  <c r="K645"/>
  <c r="M644"/>
  <c r="K644"/>
  <c r="M643"/>
  <c r="K643"/>
  <c r="M642"/>
  <c r="K642"/>
  <c r="M641"/>
  <c r="K641"/>
  <c r="M640"/>
  <c r="K640"/>
  <c r="M639"/>
  <c r="K639"/>
  <c r="M638"/>
  <c r="K638"/>
  <c r="M637"/>
  <c r="K637"/>
  <c r="M636"/>
  <c r="K636"/>
  <c r="M635"/>
  <c r="K635"/>
  <c r="M634"/>
  <c r="K634"/>
  <c r="M633"/>
  <c r="K633"/>
  <c r="M632"/>
  <c r="K632"/>
  <c r="M631"/>
  <c r="K631"/>
  <c r="M630"/>
  <c r="K630"/>
  <c r="M629"/>
  <c r="K629"/>
  <c r="M628"/>
  <c r="K628"/>
  <c r="M627"/>
  <c r="K627"/>
  <c r="M626"/>
  <c r="K626"/>
  <c r="M625"/>
  <c r="K625"/>
  <c r="M624"/>
  <c r="K624"/>
  <c r="M623"/>
  <c r="K623"/>
  <c r="M622"/>
  <c r="K622"/>
  <c r="M621"/>
  <c r="K621"/>
  <c r="M620"/>
  <c r="K620"/>
  <c r="M619"/>
  <c r="K619"/>
  <c r="M618"/>
  <c r="K618"/>
  <c r="M617"/>
  <c r="K617"/>
  <c r="M616"/>
  <c r="K616"/>
  <c r="M615"/>
  <c r="K615"/>
  <c r="M614"/>
  <c r="K614"/>
  <c r="M613"/>
  <c r="K613"/>
  <c r="M612"/>
  <c r="K612"/>
  <c r="M611"/>
  <c r="K611"/>
  <c r="M610"/>
  <c r="K610"/>
  <c r="M608"/>
  <c r="K608"/>
  <c r="M607"/>
  <c r="K607"/>
  <c r="M606"/>
  <c r="K606"/>
  <c r="M605"/>
  <c r="K605"/>
  <c r="M604"/>
  <c r="K604"/>
  <c r="M603"/>
  <c r="K603"/>
  <c r="M602"/>
  <c r="K602"/>
  <c r="M601"/>
  <c r="K601"/>
  <c r="M600"/>
  <c r="K600"/>
  <c r="M599"/>
  <c r="K599"/>
  <c r="M598"/>
  <c r="K598"/>
  <c r="M597"/>
  <c r="K597"/>
  <c r="M596"/>
  <c r="K596"/>
  <c r="M595"/>
  <c r="K595"/>
  <c r="M594"/>
  <c r="K594"/>
  <c r="M593"/>
  <c r="K593"/>
  <c r="M592"/>
  <c r="K592"/>
  <c r="M763"/>
  <c r="K763"/>
  <c r="M591"/>
  <c r="K591"/>
  <c r="M590"/>
  <c r="K590"/>
  <c r="M589"/>
  <c r="K589"/>
  <c r="M588"/>
  <c r="K588"/>
  <c r="M587"/>
  <c r="K587"/>
  <c r="M586"/>
  <c r="K586"/>
  <c r="M585"/>
  <c r="K585"/>
  <c r="M584"/>
  <c r="K584"/>
  <c r="M583"/>
  <c r="K583"/>
  <c r="M582"/>
  <c r="K582"/>
  <c r="M581"/>
  <c r="K581"/>
  <c r="M580"/>
  <c r="K580"/>
  <c r="M579"/>
  <c r="K579"/>
  <c r="M578"/>
  <c r="K578"/>
  <c r="M577"/>
  <c r="K577"/>
  <c r="M576"/>
  <c r="K576"/>
  <c r="M575"/>
  <c r="K575"/>
  <c r="M574"/>
  <c r="K574"/>
  <c r="M573"/>
  <c r="K573"/>
  <c r="M721"/>
  <c r="K721"/>
  <c r="M571"/>
  <c r="K571"/>
  <c r="M570"/>
  <c r="K570"/>
  <c r="M569"/>
  <c r="K569"/>
  <c r="M568"/>
  <c r="K568"/>
  <c r="M567"/>
  <c r="K567"/>
  <c r="M566"/>
  <c r="K566"/>
  <c r="M565"/>
  <c r="K565"/>
  <c r="M564"/>
  <c r="K564"/>
  <c r="M563"/>
  <c r="K563"/>
  <c r="M562"/>
  <c r="K562"/>
  <c r="M561"/>
  <c r="K561"/>
  <c r="M560"/>
  <c r="K560"/>
  <c r="M559"/>
  <c r="K559"/>
  <c r="M558"/>
  <c r="K558"/>
  <c r="M557"/>
  <c r="K557"/>
  <c r="M556"/>
  <c r="K556"/>
  <c r="M555"/>
  <c r="K555"/>
  <c r="M554"/>
  <c r="K554"/>
  <c r="M553"/>
  <c r="K553"/>
  <c r="M552"/>
  <c r="K552"/>
  <c r="M551"/>
  <c r="K551"/>
  <c r="M550"/>
  <c r="K550"/>
  <c r="M549"/>
  <c r="K549"/>
  <c r="M548"/>
  <c r="K548"/>
  <c r="M547"/>
  <c r="K547"/>
  <c r="M546"/>
  <c r="K546"/>
  <c r="M545"/>
  <c r="K545"/>
  <c r="M544"/>
  <c r="K544"/>
  <c r="M543"/>
  <c r="K543"/>
  <c r="M542"/>
  <c r="K542"/>
  <c r="M540"/>
  <c r="K540"/>
  <c r="M539"/>
  <c r="K539"/>
  <c r="M538"/>
  <c r="K538"/>
  <c r="M536"/>
  <c r="K536"/>
  <c r="M535"/>
  <c r="K535"/>
  <c r="M534"/>
  <c r="K534"/>
  <c r="M533"/>
  <c r="K533"/>
  <c r="M532"/>
  <c r="K532"/>
  <c r="M531"/>
  <c r="K531"/>
  <c r="M530"/>
  <c r="K530"/>
  <c r="M529"/>
  <c r="K529"/>
  <c r="M528"/>
  <c r="K528"/>
  <c r="M527"/>
  <c r="K527"/>
  <c r="M526"/>
  <c r="K526"/>
  <c r="M525"/>
  <c r="K525"/>
  <c r="M524"/>
  <c r="K524"/>
  <c r="M523"/>
  <c r="K523"/>
  <c r="M522"/>
  <c r="K522"/>
  <c r="M521"/>
  <c r="K521"/>
  <c r="M520"/>
  <c r="K520"/>
  <c r="M519"/>
  <c r="K519"/>
  <c r="M518"/>
  <c r="K518"/>
  <c r="M517"/>
  <c r="K517"/>
  <c r="M516"/>
  <c r="K516"/>
  <c r="M515"/>
  <c r="K515"/>
  <c r="M514"/>
  <c r="K514"/>
  <c r="M513"/>
  <c r="K513"/>
  <c r="M512"/>
  <c r="K512"/>
  <c r="M511"/>
  <c r="K511"/>
  <c r="M510"/>
  <c r="K510"/>
  <c r="M509"/>
  <c r="K509"/>
  <c r="M508"/>
  <c r="K508"/>
  <c r="M507"/>
  <c r="K507"/>
  <c r="M506"/>
  <c r="K506"/>
  <c r="M505"/>
  <c r="K505"/>
  <c r="M504"/>
  <c r="K504"/>
  <c r="M503"/>
  <c r="K503"/>
  <c r="M502"/>
  <c r="K502"/>
  <c r="M501"/>
  <c r="K501"/>
  <c r="M500"/>
  <c r="K500"/>
  <c r="M499"/>
  <c r="K499"/>
  <c r="M498"/>
  <c r="K498"/>
  <c r="M497"/>
  <c r="K497"/>
  <c r="M496"/>
  <c r="K496"/>
  <c r="M495"/>
  <c r="K495"/>
  <c r="M494"/>
  <c r="K494"/>
  <c r="M493"/>
  <c r="K493"/>
  <c r="M492"/>
  <c r="K492"/>
  <c r="M491"/>
  <c r="K491"/>
  <c r="M490"/>
  <c r="K490"/>
  <c r="M489"/>
  <c r="K489"/>
  <c r="M488"/>
  <c r="K488"/>
  <c r="M487"/>
  <c r="K487"/>
  <c r="M486"/>
  <c r="K486"/>
  <c r="M485"/>
  <c r="K485"/>
  <c r="M484"/>
  <c r="K484"/>
  <c r="M483"/>
  <c r="K483"/>
  <c r="M482"/>
  <c r="K482"/>
  <c r="M481"/>
  <c r="K481"/>
  <c r="M480"/>
  <c r="K480"/>
  <c r="M479"/>
  <c r="K479"/>
  <c r="M478"/>
  <c r="K478"/>
  <c r="M477"/>
  <c r="K477"/>
  <c r="M476"/>
  <c r="K476"/>
  <c r="M475"/>
  <c r="K475"/>
  <c r="M474"/>
  <c r="K474"/>
  <c r="M473"/>
  <c r="K473"/>
  <c r="M472"/>
  <c r="K472"/>
  <c r="M471"/>
  <c r="K471"/>
  <c r="M470"/>
  <c r="K470"/>
  <c r="M469"/>
  <c r="K469"/>
  <c r="M468"/>
  <c r="K468"/>
  <c r="M467"/>
  <c r="K467"/>
  <c r="M466"/>
  <c r="K466"/>
  <c r="M465"/>
  <c r="K465"/>
  <c r="M464"/>
  <c r="K464"/>
  <c r="M463"/>
  <c r="K463"/>
  <c r="M462"/>
  <c r="K462"/>
  <c r="M461"/>
  <c r="K461"/>
  <c r="M460"/>
  <c r="K460"/>
  <c r="M459"/>
  <c r="K459"/>
  <c r="M458"/>
  <c r="K458"/>
  <c r="M457"/>
  <c r="K457"/>
  <c r="M456"/>
  <c r="K456"/>
  <c r="M455"/>
  <c r="K455"/>
  <c r="M454"/>
  <c r="K454"/>
  <c r="M453"/>
  <c r="K453"/>
  <c r="M452"/>
  <c r="K452"/>
  <c r="M451"/>
  <c r="K451"/>
  <c r="M449"/>
  <c r="K449"/>
  <c r="M448"/>
  <c r="K448"/>
  <c r="M447"/>
  <c r="K447"/>
  <c r="M446"/>
  <c r="K446"/>
  <c r="M445"/>
  <c r="K445"/>
  <c r="M444"/>
  <c r="K444"/>
  <c r="M443"/>
  <c r="K443"/>
  <c r="M442"/>
  <c r="K442"/>
  <c r="M441"/>
  <c r="K441"/>
  <c r="M440"/>
  <c r="K440"/>
  <c r="M439"/>
  <c r="K439"/>
  <c r="M438"/>
  <c r="K438"/>
  <c r="M437"/>
  <c r="K437"/>
  <c r="M436"/>
  <c r="K436"/>
  <c r="M435"/>
  <c r="K435"/>
  <c r="M434"/>
  <c r="K434"/>
  <c r="M433"/>
  <c r="K433"/>
  <c r="M432"/>
  <c r="K432"/>
  <c r="M431"/>
  <c r="K431"/>
  <c r="M430"/>
  <c r="K430"/>
  <c r="M429"/>
  <c r="K429"/>
  <c r="M428"/>
  <c r="K428"/>
  <c r="M427"/>
  <c r="K427"/>
  <c r="M426"/>
  <c r="K426"/>
  <c r="M425"/>
  <c r="K425"/>
  <c r="M424"/>
  <c r="K424"/>
  <c r="M423"/>
  <c r="K423"/>
  <c r="M422"/>
  <c r="K422"/>
  <c r="M421"/>
  <c r="K421"/>
  <c r="M420"/>
  <c r="K420"/>
  <c r="M419"/>
  <c r="K419"/>
  <c r="M418"/>
  <c r="K418"/>
  <c r="M417"/>
  <c r="K417"/>
  <c r="M416"/>
  <c r="K416"/>
  <c r="M415"/>
  <c r="K415"/>
  <c r="M414"/>
  <c r="K414"/>
  <c r="M413"/>
  <c r="K413"/>
  <c r="M412"/>
  <c r="K412"/>
  <c r="M411"/>
  <c r="K411"/>
  <c r="M410"/>
  <c r="K410"/>
  <c r="M409"/>
  <c r="K409"/>
  <c r="M408"/>
  <c r="K408"/>
  <c r="M407"/>
  <c r="K407"/>
  <c r="M406"/>
  <c r="K406"/>
  <c r="M405"/>
  <c r="K405"/>
  <c r="M404"/>
  <c r="K404"/>
  <c r="M403"/>
  <c r="K403"/>
  <c r="M402"/>
  <c r="K402"/>
  <c r="M401"/>
  <c r="K401"/>
  <c r="M400"/>
  <c r="K400"/>
  <c r="M399"/>
  <c r="K399"/>
  <c r="M398"/>
  <c r="K398"/>
  <c r="M397"/>
  <c r="K397"/>
  <c r="M396"/>
  <c r="K396"/>
  <c r="M395"/>
  <c r="K395"/>
  <c r="M394"/>
  <c r="K394"/>
  <c r="M393"/>
  <c r="K393"/>
  <c r="M392"/>
  <c r="K392"/>
  <c r="M391"/>
  <c r="K391"/>
  <c r="M390"/>
  <c r="K390"/>
  <c r="M389"/>
  <c r="K389"/>
  <c r="M388"/>
  <c r="K388"/>
  <c r="M387"/>
  <c r="K387"/>
  <c r="M386"/>
  <c r="K386"/>
  <c r="M385"/>
  <c r="K385"/>
  <c r="M384"/>
  <c r="K384"/>
  <c r="M383"/>
  <c r="K383"/>
  <c r="M382"/>
  <c r="K382"/>
  <c r="M381"/>
  <c r="K381"/>
  <c r="M380"/>
  <c r="K380"/>
  <c r="M379"/>
  <c r="K379"/>
  <c r="M378"/>
  <c r="K378"/>
  <c r="M377"/>
  <c r="K377"/>
  <c r="M376"/>
  <c r="K376"/>
  <c r="M375"/>
  <c r="K375"/>
  <c r="M374"/>
  <c r="K374"/>
  <c r="M373"/>
  <c r="K373"/>
  <c r="M372"/>
  <c r="K372"/>
  <c r="M371"/>
  <c r="K371"/>
  <c r="M370"/>
  <c r="K370"/>
  <c r="M369"/>
  <c r="K369"/>
  <c r="M368"/>
  <c r="K368"/>
  <c r="M367"/>
  <c r="K367"/>
  <c r="M366"/>
  <c r="K366"/>
  <c r="M365"/>
  <c r="K365"/>
  <c r="M363"/>
  <c r="K363"/>
  <c r="M362"/>
  <c r="K362"/>
  <c r="M361"/>
  <c r="K361"/>
  <c r="M360"/>
  <c r="K360"/>
  <c r="M359"/>
  <c r="K359"/>
  <c r="M358"/>
  <c r="K358"/>
  <c r="M357"/>
  <c r="K357"/>
  <c r="M356"/>
  <c r="K356"/>
  <c r="M355"/>
  <c r="K355"/>
  <c r="M354"/>
  <c r="K354"/>
  <c r="M353"/>
  <c r="K353"/>
  <c r="M352"/>
  <c r="K352"/>
  <c r="M351"/>
  <c r="K351"/>
  <c r="M350"/>
  <c r="K350"/>
  <c r="M349"/>
  <c r="K349"/>
  <c r="M348"/>
  <c r="K348"/>
  <c r="M347"/>
  <c r="K347"/>
  <c r="M346"/>
  <c r="K346"/>
  <c r="M345"/>
  <c r="K345"/>
  <c r="M344"/>
  <c r="K344"/>
  <c r="M343"/>
  <c r="K343"/>
  <c r="M342"/>
  <c r="K342"/>
  <c r="M341"/>
  <c r="K341"/>
  <c r="M340"/>
  <c r="K340"/>
  <c r="M339"/>
  <c r="K339"/>
  <c r="M338"/>
  <c r="K338"/>
  <c r="M337"/>
  <c r="K337"/>
  <c r="M336"/>
  <c r="K336"/>
  <c r="M910"/>
  <c r="K910"/>
  <c r="M334"/>
  <c r="K334"/>
  <c r="M333"/>
  <c r="K333"/>
  <c r="M332"/>
  <c r="K332"/>
  <c r="M331"/>
  <c r="K331"/>
  <c r="M330"/>
  <c r="K330"/>
  <c r="M329"/>
  <c r="K329"/>
  <c r="M328"/>
  <c r="K328"/>
  <c r="M327"/>
  <c r="K327"/>
  <c r="M326"/>
  <c r="K326"/>
  <c r="M325"/>
  <c r="K325"/>
  <c r="M324"/>
  <c r="K324"/>
  <c r="M323"/>
  <c r="K323"/>
  <c r="M322"/>
  <c r="K322"/>
  <c r="M321"/>
  <c r="K321"/>
  <c r="M320"/>
  <c r="K320"/>
  <c r="M319"/>
  <c r="K319"/>
  <c r="M318"/>
  <c r="K318"/>
  <c r="M317"/>
  <c r="K317"/>
  <c r="M316"/>
  <c r="K316"/>
  <c r="M315"/>
  <c r="K315"/>
  <c r="M314"/>
  <c r="K314"/>
  <c r="M313"/>
  <c r="K313"/>
  <c r="M312"/>
  <c r="K312"/>
  <c r="M311"/>
  <c r="K311"/>
  <c r="M310"/>
  <c r="K310"/>
  <c r="M309"/>
  <c r="K309"/>
  <c r="M308"/>
  <c r="K308"/>
  <c r="M307"/>
  <c r="K307"/>
  <c r="M306"/>
  <c r="K306"/>
  <c r="M305"/>
  <c r="K305"/>
  <c r="M304"/>
  <c r="K304"/>
  <c r="M303"/>
  <c r="K303"/>
  <c r="M302"/>
  <c r="K302"/>
  <c r="M301"/>
  <c r="K301"/>
  <c r="M300"/>
  <c r="K300"/>
  <c r="M299"/>
  <c r="K299"/>
  <c r="M298"/>
  <c r="K298"/>
  <c r="M297"/>
  <c r="K297"/>
  <c r="M296"/>
  <c r="K296"/>
  <c r="M295"/>
  <c r="K295"/>
  <c r="M294"/>
  <c r="K294"/>
  <c r="M293"/>
  <c r="K293"/>
  <c r="M292"/>
  <c r="K292"/>
  <c r="M291"/>
  <c r="K291"/>
  <c r="M290"/>
  <c r="K290"/>
  <c r="M289"/>
  <c r="K289"/>
  <c r="M288"/>
  <c r="K288"/>
  <c r="M287"/>
  <c r="K287"/>
  <c r="M286"/>
  <c r="K286"/>
  <c r="M285"/>
  <c r="K285"/>
  <c r="M284"/>
  <c r="K284"/>
  <c r="M283"/>
  <c r="K283"/>
  <c r="M282"/>
  <c r="K282"/>
  <c r="M281"/>
  <c r="K281"/>
  <c r="M280"/>
  <c r="K280"/>
  <c r="M279"/>
  <c r="K279"/>
  <c r="M278"/>
  <c r="K278"/>
  <c r="M277"/>
  <c r="K277"/>
  <c r="M276"/>
  <c r="K276"/>
  <c r="M275"/>
  <c r="K275"/>
  <c r="M274"/>
  <c r="K274"/>
  <c r="M273"/>
  <c r="K273"/>
  <c r="M272"/>
  <c r="K272"/>
  <c r="M271"/>
  <c r="K271"/>
  <c r="M270"/>
  <c r="K270"/>
  <c r="M269"/>
  <c r="K269"/>
  <c r="M268"/>
  <c r="K268"/>
  <c r="M267"/>
  <c r="K267"/>
  <c r="M266"/>
  <c r="K266"/>
  <c r="M265"/>
  <c r="K265"/>
  <c r="M264"/>
  <c r="K264"/>
  <c r="M263"/>
  <c r="K263"/>
  <c r="M262"/>
  <c r="K262"/>
  <c r="M261"/>
  <c r="K261"/>
  <c r="M260"/>
  <c r="K260"/>
  <c r="M259"/>
  <c r="K259"/>
  <c r="M258"/>
  <c r="K258"/>
  <c r="M257"/>
  <c r="K257"/>
  <c r="M256"/>
  <c r="K256"/>
  <c r="M255"/>
  <c r="K255"/>
  <c r="M254"/>
  <c r="K254"/>
  <c r="M253"/>
  <c r="K253"/>
  <c r="M252"/>
  <c r="K252"/>
  <c r="M251"/>
  <c r="K251"/>
  <c r="M250"/>
  <c r="K250"/>
  <c r="M249"/>
  <c r="K249"/>
  <c r="M248"/>
  <c r="K248"/>
  <c r="M247"/>
  <c r="K247"/>
  <c r="M246"/>
  <c r="K246"/>
  <c r="M245"/>
  <c r="K245"/>
  <c r="M244"/>
  <c r="K244"/>
  <c r="M243"/>
  <c r="K243"/>
  <c r="M242"/>
  <c r="K242"/>
  <c r="M241"/>
  <c r="K241"/>
  <c r="M239"/>
  <c r="K239"/>
  <c r="M238"/>
  <c r="K238"/>
  <c r="M237"/>
  <c r="K237"/>
  <c r="M236"/>
  <c r="K236"/>
  <c r="M235"/>
  <c r="K235"/>
  <c r="M234"/>
  <c r="K234"/>
  <c r="M233"/>
  <c r="K233"/>
  <c r="M232"/>
  <c r="K232"/>
  <c r="M231"/>
  <c r="K231"/>
  <c r="M230"/>
  <c r="K230"/>
  <c r="M229"/>
  <c r="K229"/>
  <c r="M228"/>
  <c r="K228"/>
  <c r="M227"/>
  <c r="K227"/>
  <c r="M226"/>
  <c r="K226"/>
  <c r="M225"/>
  <c r="K225"/>
  <c r="M224"/>
  <c r="K224"/>
  <c r="M223"/>
  <c r="K223"/>
  <c r="M222"/>
  <c r="K222"/>
  <c r="M221"/>
  <c r="K221"/>
  <c r="M220"/>
  <c r="K220"/>
  <c r="M219"/>
  <c r="K219"/>
  <c r="M218"/>
  <c r="K218"/>
  <c r="M217"/>
  <c r="K217"/>
  <c r="M216"/>
  <c r="K216"/>
  <c r="M215"/>
  <c r="K215"/>
  <c r="M214"/>
  <c r="K214"/>
  <c r="M213"/>
  <c r="K213"/>
  <c r="M212"/>
  <c r="K212"/>
  <c r="M211"/>
  <c r="K211"/>
  <c r="M210"/>
  <c r="K210"/>
  <c r="M209"/>
  <c r="K209"/>
  <c r="M208"/>
  <c r="K208"/>
  <c r="M207"/>
  <c r="K207"/>
  <c r="M206"/>
  <c r="K206"/>
  <c r="M205"/>
  <c r="K205"/>
  <c r="M204"/>
  <c r="K204"/>
  <c r="M203"/>
  <c r="K203"/>
  <c r="M202"/>
  <c r="K202"/>
  <c r="M201"/>
  <c r="K201"/>
  <c r="M200"/>
  <c r="K200"/>
  <c r="M199"/>
  <c r="K199"/>
  <c r="M198"/>
  <c r="K198"/>
  <c r="M197"/>
  <c r="K197"/>
  <c r="M195"/>
  <c r="K195"/>
  <c r="M194"/>
  <c r="K194"/>
  <c r="M193"/>
  <c r="K193"/>
  <c r="M192"/>
  <c r="K192"/>
  <c r="M191"/>
  <c r="K191"/>
  <c r="M190"/>
  <c r="K190"/>
  <c r="M189"/>
  <c r="K189"/>
  <c r="M188"/>
  <c r="K188"/>
  <c r="M187"/>
  <c r="K187"/>
  <c r="M186"/>
  <c r="K186"/>
  <c r="M185"/>
  <c r="K185"/>
  <c r="M184"/>
  <c r="K184"/>
  <c r="M183"/>
  <c r="K183"/>
  <c r="M182"/>
  <c r="K182"/>
  <c r="M181"/>
  <c r="K181"/>
  <c r="M180"/>
  <c r="K180"/>
  <c r="M179"/>
  <c r="K179"/>
  <c r="M178"/>
  <c r="K178"/>
  <c r="M177"/>
  <c r="K177"/>
  <c r="M176"/>
  <c r="K176"/>
  <c r="M175"/>
  <c r="K175"/>
  <c r="M174"/>
  <c r="K174"/>
  <c r="M173"/>
  <c r="K173"/>
  <c r="M172"/>
  <c r="K172"/>
  <c r="M171"/>
  <c r="K171"/>
  <c r="M170"/>
  <c r="K170"/>
  <c r="M169"/>
  <c r="K169"/>
  <c r="M168"/>
  <c r="K168"/>
  <c r="M167"/>
  <c r="K167"/>
  <c r="M166"/>
  <c r="K166"/>
  <c r="M165"/>
  <c r="K165"/>
  <c r="M164"/>
  <c r="K164"/>
  <c r="M163"/>
  <c r="K163"/>
  <c r="M162"/>
  <c r="K162"/>
  <c r="M161"/>
  <c r="K161"/>
  <c r="M160"/>
  <c r="K160"/>
  <c r="M159"/>
  <c r="K159"/>
  <c r="M158"/>
  <c r="K158"/>
  <c r="M157"/>
  <c r="K157"/>
  <c r="M155"/>
  <c r="K155"/>
  <c r="M153"/>
  <c r="K153"/>
  <c r="M152"/>
  <c r="K152"/>
  <c r="M151"/>
  <c r="K151"/>
  <c r="M150"/>
  <c r="K150"/>
  <c r="M149"/>
  <c r="K149"/>
  <c r="M148"/>
  <c r="K148"/>
  <c r="M147"/>
  <c r="K147"/>
  <c r="M146"/>
  <c r="K146"/>
  <c r="M145"/>
  <c r="K145"/>
  <c r="M144"/>
  <c r="K144"/>
  <c r="M143"/>
  <c r="K143"/>
  <c r="M142"/>
  <c r="K142"/>
  <c r="M141"/>
  <c r="K141"/>
  <c r="M140"/>
  <c r="K140"/>
  <c r="M139"/>
  <c r="K139"/>
  <c r="M138"/>
  <c r="K138"/>
  <c r="M137"/>
  <c r="K137"/>
  <c r="M136"/>
  <c r="K136"/>
  <c r="M135"/>
  <c r="K135"/>
  <c r="M134"/>
  <c r="K134"/>
  <c r="M133"/>
  <c r="K133"/>
  <c r="M132"/>
  <c r="K132"/>
  <c r="M131"/>
  <c r="K131"/>
  <c r="M130"/>
  <c r="K130"/>
  <c r="M129"/>
  <c r="K129"/>
  <c r="M128"/>
  <c r="K128"/>
  <c r="M127"/>
  <c r="K127"/>
  <c r="M126"/>
  <c r="K126"/>
  <c r="M125"/>
  <c r="K125"/>
  <c r="M124"/>
  <c r="K124"/>
  <c r="M122"/>
  <c r="K122"/>
  <c r="M121"/>
  <c r="K121"/>
  <c r="M120"/>
  <c r="K120"/>
  <c r="M119"/>
  <c r="K119"/>
  <c r="M118"/>
  <c r="K118"/>
  <c r="M117"/>
  <c r="K117"/>
  <c r="M116"/>
  <c r="K116"/>
  <c r="M115"/>
  <c r="K115"/>
  <c r="M114"/>
  <c r="K114"/>
  <c r="M113"/>
  <c r="K113"/>
  <c r="M112"/>
  <c r="K112"/>
  <c r="M111"/>
  <c r="K111"/>
  <c r="M110"/>
  <c r="K110"/>
  <c r="M109"/>
  <c r="K109"/>
  <c r="M108"/>
  <c r="K108"/>
  <c r="M107"/>
  <c r="K107"/>
  <c r="M106"/>
  <c r="K106"/>
  <c r="M105"/>
  <c r="K105"/>
  <c r="M104"/>
  <c r="K104"/>
  <c r="M103"/>
  <c r="K103"/>
  <c r="M102"/>
  <c r="K102"/>
  <c r="M101"/>
  <c r="K101"/>
  <c r="M100"/>
  <c r="K100"/>
  <c r="M99"/>
  <c r="K99"/>
  <c r="M98"/>
  <c r="K98"/>
  <c r="M97"/>
  <c r="K97"/>
  <c r="M96"/>
  <c r="K96"/>
  <c r="M95"/>
  <c r="K95"/>
  <c r="M94"/>
  <c r="K94"/>
  <c r="M93"/>
  <c r="K93"/>
  <c r="M92"/>
  <c r="K92"/>
  <c r="M91"/>
  <c r="K91"/>
  <c r="M90"/>
  <c r="K90"/>
  <c r="M89"/>
  <c r="K89"/>
  <c r="M88"/>
  <c r="K88"/>
  <c r="M87"/>
  <c r="K87"/>
  <c r="M86"/>
  <c r="K86"/>
  <c r="M85"/>
  <c r="K85"/>
  <c r="M84"/>
  <c r="K84"/>
  <c r="M83"/>
  <c r="K83"/>
  <c r="M82"/>
  <c r="K82"/>
  <c r="M81"/>
  <c r="K81"/>
  <c r="M80"/>
  <c r="K80"/>
  <c r="M79"/>
  <c r="K79"/>
  <c r="M78"/>
  <c r="K78"/>
  <c r="M77"/>
  <c r="K77"/>
  <c r="M76"/>
  <c r="K76"/>
  <c r="M75"/>
  <c r="K75"/>
  <c r="M74"/>
  <c r="K74"/>
  <c r="M73"/>
  <c r="K73"/>
  <c r="M72"/>
  <c r="K72"/>
  <c r="M71"/>
  <c r="K71"/>
  <c r="M70"/>
  <c r="K70"/>
  <c r="M69"/>
  <c r="K69"/>
  <c r="M68"/>
  <c r="K68"/>
  <c r="M67"/>
  <c r="K67"/>
  <c r="M65"/>
  <c r="K65"/>
  <c r="M64"/>
  <c r="K64"/>
  <c r="M63"/>
  <c r="K63"/>
  <c r="M62"/>
  <c r="K62"/>
  <c r="M61"/>
  <c r="K61"/>
  <c r="M60"/>
  <c r="K60"/>
  <c r="M59"/>
  <c r="K59"/>
  <c r="M58"/>
  <c r="K58"/>
  <c r="M57"/>
  <c r="K57"/>
  <c r="M56"/>
  <c r="K56"/>
  <c r="M55"/>
  <c r="K55"/>
  <c r="M54"/>
  <c r="K54"/>
  <c r="M53"/>
  <c r="K53"/>
  <c r="M52"/>
  <c r="K52"/>
  <c r="M51"/>
  <c r="K51"/>
  <c r="M50"/>
  <c r="K50"/>
  <c r="M49"/>
  <c r="K49"/>
  <c r="M48"/>
  <c r="K48"/>
  <c r="M47"/>
  <c r="K47"/>
  <c r="M46"/>
  <c r="K46"/>
  <c r="M45"/>
  <c r="K45"/>
  <c r="M44"/>
  <c r="K44"/>
  <c r="M43"/>
  <c r="K43"/>
  <c r="M41"/>
  <c r="K41"/>
  <c r="M40"/>
  <c r="K40"/>
  <c r="M39"/>
  <c r="K39"/>
  <c r="M37"/>
  <c r="K37"/>
  <c r="M36"/>
  <c r="K36"/>
  <c r="M35"/>
  <c r="K35"/>
  <c r="M34"/>
  <c r="K34"/>
  <c r="M33"/>
  <c r="K33"/>
  <c r="M32"/>
  <c r="K32"/>
  <c r="M31"/>
  <c r="K31"/>
  <c r="M30"/>
  <c r="K30"/>
  <c r="M29"/>
  <c r="K29"/>
  <c r="M28"/>
  <c r="K28"/>
  <c r="M27"/>
  <c r="K27"/>
  <c r="M26"/>
  <c r="K26"/>
  <c r="M25"/>
  <c r="K25"/>
  <c r="M24"/>
  <c r="K24"/>
  <c r="M23"/>
  <c r="K23"/>
  <c r="M22"/>
  <c r="K22"/>
  <c r="M21"/>
  <c r="K21"/>
  <c r="M20"/>
  <c r="K20"/>
  <c r="M19"/>
  <c r="K19"/>
  <c r="M18"/>
  <c r="K18"/>
  <c r="M17"/>
  <c r="K17"/>
  <c r="M16"/>
  <c r="K16"/>
  <c r="M15"/>
  <c r="K15"/>
  <c r="M14"/>
  <c r="K14"/>
  <c r="M13"/>
  <c r="K13"/>
  <c r="M12"/>
  <c r="K12"/>
  <c r="M11"/>
  <c r="K11"/>
  <c r="M10"/>
  <c r="K10"/>
  <c r="M9"/>
  <c r="K9"/>
  <c r="M8"/>
  <c r="K8"/>
  <c r="M7"/>
  <c r="K7"/>
  <c r="M6"/>
  <c r="K6"/>
  <c r="M4"/>
  <c r="K4"/>
  <c r="M3"/>
  <c r="K3"/>
  <c r="M5"/>
  <c r="K5"/>
  <c r="M154"/>
  <c r="K154"/>
  <c r="H4" i="26"/>
  <c r="M38" i="2"/>
  <c r="K38"/>
  <c r="C8" i="30"/>
  <c r="D8" s="1"/>
  <c r="E27" i="29"/>
  <c r="C13" i="30" s="1"/>
  <c r="E26" i="29"/>
  <c r="C11" i="30" s="1"/>
  <c r="E25" i="29"/>
  <c r="C12" i="30" s="1"/>
  <c r="C17" i="29"/>
  <c r="C15"/>
  <c r="I7"/>
  <c r="G54" i="27"/>
  <c r="G53"/>
  <c r="D34"/>
  <c r="E10"/>
  <c r="J6"/>
  <c r="J5"/>
  <c r="J4"/>
  <c r="J2"/>
  <c r="G50" i="26"/>
  <c r="H50"/>
  <c r="G49"/>
  <c r="H49"/>
  <c r="G48"/>
  <c r="H48"/>
  <c r="G47"/>
  <c r="H47"/>
  <c r="G46"/>
  <c r="H46"/>
  <c r="G45"/>
  <c r="H45"/>
  <c r="G44"/>
  <c r="H44"/>
  <c r="G43"/>
  <c r="H43"/>
  <c r="G42"/>
  <c r="H42"/>
  <c r="G41"/>
  <c r="H41"/>
  <c r="G40"/>
  <c r="H40"/>
  <c r="G39"/>
  <c r="H39"/>
  <c r="G38"/>
  <c r="H38"/>
  <c r="G37"/>
  <c r="H37"/>
  <c r="G36"/>
  <c r="H36"/>
  <c r="G35"/>
  <c r="H35"/>
  <c r="D34"/>
  <c r="H34" s="1"/>
  <c r="G33"/>
  <c r="H33"/>
  <c r="G32"/>
  <c r="H32"/>
  <c r="G31"/>
  <c r="H31"/>
  <c r="G30"/>
  <c r="H30"/>
  <c r="G29"/>
  <c r="H29"/>
  <c r="G28"/>
  <c r="H28"/>
  <c r="G27"/>
  <c r="H27"/>
  <c r="G26"/>
  <c r="H26"/>
  <c r="G25"/>
  <c r="H25"/>
  <c r="G24"/>
  <c r="H24"/>
  <c r="G23"/>
  <c r="H23"/>
  <c r="G22"/>
  <c r="H22"/>
  <c r="G21"/>
  <c r="H21"/>
  <c r="G20"/>
  <c r="H20"/>
  <c r="G19"/>
  <c r="H19"/>
  <c r="G18"/>
  <c r="H18"/>
  <c r="G17"/>
  <c r="H17"/>
  <c r="G16"/>
  <c r="H16"/>
  <c r="D15"/>
  <c r="G15" s="1"/>
  <c r="G14"/>
  <c r="H14"/>
  <c r="C1"/>
  <c r="F1"/>
  <c r="E1"/>
  <c r="H37" i="14"/>
  <c r="E110"/>
  <c r="D110"/>
  <c r="E109"/>
  <c r="D109"/>
  <c r="E108"/>
  <c r="D108"/>
  <c r="E107"/>
  <c r="D107"/>
  <c r="E106"/>
  <c r="D106"/>
  <c r="E105"/>
  <c r="D105"/>
  <c r="E104"/>
  <c r="D104"/>
  <c r="E103"/>
  <c r="D103"/>
  <c r="E102"/>
  <c r="D102"/>
  <c r="E101"/>
  <c r="D101"/>
  <c r="E100"/>
  <c r="D100"/>
  <c r="E99"/>
  <c r="D99"/>
  <c r="E98"/>
  <c r="D98"/>
  <c r="E97"/>
  <c r="D97"/>
  <c r="E96"/>
  <c r="D96"/>
  <c r="E95"/>
  <c r="D95"/>
  <c r="E94"/>
  <c r="D94"/>
  <c r="E93"/>
  <c r="D93"/>
  <c r="E92"/>
  <c r="D92"/>
  <c r="E91"/>
  <c r="D91"/>
  <c r="E90"/>
  <c r="D90"/>
  <c r="E89"/>
  <c r="D89"/>
  <c r="E88"/>
  <c r="D88"/>
  <c r="E87"/>
  <c r="D87"/>
  <c r="E86"/>
  <c r="D86"/>
  <c r="E85"/>
  <c r="D85"/>
  <c r="E84"/>
  <c r="D84"/>
  <c r="E83"/>
  <c r="D83"/>
  <c r="E82"/>
  <c r="D82"/>
  <c r="E81"/>
  <c r="D81"/>
  <c r="E80"/>
  <c r="D80"/>
  <c r="E79"/>
  <c r="D79"/>
  <c r="E78"/>
  <c r="D78"/>
  <c r="E77"/>
  <c r="D77"/>
  <c r="E76"/>
  <c r="D76"/>
  <c r="E75"/>
  <c r="D75"/>
  <c r="E74"/>
  <c r="D74"/>
  <c r="E73"/>
  <c r="D73"/>
  <c r="E72"/>
  <c r="D72"/>
  <c r="E71"/>
  <c r="D71"/>
  <c r="E70"/>
  <c r="D70"/>
  <c r="E69"/>
  <c r="D69"/>
  <c r="E68"/>
  <c r="D68"/>
  <c r="E67"/>
  <c r="D67"/>
  <c r="E66"/>
  <c r="D66"/>
  <c r="E65"/>
  <c r="D65"/>
  <c r="E64"/>
  <c r="D64"/>
  <c r="E63"/>
  <c r="D63"/>
  <c r="E62"/>
  <c r="D62"/>
  <c r="E61"/>
  <c r="D61"/>
  <c r="E60"/>
  <c r="D60"/>
  <c r="E59"/>
  <c r="D59"/>
  <c r="E58"/>
  <c r="D58"/>
  <c r="E57"/>
  <c r="D57"/>
  <c r="E56"/>
  <c r="D56"/>
  <c r="E55"/>
  <c r="D55"/>
  <c r="E54"/>
  <c r="D54"/>
  <c r="E53"/>
  <c r="D53"/>
  <c r="E52"/>
  <c r="D52"/>
  <c r="E51"/>
  <c r="D51"/>
  <c r="E50"/>
  <c r="D50"/>
  <c r="E49"/>
  <c r="D49"/>
  <c r="E48"/>
  <c r="D48"/>
  <c r="E47"/>
  <c r="D47"/>
  <c r="E46"/>
  <c r="D46"/>
  <c r="E45"/>
  <c r="D45"/>
  <c r="E44"/>
  <c r="D44"/>
  <c r="E43"/>
  <c r="D43"/>
  <c r="E42"/>
  <c r="D42"/>
  <c r="E41"/>
  <c r="D41"/>
  <c r="E40"/>
  <c r="D40"/>
  <c r="E39"/>
  <c r="D39"/>
  <c r="E38"/>
  <c r="D38"/>
  <c r="E37"/>
  <c r="D37"/>
  <c r="E36"/>
  <c r="D36"/>
  <c r="E11"/>
  <c r="D11"/>
  <c r="E12"/>
  <c r="D12"/>
  <c r="E10"/>
  <c r="D10"/>
  <c r="E17"/>
  <c r="D17"/>
  <c r="E29"/>
  <c r="D29"/>
  <c r="E28"/>
  <c r="D28"/>
  <c r="E32"/>
  <c r="D32"/>
  <c r="E31"/>
  <c r="D31"/>
  <c r="E30"/>
  <c r="D30"/>
  <c r="E16"/>
  <c r="D16"/>
  <c r="E24"/>
  <c r="D24"/>
  <c r="E27"/>
  <c r="D27"/>
  <c r="H23"/>
  <c r="E26"/>
  <c r="D26"/>
  <c r="E25"/>
  <c r="D25"/>
  <c r="H21"/>
  <c r="J21" s="1"/>
  <c r="D2" s="1"/>
  <c r="E35"/>
  <c r="D35"/>
  <c r="E34"/>
  <c r="D34"/>
  <c r="E15"/>
  <c r="D15"/>
  <c r="E23"/>
  <c r="D23"/>
  <c r="E13"/>
  <c r="D13"/>
  <c r="E22"/>
  <c r="D22"/>
  <c r="E21"/>
  <c r="D21"/>
  <c r="E14"/>
  <c r="D14"/>
  <c r="E33"/>
  <c r="D33"/>
  <c r="E20"/>
  <c r="D20"/>
  <c r="E19"/>
  <c r="D19"/>
  <c r="E18"/>
  <c r="D18"/>
  <c r="P182" i="41" l="1"/>
  <c r="D1" i="26"/>
  <c r="O4" i="37"/>
  <c r="O9"/>
  <c r="O2"/>
  <c r="D17" i="24"/>
  <c r="D16"/>
  <c r="D18"/>
  <c r="J6" i="37"/>
  <c r="O6" s="1"/>
  <c r="J7"/>
  <c r="O7" s="1"/>
  <c r="H25" i="14"/>
  <c r="C19" i="29"/>
  <c r="C22" s="1"/>
  <c r="B5" i="31"/>
  <c r="E29" i="29"/>
  <c r="H15" i="26"/>
  <c r="H1" s="1"/>
  <c r="G34"/>
  <c r="G1" s="1"/>
  <c r="C6" i="14"/>
  <c r="E6" s="1"/>
  <c r="C5"/>
  <c r="E5" s="1"/>
  <c r="C4"/>
  <c r="E4" s="1"/>
  <c r="C2"/>
  <c r="E2" s="1"/>
  <c r="C3"/>
  <c r="E3" s="1"/>
  <c r="C10" i="30" l="1"/>
  <c r="B4" i="31" s="1"/>
  <c r="B9" s="1"/>
  <c r="I1" i="26"/>
  <c r="J1" s="1"/>
  <c r="C14" i="30" l="1"/>
  <c r="B7" i="31"/>
  <c r="B10" l="1"/>
  <c r="B13" s="1"/>
  <c r="B16" l="1"/>
  <c r="B12"/>
  <c r="B17"/>
  <c r="B11"/>
  <c r="B19" l="1"/>
  <c r="B21" s="1"/>
</calcChain>
</file>

<file path=xl/sharedStrings.xml><?xml version="1.0" encoding="utf-8"?>
<sst xmlns="http://schemas.openxmlformats.org/spreadsheetml/2006/main" count="8185" uniqueCount="1699">
  <si>
    <t>PLANO</t>
  </si>
  <si>
    <t>GRUPO</t>
  </si>
  <si>
    <t>PESSOAL</t>
  </si>
  <si>
    <t>MERCADO</t>
  </si>
  <si>
    <t>PROFISSIONAL</t>
  </si>
  <si>
    <t>2373-7625 NET</t>
  </si>
  <si>
    <t>TELEFONIA</t>
  </si>
  <si>
    <t>VESTUARIO</t>
  </si>
  <si>
    <t>9-8405-8334 VIVO</t>
  </si>
  <si>
    <t>TRANSPORTE</t>
  </si>
  <si>
    <t>LINK WEB (10 MB)</t>
  </si>
  <si>
    <t>WEB</t>
  </si>
  <si>
    <t>ESTUDOS</t>
  </si>
  <si>
    <t>TV</t>
  </si>
  <si>
    <t>CONDOMINIO</t>
  </si>
  <si>
    <t>MORADIA</t>
  </si>
  <si>
    <t>LUZ</t>
  </si>
  <si>
    <t>REVENDA_II</t>
  </si>
  <si>
    <t>APARTAMENTO</t>
  </si>
  <si>
    <t>f4consult.com.br</t>
  </si>
  <si>
    <t>MANUTENÇÃO</t>
  </si>
  <si>
    <t>ISS</t>
  </si>
  <si>
    <t>IMPOSTOS</t>
  </si>
  <si>
    <t>FARMACIA</t>
  </si>
  <si>
    <t>SAUDE</t>
  </si>
  <si>
    <t>TFE</t>
  </si>
  <si>
    <t>P.SAUDE</t>
  </si>
  <si>
    <t>CERTIFICADO DIGITAL</t>
  </si>
  <si>
    <t>P.ODONTO</t>
  </si>
  <si>
    <t>ANTIVIRUS</t>
  </si>
  <si>
    <t>PIC</t>
  </si>
  <si>
    <t>TABLET</t>
  </si>
  <si>
    <t>MATERIAL</t>
  </si>
  <si>
    <t>EXECUTOR</t>
  </si>
  <si>
    <t>VANESSA</t>
  </si>
  <si>
    <t>EMPRESTIMOS</t>
  </si>
  <si>
    <t>ALIMENTAÇÃO</t>
  </si>
  <si>
    <t>CAIXA ECONOMICA</t>
  </si>
  <si>
    <t>PEÇAS / APLICATIVOS</t>
  </si>
  <si>
    <t>ITAU</t>
  </si>
  <si>
    <t>CC.ITAU</t>
  </si>
  <si>
    <t>TARIFAS</t>
  </si>
  <si>
    <t>EMISSÃO</t>
  </si>
  <si>
    <t>CONTA</t>
  </si>
  <si>
    <t>VENCIMENTO</t>
  </si>
  <si>
    <t>VALOR ORIGINAL</t>
  </si>
  <si>
    <t>PAGAMENTO</t>
  </si>
  <si>
    <t>VALOR FINAL</t>
  </si>
  <si>
    <t>STATUS</t>
  </si>
  <si>
    <t>MOVIMENTO</t>
  </si>
  <si>
    <t>DOCUMENTO</t>
  </si>
  <si>
    <t>AILTON</t>
  </si>
  <si>
    <t>DESPESA</t>
  </si>
  <si>
    <t>VISUAL BASIC 2010</t>
  </si>
  <si>
    <t>MICRO SDHC</t>
  </si>
  <si>
    <t>LUKARMONA</t>
  </si>
  <si>
    <t>JET CLASS</t>
  </si>
  <si>
    <t>DARIO MACHADO</t>
  </si>
  <si>
    <t>ALPHA SERVER</t>
  </si>
  <si>
    <t>BR TECNOLOGY</t>
  </si>
  <si>
    <t>KAWAI</t>
  </si>
  <si>
    <t>BERTINI MADEIRAS</t>
  </si>
  <si>
    <t>SPRINGER</t>
  </si>
  <si>
    <t>RETEC</t>
  </si>
  <si>
    <t>MILLENNIUM</t>
  </si>
  <si>
    <t>ELISA</t>
  </si>
  <si>
    <t>TEREZA</t>
  </si>
  <si>
    <t>CAIO</t>
  </si>
  <si>
    <t>VENDAS</t>
  </si>
  <si>
    <t>RENATO PORTELLA</t>
  </si>
  <si>
    <t>CLIENTES</t>
  </si>
  <si>
    <t>RECEITA</t>
  </si>
  <si>
    <t>130228-0800</t>
  </si>
  <si>
    <t>130628-1800</t>
  </si>
  <si>
    <t>Rótulos de Linha</t>
  </si>
  <si>
    <t>Total geral</t>
  </si>
  <si>
    <t>(Vários itens)</t>
  </si>
  <si>
    <t>130704-1300</t>
  </si>
  <si>
    <t>FABIANO</t>
  </si>
  <si>
    <t>130506-1300</t>
  </si>
  <si>
    <t>CLAUDETE</t>
  </si>
  <si>
    <t>Rótulos de Coluna</t>
  </si>
  <si>
    <t>jan</t>
  </si>
  <si>
    <t>fev</t>
  </si>
  <si>
    <t>mar</t>
  </si>
  <si>
    <t>abr</t>
  </si>
  <si>
    <t>mai</t>
  </si>
  <si>
    <t>jun</t>
  </si>
  <si>
    <t>jul</t>
  </si>
  <si>
    <t>130701-0900</t>
  </si>
  <si>
    <t>CAFÉ</t>
  </si>
  <si>
    <t>ORÇAMENTOS</t>
  </si>
  <si>
    <t>Multa/juros</t>
  </si>
  <si>
    <t>130717-1643</t>
  </si>
  <si>
    <t>130718-0900</t>
  </si>
  <si>
    <t>FALCON MOSAICS</t>
  </si>
  <si>
    <t>MAXICONTA</t>
  </si>
  <si>
    <t>CUSTAS COBRANCA</t>
  </si>
  <si>
    <t xml:space="preserve">ADIANT.DEPOSITANTE </t>
  </si>
  <si>
    <t>OBSERVAÇÃO</t>
  </si>
  <si>
    <t>MOBILIA</t>
  </si>
  <si>
    <t>130724-0958</t>
  </si>
  <si>
    <t>REVENDA PLESK I</t>
  </si>
  <si>
    <t>130731-1500</t>
  </si>
  <si>
    <t>LIVROS/REVISTAS</t>
  </si>
  <si>
    <t>PRESENTES</t>
  </si>
  <si>
    <t>IOF</t>
  </si>
  <si>
    <t>Telefone</t>
  </si>
  <si>
    <t>Responsável</t>
  </si>
  <si>
    <t>Contato</t>
  </si>
  <si>
    <t>Descrição</t>
  </si>
  <si>
    <t>Ailton</t>
  </si>
  <si>
    <t>Micorsoft</t>
  </si>
  <si>
    <t>7833-8705</t>
  </si>
  <si>
    <t>Andrea - RTM</t>
  </si>
  <si>
    <t>3031-2417</t>
  </si>
  <si>
    <t>Pediatra</t>
  </si>
  <si>
    <t>3031-8204</t>
  </si>
  <si>
    <t>5845-1420</t>
  </si>
  <si>
    <t>Dra. Carolina (Dentista)</t>
  </si>
  <si>
    <t>Celular Flavia</t>
  </si>
  <si>
    <t>3297-0108</t>
  </si>
  <si>
    <t>Wanderlei (Arcondicionado)</t>
  </si>
  <si>
    <t>3531-9707</t>
  </si>
  <si>
    <t>Paulo</t>
  </si>
  <si>
    <t>3712-2416</t>
  </si>
  <si>
    <t>3046-8044</t>
  </si>
  <si>
    <t>Emissora de TV</t>
  </si>
  <si>
    <t>2501-0829</t>
  </si>
  <si>
    <t>3836-9265</t>
  </si>
  <si>
    <t>3507-6858</t>
  </si>
  <si>
    <t>3968-2856</t>
  </si>
  <si>
    <t>3815-5553</t>
  </si>
  <si>
    <t>Garcia &amp; Lupi (Arcondicionado)</t>
  </si>
  <si>
    <t>3839-2222</t>
  </si>
  <si>
    <t>3021-6090</t>
  </si>
  <si>
    <t>4701-9624</t>
  </si>
  <si>
    <t>3868-4549</t>
  </si>
  <si>
    <t>5041-0331</t>
  </si>
  <si>
    <t>3873-0200</t>
  </si>
  <si>
    <t>Clivan Vacinas</t>
  </si>
  <si>
    <t>5527-4259</t>
  </si>
  <si>
    <t>Vanessa</t>
  </si>
  <si>
    <t>Agencia</t>
  </si>
  <si>
    <t>3712-1548</t>
  </si>
  <si>
    <t>Vidraçaria</t>
  </si>
  <si>
    <t>3743-3425</t>
  </si>
  <si>
    <t>Panificadora</t>
  </si>
  <si>
    <t>3743-3750</t>
  </si>
  <si>
    <t>Taxi</t>
  </si>
  <si>
    <t>FAMILIA</t>
  </si>
  <si>
    <t>Sandra Torezan</t>
  </si>
  <si>
    <t>Silmara</t>
  </si>
  <si>
    <t>Fabiano</t>
  </si>
  <si>
    <t>The Black</t>
  </si>
  <si>
    <t>André</t>
  </si>
  <si>
    <t>5103-5692</t>
  </si>
  <si>
    <t>Wolters Kluwer</t>
  </si>
  <si>
    <t>Tania</t>
  </si>
  <si>
    <t>0800-10123</t>
  </si>
  <si>
    <t>Ultragaz</t>
  </si>
  <si>
    <t>0800-152119</t>
  </si>
  <si>
    <t>Felipe</t>
  </si>
  <si>
    <t>0800-7011774</t>
  </si>
  <si>
    <t>0800-7272192</t>
  </si>
  <si>
    <t>Eletropaulo</t>
  </si>
  <si>
    <t>0800-7731114</t>
  </si>
  <si>
    <t>RM-Loterias</t>
  </si>
  <si>
    <t>0800-8884081</t>
  </si>
  <si>
    <t>3846-5809</t>
  </si>
  <si>
    <t>Cristiane</t>
  </si>
  <si>
    <t>4004-1144</t>
  </si>
  <si>
    <t>ITAUCARD</t>
  </si>
  <si>
    <t>2146-6414</t>
  </si>
  <si>
    <t>2171-1521</t>
  </si>
  <si>
    <t>Leonardo</t>
  </si>
  <si>
    <t>2186-9837</t>
  </si>
  <si>
    <t>Dr. Paulo Bedê (Otorrino)</t>
  </si>
  <si>
    <t>2192-9707</t>
  </si>
  <si>
    <t>Elisa Luque (Fornecedora)</t>
  </si>
  <si>
    <t>2231-5522</t>
  </si>
  <si>
    <t>Isabel</t>
  </si>
  <si>
    <t>2293-5354</t>
  </si>
  <si>
    <t>Capela Livros</t>
  </si>
  <si>
    <t>2293-5377</t>
  </si>
  <si>
    <t>2501-1725</t>
  </si>
  <si>
    <t>Flávia Perez</t>
  </si>
  <si>
    <t>2537-1705</t>
  </si>
  <si>
    <t>Renato Portella</t>
  </si>
  <si>
    <t>2574-4962</t>
  </si>
  <si>
    <t>Ricardo Luiz</t>
  </si>
  <si>
    <t>2703-0899</t>
  </si>
  <si>
    <t>André Domingues</t>
  </si>
  <si>
    <t>2892-2263</t>
  </si>
  <si>
    <t>Fabio</t>
  </si>
  <si>
    <t>2911-5376</t>
  </si>
  <si>
    <t>Papiro</t>
  </si>
  <si>
    <t>2950-7452</t>
  </si>
  <si>
    <t>Ata</t>
  </si>
  <si>
    <t>2971-1312</t>
  </si>
  <si>
    <t>2971-6170</t>
  </si>
  <si>
    <t>Jorge Alcides</t>
  </si>
  <si>
    <t>3011-2676</t>
  </si>
  <si>
    <t>Tenda</t>
  </si>
  <si>
    <t>Tenda_Leandro</t>
  </si>
  <si>
    <t>3019-4828</t>
  </si>
  <si>
    <t>Itaú-Suporte Cobrança</t>
  </si>
  <si>
    <t>3034-6034</t>
  </si>
  <si>
    <t>Four Tech</t>
  </si>
  <si>
    <t>3111-2131</t>
  </si>
  <si>
    <t>Tenda_Jason</t>
  </si>
  <si>
    <t>3111-2680</t>
  </si>
  <si>
    <t>Aleteia (Tenda)</t>
  </si>
  <si>
    <t>3111-2699</t>
  </si>
  <si>
    <t>3111-2700</t>
  </si>
  <si>
    <t>3111-2706</t>
  </si>
  <si>
    <t>3124-1000</t>
  </si>
  <si>
    <t>Contador</t>
  </si>
  <si>
    <t>3255-5714</t>
  </si>
  <si>
    <t>Cleber</t>
  </si>
  <si>
    <t>3384-4875</t>
  </si>
  <si>
    <t>JoCar_Loja</t>
  </si>
  <si>
    <t>3441-1255</t>
  </si>
  <si>
    <t>Garcia</t>
  </si>
  <si>
    <t>3464-2469</t>
  </si>
  <si>
    <t>Gilda</t>
  </si>
  <si>
    <t>Marines</t>
  </si>
  <si>
    <t>Casa</t>
  </si>
  <si>
    <t>3544-0500</t>
  </si>
  <si>
    <t>Locaweb</t>
  </si>
  <si>
    <t>3567-2206</t>
  </si>
  <si>
    <t>David</t>
  </si>
  <si>
    <t>3578-3620</t>
  </si>
  <si>
    <t>Sergio (Contador)</t>
  </si>
  <si>
    <t>3637-3102</t>
  </si>
  <si>
    <t>3692-4019</t>
  </si>
  <si>
    <t>Retec</t>
  </si>
  <si>
    <t>3742-6834</t>
  </si>
  <si>
    <t>Ana Lang</t>
  </si>
  <si>
    <t>3746-9283</t>
  </si>
  <si>
    <t>Jorge Martins</t>
  </si>
  <si>
    <t>3749-1133</t>
  </si>
  <si>
    <t>Paulo Cordeiro</t>
  </si>
  <si>
    <t>3768-2641</t>
  </si>
  <si>
    <t>3814-0430</t>
  </si>
  <si>
    <t>Cléo</t>
  </si>
  <si>
    <t>3814-9533</t>
  </si>
  <si>
    <t>3816-8313</t>
  </si>
  <si>
    <t>Marbor_Samira</t>
  </si>
  <si>
    <t>3819-8082</t>
  </si>
  <si>
    <t>Flora Iris</t>
  </si>
  <si>
    <t>Patricia</t>
  </si>
  <si>
    <t>3836-4858</t>
  </si>
  <si>
    <t>3837-7714</t>
  </si>
  <si>
    <t>Fernando</t>
  </si>
  <si>
    <t>3842-1135</t>
  </si>
  <si>
    <t>Cecilia</t>
  </si>
  <si>
    <t>3872-3316</t>
  </si>
  <si>
    <t>Classe A</t>
  </si>
  <si>
    <t>3884-3677</t>
  </si>
  <si>
    <t>Itaú-Cleiton</t>
  </si>
  <si>
    <t>3908-1253</t>
  </si>
  <si>
    <t>Globalpack</t>
  </si>
  <si>
    <t>3908-1281</t>
  </si>
  <si>
    <t>3924-5786</t>
  </si>
  <si>
    <t>Marcelo</t>
  </si>
  <si>
    <t>3931-0935</t>
  </si>
  <si>
    <t>3966-4651</t>
  </si>
  <si>
    <t>4002-1022</t>
  </si>
  <si>
    <t>4054-4300</t>
  </si>
  <si>
    <t>Lubriquim</t>
  </si>
  <si>
    <t>4056-6243</t>
  </si>
  <si>
    <t>4063-5569</t>
  </si>
  <si>
    <t>Nodes</t>
  </si>
  <si>
    <t>Victor Mortatti</t>
  </si>
  <si>
    <t>Avira</t>
  </si>
  <si>
    <t>4092-4252</t>
  </si>
  <si>
    <t>4666-8703</t>
  </si>
  <si>
    <t>Ideal Plastic</t>
  </si>
  <si>
    <t>4667-5003</t>
  </si>
  <si>
    <t>4683-2402</t>
  </si>
  <si>
    <t>Danilo</t>
  </si>
  <si>
    <t>5011-3093</t>
  </si>
  <si>
    <t>Dr. Joaquim (Dentista)</t>
  </si>
  <si>
    <t>Pagamento de água da Jurupari,55 B</t>
  </si>
  <si>
    <t>5034-2713</t>
  </si>
  <si>
    <t>JetClass</t>
  </si>
  <si>
    <t>5034-7389</t>
  </si>
  <si>
    <t>Novarejo</t>
  </si>
  <si>
    <t>5041-0698</t>
  </si>
  <si>
    <t>Amanda-MAC</t>
  </si>
  <si>
    <t>5041-2040</t>
  </si>
  <si>
    <t>FunClub</t>
  </si>
  <si>
    <t>5041-5168</t>
  </si>
  <si>
    <t>5041-5371</t>
  </si>
  <si>
    <t>Dr. Marcos (Dentista)</t>
  </si>
  <si>
    <t>5051-1020</t>
  </si>
  <si>
    <t>Luk_Monica</t>
  </si>
  <si>
    <t>5052-2093</t>
  </si>
  <si>
    <t>5052-6767</t>
  </si>
  <si>
    <t>5068-1581</t>
  </si>
  <si>
    <t>Francis</t>
  </si>
  <si>
    <t>5071-4094</t>
  </si>
  <si>
    <t>ADI</t>
  </si>
  <si>
    <t>5090-0421</t>
  </si>
  <si>
    <t>FastWave</t>
  </si>
  <si>
    <t>5090-0446</t>
  </si>
  <si>
    <t>5094-0919</t>
  </si>
  <si>
    <t>5103-0330</t>
  </si>
  <si>
    <t>RTM</t>
  </si>
  <si>
    <t>5183-7231</t>
  </si>
  <si>
    <t>Osvaldo</t>
  </si>
  <si>
    <t>5506-9498</t>
  </si>
  <si>
    <t>5507-5734</t>
  </si>
  <si>
    <t>5507-5735</t>
  </si>
  <si>
    <t>5507-5736</t>
  </si>
  <si>
    <t>5524-9600</t>
  </si>
  <si>
    <t>Candimar</t>
  </si>
  <si>
    <t>5531-5071</t>
  </si>
  <si>
    <t>Texas</t>
  </si>
  <si>
    <t>5536-0133</t>
  </si>
  <si>
    <t>Real</t>
  </si>
  <si>
    <t>5536-0744</t>
  </si>
  <si>
    <t>5536-3656</t>
  </si>
  <si>
    <t>5543-0680</t>
  </si>
  <si>
    <t>JoCar</t>
  </si>
  <si>
    <t>5543-4522</t>
  </si>
  <si>
    <t>5543-4838</t>
  </si>
  <si>
    <t>5571-2751</t>
  </si>
  <si>
    <t>Caelum</t>
  </si>
  <si>
    <t>5572-0181</t>
  </si>
  <si>
    <t>Edilson Silva</t>
  </si>
  <si>
    <t>5576-9525</t>
  </si>
  <si>
    <t>Silvia</t>
  </si>
  <si>
    <t>5576-9625</t>
  </si>
  <si>
    <t>Laura A Karpuska</t>
  </si>
  <si>
    <t>5594-8242</t>
  </si>
  <si>
    <t>Lucia</t>
  </si>
  <si>
    <t>5660-8005</t>
  </si>
  <si>
    <t>Telefonemix</t>
  </si>
  <si>
    <t>5661-2863</t>
  </si>
  <si>
    <t>Gisele</t>
  </si>
  <si>
    <t>5661-9692</t>
  </si>
  <si>
    <t>Marcelo Domingues</t>
  </si>
  <si>
    <t>5662-6720</t>
  </si>
  <si>
    <t>5666-0958</t>
  </si>
  <si>
    <t>Lukarmona</t>
  </si>
  <si>
    <t>5667-6100</t>
  </si>
  <si>
    <t>Micro Logica</t>
  </si>
  <si>
    <t>5667-8022</t>
  </si>
  <si>
    <t>5667-8110</t>
  </si>
  <si>
    <t>5681-3333</t>
  </si>
  <si>
    <t>Nokia</t>
  </si>
  <si>
    <t>5685-1129</t>
  </si>
  <si>
    <t>5819-5814</t>
  </si>
  <si>
    <t>5831-6656</t>
  </si>
  <si>
    <t>Jocar_Cintia</t>
  </si>
  <si>
    <t>6203-0393</t>
  </si>
  <si>
    <t>6754-0264</t>
  </si>
  <si>
    <t>Marcio</t>
  </si>
  <si>
    <t>Konics</t>
  </si>
  <si>
    <t>6792-0252</t>
  </si>
  <si>
    <t>Jayr - Prepara</t>
  </si>
  <si>
    <t>6965-4469</t>
  </si>
  <si>
    <t>Thiago</t>
  </si>
  <si>
    <t>Kália</t>
  </si>
  <si>
    <t>RTM_Luciene</t>
  </si>
  <si>
    <t>Manuel-VPK</t>
  </si>
  <si>
    <t>Lub_AdolfoJr</t>
  </si>
  <si>
    <t>Reinc</t>
  </si>
  <si>
    <t>Luiz</t>
  </si>
  <si>
    <t>Prestige</t>
  </si>
  <si>
    <t>Marcio Macedo</t>
  </si>
  <si>
    <t>Lub_Vinicius</t>
  </si>
  <si>
    <t>FunClub_Silvio</t>
  </si>
  <si>
    <t>Wagner</t>
  </si>
  <si>
    <t>Daniel</t>
  </si>
  <si>
    <t>RM_Rodrigo</t>
  </si>
  <si>
    <t>Celular</t>
  </si>
  <si>
    <t>João Luiz</t>
  </si>
  <si>
    <t>Luciana</t>
  </si>
  <si>
    <t>Massao</t>
  </si>
  <si>
    <t>Jocar_Cris</t>
  </si>
  <si>
    <t>João</t>
  </si>
  <si>
    <t>JoCar_Alessandro</t>
  </si>
  <si>
    <t>Freitas-Contador</t>
  </si>
  <si>
    <t>Cezar-Papiro</t>
  </si>
  <si>
    <t>Luciano</t>
  </si>
  <si>
    <t>Poker</t>
  </si>
  <si>
    <t>Alberio</t>
  </si>
  <si>
    <t>Fagner</t>
  </si>
  <si>
    <t>Suzana</t>
  </si>
  <si>
    <t>Joaquim-Linux</t>
  </si>
  <si>
    <t>Filipe</t>
  </si>
  <si>
    <t>Ivan</t>
  </si>
  <si>
    <t>Valmir</t>
  </si>
  <si>
    <t>Francisco</t>
  </si>
  <si>
    <t>Ronaldo - Advogado</t>
  </si>
  <si>
    <t>Pedro</t>
  </si>
  <si>
    <t>Edson</t>
  </si>
  <si>
    <t>Ricardo Natale</t>
  </si>
  <si>
    <t>Rogério Selestino</t>
  </si>
  <si>
    <t>Lilian</t>
  </si>
  <si>
    <t>Carmelita</t>
  </si>
  <si>
    <t>Renato</t>
  </si>
  <si>
    <t>Wagner (Oficina)</t>
  </si>
  <si>
    <t>Sueli</t>
  </si>
  <si>
    <t>Marcelo Kenji</t>
  </si>
  <si>
    <t>TIM</t>
  </si>
  <si>
    <t>MÃE</t>
  </si>
  <si>
    <t>UNIMED - ACORDO</t>
  </si>
  <si>
    <t>ELIANA - MK</t>
  </si>
  <si>
    <t>Dna. Silvia Graciano</t>
  </si>
  <si>
    <t>Jéssica</t>
  </si>
  <si>
    <t>Kawai</t>
  </si>
  <si>
    <t>Bradesco</t>
  </si>
  <si>
    <t>Pizzaria Leve</t>
  </si>
  <si>
    <t>Cida - Plano de Saude</t>
  </si>
  <si>
    <t>Gisele Cypriano Araujo</t>
  </si>
  <si>
    <t>Edina - Attitude RH</t>
  </si>
  <si>
    <t>Marcos Franze</t>
  </si>
  <si>
    <t>Selma-MK</t>
  </si>
  <si>
    <t>SOS BANKLINE</t>
  </si>
  <si>
    <t>POLIS</t>
  </si>
  <si>
    <t>Armando</t>
  </si>
  <si>
    <t>5083-3133</t>
  </si>
  <si>
    <t>2503-3477</t>
  </si>
  <si>
    <t>NATION</t>
  </si>
  <si>
    <t>MIXER</t>
  </si>
  <si>
    <t>3839-9400</t>
  </si>
  <si>
    <t>o2filmes</t>
  </si>
  <si>
    <t>3897-5333</t>
  </si>
  <si>
    <t>DELI BISTROT</t>
  </si>
  <si>
    <t>5574-9171</t>
  </si>
  <si>
    <t>FILMES EQUADOR</t>
  </si>
  <si>
    <t>Serviços</t>
  </si>
  <si>
    <t>Total</t>
  </si>
  <si>
    <t xml:space="preserve"> - NÃO CADASTRADO - </t>
  </si>
  <si>
    <t>Data</t>
  </si>
  <si>
    <t>Valor</t>
  </si>
  <si>
    <t>Valores</t>
  </si>
  <si>
    <t>COMBO VIRTUA 10 MEGA FID</t>
  </si>
  <si>
    <t>Juros/Multa</t>
  </si>
  <si>
    <t>Eventos Now</t>
  </si>
  <si>
    <t>Mensalidade Proporcional TV</t>
  </si>
  <si>
    <t>Desconto</t>
  </si>
  <si>
    <t>Divisão por:</t>
  </si>
  <si>
    <t>Total dos Serviços</t>
  </si>
  <si>
    <t>Valor das Ligações (Fora do plano)</t>
  </si>
  <si>
    <t>TOTAL CONTA</t>
  </si>
  <si>
    <t>7789-2906</t>
  </si>
  <si>
    <t>Assinatura</t>
  </si>
  <si>
    <t>ago</t>
  </si>
  <si>
    <t>ANIV. VANESSA</t>
  </si>
  <si>
    <t>MENS 06/13</t>
  </si>
  <si>
    <t>0153591435090</t>
  </si>
  <si>
    <t>José Geraldo</t>
  </si>
  <si>
    <t>0153591469764</t>
  </si>
  <si>
    <t>Alda Mara Falcon</t>
  </si>
  <si>
    <t>0153598275000</t>
  </si>
  <si>
    <t>Bete</t>
  </si>
  <si>
    <t>CELULAR</t>
  </si>
  <si>
    <t>FIXO</t>
  </si>
  <si>
    <t>VALOR POR MINUTO - NET</t>
  </si>
  <si>
    <t>15/60</t>
  </si>
  <si>
    <t>16/60</t>
  </si>
  <si>
    <t>130810-1730</t>
  </si>
  <si>
    <t>set</t>
  </si>
  <si>
    <t>out</t>
  </si>
  <si>
    <t>nov</t>
  </si>
  <si>
    <t>dez</t>
  </si>
  <si>
    <t>RODRIGO</t>
  </si>
  <si>
    <t>Alexandre ferreira</t>
  </si>
  <si>
    <t>Tabata caroline</t>
  </si>
  <si>
    <t>130816-1400</t>
  </si>
  <si>
    <t>CATEGORIA</t>
  </si>
  <si>
    <t>TAXI - EXTRA X AP</t>
  </si>
  <si>
    <t>VENDA - NOTEBOOK [FERNANDO]</t>
  </si>
  <si>
    <t>usb/micro</t>
  </si>
  <si>
    <t>usb/sata</t>
  </si>
  <si>
    <t>usb/som</t>
  </si>
  <si>
    <t>onibus</t>
  </si>
  <si>
    <t>Revista W</t>
  </si>
  <si>
    <t>ACESSORIOS</t>
  </si>
  <si>
    <t>HORTFRUTI</t>
  </si>
  <si>
    <t>Corte de cabelo</t>
  </si>
  <si>
    <t>H.PESSOAL</t>
  </si>
  <si>
    <t>M.OBRA</t>
  </si>
  <si>
    <t>LANCHES/LAZER</t>
  </si>
  <si>
    <t>NF.68</t>
  </si>
  <si>
    <t>130829-1000</t>
  </si>
  <si>
    <t>PASTA C/ FURO</t>
  </si>
  <si>
    <t>130912-0900</t>
  </si>
  <si>
    <t>9-5472-7493 VIVO</t>
  </si>
  <si>
    <t>COMPRA DO CHIP</t>
  </si>
  <si>
    <t>Netinho</t>
  </si>
  <si>
    <t>Pedreiro</t>
  </si>
  <si>
    <t>130919-1400</t>
  </si>
  <si>
    <t>9-4857-5143 TIM</t>
  </si>
  <si>
    <t>ALBUM - RODRIGO</t>
  </si>
  <si>
    <t>CARRINHOS</t>
  </si>
  <si>
    <t>DOC INTERNET</t>
  </si>
  <si>
    <t>MENS 08/13</t>
  </si>
  <si>
    <t>MENS 07/13</t>
  </si>
  <si>
    <t>MENS 05/13</t>
  </si>
  <si>
    <t>MENS 01/13</t>
  </si>
  <si>
    <t>MENS 02/13</t>
  </si>
  <si>
    <t>MENS 03/13</t>
  </si>
  <si>
    <t>MENS 04/13</t>
  </si>
  <si>
    <t>MENS 09/13</t>
  </si>
  <si>
    <t>MENS 10/13</t>
  </si>
  <si>
    <t>MENS 11/13</t>
  </si>
  <si>
    <t>MENS 12/13</t>
  </si>
  <si>
    <t>130926-1010</t>
  </si>
  <si>
    <t>WAGNER</t>
  </si>
  <si>
    <t>130930-1030</t>
  </si>
  <si>
    <t>CARTUCHO - HP (21)</t>
  </si>
  <si>
    <t>CARTUCHO - HP (22)</t>
  </si>
  <si>
    <t>9-4870-8143</t>
  </si>
  <si>
    <t>9-9955-1164</t>
  </si>
  <si>
    <t>claudio - Renato Portella</t>
  </si>
  <si>
    <t>9-5995-1388</t>
  </si>
  <si>
    <t>9-5234-0715</t>
  </si>
  <si>
    <t>9-5279-3137</t>
  </si>
  <si>
    <t>9-4857-5143</t>
  </si>
  <si>
    <t>9-5361-3640</t>
  </si>
  <si>
    <t>9-6524-8525</t>
  </si>
  <si>
    <t>9-6742-9551</t>
  </si>
  <si>
    <t>9-6982-3670</t>
  </si>
  <si>
    <t>9-6998-4839</t>
  </si>
  <si>
    <t>9-7054-7823</t>
  </si>
  <si>
    <t>9-7132-9975</t>
  </si>
  <si>
    <t>9-7143-5168</t>
  </si>
  <si>
    <t>9-7187-6938</t>
  </si>
  <si>
    <t>9-7202-0644</t>
  </si>
  <si>
    <t>9-7251-0991</t>
  </si>
  <si>
    <t>9-7259-5986</t>
  </si>
  <si>
    <t>9-7283-9970</t>
  </si>
  <si>
    <t>9-7349-2206</t>
  </si>
  <si>
    <t>9-7373-8016</t>
  </si>
  <si>
    <t>9-7413-2702</t>
  </si>
  <si>
    <t>9-7448-6886</t>
  </si>
  <si>
    <t>9-7528-7121</t>
  </si>
  <si>
    <t>9-7608-2216</t>
  </si>
  <si>
    <t>9-7613-8293</t>
  </si>
  <si>
    <t>9-7615-9703</t>
  </si>
  <si>
    <t>9-7652-2031</t>
  </si>
  <si>
    <t>9-7670-5441</t>
  </si>
  <si>
    <t>9-7682-9177</t>
  </si>
  <si>
    <t>9-7712-8951</t>
  </si>
  <si>
    <t>9-7713-4529</t>
  </si>
  <si>
    <t>9-7715-8037</t>
  </si>
  <si>
    <t>9-7756-2677</t>
  </si>
  <si>
    <t>9-7809-3337</t>
  </si>
  <si>
    <t>9-7810-1960</t>
  </si>
  <si>
    <t>9-7812-9078</t>
  </si>
  <si>
    <t>9-7830-6862</t>
  </si>
  <si>
    <t>9-7853-2148</t>
  </si>
  <si>
    <t>9-7864-0811</t>
  </si>
  <si>
    <t>9-7871-1074</t>
  </si>
  <si>
    <t>9-7875-1673</t>
  </si>
  <si>
    <t>9-7883-8446</t>
  </si>
  <si>
    <t>9-7889-7478</t>
  </si>
  <si>
    <t>9-7891-7744</t>
  </si>
  <si>
    <t>9-7895-2813</t>
  </si>
  <si>
    <t>9-8081-1822</t>
  </si>
  <si>
    <t>9-8083-5081</t>
  </si>
  <si>
    <t>9-8100-8500</t>
  </si>
  <si>
    <t>9-8111-6318</t>
  </si>
  <si>
    <t>9-8115-3535</t>
  </si>
  <si>
    <t>9-8126-6161</t>
  </si>
  <si>
    <t>9-8148-0425</t>
  </si>
  <si>
    <t>9-8163-1855</t>
  </si>
  <si>
    <t>9-8181-4405</t>
  </si>
  <si>
    <t>9-8181-8733</t>
  </si>
  <si>
    <t>9-8187-4167</t>
  </si>
  <si>
    <t>9-8204-0700</t>
  </si>
  <si>
    <t>9-8222-6363</t>
  </si>
  <si>
    <t>9-8232-4787</t>
  </si>
  <si>
    <t>9-8256-3906</t>
  </si>
  <si>
    <t>9-8262-3405</t>
  </si>
  <si>
    <t>9-8291-9969</t>
  </si>
  <si>
    <t>9-8341-0222</t>
  </si>
  <si>
    <t>9-8342-3747</t>
  </si>
  <si>
    <t>9-8351-2706</t>
  </si>
  <si>
    <t>9-8359-5377</t>
  </si>
  <si>
    <t>9-8365-3029</t>
  </si>
  <si>
    <t>9-8365-9725</t>
  </si>
  <si>
    <t>9-8405-8334</t>
  </si>
  <si>
    <t>9-8410-9986</t>
  </si>
  <si>
    <t>9-8457-5025</t>
  </si>
  <si>
    <t>9-8468-2874</t>
  </si>
  <si>
    <t>9-8469-0614</t>
  </si>
  <si>
    <t>9-8501-3004</t>
  </si>
  <si>
    <t>9-8571-1992</t>
  </si>
  <si>
    <t>9-8586-0674</t>
  </si>
  <si>
    <t>9-8593-6844</t>
  </si>
  <si>
    <t>9-8593-6852</t>
  </si>
  <si>
    <t>9-8758-0542</t>
  </si>
  <si>
    <t>9-8890-3227</t>
  </si>
  <si>
    <t>9-8896-9589</t>
  </si>
  <si>
    <t>9-8901-7516</t>
  </si>
  <si>
    <t>9-8915-7575</t>
  </si>
  <si>
    <t>9-8942-4185</t>
  </si>
  <si>
    <t>9-8962-3729</t>
  </si>
  <si>
    <t>9-8986-9587</t>
  </si>
  <si>
    <t>9-9135-4818</t>
  </si>
  <si>
    <t>9-9141-2247</t>
  </si>
  <si>
    <t>9-9154-6747</t>
  </si>
  <si>
    <t>9-9167-3359</t>
  </si>
  <si>
    <t>9-9177-3915</t>
  </si>
  <si>
    <t>9-9244-8007</t>
  </si>
  <si>
    <t>9-9244-8615</t>
  </si>
  <si>
    <t>9-9294-5303</t>
  </si>
  <si>
    <t>9-9295-6338</t>
  </si>
  <si>
    <t>9-9315-1549</t>
  </si>
  <si>
    <t>9-9317-2918</t>
  </si>
  <si>
    <t>9-9330-9211</t>
  </si>
  <si>
    <t>9-9338-0450</t>
  </si>
  <si>
    <t>9-9451-0615</t>
  </si>
  <si>
    <t>9-9461-9590</t>
  </si>
  <si>
    <t>9-9469-3646</t>
  </si>
  <si>
    <t>9-9487-3082</t>
  </si>
  <si>
    <t>9-9616-7508</t>
  </si>
  <si>
    <t>9-9617-1269</t>
  </si>
  <si>
    <t>9-9620-2955</t>
  </si>
  <si>
    <t>9-9651-0677</t>
  </si>
  <si>
    <t>9-9654-4332</t>
  </si>
  <si>
    <t>9-9668-2458</t>
  </si>
  <si>
    <t>9-9714-8706</t>
  </si>
  <si>
    <t>9-9755-1864</t>
  </si>
  <si>
    <t>9-9801-9004</t>
  </si>
  <si>
    <t>9-9881-7206</t>
  </si>
  <si>
    <t>9-9905-1956</t>
  </si>
  <si>
    <t>9-9919-0575</t>
  </si>
  <si>
    <t>9-9919-9579</t>
  </si>
  <si>
    <t>9-9932-6117</t>
  </si>
  <si>
    <t>9-9940-9180</t>
  </si>
  <si>
    <t>9-9942-9954</t>
  </si>
  <si>
    <t>9-9946-1727</t>
  </si>
  <si>
    <t>9-9979-0340</t>
  </si>
  <si>
    <t>9-9983-2091</t>
  </si>
  <si>
    <t>9-9994-4839</t>
  </si>
  <si>
    <t>21-3252-2500</t>
  </si>
  <si>
    <t>carmelita</t>
  </si>
  <si>
    <t>35-9143-5090</t>
  </si>
  <si>
    <t>Jose Geraldo</t>
  </si>
  <si>
    <t>300-100-7575</t>
  </si>
  <si>
    <t>SOS Bankline</t>
  </si>
  <si>
    <t>131009-0900</t>
  </si>
  <si>
    <t>131015-0900</t>
  </si>
  <si>
    <t>CARMELITA</t>
  </si>
  <si>
    <t>TAXI - SH.TABOAO</t>
  </si>
  <si>
    <t>TAXI - Giovanni Gronchi</t>
  </si>
  <si>
    <t>NET</t>
  </si>
  <si>
    <t>RODRIGO - ROUPAS</t>
  </si>
  <si>
    <t>CLIENTE</t>
  </si>
  <si>
    <t>F4CONSULT</t>
  </si>
  <si>
    <t>DIRETO</t>
  </si>
  <si>
    <t>LUCRO</t>
  </si>
  <si>
    <t>PRODUTO</t>
  </si>
  <si>
    <t>USUARIOS</t>
  </si>
  <si>
    <t>1 - ANO</t>
  </si>
  <si>
    <t>2 - ANO</t>
  </si>
  <si>
    <t>3 - ANO</t>
  </si>
  <si>
    <t>LINK</t>
  </si>
  <si>
    <t>USUÁRIO</t>
  </si>
  <si>
    <t>SENHA</t>
  </si>
  <si>
    <t>http://www.nodes.com.br/loja/parceria/parceria.asp#</t>
  </si>
  <si>
    <t>ailton@f4consult.com.br</t>
  </si>
  <si>
    <t>wawiwl</t>
  </si>
  <si>
    <t>Avira Professional Security</t>
  </si>
  <si>
    <t>http://www.winco.com.br/loja_revenda/</t>
  </si>
  <si>
    <t>05441962000108</t>
  </si>
  <si>
    <t>41L70N@@</t>
  </si>
  <si>
    <t>JANEIRO</t>
  </si>
  <si>
    <t>FEVEREIRO</t>
  </si>
  <si>
    <t>MARÇO</t>
  </si>
  <si>
    <t>ABRIL</t>
  </si>
  <si>
    <t>MAIO</t>
  </si>
  <si>
    <t>JUNHO</t>
  </si>
  <si>
    <t>JULHO</t>
  </si>
  <si>
    <t>AGOSTO</t>
  </si>
  <si>
    <t>SETEMBRO</t>
  </si>
  <si>
    <t>OUTUBRO</t>
  </si>
  <si>
    <t>NOVEMBRO</t>
  </si>
  <si>
    <t>DEZEMBRO</t>
  </si>
  <si>
    <t>F4 PRESTAÇÃO DE SERVIÇOS EM CONSULTORIA EMPRESARIAL LTDA.</t>
  </si>
  <si>
    <t>VALORES</t>
  </si>
  <si>
    <t>SOMA (VALORES)</t>
  </si>
  <si>
    <t>TOTAL - (OS)</t>
  </si>
  <si>
    <t>ORDEM DE SERVIÇO</t>
  </si>
  <si>
    <t>CUSTOS</t>
  </si>
  <si>
    <t>CLIENTE:</t>
  </si>
  <si>
    <t>CONTROLE:</t>
  </si>
  <si>
    <t>BOLETO</t>
  </si>
  <si>
    <t>CONTATO:</t>
  </si>
  <si>
    <t>NF-E</t>
  </si>
  <si>
    <t>EMISSÃO:</t>
  </si>
  <si>
    <t>IRPJ</t>
  </si>
  <si>
    <t>110713-0741</t>
  </si>
  <si>
    <t>TELEFONE:</t>
  </si>
  <si>
    <t>CSLL</t>
  </si>
  <si>
    <t>TOTAL:</t>
  </si>
  <si>
    <t>COFINS</t>
  </si>
  <si>
    <t>E-MAIL:</t>
  </si>
  <si>
    <t>PIS</t>
  </si>
  <si>
    <t>CONDIÇÕES DE PAGAMENTO</t>
  </si>
  <si>
    <t>PROJETO:</t>
  </si>
  <si>
    <t>VALOR PARCELA(S):</t>
  </si>
  <si>
    <t>CONDIÇÃO DE PG:</t>
  </si>
  <si>
    <t>AVISTA</t>
  </si>
  <si>
    <t>PARCELAS ( 2X )</t>
  </si>
  <si>
    <t>PARCELAS ( 4X )</t>
  </si>
  <si>
    <t>PARCELAS ( 3X )</t>
  </si>
  <si>
    <t>PARCELAS ( 1X )</t>
  </si>
  <si>
    <t>PARCELAS ( 6X )</t>
  </si>
  <si>
    <t>FORMA DE PG:</t>
  </si>
  <si>
    <t>DEPOSITO</t>
  </si>
  <si>
    <t>DINHEIRO</t>
  </si>
  <si>
    <t>CHEQUE</t>
  </si>
  <si>
    <t>ENTREGA:</t>
  </si>
  <si>
    <t>STATUS:</t>
  </si>
  <si>
    <t>CONCLUÍDO</t>
  </si>
  <si>
    <t>EXECUÇÃO</t>
  </si>
  <si>
    <t>ORÇAMENTO</t>
  </si>
  <si>
    <t>SOLICITANTE</t>
  </si>
  <si>
    <t>DESCRICAO DA TAREFA</t>
  </si>
  <si>
    <t>HORAS</t>
  </si>
  <si>
    <t>VALOR 
HORA</t>
  </si>
  <si>
    <t>TOTAL</t>
  </si>
  <si>
    <t>AILTON ZACARIAS DA SILVA</t>
  </si>
  <si>
    <t>CLIENTE
( CONTATO )</t>
  </si>
  <si>
    <t>OS</t>
  </si>
  <si>
    <t>TRABALHOS</t>
  </si>
  <si>
    <t>FUNDO RESERVA</t>
  </si>
  <si>
    <t>REC.CLIENTE</t>
  </si>
  <si>
    <t>DEP.POP</t>
  </si>
  <si>
    <t>OK</t>
  </si>
  <si>
    <t>130523-1400</t>
  </si>
  <si>
    <t>130523-1027</t>
  </si>
  <si>
    <t>BERTINI</t>
  </si>
  <si>
    <t>130520-0930</t>
  </si>
  <si>
    <t>130520-0910</t>
  </si>
  <si>
    <t>JETCLASS</t>
  </si>
  <si>
    <t>130520-0900</t>
  </si>
  <si>
    <t>DARIO</t>
  </si>
  <si>
    <t>130426-0930</t>
  </si>
  <si>
    <t xml:space="preserve">SPRINGER </t>
  </si>
  <si>
    <t>130420-0940</t>
  </si>
  <si>
    <t>ALEXANDRE</t>
  </si>
  <si>
    <t>130420-0930</t>
  </si>
  <si>
    <t>130420-0910</t>
  </si>
  <si>
    <t>130420-0900</t>
  </si>
  <si>
    <t>130405-1013</t>
  </si>
  <si>
    <t>BRTECNOLOGY</t>
  </si>
  <si>
    <t>130320-0940</t>
  </si>
  <si>
    <t>130320-0930</t>
  </si>
  <si>
    <t>130320-0910</t>
  </si>
  <si>
    <t>130320-0900</t>
  </si>
  <si>
    <t>130316-1100</t>
  </si>
  <si>
    <t>130314-1300</t>
  </si>
  <si>
    <t>130314-1000</t>
  </si>
  <si>
    <t>130226-0920</t>
  </si>
  <si>
    <t>130220-1000</t>
  </si>
  <si>
    <t>130220-0940</t>
  </si>
  <si>
    <t>130220-0930</t>
  </si>
  <si>
    <t>130220-0910</t>
  </si>
  <si>
    <t>130205-1013</t>
  </si>
  <si>
    <t>130120-0940</t>
  </si>
  <si>
    <t>130120-0930</t>
  </si>
  <si>
    <t>130120-0910</t>
  </si>
  <si>
    <t>130120-0900</t>
  </si>
  <si>
    <t>121113-0900</t>
  </si>
  <si>
    <t>COMPUTADOR</t>
  </si>
  <si>
    <t>ENDEREÇO IP PRINCIPAL</t>
  </si>
  <si>
    <t>PLACA MÃE</t>
  </si>
  <si>
    <t>TIPO DE PROCESSADOR</t>
  </si>
  <si>
    <t>MEMÓRIA DO SISTEMA 
MB</t>
  </si>
  <si>
    <t>HD ( PRIMÁRIO )
MB</t>
  </si>
  <si>
    <t>HD ( SECUNDÁRIO )
MB</t>
  </si>
  <si>
    <t>TOTAL 
GB</t>
  </si>
  <si>
    <t>COBRANCA-PC</t>
  </si>
  <si>
    <t>192.168.0.10</t>
  </si>
  <si>
    <t>P5G41T-M LX2/BR</t>
  </si>
  <si>
    <t>DualCore Intel Pentium, 3000 MHz (15 x 200)</t>
  </si>
  <si>
    <t>WIN7</t>
  </si>
  <si>
    <t>ATENDIMENTO-PC</t>
  </si>
  <si>
    <t>192.168.0.20</t>
  </si>
  <si>
    <t>CAIO_RETEC</t>
  </si>
  <si>
    <t>192.168.0.30</t>
  </si>
  <si>
    <t>P5KPL-AM SE</t>
  </si>
  <si>
    <t>DualCore Intel Pentium, 2733 MHz (13.5 x 202)</t>
  </si>
  <si>
    <t>WINXP - SP3</t>
  </si>
  <si>
    <t>192.168.0.40</t>
  </si>
  <si>
    <t>GA-8VM800M-775</t>
  </si>
  <si>
    <t>Intel Pentium 4 521, 2800 MHz (14 x 200)</t>
  </si>
  <si>
    <t>REGIS_RETEC</t>
  </si>
  <si>
    <t>192.168.0.60</t>
  </si>
  <si>
    <t>POS-MIG31AG</t>
  </si>
  <si>
    <t>RETEC_OSASCO</t>
  </si>
  <si>
    <t>PATIO-PC</t>
  </si>
  <si>
    <t>192.168.1.129</t>
  </si>
  <si>
    <t>GA-945GCM-S2C</t>
  </si>
  <si>
    <t>DualCore Intel Core 2 Duo E4600, 2400 MHz (12 x 200)</t>
  </si>
  <si>
    <t>CAMERA - RIO PEQUENO</t>
  </si>
  <si>
    <t>192.168.0.50</t>
  </si>
  <si>
    <t>CAMERA - OSASCO</t>
  </si>
  <si>
    <t>187.75.172.86</t>
  </si>
  <si>
    <t>Lexmark X204n</t>
  </si>
  <si>
    <t>192.168.0.70</t>
  </si>
  <si>
    <t>CARTAO</t>
  </si>
  <si>
    <t>192.168.0.80</t>
  </si>
  <si>
    <t>REDE / INTERNET</t>
  </si>
  <si>
    <t>TIPO</t>
  </si>
  <si>
    <t>OBS</t>
  </si>
  <si>
    <t>ROUTER</t>
  </si>
  <si>
    <t>admin</t>
  </si>
  <si>
    <t>192.168.1.1</t>
  </si>
  <si>
    <t>MODEM</t>
  </si>
  <si>
    <t>Administrator</t>
  </si>
  <si>
    <t>ACCESS POINT</t>
  </si>
  <si>
    <t>192.168.2.1</t>
  </si>
  <si>
    <t>LOJA - RIO PEQUENO</t>
  </si>
  <si>
    <t>187.35.209.96</t>
  </si>
  <si>
    <t>LOJA - OSASCO</t>
  </si>
  <si>
    <t>BLOQUEIOS</t>
  </si>
  <si>
    <t>APLICATIVO</t>
  </si>
  <si>
    <t>LICENÇA</t>
  </si>
  <si>
    <t>AVIRA PREMIUM SECURITY</t>
  </si>
  <si>
    <t>KHLLL-LLLRH-EDKEE-L2ACY-JUFYH</t>
  </si>
  <si>
    <t>41L70N$#@</t>
  </si>
  <si>
    <t>SS777-7772S-7N4XH-HPEJ9-G8WPK</t>
  </si>
  <si>
    <t>GUARITA-PC</t>
  </si>
  <si>
    <t>YX222-2227X-WWY2M-B8R8D-F3QP6</t>
  </si>
  <si>
    <t>REGIS-PC</t>
  </si>
  <si>
    <t>ROTEIRO</t>
  </si>
  <si>
    <t>E-MAILS</t>
  </si>
  <si>
    <t>NOME</t>
  </si>
  <si>
    <t>E-MAIL</t>
  </si>
  <si>
    <t>POP</t>
  </si>
  <si>
    <t>SMTP</t>
  </si>
  <si>
    <t>Retec Caçambas</t>
  </si>
  <si>
    <t>retec.cacambas@terra.com.br</t>
  </si>
  <si>
    <t>pop.sao.terra.com.br</t>
  </si>
  <si>
    <t>smtp.sao.terra.com.br</t>
  </si>
  <si>
    <t>marineusa</t>
  </si>
  <si>
    <t>rc.vaz@terra.com.br</t>
  </si>
  <si>
    <t>d18m01</t>
  </si>
  <si>
    <t>SENHAS DOS COMPUTADORES</t>
  </si>
  <si>
    <t>GRUPO DE PERMISSÃO</t>
  </si>
  <si>
    <t>caio</t>
  </si>
  <si>
    <t>131418cmkb</t>
  </si>
  <si>
    <t>Convidado</t>
  </si>
  <si>
    <t>Adminstrador</t>
  </si>
  <si>
    <t>Administradores</t>
  </si>
  <si>
    <t>Atendimento</t>
  </si>
  <si>
    <t>IMPRESSORAS</t>
  </si>
  <si>
    <t>PAPEL</t>
  </si>
  <si>
    <t>TAMANHO</t>
  </si>
  <si>
    <t>A4</t>
  </si>
  <si>
    <t>210 x 297</t>
  </si>
  <si>
    <t>Formulario</t>
  </si>
  <si>
    <t>RETEC - PEDIDO</t>
  </si>
  <si>
    <t>24,13 x 14,00</t>
  </si>
  <si>
    <t>EPSON LX-300 II</t>
  </si>
  <si>
    <t>CUTE PDF</t>
  </si>
  <si>
    <t>IMPRESSORA DE ARQUIVOS PDF</t>
  </si>
  <si>
    <t>APLICATIVOS</t>
  </si>
  <si>
    <t>ANTIVÍRUS</t>
  </si>
  <si>
    <t>OFFICE 2003</t>
  </si>
  <si>
    <t>GERENCIADOR REP</t>
  </si>
  <si>
    <t>CARTÃO DE PONTO</t>
  </si>
  <si>
    <t>PONTO FULL SREP</t>
  </si>
  <si>
    <t>TEAM VIEWER QS</t>
  </si>
  <si>
    <t>LIBERAR ACESSO EXTERNO</t>
  </si>
  <si>
    <t>OFFICE BANKING BRADESCO</t>
  </si>
  <si>
    <t>SISTEMA DE COBRANÇA</t>
  </si>
  <si>
    <t>SISCOB</t>
  </si>
  <si>
    <t>AVIRA</t>
  </si>
  <si>
    <t>Atividade</t>
  </si>
  <si>
    <t>Qtde Horas</t>
  </si>
  <si>
    <t>CONSULTORIA</t>
  </si>
  <si>
    <t>Levantamento</t>
  </si>
  <si>
    <t>Entendimento</t>
  </si>
  <si>
    <t>Análise</t>
  </si>
  <si>
    <t>DESENVOLVIMENTO</t>
  </si>
  <si>
    <t>Desenho / Especificar</t>
  </si>
  <si>
    <t>Construção</t>
  </si>
  <si>
    <t>hr. mês</t>
  </si>
  <si>
    <t>IMPLANTAÇÃO</t>
  </si>
  <si>
    <t>Testes</t>
  </si>
  <si>
    <t>Implementação</t>
  </si>
  <si>
    <t>TREINAMENTO</t>
  </si>
  <si>
    <t>Treinamento - ATENDENTES</t>
  </si>
  <si>
    <t>ATENDENTES</t>
  </si>
  <si>
    <t>Treinamento - FINANCEIRO</t>
  </si>
  <si>
    <t>Treinamento - GERENTE</t>
  </si>
  <si>
    <t>ACOMPANHAMENTO</t>
  </si>
  <si>
    <t>Acompanhamento</t>
  </si>
  <si>
    <t>horas</t>
  </si>
  <si>
    <t>dias/mês</t>
  </si>
  <si>
    <t>Gerenciamento</t>
  </si>
  <si>
    <t>Total Horas</t>
  </si>
  <si>
    <t>Total Produtividade</t>
  </si>
  <si>
    <t>Total Final</t>
  </si>
  <si>
    <t>Total Dedicação horas/dia</t>
  </si>
  <si>
    <t>Total Dias Úteis</t>
  </si>
  <si>
    <t>DESCRIÇÃO</t>
  </si>
  <si>
    <t>Valor Único</t>
  </si>
  <si>
    <t>Qtde</t>
  </si>
  <si>
    <t>Refeição</t>
  </si>
  <si>
    <t>Transporte</t>
  </si>
  <si>
    <t>Equipamento</t>
  </si>
  <si>
    <t>Custo Fixo</t>
  </si>
  <si>
    <t>Mensalidade Contador</t>
  </si>
  <si>
    <t>Mensalidade Site</t>
  </si>
  <si>
    <t>Mensalidade PABX</t>
  </si>
  <si>
    <t>Mensalidade Telco</t>
  </si>
  <si>
    <t>Mensalidade Aluguel</t>
  </si>
  <si>
    <t>Mensalidade Operacional</t>
  </si>
  <si>
    <t>Custo Variavel</t>
  </si>
  <si>
    <t>Custo Mão de Obra</t>
  </si>
  <si>
    <t>Custos Deslocamento</t>
  </si>
  <si>
    <t>Custos Refeição</t>
  </si>
  <si>
    <t>Custos equipamentos</t>
  </si>
  <si>
    <t>Margem</t>
  </si>
  <si>
    <t>Produtividade</t>
  </si>
  <si>
    <t>Impostos</t>
  </si>
  <si>
    <t>Custos Mão Obra</t>
  </si>
  <si>
    <t>Demais Custos</t>
  </si>
  <si>
    <t>Comissão</t>
  </si>
  <si>
    <t>Total s/ Comissão</t>
  </si>
  <si>
    <t>Total c/ Comissão</t>
  </si>
  <si>
    <t>Valor por Hora (calc inicialm.)</t>
  </si>
  <si>
    <t>Valor por Hora (c/produtividade)</t>
  </si>
  <si>
    <t>Total Final c/ ou sem desc.</t>
  </si>
  <si>
    <t>Cliente</t>
  </si>
  <si>
    <t>Receita Final</t>
  </si>
  <si>
    <t>TESTE DE USO</t>
  </si>
  <si>
    <t>17/60</t>
  </si>
  <si>
    <t>PIZZA</t>
  </si>
  <si>
    <t>131029-1000</t>
  </si>
  <si>
    <t>131030-0900</t>
  </si>
  <si>
    <t>130610-0900</t>
  </si>
  <si>
    <t>131028-1600</t>
  </si>
  <si>
    <t>131028-0900</t>
  </si>
  <si>
    <t>131020-0900</t>
  </si>
  <si>
    <t>130920-0900</t>
  </si>
  <si>
    <t>130820-0900</t>
  </si>
  <si>
    <t>130720-0900</t>
  </si>
  <si>
    <t>130220-0900</t>
  </si>
  <si>
    <t>130620-0900</t>
  </si>
  <si>
    <t>131120-0900</t>
  </si>
  <si>
    <t>131220-0900</t>
  </si>
  <si>
    <t xml:space="preserve">131020-0910 </t>
  </si>
  <si>
    <t>130920-0910</t>
  </si>
  <si>
    <t>130820-0910</t>
  </si>
  <si>
    <t>130720-0910</t>
  </si>
  <si>
    <t>130620-0910</t>
  </si>
  <si>
    <t>131120-0910</t>
  </si>
  <si>
    <t>131220-0910</t>
  </si>
  <si>
    <t>131020-0930</t>
  </si>
  <si>
    <t>130920-0930</t>
  </si>
  <si>
    <t>130820-0930</t>
  </si>
  <si>
    <t>130720-0930</t>
  </si>
  <si>
    <t>130620-0930</t>
  </si>
  <si>
    <t>131120-0930</t>
  </si>
  <si>
    <t>131220-0930</t>
  </si>
  <si>
    <t>131014-0900</t>
  </si>
  <si>
    <t>NOVO LAYOUT SITE</t>
  </si>
  <si>
    <t>130930-1031</t>
  </si>
  <si>
    <t>RENATA PANTELEICIUC</t>
  </si>
  <si>
    <t>RESTAURAÇÃO TOTAL</t>
  </si>
  <si>
    <t xml:space="preserve">AVIRA PROFESSIONAL SECURITY (3 ANOS) </t>
  </si>
  <si>
    <t>131105-1000</t>
  </si>
  <si>
    <t>TAXI - PORTAL/AP</t>
  </si>
  <si>
    <t>COMP. 01/2013</t>
  </si>
  <si>
    <t>COMP. 02/2013</t>
  </si>
  <si>
    <t>COMP. 03/2013</t>
  </si>
  <si>
    <t>COMP. 04/2013</t>
  </si>
  <si>
    <t>COMP. 05/2013</t>
  </si>
  <si>
    <t>COMP. 06/2013</t>
  </si>
  <si>
    <t>COMP. 07/2013</t>
  </si>
  <si>
    <t>COMP. 08/2013</t>
  </si>
  <si>
    <t>COMP. 09/2013</t>
  </si>
  <si>
    <t>COMP. 10/2013</t>
  </si>
  <si>
    <t>COMP. 11/2013</t>
  </si>
  <si>
    <t>COMP. 12/2013</t>
  </si>
  <si>
    <t>ADPTADOR USB</t>
  </si>
  <si>
    <t>CD'S</t>
  </si>
  <si>
    <t>VAL.ORGINAL</t>
  </si>
  <si>
    <t>VAL.FINAL</t>
  </si>
  <si>
    <t>LANCHE</t>
  </si>
  <si>
    <t>Taxi - Taboão/AP</t>
  </si>
  <si>
    <t>Hortfruiti</t>
  </si>
  <si>
    <t>OUTBACK</t>
  </si>
  <si>
    <t>Taxa de parcelamento de cartão de crédito</t>
  </si>
  <si>
    <t>Taxa de intermediação</t>
  </si>
  <si>
    <t>PAGSEGURO</t>
  </si>
  <si>
    <t>COBRANÇA</t>
  </si>
  <si>
    <t>COMISSÃO - MONITOR</t>
  </si>
  <si>
    <t>131108-1500</t>
  </si>
  <si>
    <t>131108-1100</t>
  </si>
  <si>
    <t>X</t>
  </si>
  <si>
    <t>Soma de VAL.FINAL</t>
  </si>
  <si>
    <t>COMISSÃO - AVIRA</t>
  </si>
  <si>
    <t>131029-0900</t>
  </si>
  <si>
    <t>COMISSÃO - ROUTER</t>
  </si>
  <si>
    <t>HOSPEDAGEM, ANTIVIRUS, CERTIFICADO DIGITAL</t>
  </si>
  <si>
    <t>RESERVA-SUPORTE</t>
  </si>
  <si>
    <t>GASOLINA - AP/FAMILIA/AP</t>
  </si>
  <si>
    <t>131210-1030</t>
  </si>
  <si>
    <t>131212-1000</t>
  </si>
  <si>
    <t>INVESTIMENTO-MENSAL (10%)</t>
  </si>
  <si>
    <t>PROVISÃO</t>
  </si>
  <si>
    <t>9-4857-5143 tim</t>
  </si>
  <si>
    <t>131217-0900</t>
  </si>
  <si>
    <t>MIGUEL AMADOR</t>
  </si>
  <si>
    <t>JOAQUIM PETIZ</t>
  </si>
  <si>
    <t>NF.69</t>
  </si>
  <si>
    <t>NF.70</t>
  </si>
  <si>
    <t xml:space="preserve">131212-1000 </t>
  </si>
  <si>
    <t>NETFLIX</t>
  </si>
  <si>
    <t>9-4870-8143 TIM VANESSA</t>
  </si>
  <si>
    <t>CONFRATERNIZAÇÃO UNIVERSAL</t>
  </si>
  <si>
    <t>CARNAVAL</t>
  </si>
  <si>
    <t>PAIXÃO DE CRISTO</t>
  </si>
  <si>
    <t>TIRADENTES</t>
  </si>
  <si>
    <t>DIA DO TRABALHO</t>
  </si>
  <si>
    <t>CORPUS CHRISTI</t>
  </si>
  <si>
    <t>INDEPENDÊNCIA DO BRASIL</t>
  </si>
  <si>
    <t>FINADOS</t>
  </si>
  <si>
    <t>PROCLAMAÇÃO DA REPÚBLICA</t>
  </si>
  <si>
    <t>NATAL</t>
  </si>
  <si>
    <t>MARINES</t>
  </si>
  <si>
    <t>ESCOLA</t>
  </si>
  <si>
    <t>MATRICULA</t>
  </si>
  <si>
    <t>MENSALIDADE</t>
  </si>
  <si>
    <t>ALMOÇO</t>
  </si>
  <si>
    <t>JANTAR</t>
  </si>
  <si>
    <t>QUERUBIN'S</t>
  </si>
  <si>
    <t>PERIODO</t>
  </si>
  <si>
    <t>11h - 19h</t>
  </si>
  <si>
    <t>13h - 17h</t>
  </si>
  <si>
    <t>UNIFORME</t>
  </si>
  <si>
    <t>TOTAL - INICIAL</t>
  </si>
  <si>
    <t>TOTAL - MENSAL</t>
  </si>
  <si>
    <t>FADELITO</t>
  </si>
  <si>
    <t>7h - 12h</t>
  </si>
  <si>
    <t>SEMI-INTEGRAL (6H)</t>
  </si>
  <si>
    <t>1/2 PERIODO (4H)</t>
  </si>
  <si>
    <t>8h - 14h</t>
  </si>
  <si>
    <t>131218-0900</t>
  </si>
  <si>
    <t>ANUAL</t>
  </si>
  <si>
    <t>MAT. ESCOLAR</t>
  </si>
  <si>
    <t>RESERVA-AILTON</t>
  </si>
  <si>
    <t>RESERVA-CAIXA</t>
  </si>
  <si>
    <t>RESERVA-FÉRIAS</t>
  </si>
  <si>
    <t>DESPESAS PESSOAIS</t>
  </si>
  <si>
    <t>PORTO SEGURO</t>
  </si>
  <si>
    <t>DOMINIO, ANTIVIRUS, CERTIFICADO DIGITAL</t>
  </si>
  <si>
    <t>URGENCIAS</t>
  </si>
  <si>
    <t>PLANO DE SAUDE ( VANESSA + AILTON )</t>
  </si>
  <si>
    <t>RESERVA-P.SAUDE</t>
  </si>
  <si>
    <t>NOSSA SR.A APARECIDA</t>
  </si>
  <si>
    <t>DIA DOS PAIS</t>
  </si>
  <si>
    <t>DIA DA MÃES</t>
  </si>
  <si>
    <t>Feriados</t>
  </si>
  <si>
    <t>Aniversários</t>
  </si>
  <si>
    <t>Especiais</t>
  </si>
  <si>
    <t>SIGNIFICADO</t>
  </si>
  <si>
    <t>SIGLA</t>
  </si>
  <si>
    <t>QTD</t>
  </si>
  <si>
    <t>131220-1000</t>
  </si>
  <si>
    <t>SEMESTRAL</t>
  </si>
  <si>
    <t>131223-1200</t>
  </si>
  <si>
    <t>131230-0900</t>
  </si>
  <si>
    <t>131230-1800</t>
  </si>
  <si>
    <t>ADIWEB</t>
  </si>
  <si>
    <t>DATAS</t>
  </si>
  <si>
    <t>SUELI</t>
  </si>
  <si>
    <t>RENATO</t>
  </si>
  <si>
    <t>TEREZINHA</t>
  </si>
  <si>
    <t>ZACARIAS</t>
  </si>
  <si>
    <t>ESTACIONAMENTO - SP MARKET</t>
  </si>
  <si>
    <t>HD EXTERNO 500 GB</t>
  </si>
  <si>
    <t>HD EXTERNO</t>
  </si>
  <si>
    <t>SALDO DEVEDOR EM 10/12/13</t>
  </si>
  <si>
    <t>131128-1300</t>
  </si>
  <si>
    <t>F</t>
  </si>
  <si>
    <t>A</t>
  </si>
  <si>
    <t>E</t>
  </si>
  <si>
    <t>REF. 12/2013</t>
  </si>
  <si>
    <t>P.SAUDE_RODRIGO</t>
  </si>
  <si>
    <t>ESCOLINHA</t>
  </si>
  <si>
    <t>RESERVA-TRANSPORTE</t>
  </si>
  <si>
    <t>RESERVA-LAZER</t>
  </si>
  <si>
    <t>REF. 01/2014</t>
  </si>
  <si>
    <t>REF. 02/2014</t>
  </si>
  <si>
    <t>REF. 03/2014</t>
  </si>
  <si>
    <t>REF. 04/2014</t>
  </si>
  <si>
    <t>REF. 05/2014</t>
  </si>
  <si>
    <t>REF. 06/2014</t>
  </si>
  <si>
    <t>REF. 07/2014</t>
  </si>
  <si>
    <t>REF. 08/2014</t>
  </si>
  <si>
    <t>REF. 09/2014</t>
  </si>
  <si>
    <t>REF. 10/2014</t>
  </si>
  <si>
    <t>REF. 11/2014</t>
  </si>
  <si>
    <t>REF. 12/2014</t>
  </si>
  <si>
    <t>VACINA_RODRIGO</t>
  </si>
  <si>
    <t>01_PRIORIDADE</t>
  </si>
  <si>
    <t>DIA</t>
  </si>
  <si>
    <t>2014/01</t>
  </si>
  <si>
    <t>JAIME - PAI</t>
  </si>
  <si>
    <t>EAG</t>
  </si>
  <si>
    <t>SEMI-INTEGRAL (7H)</t>
  </si>
  <si>
    <t>7h - 14h</t>
  </si>
  <si>
    <t>SALDO ANTERIOR</t>
  </si>
  <si>
    <t>INT PAG TIT 175205288212</t>
  </si>
  <si>
    <t>INT NET 000214945939</t>
  </si>
  <si>
    <t>CEI 000042 DINHEIRO</t>
  </si>
  <si>
    <t>TAR MAXICONTA MENS 12/13</t>
  </si>
  <si>
    <t>S A L D O</t>
  </si>
  <si>
    <t>RSHOP-EXTRA TABOA-09/01</t>
  </si>
  <si>
    <t>TAR COBRANCA MENSAL</t>
  </si>
  <si>
    <t>PIC PIC 20/60</t>
  </si>
  <si>
    <t>CXE 001883 SAQUE</t>
  </si>
  <si>
    <t>RSHOP-EXTRA TABOA-10/01</t>
  </si>
  <si>
    <t>RSHOP-PANIFICADOR-13/01</t>
  </si>
  <si>
    <t>SISDEB NETFLIX</t>
  </si>
  <si>
    <t>CXE 000588 SAQUE</t>
  </si>
  <si>
    <t>TBI 8493.29777-7 C/C</t>
  </si>
  <si>
    <t>CXE 000133 SAQUE</t>
  </si>
  <si>
    <t>TBI 1659.08188-7 C/C</t>
  </si>
  <si>
    <t>TBI 9719.22858-8adiweb</t>
  </si>
  <si>
    <t>Lançamento</t>
  </si>
  <si>
    <t>Valor (R$)</t>
  </si>
  <si>
    <t>Saldo (R$)</t>
  </si>
  <si>
    <t>Observações</t>
  </si>
  <si>
    <t>CXE 003293 SAQUE</t>
  </si>
  <si>
    <t>INT PAG TIT 175204535720</t>
  </si>
  <si>
    <t>INT PAG TIT 181826463572</t>
  </si>
  <si>
    <t>TBI 0740.70571-0/500</t>
  </si>
  <si>
    <t>TBI 2000.41332-4 C/C</t>
  </si>
  <si>
    <t>TAR MAXICONTA MENS 11/13</t>
  </si>
  <si>
    <t>RSHOP-EXTRA TABOA-03/12</t>
  </si>
  <si>
    <t>DOC 001.6995LUKARMONA C</t>
  </si>
  <si>
    <t>(-) SALDO A LIBERAR</t>
  </si>
  <si>
    <t>SALDO FINAL DEVEDOR</t>
  </si>
  <si>
    <t>CXE 000455 SAQUE</t>
  </si>
  <si>
    <t>CXE 002881 SAQUE 08/12</t>
  </si>
  <si>
    <t>RSHOP-EXTRA TABOA-08/12</t>
  </si>
  <si>
    <t>DOC 237.2959VAZTEC C SER</t>
  </si>
  <si>
    <t>TBI 1661.32436-6/500</t>
  </si>
  <si>
    <t>PIC PIC 19/60</t>
  </si>
  <si>
    <t>CXE 000166 SAQUE</t>
  </si>
  <si>
    <t>RSHOP-EXTRA TABOA-11/12</t>
  </si>
  <si>
    <t>SISPAG SPRINGER H BR LT</t>
  </si>
  <si>
    <t>SDO CTA/APL AUTOMATICAS</t>
  </si>
  <si>
    <t>CXE 000927 SAQUE</t>
  </si>
  <si>
    <t>CXE 000935 SAQUE</t>
  </si>
  <si>
    <t>RSHOP-HORT PORTAL-12/12</t>
  </si>
  <si>
    <t>RSHOP-PAO DE ACUC-12/12</t>
  </si>
  <si>
    <t>RSHOP-MP REFEICOE-13/12</t>
  </si>
  <si>
    <t>RSHOP-P DOCES GAT-14/12</t>
  </si>
  <si>
    <t>RSHOP-PANIF PORTA-13/12</t>
  </si>
  <si>
    <t>RSHOP-ROSA OSHIRO-14/12</t>
  </si>
  <si>
    <t>ADIANT.DEPOSITANTE 10/12</t>
  </si>
  <si>
    <t>CXE 001107 SAQUE</t>
  </si>
  <si>
    <t>CXE 001115 SAQUE</t>
  </si>
  <si>
    <t>CXE 001123 SAQUE</t>
  </si>
  <si>
    <t>INT PMSP 01401100200</t>
  </si>
  <si>
    <t>INT PRE-PAGOXXXXXXX8143</t>
  </si>
  <si>
    <t>CEI 000040 DINHEIRO</t>
  </si>
  <si>
    <t>TED 033.2271UNIVERSO ONL</t>
  </si>
  <si>
    <t>INT ELET.PAULO 446114100</t>
  </si>
  <si>
    <t>TBI 1681.16612-8JET</t>
  </si>
  <si>
    <t>CXE 001974 SAQUE</t>
  </si>
  <si>
    <t>RSHOP-COMERCIAL M-19/12</t>
  </si>
  <si>
    <t>RSHOP-REDE PONTO -19/12</t>
  </si>
  <si>
    <t>INT PAG TIT BANCO 237</t>
  </si>
  <si>
    <t>CEI 000041 DINHEIRO</t>
  </si>
  <si>
    <t>RSHOP-EXTRA TABOA-21/12</t>
  </si>
  <si>
    <t>DOC 033.0435LUKARMONA R</t>
  </si>
  <si>
    <t>SALDO FINAL DISPONIVEL</t>
  </si>
  <si>
    <t>RSHOP-EXTRA TABOA-23/12</t>
  </si>
  <si>
    <t>RSHOP-DROGARIA BI-25/12</t>
  </si>
  <si>
    <t>RSHOP-CARREFOUR S-26/12</t>
  </si>
  <si>
    <t>RSHOP-CPQ SHOP SP-26/12</t>
  </si>
  <si>
    <t>RSHOP-EXTRA TABOA-27/12</t>
  </si>
  <si>
    <t>RSHOP-HORT PORTAL-28/12</t>
  </si>
  <si>
    <t>_VANESSA_CELULAR</t>
  </si>
  <si>
    <t>???</t>
  </si>
  <si>
    <t>CXE 000711 SAQUE</t>
  </si>
  <si>
    <t>RSHOP-RED SUPERME-22/01</t>
  </si>
  <si>
    <t>RSHOP-SUPERMERCAD-22/01</t>
  </si>
  <si>
    <t>INT PRE-PAGOXXXXXXX7493</t>
  </si>
  <si>
    <t>RSHOP-SORVETE ESC-23/01</t>
  </si>
  <si>
    <t>CXE 000497 SAQUE</t>
  </si>
  <si>
    <t>140210-1530</t>
  </si>
  <si>
    <t>UZO</t>
  </si>
  <si>
    <t>DINHEIRO - (MÊS ATUAL)</t>
  </si>
  <si>
    <t>DATA</t>
  </si>
  <si>
    <t>140217-1040</t>
  </si>
  <si>
    <t>PARCELA 1/2</t>
  </si>
  <si>
    <t>PARCELA 2/2</t>
  </si>
  <si>
    <t>140207-2042</t>
  </si>
  <si>
    <t>140221-1800</t>
  </si>
  <si>
    <t>140221-1938</t>
  </si>
  <si>
    <t>140120-0900</t>
  </si>
  <si>
    <t>140220-0900</t>
  </si>
  <si>
    <t>140320-0900</t>
  </si>
  <si>
    <t>140420-0900</t>
  </si>
  <si>
    <t>140520-0900</t>
  </si>
  <si>
    <t>140620-0900</t>
  </si>
  <si>
    <t>140720-0900</t>
  </si>
  <si>
    <t>140820-0900</t>
  </si>
  <si>
    <t>140920-0900</t>
  </si>
  <si>
    <t>141020-0900</t>
  </si>
  <si>
    <t>141120-0900</t>
  </si>
  <si>
    <t>141220-0900</t>
  </si>
  <si>
    <t>PG</t>
  </si>
  <si>
    <t>itau</t>
  </si>
  <si>
    <t>COD. DE BARRAS</t>
  </si>
  <si>
    <t>F. PAG.</t>
  </si>
  <si>
    <t>VALOR</t>
  </si>
  <si>
    <t>DIAS EM ATRASO</t>
  </si>
  <si>
    <t>RECEBIDO</t>
  </si>
  <si>
    <t>TRAB. CONCLUIDO</t>
  </si>
  <si>
    <t>BANCO</t>
  </si>
  <si>
    <t>TOT. EM SERVIÇOS</t>
  </si>
  <si>
    <t>SALDO ( RECEITA - DESPESA )</t>
  </si>
  <si>
    <t>TOT. DESPESAS</t>
  </si>
  <si>
    <t>FALTA RECEBER</t>
  </si>
  <si>
    <t>HORAS TRABALHADAS</t>
  </si>
  <si>
    <t>1º Turno</t>
  </si>
  <si>
    <t>2º Turno</t>
  </si>
  <si>
    <t>Salário/Hora</t>
  </si>
  <si>
    <t>Carga Horária/Dia</t>
  </si>
  <si>
    <t>Entrada</t>
  </si>
  <si>
    <t>Saída</t>
  </si>
  <si>
    <t>Total1</t>
  </si>
  <si>
    <t>Entrada2</t>
  </si>
  <si>
    <t>Saída3</t>
  </si>
  <si>
    <t>Total2</t>
  </si>
  <si>
    <t>Total Hora/Dia</t>
  </si>
  <si>
    <t>Salário/Dia</t>
  </si>
  <si>
    <t>Hora-Extra</t>
  </si>
  <si>
    <t>Salário/Dia Final</t>
  </si>
  <si>
    <t>140223-1500</t>
  </si>
  <si>
    <t>REF. 11/2013</t>
  </si>
  <si>
    <t>REF. 10/2013</t>
  </si>
  <si>
    <t>REF. 09/2013</t>
  </si>
  <si>
    <t>REF. 08/2013</t>
  </si>
  <si>
    <t>REF. 07/2013</t>
  </si>
  <si>
    <t>REF. 06/2013</t>
  </si>
  <si>
    <t>REF. 05/2013</t>
  </si>
  <si>
    <t>REF. 04/2013</t>
  </si>
  <si>
    <t>REF. 03/2013</t>
  </si>
  <si>
    <t>REF. 02/2013</t>
  </si>
  <si>
    <t>REF. 01/2013</t>
  </si>
  <si>
    <t>REF. 12/2012</t>
  </si>
  <si>
    <t>SEMANA</t>
  </si>
  <si>
    <t>VAL. DEPOSITO</t>
  </si>
  <si>
    <t>SALDO EM CONTA</t>
  </si>
  <si>
    <t>CXE 000489 SAQUE 22/02</t>
  </si>
  <si>
    <t>RSHOP-EXTRA TABOA-22/02</t>
  </si>
  <si>
    <t>RSHOP-EXTRA TABOA-23/02</t>
  </si>
  <si>
    <t>TBI 2000.41332-4RICARDO</t>
  </si>
  <si>
    <t>INT PAG TIT 138050133449</t>
  </si>
  <si>
    <t>INT PAG TIT 175206667166</t>
  </si>
  <si>
    <t>INT PAG TIT 181883440797</t>
  </si>
  <si>
    <t>INT ELET.PAULO 219234100</t>
  </si>
  <si>
    <t>INT ELET.PAULO 450778100</t>
  </si>
  <si>
    <t>INT NET 000218703182</t>
  </si>
  <si>
    <t>TBI 8493.29777-7garagem</t>
  </si>
  <si>
    <t>PIC PIC 21/60</t>
  </si>
  <si>
    <t>TAR MAXICONTA MENS 01/14</t>
  </si>
  <si>
    <t>ADIANT.DEPOSITANTE 13/02</t>
  </si>
  <si>
    <t>CXE 000232 SAQUE</t>
  </si>
  <si>
    <t>RSHOP-BOB S PAULI-25/02</t>
  </si>
  <si>
    <t>CXE 000513 SAQUE</t>
  </si>
  <si>
    <t>RSHOP-LANCHONETE -26/02</t>
  </si>
  <si>
    <t>RSHOP-SEGREDO DOS-26/02</t>
  </si>
  <si>
    <t>RSHOP-CASA DE CAR-27/02</t>
  </si>
  <si>
    <t>RSHOP-EXTRA TABOA-27/02</t>
  </si>
  <si>
    <t>RSHOP-HORT PORTAL-27/02</t>
  </si>
  <si>
    <t>RSHOP-SESC POMPEI-01/03</t>
  </si>
  <si>
    <t>RSHOP-MARELLA CAF-03/03</t>
  </si>
  <si>
    <t>_P.ODONTO_03-2014</t>
  </si>
  <si>
    <t>_P.ODONTO_02-2014</t>
  </si>
  <si>
    <t>_P.ODONTO_12-2013</t>
  </si>
  <si>
    <t>_P.ODONTO_01-2014</t>
  </si>
  <si>
    <t>_P.SAUDE_11-2013</t>
  </si>
  <si>
    <t>_P.SAUDE_02-2014</t>
  </si>
  <si>
    <t>_P.SAUDE_01-2014</t>
  </si>
  <si>
    <t>_NET_01-2014</t>
  </si>
  <si>
    <t>_NET_11-2013</t>
  </si>
  <si>
    <t>_LOCAWEB_02-2014</t>
  </si>
  <si>
    <t>_LOCAWEB_01-2014</t>
  </si>
  <si>
    <t>_LOCAWEB_12-2013</t>
  </si>
  <si>
    <t>_PIC_19-60</t>
  </si>
  <si>
    <t>_PIC_20-60</t>
  </si>
  <si>
    <t>_PIC_21-60</t>
  </si>
  <si>
    <t>_TRANSPORTE_12-2013</t>
  </si>
  <si>
    <t>_MERCADO_02-2014</t>
  </si>
  <si>
    <t>_MERCADO_01-2014</t>
  </si>
  <si>
    <t>_MERCADO_12-2013</t>
  </si>
  <si>
    <t>_MAXICONTA_01-2014</t>
  </si>
  <si>
    <t>_MAXICONTA_12-2013</t>
  </si>
  <si>
    <t>_MAXICONTA_11-2013</t>
  </si>
  <si>
    <t>_ISS_12-2013</t>
  </si>
  <si>
    <t>_COBRANCA MENSAL_02-2014</t>
  </si>
  <si>
    <t>_COBRANCA MENSAL_01-2014</t>
  </si>
  <si>
    <t>_COBRANCA MENSAL_12-2013</t>
  </si>
  <si>
    <t>_NETFLIX_12-2013</t>
  </si>
  <si>
    <t>_NETFLIX_01-2014</t>
  </si>
  <si>
    <t>_NETFLIX_02-2014</t>
  </si>
  <si>
    <t>_LUZ_01-2014</t>
  </si>
  <si>
    <t>_LUZ_12-2013</t>
  </si>
  <si>
    <t>_LUZ_11-2013</t>
  </si>
  <si>
    <t>_AILTON_12-2013</t>
  </si>
  <si>
    <t>_AILTON_01-2014</t>
  </si>
  <si>
    <t>_AILTON_02-2014</t>
  </si>
  <si>
    <t>_FARMACIA_12-2013</t>
  </si>
  <si>
    <t>_AILTON_01-2014_9.5472-7493</t>
  </si>
  <si>
    <t>BERTINI_131128-1300</t>
  </si>
  <si>
    <t>BRTECNOLOGY_131014-0900</t>
  </si>
  <si>
    <t>LUKARMONA_131120-0930_131121-0930 - LUKANUTRI</t>
  </si>
  <si>
    <t>VAZTEC_131210-1030</t>
  </si>
  <si>
    <t>SPRINGER_131212-1000</t>
  </si>
  <si>
    <t>MIGUEL_131218-0900</t>
  </si>
  <si>
    <t>RENATA_130930-1030</t>
  </si>
  <si>
    <t>JET CLASS_131220-0910</t>
  </si>
  <si>
    <t>DARIO CARDOSO_131220-0900</t>
  </si>
  <si>
    <t>MIGUEL_131217-0900</t>
  </si>
  <si>
    <t>BRTECNOLOGY_131220-1000</t>
  </si>
  <si>
    <t>LUKARMONA_131221-0930</t>
  </si>
  <si>
    <t>MIGUEL AMADOR_131223-1200_131230-0900</t>
  </si>
  <si>
    <t>DARIO CARDOSO_140120-0900</t>
  </si>
  <si>
    <t>BERTINI_140114-1130</t>
  </si>
  <si>
    <t>ADIWEB_131230-0900</t>
  </si>
  <si>
    <t>CLAUDETE_140207-2042_140221-1800_140221-1938</t>
  </si>
  <si>
    <t>DARIO CARDOSO_140220-0900</t>
  </si>
  <si>
    <t>VAZTEC_140223-1500</t>
  </si>
  <si>
    <t>130420-0000</t>
  </si>
  <si>
    <t>130520-0000</t>
  </si>
  <si>
    <t>130620-0000</t>
  </si>
  <si>
    <t>ALPHA SERVER_130420-0000_130520-0000_130620-0000</t>
  </si>
  <si>
    <t>_ADIANT.DEPOSITANTE_12-2013</t>
  </si>
  <si>
    <t>10/02/14  </t>
  </si>
  <si>
    <t>13/02/14  </t>
  </si>
  <si>
    <t>24/02/14  </t>
  </si>
  <si>
    <t>25/02/14  </t>
  </si>
  <si>
    <t>26/02/14  </t>
  </si>
  <si>
    <t>27/02/14  </t>
  </si>
  <si>
    <t>28/02/14  </t>
  </si>
  <si>
    <t>05/03/14  </t>
  </si>
  <si>
    <t>SPRINGER_140217-1040</t>
  </si>
  <si>
    <t>140120-0930</t>
  </si>
  <si>
    <t>COMP. 01/2014</t>
  </si>
  <si>
    <t>140220-0930</t>
  </si>
  <si>
    <t>140320-0930</t>
  </si>
  <si>
    <t>140420-0930</t>
  </si>
  <si>
    <t>140520-0930</t>
  </si>
  <si>
    <t>140620-0930</t>
  </si>
  <si>
    <t>140720-0930</t>
  </si>
  <si>
    <t>140820-0930</t>
  </si>
  <si>
    <t>140920-0930</t>
  </si>
  <si>
    <t>141020-0930</t>
  </si>
  <si>
    <t>141120-0930</t>
  </si>
  <si>
    <t>141220-0930</t>
  </si>
  <si>
    <t>COMP. 02/2014</t>
  </si>
  <si>
    <t>COMP. 03/2014</t>
  </si>
  <si>
    <t>COMP. 04/2014</t>
  </si>
  <si>
    <t>COMP. 05/2014</t>
  </si>
  <si>
    <t>COMP. 06/2014</t>
  </si>
  <si>
    <t>COMP. 07/2014</t>
  </si>
  <si>
    <t>COMP. 08/2014</t>
  </si>
  <si>
    <t>COMP. 09/2014</t>
  </si>
  <si>
    <t>COMP. 10/2014</t>
  </si>
  <si>
    <t>COMP. 11/2014</t>
  </si>
  <si>
    <t>COMP. 12/2014</t>
  </si>
  <si>
    <t>140120-0910</t>
  </si>
  <si>
    <t>140220-0910</t>
  </si>
  <si>
    <t>140320-0910</t>
  </si>
  <si>
    <t>140420-0910</t>
  </si>
  <si>
    <t>140520-0910</t>
  </si>
  <si>
    <t>140620-0910</t>
  </si>
  <si>
    <t>140720-0910</t>
  </si>
  <si>
    <t>140820-0910</t>
  </si>
  <si>
    <t>140920-0910</t>
  </si>
  <si>
    <t>141020-0910</t>
  </si>
  <si>
    <t>141120-0910</t>
  </si>
  <si>
    <t>141220-0910</t>
  </si>
  <si>
    <t>130720-0000</t>
  </si>
  <si>
    <t>130820-0000</t>
  </si>
  <si>
    <t>130920-0000</t>
  </si>
  <si>
    <t>131020-0000</t>
  </si>
  <si>
    <t>131120-0000</t>
  </si>
  <si>
    <t>131220-0000</t>
  </si>
  <si>
    <t>140120-0000</t>
  </si>
  <si>
    <t>140220-0000</t>
  </si>
  <si>
    <t>140320-0000</t>
  </si>
  <si>
    <t>140420-0000</t>
  </si>
  <si>
    <t>140520-0000</t>
  </si>
  <si>
    <t>140620-0000</t>
  </si>
  <si>
    <t>140720-0000</t>
  </si>
  <si>
    <t>140820-0000</t>
  </si>
  <si>
    <t>140920-0000</t>
  </si>
  <si>
    <t>141020-0000</t>
  </si>
  <si>
    <t>141120-0000</t>
  </si>
  <si>
    <t>141220-0000</t>
  </si>
  <si>
    <t>18/60</t>
  </si>
  <si>
    <t>19/60</t>
  </si>
  <si>
    <t>20/60</t>
  </si>
  <si>
    <t>21/60</t>
  </si>
  <si>
    <t>MENS 01/14</t>
  </si>
  <si>
    <t>MENS 02/14</t>
  </si>
  <si>
    <t>MENS 03/14</t>
  </si>
  <si>
    <t>MENS 04/14</t>
  </si>
  <si>
    <t>MENS 05/14</t>
  </si>
  <si>
    <t>MENS 06/14</t>
  </si>
  <si>
    <t>MENS 07/14</t>
  </si>
  <si>
    <t>MENS 08/14</t>
  </si>
  <si>
    <t>MENS 09/14</t>
  </si>
  <si>
    <t>MENS 10/14</t>
  </si>
  <si>
    <t>MENS 11/14</t>
  </si>
  <si>
    <t>MENS 12/14</t>
  </si>
  <si>
    <t>lanche</t>
  </si>
  <si>
    <t>chupeta - rodrigo</t>
  </si>
  <si>
    <t>mercado</t>
  </si>
  <si>
    <t>TRIANON</t>
  </si>
  <si>
    <t>140313-1307</t>
  </si>
  <si>
    <t>taxi</t>
  </si>
  <si>
    <t>carnes</t>
  </si>
  <si>
    <t>140313-1102</t>
  </si>
  <si>
    <t>140314-1000</t>
  </si>
  <si>
    <t>140327-0930</t>
  </si>
  <si>
    <t>INICIO</t>
  </si>
  <si>
    <t>IsInternetConnected</t>
  </si>
  <si>
    <t>connection.State</t>
  </si>
  <si>
    <t>EnvioDeDados</t>
  </si>
  <si>
    <t>addTasksShipping</t>
  </si>
  <si>
    <t>delTasks</t>
  </si>
  <si>
    <t>TAREFA</t>
  </si>
  <si>
    <t>AtualizarOperacional</t>
  </si>
  <si>
    <t>AtualizarSistema</t>
  </si>
  <si>
    <t>Layout</t>
  </si>
  <si>
    <t>REMESSA</t>
  </si>
  <si>
    <t>RETORNO</t>
  </si>
  <si>
    <t>BANCO DE DADOS (MySQL)</t>
  </si>
  <si>
    <t>LIMITAR REGISTROS</t>
  </si>
  <si>
    <t>SUPORTE - 17/04/2014</t>
  </si>
  <si>
    <t>SUPORTE - 16/04/2014</t>
  </si>
  <si>
    <t>HOSPEDAGEM - BANCO DE DADOS (MySQL)</t>
  </si>
  <si>
    <t>(vazio)</t>
  </si>
  <si>
    <t>- AVISTA (50%) 
- ENTREGA (50%)</t>
  </si>
  <si>
    <t>Marina.Jancso@springer.com</t>
  </si>
  <si>
    <t>Marina Jancso</t>
  </si>
  <si>
    <t>### [ INSTALAÇÃO / CONFIGURAÇÃO / TESTES / AJUSTES ]</t>
  </si>
  <si>
    <t>2 SEMANA(S)</t>
  </si>
  <si>
    <t>DESCONTO:</t>
  </si>
  <si>
    <t>VALOR FINAL:</t>
  </si>
  <si>
    <t>11 5103-5691 / 11 9.9667-4432</t>
  </si>
  <si>
    <t>140602-1548</t>
  </si>
  <si>
    <t>- AVISTA (100%)</t>
  </si>
  <si>
    <t xml:space="preserve">1. [CADASTRO DE LINHA DE PRODUTOS] - DIVISÃO POR PROJETO (5-8)  - (MSACCESS E MYSQL)
- ATUALIZAÇÃO TABELA DE ORÇAMENTO;
- ATUALIZAÇÃO PROCEDURES ( INSERT / UPDATE );
- INTERVALO DE EDIÇÃO;
- ATUALIZAÇÃO VBA.
</t>
  </si>
  <si>
    <t xml:space="preserve">2. [CADASTRO DE FASCICULOS ] - DIVISÃO POR PROJETO (5-8)  - (MSACCESS E MYSQL)
- ATUALIZAÇÃO TABELA DE ORÇAMENTO;
- ATUALIZAÇÃO PROCEDURES ( INSERT / UPDATE );
- INTERVALO DE EDIÇÃO;
- ATUALIZAÇÃO VBA.
</t>
  </si>
  <si>
    <t xml:space="preserve">3. [CADASTRO DE PREÇO MKT ] - DIVISÃO POR PROJETO (5-8)  - (MSACCESS E MYSQL)
- ATUALIZAÇÃO TABELA DE ORÇAMENTO;
- ATUALIZAÇÃO PROCEDURES ( INSERT / UPDATE );
- INTERVALO DE EDIÇÃO;
- ATUALIZAÇÃO VBA.
</t>
  </si>
  <si>
    <t xml:space="preserve">4. [CADASTRO DE PREÇO COMPRAS ] - DIVISÃO POR PROJETO (5-8)  - (MSACCESS E MYSQL)
- ATUALIZAÇÃO TABELA DE ORÇAMENTO;
- ATUALIZAÇÃO PROCEDURES ( INSERT / UPDATE );
- INTERVALO DE EDIÇÃO;
- ATUALIZAÇÃO VBA.
</t>
  </si>
  <si>
    <t xml:space="preserve">10.  [CADASTRO DE PREÇOS GRID ] - DIVISÃO POR PROJETO (1-8)  - (MSACCESS E MYSQL)
- ATUALIZAÇÃO TABELA DE ORÇAMENTO;
- ATUALIZAÇÃO PROCEDURES ( INSERT / UPDATE );
- INTERVALO DE EDIÇÃO;
- ATUALIZAÇÃO VBA.
</t>
  </si>
  <si>
    <t xml:space="preserve">6. [CADASTRO DE FRETES ] - (MSACCESS E MYSQL)
- ATUALIZAÇÃO TABELA DE ANEXOS;
- ATUALIZAÇÃO PROCEDURES ( INSERT / UPDATE );
- INTERVALO DE EDIÇÃO;
- ATUALIZAÇÃO VBA.
</t>
  </si>
  <si>
    <t xml:space="preserve">7. [CADASTRO DE VENDA GROSS ] - (MSACCESS E MYSQL)
- ATUALIZAÇÃO TABELA DE ORÇAMENTO;
- ATUALIZAÇÃO PROCEDURES ( INSERT / UPDATE );
- INTERVALO DE EDIÇÃO;
- ATUALIZAÇÃO VBA.
</t>
  </si>
  <si>
    <t xml:space="preserve">9.  [CADASTRO DE TABELA DO IRF - 2014 - VIGENCIA DE 01.01.2014 ] - (MSACCESS E MYSQL)
- ATUALIZAÇÃO TABELA DE ANEXOS;
- ATUALIZAÇÃO PROCEDURES ( INSERT / UPDATE );
- INTERVALO DE EDIÇÃO;
- ATUALIZAÇÃO VBA.
</t>
  </si>
  <si>
    <t xml:space="preserve">### [ INSTALAÇÃO / CONFIGURAÇÃO / TESTES / AJUSTES ] - (MSACCESS E MYSQL)
- ATUALIZAÇÃO DA BASE DE DADOS;
- REPARAÇÃO E COMPACTAÇÃO DE DADOS;
- AJUSTES DE NOVOS PARAMETROS DO SISTEMA;
- TESTE DE USO E ANÁLISE DE APLICAÇÃO FINAL.
</t>
  </si>
  <si>
    <t xml:space="preserve">5. [CADASTRO DE CUSTOS UNITARIOS ] - (MSACCESS E MYSQL)
- ATUALIZAÇÃO TABELA DE ANEXOS;
- ATUALIZAÇÃO PROCEDURES ( INSERT / UPDATE );
- INTERVALO DE EDIÇÃO;
- ATUALIZAÇÃO VBA.
</t>
  </si>
  <si>
    <t xml:space="preserve">8. [CADASTRO DE CALCULO DE GRANT MÉDICO ] - (MSACCESS E MYSQL)
- ATUALIZAÇÃO TABELA DE ANEXOS;
- ATUALIZAÇÃO PROCEDURES ( INSERT / UPDATE );
- INTERVALO DE EDIÇÃO;
- ATUALIZAÇÃO VBA.
</t>
  </si>
  <si>
    <t>ATUALIZAÇÕES DA PLANILHA DE ORÇAMENTO - SPRINGER</t>
  </si>
  <si>
    <t>springer</t>
  </si>
  <si>
    <t>ok</t>
  </si>
  <si>
    <t>140609-1626</t>
  </si>
  <si>
    <r>
      <t xml:space="preserve">1. </t>
    </r>
    <r>
      <rPr>
        <u/>
        <sz val="14"/>
        <color indexed="8"/>
        <rFont val="Calibri"/>
        <family val="2"/>
      </rPr>
      <t>ATUALIZAÇÃO</t>
    </r>
    <r>
      <rPr>
        <sz val="14"/>
        <color indexed="8"/>
        <rFont val="Calibri"/>
        <family val="2"/>
      </rPr>
      <t xml:space="preserve"> [Geração de proposta em word] 
– INCLUSÃO DE TABELA DE FASCICULOS. </t>
    </r>
  </si>
  <si>
    <t>1 SEMANA(S)</t>
  </si>
  <si>
    <r>
      <t xml:space="preserve">2. </t>
    </r>
    <r>
      <rPr>
        <u/>
        <sz val="14"/>
        <color indexed="8"/>
        <rFont val="Calibri"/>
        <family val="2"/>
      </rPr>
      <t>ATUALIZAÇÃO</t>
    </r>
    <r>
      <rPr>
        <sz val="14"/>
        <color indexed="8"/>
        <rFont val="Calibri"/>
        <family val="2"/>
      </rPr>
      <t xml:space="preserve"> [ INTERVALOS DE EDIÇÃO ] 
- ORÇAMENTO
(C4,C5,G3:G4,C6,C8:J10,C13:J15,C17:J23,C61:J61,C23:J23,J4,C12:J12)
- PREÇO MKT 
(C73:J73)
- PREÇO COMPRA 
(C80:J80)
- DESCONTO COMPRA 
(C79:J79)
- IMPRESSÃO 
(C25:J29,B31:J34)
- CUSTOS 
(C37:J57)
- DESCONTOS 
(C61:J61)
- ROYALTY PERCENTUAL 
(C21:J21)
- ROYALTY ESPECIE 
(C22:J22)
</t>
    </r>
  </si>
  <si>
    <t xml:space="preserve">- AVISTA (100%) </t>
  </si>
  <si>
    <r>
      <t xml:space="preserve">2. </t>
    </r>
    <r>
      <rPr>
        <u/>
        <sz val="14"/>
        <color indexed="8"/>
        <rFont val="Calibri"/>
        <family val="2"/>
      </rPr>
      <t>ATUALIZAÇÃO</t>
    </r>
    <r>
      <rPr>
        <sz val="14"/>
        <color indexed="8"/>
        <rFont val="Calibri"/>
        <family val="2"/>
      </rPr>
      <t xml:space="preserve"> [ Inclusão e remoção de campos em base de dados] 
– ORÇADO;
– TRANSPORTE;
– ACRESCIMO / DESCONTO;
– IMPORT / DESEMB;
– SOMA DE CUSTOS.</t>
    </r>
  </si>
  <si>
    <r>
      <t xml:space="preserve">AJUSTES NA PLANILHA DE ORÇAMENTO - SPRINGER 
</t>
    </r>
    <r>
      <rPr>
        <u/>
        <sz val="16"/>
        <color indexed="8"/>
        <rFont val="Calibri"/>
        <family val="2"/>
      </rPr>
      <t>( ATUALIZAÇÕES DA PROPOSTA ANTERIOR: 140515-1345)</t>
    </r>
  </si>
  <si>
    <t>MODELO-OS</t>
  </si>
  <si>
    <t>ATUALIZAÇÃO DO BANCO DE DADOS - ( WEB x DESKTOP'S )</t>
  </si>
  <si>
    <t>EXTRUTURA DE BASE DE DADOS</t>
  </si>
  <si>
    <t xml:space="preserve">SINCRONISMO </t>
  </si>
  <si>
    <t xml:space="preserve">UPDATE DE BANCO </t>
  </si>
  <si>
    <t>140815-0800</t>
  </si>
  <si>
    <t>140815-0830</t>
  </si>
  <si>
    <t>DEPARTAMENTO - ADMINISTRAÇÃO</t>
  </si>
  <si>
    <t xml:space="preserve">CUSTOS DE PRODUCAO </t>
  </si>
  <si>
    <t xml:space="preserve">LINHAS DE PRODUTOS </t>
  </si>
  <si>
    <t xml:space="preserve">PROFISSOES </t>
  </si>
  <si>
    <t xml:space="preserve">ESTILOS </t>
  </si>
  <si>
    <t xml:space="preserve">IR </t>
  </si>
  <si>
    <t>140815-0900</t>
  </si>
  <si>
    <t>DEPARTAMENTO - VENDAS</t>
  </si>
  <si>
    <t xml:space="preserve">ORCAMENTOS </t>
  </si>
  <si>
    <t xml:space="preserve">PROJETOS </t>
  </si>
  <si>
    <t xml:space="preserve">PROPOSTAS </t>
  </si>
  <si>
    <t xml:space="preserve">GERENTE DE VENDAS </t>
  </si>
  <si>
    <t>AP</t>
  </si>
  <si>
    <t>140825-1320</t>
  </si>
  <si>
    <t>SPRINGER 
(ATUALIZAÇÃO DE ORÇAMENTO x PROPOSTA x GRAND'S x IMPOSTO DE RENDA)</t>
  </si>
  <si>
    <t>CONSULTORIA
( LEVANTAMENTO, ENTENDIMENTO E ANALISE )</t>
  </si>
  <si>
    <t>DESENVOLVIMENTO
( DESENHO / ESPECIFICAR, CONSTRUÇÃO )</t>
  </si>
  <si>
    <t>IMPLANTAÇÃO
( INSTALAÇÃO / CONFIGURAÇÃO, TESTES, CORREÇÕES / ALTERAÇÕES )</t>
  </si>
  <si>
    <t>TREINAMENTO
( VENDAS, PRODUÇÃO E GERENCIA )</t>
  </si>
  <si>
    <t>ULISSES</t>
  </si>
  <si>
    <t>SISTEMA OPERACIONAL</t>
  </si>
  <si>
    <t>Microsoft Windows XP Professional 5.1.2600 (WinXP Retail)</t>
  </si>
  <si>
    <t>NOME DA PLACA MÃE</t>
  </si>
  <si>
    <t>Asus P5SD2-VM  (2 PCI, 1 PCI-E x1, 1 PCI-E x16, 2 DDR2 DIMM, Audio, Video, LAN)</t>
  </si>
  <si>
    <t>MEMÓRIA DO SISTEMA</t>
  </si>
  <si>
    <t>DISCO RÍGIDO</t>
  </si>
  <si>
    <t>ST3160813AS  (149 GB, IDE)</t>
  </si>
  <si>
    <t>ADAPTADOR DE REDE</t>
  </si>
  <si>
    <t>SiS191 Ethernet Controller  (192.168.1.102)</t>
  </si>
  <si>
    <t>IMPRESSORA</t>
  </si>
  <si>
    <t>\\jaime\HP Officejet Pro 8600</t>
  </si>
  <si>
    <t>PROCESSADORES</t>
  </si>
  <si>
    <t>Pentium(R) Dual-Core CPU E5200 @ 2.50GHz</t>
  </si>
  <si>
    <t>DISCOS ÓPTICOS</t>
  </si>
  <si>
    <t>DVD+RW/DVD-RW/DVD-RAM</t>
  </si>
  <si>
    <t>TECLADOS</t>
  </si>
  <si>
    <t>Teclado padrão com 101/102 teclas ou Microsoft Natural PS/2 Keyboard</t>
  </si>
  <si>
    <t>JAIME</t>
  </si>
  <si>
    <t>Windows 7 Professional Media Center Edition 6.1.7601</t>
  </si>
  <si>
    <t>MSI Q965MDO (MS-7276)  (2 PCI, 1 PCI-E x1, 1 PCI-E x16, 4 DDR2 DIMM, Audio, Video, Gigabit LAN, IEEE-1394)</t>
  </si>
  <si>
    <t>Intel(R) Pentium(R) Dual CPU E2140 @ 1.60GHz</t>
  </si>
  <si>
    <t>ATENDIMENTO</t>
  </si>
  <si>
    <t>WDC WD800JD-08LSA0 ATA Device  (74 GB, IDE</t>
  </si>
  <si>
    <t>TSSTcorp DVD-ROM TS-H352C USB Device</t>
  </si>
  <si>
    <t>Intel 82566DM Gigabit Network Connection</t>
  </si>
  <si>
    <t>HP Officejet Pro 8600</t>
  </si>
  <si>
    <t>Teclado Padrão PS/2</t>
  </si>
  <si>
    <t>Microsoft Windows Vista Ultimate 6.1.7600</t>
  </si>
  <si>
    <t>SAMSUNG HD502HI ATA Device  (465 GB, IDE)</t>
  </si>
  <si>
    <t>Controlador Ethernet SiS191</t>
  </si>
  <si>
    <t>Epson Stylus CX4600 (M)</t>
  </si>
  <si>
    <t>MONICA</t>
  </si>
  <si>
    <t>Gigabyte GA-K8VM800M v2  (3 PCI, 1 AGP, 2 DDR DIMM, Audio, Video, LAN)</t>
  </si>
  <si>
    <t>AMD Sempron(tm) Processor 2600+</t>
  </si>
  <si>
    <t>SAMSUNG SP0411N  (40 GB, 7200 RPM, Ultra-ATA/133)</t>
  </si>
  <si>
    <t>HL-DT-ST CD-RW GCE-8527B</t>
  </si>
  <si>
    <t>VIA Compatable Fast Ethernet Adapter</t>
  </si>
  <si>
    <t>EPSON Stylus CX7300 Series</t>
  </si>
  <si>
    <t>HERMES</t>
  </si>
  <si>
    <t>TOSHIBA Portable PC</t>
  </si>
  <si>
    <t>Intel Celeron-S, 1200 MHz</t>
  </si>
  <si>
    <t>IC25N030ATCS04-0  (30 GB, 4200 RPM, Ultra-ATA/100)</t>
  </si>
  <si>
    <t>TEAC DV-28E-B  (8x/24x DVD-ROM)</t>
  </si>
  <si>
    <t>Intel(R) PRO/100 M Mobile Connection</t>
  </si>
  <si>
    <t>HP Photosmart 7400 Series</t>
  </si>
  <si>
    <t>HERMES - ( HP MINI )</t>
  </si>
  <si>
    <t>Microsoft Windows Vista Starter 6.1.7600</t>
  </si>
  <si>
    <t>Hewlett-Packard HP Mini 210-1000</t>
  </si>
  <si>
    <t>Intel Atom, 1666 MHz (10 x 167)</t>
  </si>
  <si>
    <t>ST9320423AS  (298 GB, IDE)</t>
  </si>
  <si>
    <t>Adaptador de rede Broadcom 802.11b/g</t>
  </si>
  <si>
    <t>Standard 101/102-Key or Microsoft Natural PS/2 Keyboard with HP QLB</t>
  </si>
  <si>
    <t>DualCore Intel Pentium E5200, 2500 MHz (12.5 x 200)</t>
  </si>
  <si>
    <t>FATURAMENTO "LENE"</t>
  </si>
  <si>
    <t>Intel(R) Pentium(R) Dual CPU E2200 @ 2.20GHz</t>
  </si>
  <si>
    <t>ST3400832AS  (400 GB, 7200 RPM, SATA)</t>
  </si>
  <si>
    <t>HL-DT-ST DVDRAM GH22NS50</t>
  </si>
  <si>
    <t>Realtek RTL8102E/RTL8103E Family PCI-E Fast Ethernet NIC</t>
  </si>
  <si>
    <t>Lenovo ThinkCentre XXXX</t>
  </si>
  <si>
    <t>Genuine Intel(R) CPU            2140  @ 1.60GHz</t>
  </si>
  <si>
    <t>ST31000340NS ATA Device  (1000 GB, 7200 RPM, SATA-II)</t>
  </si>
  <si>
    <t>ATAPI DVD D  DH16DYP ATA Device</t>
  </si>
  <si>
    <t>Broadcom NetLink (TM) Gigabit Ethernet</t>
  </si>
  <si>
    <t>Enviar para o OneNote 2007 (Padrão)</t>
  </si>
  <si>
    <t>SERGIO</t>
  </si>
  <si>
    <t>MAXTOR 6L040J2  (40 GB, 7200 RPM, Ultra-ATA/133)</t>
  </si>
  <si>
    <t>HL-DT-ST CD-RW GCE-8526B</t>
  </si>
  <si>
    <t>SiS191 Ethernet Controller</t>
  </si>
  <si>
    <t>\\LENE\EPSON TX300F Series'</t>
  </si>
  <si>
    <t>Dispositivo de teclado HID</t>
  </si>
  <si>
    <t>Ñ.OK</t>
  </si>
  <si>
    <t>NÃO</t>
  </si>
  <si>
    <t>LOCAL</t>
  </si>
  <si>
    <t>MOEMA</t>
  </si>
  <si>
    <t>INTERLAGOS</t>
  </si>
  <si>
    <t>250 MB</t>
  </si>
  <si>
    <t>TAMANHO MÁXIMO DOS MÓDULOS DE MEMÓRIA</t>
  </si>
  <si>
    <t>1024 MB</t>
  </si>
  <si>
    <t>2048 MB</t>
  </si>
  <si>
    <t>TIPOS DE MEMÓRIA SUPORTADAS</t>
  </si>
  <si>
    <t>DDR2-533 DDR2 SDRAM</t>
  </si>
  <si>
    <t>DIMM, SDRAM</t>
  </si>
  <si>
    <t>2016 MB</t>
  </si>
  <si>
    <t>256 MB</t>
  </si>
  <si>
    <t>SPM, EDO</t>
  </si>
  <si>
    <t>512 MB</t>
  </si>
  <si>
    <t>DDR2</t>
  </si>
  <si>
    <t>4096 MB</t>
  </si>
  <si>
    <t>DDR2-533 SDRAM, DDR2-667 SDRAM</t>
  </si>
  <si>
    <t>4 GB</t>
  </si>
  <si>
    <t>G31GM331_G31D-M7 (G31GM331 BF)</t>
  </si>
  <si>
    <t>SIM</t>
  </si>
  <si>
    <t>BATERIA - CR2032 3V Lithium Cell CMOS Power</t>
  </si>
  <si>
    <t>ID</t>
  </si>
  <si>
    <t>Windows 7 Professional Media Center Edition 6.1.7600</t>
  </si>
  <si>
    <t>Lenovo ThinkCentre A55</t>
  </si>
  <si>
    <t>DualCore Intel Pentium E2140, 1600 MHz (8 x 200)</t>
  </si>
  <si>
    <t>1014 MB</t>
  </si>
  <si>
    <t>DDR</t>
  </si>
  <si>
    <t>WDC WD800JD-08MSA1 ATA Device  (74 GB, IDE)</t>
  </si>
  <si>
    <t>LITE-ON DVD SHD-16P1S ATA Device  (16x/48x DVD-ROM)</t>
  </si>
  <si>
    <t>Epson ESC/P-R</t>
  </si>
  <si>
    <t>AVAST FREE</t>
  </si>
  <si>
    <t>AVG FREE</t>
  </si>
  <si>
    <t xml:space="preserve">
MERECE ATENÇÃO
</t>
  </si>
  <si>
    <t xml:space="preserve">
NÃO COMPENSA ATUALIZAÇÃO
</t>
  </si>
  <si>
    <t>ANGELA</t>
  </si>
  <si>
    <t>PERDIZES</t>
  </si>
  <si>
    <t>Dell Inspiron 531</t>
  </si>
  <si>
    <t>AMD Sempron(tm) Processor 3600+</t>
  </si>
  <si>
    <t xml:space="preserve">1472 MB  </t>
  </si>
  <si>
    <t>DDR2-400 SDRAM, DDR2-533 SDRAM, DDR2-667 SDRAM, DDR2-800 SDRAM</t>
  </si>
  <si>
    <t>WDC WD80 0JD-75MSA3 SCSI Disk Device  (74 GB)</t>
  </si>
  <si>
    <t>HL-DT-ST CDRW/DVD GCCH10N SCSI CdRom Device  (DVD:16x, CD:48x/32x/48x DVD-ROM/CD-RW)</t>
  </si>
  <si>
    <t>NVIDIA nForce Networking Controller</t>
  </si>
  <si>
    <t>HP Photosmart D110 series</t>
  </si>
  <si>
    <t>AVG</t>
  </si>
  <si>
    <t>MSI MS-7267</t>
  </si>
  <si>
    <t>Intel(R) Pentium(R) Dual  CPU  E2180  @ 2.00GHz</t>
  </si>
  <si>
    <t>1015 MB</t>
  </si>
  <si>
    <t>MAXTOR STM3160215AS  (160 GB, 7200 RPM, SATA-II)</t>
  </si>
  <si>
    <t>HL-DT-ST DVD-RAM GSA-H55N</t>
  </si>
  <si>
    <t>Realtek RTL8139/810x Family Fast Ethernet NIC</t>
  </si>
  <si>
    <t>HP Deskjet 2050 J510 series</t>
  </si>
  <si>
    <t>CARAPICUIBA</t>
  </si>
  <si>
    <t>USO</t>
  </si>
  <si>
    <t>FREI CANECA</t>
  </si>
  <si>
    <t>EDSON</t>
  </si>
  <si>
    <t>Windows 8.1 Single Language Home Edition 6.2.9200</t>
  </si>
  <si>
    <t>Acer Aspire E1-572</t>
  </si>
  <si>
    <t>Intel(R) Core(TM) i5-4200U CPU @ 1.60GHz</t>
  </si>
  <si>
    <t>6024 MB</t>
  </si>
  <si>
    <t>WDC WD5000LPVX-22V0TT0  (465 GB)</t>
  </si>
  <si>
    <t>HL-DT-ST DVDRAM GUA0N</t>
  </si>
  <si>
    <t xml:space="preserve">Qualcomm Atheros AR956x Wireless Network Adapter </t>
  </si>
  <si>
    <t>HP Deskjet F4200 series</t>
  </si>
  <si>
    <t>CAIXA</t>
  </si>
  <si>
    <t>Windows 8 Single Language Home Edition 6.2.9200</t>
  </si>
  <si>
    <t>Positivo Informatica SA DC8CU41</t>
  </si>
  <si>
    <t>Intel(R) Celeron(R) CPU 1007U @ 1.50GHz</t>
  </si>
  <si>
    <t>3542 MB</t>
  </si>
  <si>
    <t>ST500LM012 HN-M500MBB  (465 GB)</t>
  </si>
  <si>
    <t>TSSTcorp CDDVDW SN-208DB</t>
  </si>
  <si>
    <t>JMicron PCI Express Gigabit Ethernet Adapter</t>
  </si>
  <si>
    <t>DEZ-14</t>
  </si>
  <si>
    <t>DISH</t>
  </si>
  <si>
    <t>FOLGA</t>
  </si>
  <si>
    <t>JAN-15</t>
  </si>
  <si>
    <t>TOTAIS</t>
  </si>
  <si>
    <t>DIAS RECEBIDOS</t>
  </si>
  <si>
    <t>SOMA DE TOTAL DE HORAS/DIA + HORA EXTRA</t>
  </si>
  <si>
    <t>+</t>
  </si>
  <si>
    <t>FEV-15</t>
  </si>
  <si>
    <t>JAN_PG-15</t>
  </si>
  <si>
    <t>HR_EXTRA_02-01-14</t>
  </si>
  <si>
    <t>HR_EXTRA_30-12-14</t>
  </si>
  <si>
    <t>HR_EXTRA_29-12-14</t>
  </si>
  <si>
    <t>HR_EXTRA_27-12-14</t>
  </si>
  <si>
    <t>HR_EXTRA_26-12-14</t>
  </si>
  <si>
    <t>HR_EXTRA_23-12-14</t>
  </si>
  <si>
    <t>HR_EXTRA_22-12-14</t>
  </si>
  <si>
    <t>HR_EXTRA_21-12-14</t>
  </si>
  <si>
    <t>dario</t>
  </si>
  <si>
    <t>lukarmona</t>
  </si>
  <si>
    <t>jetclass</t>
  </si>
  <si>
    <t>REGISTRO</t>
  </si>
  <si>
    <t>GABRIEL</t>
  </si>
  <si>
    <t>ZÉ</t>
  </si>
  <si>
    <t>03/01/15 - 20/01/15</t>
  </si>
  <si>
    <t>21/12/14 - 02/01/15</t>
  </si>
  <si>
    <t>TIP</t>
  </si>
  <si>
    <t>29/11/14 - 11/12/14</t>
  </si>
  <si>
    <t>VAL. HR</t>
  </si>
  <si>
    <t>150010-0900</t>
  </si>
  <si>
    <t>150120-0920</t>
  </si>
  <si>
    <t>jet</t>
  </si>
  <si>
    <t>150120-0930</t>
  </si>
  <si>
    <t>141204-1015</t>
  </si>
  <si>
    <t>maria angela</t>
  </si>
  <si>
    <t>jaime</t>
  </si>
  <si>
    <t>FEV</t>
  </si>
  <si>
    <t>MAR</t>
  </si>
  <si>
    <t>JAN</t>
  </si>
</sst>
</file>

<file path=xl/styles.xml><?xml version="1.0" encoding="utf-8"?>
<styleSheet xmlns="http://schemas.openxmlformats.org/spreadsheetml/2006/main">
  <numFmts count="14">
    <numFmt numFmtId="44" formatCode="_-&quot;R$&quot;\ * #,##0.00_-;\-&quot;R$&quot;\ * #,##0.00_-;_-&quot;R$&quot;\ * &quot;-&quot;??_-;_-@_-"/>
    <numFmt numFmtId="43" formatCode="_-* #,##0.00_-;\-* #,##0.00_-;_-* &quot;-&quot;??_-;_-@_-"/>
    <numFmt numFmtId="164" formatCode="dd/mm/yy;@"/>
    <numFmt numFmtId="165" formatCode="#,##0.00_ ;[Red]\-#,##0.00\ "/>
    <numFmt numFmtId="166" formatCode="#,##0.00_ ;\-#,##0.00\ "/>
    <numFmt numFmtId="167" formatCode="0000\-0000"/>
    <numFmt numFmtId="168" formatCode="_(&quot;R$&quot;* #,##0.00_);_(&quot;R$&quot;* \(#,##0.00\);_(&quot;R$&quot;* &quot;-&quot;??_);_(@_)"/>
    <numFmt numFmtId="169" formatCode="_(* #,##0.00_);_(* \(#,##0.00\);_(* &quot;-&quot;??_);_(@_)"/>
    <numFmt numFmtId="170" formatCode="&quot;R$&quot;#,##0.00_);[Red]\(&quot;R$&quot;#,##0.00\)"/>
    <numFmt numFmtId="171" formatCode="#,##0.00;[Red]&quot;-&quot;\ #,##0.00"/>
    <numFmt numFmtId="172" formatCode="_(&quot;R$ &quot;* #,##0.00_);_(&quot;R$ &quot;* \(#,##0.00\);_(&quot;R$ &quot;* &quot;-&quot;??_);_(@_)"/>
    <numFmt numFmtId="173" formatCode="h:mm"/>
    <numFmt numFmtId="174" formatCode="_(* #,##0.00000_);_(* \(#,##0.00000\);_(* &quot;-&quot;?????_);_(@_)"/>
    <numFmt numFmtId="175" formatCode="_-* #,##0_-;\-* #,##0_-;_-* &quot;-&quot;??_-;_-@_-"/>
  </numFmts>
  <fonts count="55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u/>
      <sz val="10"/>
      <color indexed="12"/>
      <name val="Arial"/>
      <family val="2"/>
    </font>
    <font>
      <u/>
      <sz val="9.35"/>
      <color indexed="12"/>
      <name val="Calibri"/>
      <family val="2"/>
    </font>
    <font>
      <sz val="11"/>
      <color indexed="8"/>
      <name val="Calibri"/>
      <family val="2"/>
    </font>
    <font>
      <sz val="10"/>
      <color indexed="10"/>
      <name val="Arial"/>
      <family val="2"/>
    </font>
    <font>
      <sz val="11"/>
      <name val="Calibri"/>
      <family val="2"/>
      <scheme val="minor"/>
    </font>
    <font>
      <u/>
      <sz val="11"/>
      <color theme="10"/>
      <name val="Calibri"/>
      <family val="2"/>
    </font>
    <font>
      <sz val="11"/>
      <color indexed="9"/>
      <name val="Calibri"/>
      <family val="2"/>
    </font>
    <font>
      <u/>
      <sz val="11"/>
      <color indexed="12"/>
      <name val="Calibri"/>
      <family val="2"/>
    </font>
    <font>
      <b/>
      <sz val="26"/>
      <color indexed="8"/>
      <name val="Calibri"/>
      <family val="2"/>
    </font>
    <font>
      <b/>
      <sz val="11"/>
      <color indexed="8"/>
      <name val="Calibri"/>
      <family val="2"/>
    </font>
    <font>
      <sz val="20"/>
      <color indexed="8"/>
      <name val="Calibri"/>
      <family val="2"/>
    </font>
    <font>
      <sz val="14"/>
      <color indexed="8"/>
      <name val="Calibri"/>
      <family val="2"/>
    </font>
    <font>
      <sz val="16"/>
      <color indexed="8"/>
      <name val="Calibri"/>
      <family val="2"/>
    </font>
    <font>
      <sz val="12"/>
      <color indexed="8"/>
      <name val="Calibri"/>
      <family val="2"/>
    </font>
    <font>
      <sz val="16"/>
      <name val="Calibri"/>
      <family val="2"/>
    </font>
    <font>
      <u/>
      <sz val="9.35"/>
      <color theme="10"/>
      <name val="Calibri"/>
      <family val="2"/>
    </font>
    <font>
      <u/>
      <sz val="12"/>
      <color indexed="12"/>
      <name val="Calibri"/>
      <family val="2"/>
    </font>
    <font>
      <b/>
      <sz val="14"/>
      <color indexed="8"/>
      <name val="Calibri"/>
      <family val="2"/>
    </font>
    <font>
      <b/>
      <sz val="11"/>
      <name val="Calibri"/>
      <family val="2"/>
    </font>
    <font>
      <sz val="18"/>
      <color indexed="8"/>
      <name val="Calibri"/>
      <family val="2"/>
    </font>
    <font>
      <sz val="11"/>
      <name val="Calibri"/>
      <family val="2"/>
    </font>
    <font>
      <sz val="9"/>
      <color theme="1"/>
      <name val="Calibri"/>
      <family val="2"/>
      <scheme val="minor"/>
    </font>
    <font>
      <b/>
      <sz val="9"/>
      <color rgb="FFFF0000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8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11"/>
      <color theme="0" tint="-4.9989318521683403E-2"/>
      <name val="Calibri"/>
      <family val="2"/>
      <scheme val="minor"/>
    </font>
    <font>
      <sz val="8"/>
      <color theme="0" tint="-4.9989318521683403E-2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sz val="8"/>
      <color rgb="FF000000"/>
      <name val="Calibri"/>
      <family val="2"/>
      <scheme val="minor"/>
    </font>
    <font>
      <sz val="8"/>
      <name val="Calibri"/>
      <family val="2"/>
      <scheme val="minor"/>
    </font>
    <font>
      <b/>
      <sz val="8"/>
      <name val="Calibri"/>
      <family val="2"/>
      <scheme val="minor"/>
    </font>
    <font>
      <b/>
      <sz val="8"/>
      <color rgb="FF000000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3" tint="-0.499984740745262"/>
      <name val="Calibri"/>
      <family val="2"/>
      <scheme val="minor"/>
    </font>
    <font>
      <sz val="10"/>
      <name val="Arial"/>
      <family val="2"/>
    </font>
    <font>
      <b/>
      <sz val="14"/>
      <name val="Arial"/>
      <family val="2"/>
    </font>
    <font>
      <b/>
      <sz val="20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8"/>
      <color theme="1"/>
      <name val="Calibri"/>
      <family val="2"/>
      <scheme val="minor"/>
    </font>
    <font>
      <u/>
      <sz val="16"/>
      <color theme="10"/>
      <name val="Calibri"/>
      <family val="2"/>
    </font>
    <font>
      <u/>
      <sz val="14"/>
      <color indexed="8"/>
      <name val="Calibri"/>
      <family val="2"/>
    </font>
    <font>
      <u/>
      <sz val="16"/>
      <color indexed="8"/>
      <name val="Calibri"/>
      <family val="2"/>
    </font>
    <font>
      <b/>
      <sz val="11"/>
      <name val="Calibri"/>
      <family val="2"/>
      <scheme val="minor"/>
    </font>
    <font>
      <sz val="11"/>
      <name val="Arial"/>
      <family val="2"/>
    </font>
    <font>
      <b/>
      <sz val="11"/>
      <name val="Arial"/>
      <family val="2"/>
    </font>
    <font>
      <sz val="9"/>
      <name val="Arial"/>
      <family val="2"/>
    </font>
    <font>
      <b/>
      <sz val="9"/>
      <name val="Arial"/>
      <family val="2"/>
    </font>
  </fonts>
  <fills count="24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FFCC"/>
      </patternFill>
    </fill>
    <fill>
      <patternFill patternType="solid">
        <fgColor indexed="1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2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rgb="FFE3E3E3"/>
        <bgColor rgb="FF000000"/>
      </patternFill>
    </fill>
    <fill>
      <patternFill patternType="solid">
        <fgColor rgb="FFC0C0C0"/>
        <bgColor rgb="FF000000"/>
      </patternFill>
    </fill>
  </fills>
  <borders count="5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auto="1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 style="thin">
        <color indexed="22"/>
      </top>
      <bottom style="thin">
        <color indexed="22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rgb="FFC0C0C0"/>
      </bottom>
      <diagonal/>
    </border>
    <border>
      <left style="thin">
        <color rgb="FF808080"/>
      </left>
      <right/>
      <top style="thin">
        <color rgb="FF808080"/>
      </top>
      <bottom style="thin">
        <color rgb="FF808080"/>
      </bottom>
      <diagonal/>
    </border>
    <border>
      <left/>
      <right/>
      <top style="thin">
        <color rgb="FF808080"/>
      </top>
      <bottom style="thin">
        <color rgb="FF808080"/>
      </bottom>
      <diagonal/>
    </border>
    <border>
      <left/>
      <right style="thin">
        <color rgb="FF808080"/>
      </right>
      <top style="thin">
        <color rgb="FF808080"/>
      </top>
      <bottom style="thin">
        <color rgb="FF808080"/>
      </bottom>
      <diagonal/>
    </border>
    <border>
      <left/>
      <right/>
      <top style="thin">
        <color auto="1"/>
      </top>
      <bottom/>
      <diagonal/>
    </border>
    <border>
      <left/>
      <right/>
      <top style="medium">
        <color indexed="64"/>
      </top>
      <bottom style="thin">
        <color auto="1"/>
      </bottom>
      <diagonal/>
    </border>
    <border>
      <left style="medium">
        <color indexed="64"/>
      </left>
      <right/>
      <top style="thin">
        <color auto="1"/>
      </top>
      <bottom style="medium">
        <color indexed="64"/>
      </bottom>
      <diagonal/>
    </border>
    <border>
      <left/>
      <right/>
      <top style="thin">
        <color auto="1"/>
      </top>
      <bottom style="medium">
        <color indexed="64"/>
      </bottom>
      <diagonal/>
    </border>
    <border>
      <left/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26">
    <xf numFmtId="0" fontId="0" fillId="0" borderId="0"/>
    <xf numFmtId="0" fontId="3" fillId="0" borderId="0"/>
    <xf numFmtId="0" fontId="5" fillId="0" borderId="0" applyNumberFormat="0" applyFill="0" applyBorder="0" applyAlignment="0" applyProtection="0"/>
    <xf numFmtId="168" fontId="7" fillId="0" borderId="0" applyFont="0" applyFill="0" applyBorder="0" applyAlignment="0" applyProtection="0"/>
    <xf numFmtId="168" fontId="3" fillId="0" borderId="0" applyFont="0" applyFill="0" applyBorder="0" applyAlignment="0" applyProtection="0"/>
    <xf numFmtId="0" fontId="2" fillId="0" borderId="0"/>
    <xf numFmtId="0" fontId="3" fillId="0" borderId="0"/>
    <xf numFmtId="0" fontId="7" fillId="8" borderId="5" applyNumberFormat="0" applyFont="0" applyAlignment="0" applyProtection="0"/>
    <xf numFmtId="9" fontId="3" fillId="0" borderId="0" applyFont="0" applyFill="0" applyBorder="0" applyAlignment="0" applyProtection="0"/>
    <xf numFmtId="169" fontId="7" fillId="0" borderId="0" applyFont="0" applyFill="0" applyBorder="0" applyAlignment="0" applyProtection="0"/>
    <xf numFmtId="44" fontId="2" fillId="0" borderId="0" applyFont="0" applyFill="0" applyBorder="0" applyAlignment="0" applyProtection="0"/>
    <xf numFmtId="0" fontId="10" fillId="0" borderId="0" applyNumberFormat="0" applyFill="0" applyBorder="0" applyAlignment="0" applyProtection="0">
      <alignment vertical="top"/>
      <protection locked="0"/>
    </xf>
    <xf numFmtId="0" fontId="11" fillId="13" borderId="0" applyNumberFormat="0" applyBorder="0" applyAlignment="0" applyProtection="0"/>
    <xf numFmtId="0" fontId="11" fillId="14" borderId="0" applyNumberFormat="0" applyBorder="0" applyAlignment="0" applyProtection="0"/>
    <xf numFmtId="0" fontId="6" fillId="0" borderId="0" applyNumberFormat="0" applyFill="0" applyBorder="0" applyAlignment="0" applyProtection="0">
      <alignment vertical="top"/>
      <protection locked="0"/>
    </xf>
    <xf numFmtId="0" fontId="5" fillId="0" borderId="0" applyNumberFormat="0" applyFill="0" applyBorder="0" applyAlignment="0" applyProtection="0">
      <alignment vertical="top"/>
      <protection locked="0"/>
    </xf>
    <xf numFmtId="0" fontId="12" fillId="0" borderId="0" applyNumberFormat="0" applyFill="0" applyBorder="0" applyAlignment="0" applyProtection="0">
      <alignment vertical="top"/>
      <protection locked="0"/>
    </xf>
    <xf numFmtId="0" fontId="7" fillId="0" borderId="0"/>
    <xf numFmtId="0" fontId="3" fillId="0" borderId="0"/>
    <xf numFmtId="169" fontId="7" fillId="0" borderId="0" applyFont="0" applyFill="0" applyBorder="0" applyAlignment="0" applyProtection="0"/>
    <xf numFmtId="0" fontId="20" fillId="0" borderId="0" applyNumberFormat="0" applyFill="0" applyBorder="0" applyAlignment="0" applyProtection="0">
      <alignment vertical="top"/>
      <protection locked="0"/>
    </xf>
    <xf numFmtId="168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42" fillId="0" borderId="0"/>
    <xf numFmtId="170" fontId="42" fillId="0" borderId="0" applyFont="0" applyFill="0" applyBorder="0" applyAlignment="0" applyProtection="0"/>
    <xf numFmtId="171" fontId="42" fillId="0" borderId="0" applyFont="0" applyFill="0" applyBorder="0" applyAlignment="0" applyProtection="0"/>
  </cellStyleXfs>
  <cellXfs count="575">
    <xf numFmtId="0" fontId="0" fillId="0" borderId="0" xfId="0"/>
    <xf numFmtId="0" fontId="1" fillId="0" borderId="0" xfId="0" applyFont="1"/>
    <xf numFmtId="0" fontId="1" fillId="0" borderId="0" xfId="0" applyFont="1" applyAlignment="1">
      <alignment horizontal="center" vertical="center"/>
    </xf>
    <xf numFmtId="0" fontId="0" fillId="0" borderId="0" xfId="0" applyFill="1"/>
    <xf numFmtId="0" fontId="4" fillId="0" borderId="0" xfId="1" applyFont="1" applyAlignment="1">
      <alignment horizontal="center"/>
    </xf>
    <xf numFmtId="0" fontId="4" fillId="0" borderId="0" xfId="1" applyFont="1"/>
    <xf numFmtId="167" fontId="3" fillId="0" borderId="0" xfId="1" applyNumberFormat="1" applyAlignment="1">
      <alignment horizontal="center"/>
    </xf>
    <xf numFmtId="0" fontId="3" fillId="0" borderId="0" xfId="1"/>
    <xf numFmtId="0" fontId="3" fillId="0" borderId="0" xfId="1" applyFont="1"/>
    <xf numFmtId="167" fontId="3" fillId="0" borderId="0" xfId="1" applyNumberFormat="1" applyFont="1" applyAlignment="1">
      <alignment horizontal="center"/>
    </xf>
    <xf numFmtId="3" fontId="3" fillId="0" borderId="0" xfId="1" applyNumberFormat="1" applyAlignment="1">
      <alignment horizontal="center"/>
    </xf>
    <xf numFmtId="0" fontId="3" fillId="0" borderId="0" xfId="1" applyFont="1" applyAlignment="1">
      <alignment horizontal="center"/>
    </xf>
    <xf numFmtId="0" fontId="3" fillId="0" borderId="0" xfId="1" applyAlignment="1">
      <alignment horizontal="center"/>
    </xf>
    <xf numFmtId="164" fontId="3" fillId="0" borderId="0" xfId="1" applyNumberFormat="1"/>
    <xf numFmtId="0" fontId="3" fillId="0" borderId="0" xfId="1" applyBorder="1" applyAlignment="1">
      <alignment horizontal="center"/>
    </xf>
    <xf numFmtId="4" fontId="4" fillId="0" borderId="1" xfId="1" applyNumberFormat="1" applyFont="1" applyBorder="1" applyAlignment="1">
      <alignment horizontal="center"/>
    </xf>
    <xf numFmtId="0" fontId="4" fillId="0" borderId="1" xfId="1" applyFont="1" applyBorder="1" applyAlignment="1">
      <alignment horizontal="center"/>
    </xf>
    <xf numFmtId="4" fontId="3" fillId="0" borderId="0" xfId="1" applyNumberFormat="1"/>
    <xf numFmtId="0" fontId="3" fillId="0" borderId="0" xfId="1" applyAlignment="1">
      <alignment horizontal="right"/>
    </xf>
    <xf numFmtId="0" fontId="3" fillId="9" borderId="1" xfId="1" applyFill="1" applyBorder="1" applyAlignment="1">
      <alignment horizontal="center"/>
    </xf>
    <xf numFmtId="166" fontId="3" fillId="9" borderId="1" xfId="4" applyNumberFormat="1" applyFill="1" applyBorder="1" applyAlignment="1"/>
    <xf numFmtId="4" fontId="3" fillId="9" borderId="1" xfId="4" applyNumberFormat="1" applyFill="1" applyBorder="1" applyAlignment="1"/>
    <xf numFmtId="168" fontId="4" fillId="9" borderId="1" xfId="4" applyFont="1" applyFill="1" applyBorder="1"/>
    <xf numFmtId="17" fontId="3" fillId="0" borderId="0" xfId="1" applyNumberFormat="1" applyAlignment="1">
      <alignment horizontal="right"/>
    </xf>
    <xf numFmtId="168" fontId="3" fillId="0" borderId="0" xfId="1" applyNumberFormat="1"/>
    <xf numFmtId="0" fontId="3" fillId="0" borderId="1" xfId="1" applyFont="1" applyBorder="1" applyAlignment="1">
      <alignment horizontal="center"/>
    </xf>
    <xf numFmtId="166" fontId="3" fillId="0" borderId="1" xfId="4" applyNumberFormat="1" applyFill="1" applyBorder="1" applyAlignment="1"/>
    <xf numFmtId="4" fontId="3" fillId="0" borderId="1" xfId="4" applyNumberFormat="1" applyFill="1" applyBorder="1" applyAlignment="1"/>
    <xf numFmtId="168" fontId="4" fillId="0" borderId="1" xfId="4" applyFont="1" applyFill="1" applyBorder="1"/>
    <xf numFmtId="0" fontId="3" fillId="0" borderId="1" xfId="1" quotePrefix="1" applyBorder="1" applyAlignment="1">
      <alignment horizontal="center"/>
    </xf>
    <xf numFmtId="166" fontId="3" fillId="0" borderId="0" xfId="4" applyNumberFormat="1" applyBorder="1" applyAlignment="1"/>
    <xf numFmtId="4" fontId="3" fillId="0" borderId="0" xfId="4" applyNumberFormat="1" applyBorder="1" applyAlignment="1"/>
    <xf numFmtId="4" fontId="3" fillId="0" borderId="0" xfId="1" applyNumberFormat="1" applyBorder="1"/>
    <xf numFmtId="164" fontId="4" fillId="0" borderId="1" xfId="1" applyNumberFormat="1" applyFont="1" applyFill="1" applyBorder="1" applyAlignment="1">
      <alignment horizontal="center"/>
    </xf>
    <xf numFmtId="0" fontId="4" fillId="0" borderId="1" xfId="1" applyFont="1" applyFill="1" applyBorder="1" applyAlignment="1">
      <alignment horizontal="center"/>
    </xf>
    <xf numFmtId="4" fontId="4" fillId="0" borderId="0" xfId="1" applyNumberFormat="1" applyFont="1" applyAlignment="1">
      <alignment horizontal="center"/>
    </xf>
    <xf numFmtId="0" fontId="4" fillId="0" borderId="0" xfId="1" applyFont="1" applyAlignment="1">
      <alignment horizontal="right"/>
    </xf>
    <xf numFmtId="164" fontId="3" fillId="0" borderId="1" xfId="1" applyNumberFormat="1" applyBorder="1"/>
    <xf numFmtId="4" fontId="3" fillId="0" borderId="1" xfId="1" applyNumberFormat="1" applyBorder="1"/>
    <xf numFmtId="0" fontId="3" fillId="2" borderId="1" xfId="1" applyFill="1" applyBorder="1"/>
    <xf numFmtId="164" fontId="3" fillId="0" borderId="1" xfId="1" applyNumberFormat="1" applyFont="1" applyBorder="1"/>
    <xf numFmtId="0" fontId="3" fillId="0" borderId="1" xfId="1" applyBorder="1" applyAlignment="1">
      <alignment horizontal="left"/>
    </xf>
    <xf numFmtId="168" fontId="3" fillId="0" borderId="1" xfId="4" applyFill="1" applyBorder="1" applyAlignment="1"/>
    <xf numFmtId="0" fontId="3" fillId="0" borderId="1" xfId="1" applyBorder="1" applyAlignment="1">
      <alignment horizontal="left" wrapText="1"/>
    </xf>
    <xf numFmtId="0" fontId="8" fillId="0" borderId="1" xfId="1" applyFont="1" applyBorder="1" applyAlignment="1">
      <alignment horizontal="left"/>
    </xf>
    <xf numFmtId="168" fontId="8" fillId="0" borderId="1" xfId="4" applyFont="1" applyFill="1" applyBorder="1" applyAlignment="1"/>
    <xf numFmtId="4" fontId="3" fillId="0" borderId="0" xfId="1" applyNumberFormat="1" applyFont="1"/>
    <xf numFmtId="0" fontId="3" fillId="0" borderId="0" xfId="1" applyFont="1" applyAlignment="1">
      <alignment horizontal="right"/>
    </xf>
    <xf numFmtId="4" fontId="3" fillId="0" borderId="1" xfId="4" applyNumberFormat="1" applyFont="1" applyBorder="1" applyAlignment="1">
      <alignment horizontal="center"/>
    </xf>
    <xf numFmtId="4" fontId="3" fillId="0" borderId="1" xfId="4" applyNumberFormat="1" applyFont="1" applyFill="1" applyBorder="1" applyAlignment="1"/>
    <xf numFmtId="3" fontId="3" fillId="0" borderId="1" xfId="1" applyNumberFormat="1" applyFont="1" applyBorder="1" applyAlignment="1">
      <alignment horizontal="center"/>
    </xf>
    <xf numFmtId="4" fontId="3" fillId="0" borderId="1" xfId="1" applyNumberFormat="1" applyFont="1" applyFill="1" applyBorder="1"/>
    <xf numFmtId="168" fontId="3" fillId="0" borderId="1" xfId="4" applyFont="1" applyFill="1" applyBorder="1" applyAlignment="1"/>
    <xf numFmtId="4" fontId="4" fillId="0" borderId="1" xfId="4" applyNumberFormat="1" applyFont="1" applyFill="1" applyBorder="1" applyAlignment="1">
      <alignment horizontal="center"/>
    </xf>
    <xf numFmtId="168" fontId="4" fillId="0" borderId="1" xfId="4" applyFont="1" applyBorder="1" applyAlignment="1"/>
    <xf numFmtId="168" fontId="3" fillId="0" borderId="0" xfId="1" applyNumberFormat="1" applyAlignment="1">
      <alignment horizontal="right"/>
    </xf>
    <xf numFmtId="0" fontId="0" fillId="0" borderId="0" xfId="0" applyAlignment="1">
      <alignment horizontal="center" vertical="center"/>
    </xf>
    <xf numFmtId="0" fontId="0" fillId="0" borderId="1" xfId="0" applyFill="1" applyBorder="1"/>
    <xf numFmtId="0" fontId="0" fillId="6" borderId="0" xfId="0" applyFill="1"/>
    <xf numFmtId="0" fontId="0" fillId="0" borderId="4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49" fontId="3" fillId="0" borderId="0" xfId="1" quotePrefix="1" applyNumberFormat="1" applyAlignment="1">
      <alignment horizontal="center"/>
    </xf>
    <xf numFmtId="0" fontId="3" fillId="0" borderId="0" xfId="1" quotePrefix="1" applyAlignment="1">
      <alignment horizontal="center"/>
    </xf>
    <xf numFmtId="4" fontId="3" fillId="0" borderId="6" xfId="1" applyNumberFormat="1" applyBorder="1"/>
    <xf numFmtId="0" fontId="3" fillId="0" borderId="7" xfId="1" applyBorder="1" applyAlignment="1">
      <alignment horizontal="right"/>
    </xf>
    <xf numFmtId="4" fontId="3" fillId="0" borderId="8" xfId="1" applyNumberFormat="1" applyBorder="1"/>
    <xf numFmtId="0" fontId="3" fillId="0" borderId="9" xfId="1" applyBorder="1" applyAlignment="1">
      <alignment horizontal="right"/>
    </xf>
    <xf numFmtId="0" fontId="4" fillId="10" borderId="1" xfId="1" applyFont="1" applyFill="1" applyBorder="1" applyAlignment="1">
      <alignment horizontal="center"/>
    </xf>
    <xf numFmtId="0" fontId="0" fillId="0" borderId="4" xfId="0" applyBorder="1" applyAlignment="1">
      <alignment horizontal="left"/>
    </xf>
    <xf numFmtId="44" fontId="4" fillId="0" borderId="0" xfId="10" applyFont="1"/>
    <xf numFmtId="44" fontId="9" fillId="6" borderId="0" xfId="10" applyFont="1" applyFill="1"/>
    <xf numFmtId="44" fontId="0" fillId="0" borderId="0" xfId="10" applyFont="1"/>
    <xf numFmtId="44" fontId="1" fillId="11" borderId="0" xfId="10" applyFont="1" applyFill="1" applyAlignment="1">
      <alignment horizontal="center" vertical="center"/>
    </xf>
    <xf numFmtId="44" fontId="1" fillId="0" borderId="0" xfId="10" applyFont="1" applyAlignment="1">
      <alignment horizontal="center" vertical="center"/>
    </xf>
    <xf numFmtId="44" fontId="1" fillId="7" borderId="0" xfId="10" applyFont="1" applyFill="1" applyAlignment="1">
      <alignment horizontal="center" vertical="center"/>
    </xf>
    <xf numFmtId="44" fontId="0" fillId="11" borderId="0" xfId="10" applyFont="1" applyFill="1" applyAlignment="1">
      <alignment horizontal="center" vertical="center"/>
    </xf>
    <xf numFmtId="44" fontId="0" fillId="11" borderId="0" xfId="10" applyFont="1" applyFill="1"/>
    <xf numFmtId="44" fontId="0" fillId="0" borderId="0" xfId="10" applyFont="1" applyAlignment="1">
      <alignment horizontal="center" vertical="center"/>
    </xf>
    <xf numFmtId="44" fontId="0" fillId="7" borderId="0" xfId="10" applyFont="1" applyFill="1"/>
    <xf numFmtId="0" fontId="10" fillId="0" borderId="0" xfId="11" applyAlignment="1" applyProtection="1"/>
    <xf numFmtId="44" fontId="0" fillId="7" borderId="0" xfId="10" applyFont="1" applyFill="1" applyAlignment="1">
      <alignment horizontal="center" vertical="center"/>
    </xf>
    <xf numFmtId="0" fontId="0" fillId="0" borderId="0" xfId="0" quotePrefix="1"/>
    <xf numFmtId="0" fontId="0" fillId="0" borderId="0" xfId="0" applyAlignment="1">
      <alignment horizontal="center"/>
    </xf>
    <xf numFmtId="0" fontId="2" fillId="0" borderId="0" xfId="5"/>
    <xf numFmtId="0" fontId="2" fillId="0" borderId="20" xfId="5" applyBorder="1"/>
    <xf numFmtId="0" fontId="2" fillId="0" borderId="1" xfId="5" applyBorder="1" applyAlignment="1">
      <alignment horizontal="center" vertical="center"/>
    </xf>
    <xf numFmtId="168" fontId="2" fillId="0" borderId="1" xfId="5" applyNumberFormat="1" applyBorder="1"/>
    <xf numFmtId="0" fontId="14" fillId="0" borderId="1" xfId="5" applyFont="1" applyBorder="1"/>
    <xf numFmtId="168" fontId="14" fillId="0" borderId="1" xfId="5" applyNumberFormat="1" applyFont="1" applyBorder="1"/>
    <xf numFmtId="0" fontId="2" fillId="0" borderId="0" xfId="5" applyAlignment="1">
      <alignment horizontal="center" vertical="center"/>
    </xf>
    <xf numFmtId="0" fontId="2" fillId="0" borderId="0" xfId="5" applyAlignment="1">
      <alignment horizontal="center"/>
    </xf>
    <xf numFmtId="4" fontId="2" fillId="0" borderId="0" xfId="5" applyNumberFormat="1"/>
    <xf numFmtId="0" fontId="2" fillId="0" borderId="1" xfId="5" applyBorder="1"/>
    <xf numFmtId="4" fontId="2" fillId="0" borderId="1" xfId="5" applyNumberFormat="1" applyBorder="1" applyAlignment="1">
      <alignment horizontal="center" vertical="center"/>
    </xf>
    <xf numFmtId="168" fontId="14" fillId="0" borderId="1" xfId="3" applyFont="1" applyBorder="1"/>
    <xf numFmtId="0" fontId="14" fillId="0" borderId="0" xfId="5" applyFont="1" applyAlignment="1">
      <alignment horizontal="right" vertical="center"/>
    </xf>
    <xf numFmtId="0" fontId="18" fillId="0" borderId="0" xfId="5" applyFont="1"/>
    <xf numFmtId="0" fontId="17" fillId="0" borderId="0" xfId="5" applyFont="1" applyBorder="1" applyAlignment="1">
      <alignment horizontal="center" vertical="center"/>
    </xf>
    <xf numFmtId="168" fontId="17" fillId="0" borderId="0" xfId="3" applyFont="1" applyBorder="1" applyAlignment="1">
      <alignment horizontal="center" vertical="center"/>
    </xf>
    <xf numFmtId="14" fontId="19" fillId="16" borderId="30" xfId="5" applyNumberFormat="1" applyFont="1" applyFill="1" applyBorder="1" applyAlignment="1">
      <alignment horizontal="center" vertical="center"/>
    </xf>
    <xf numFmtId="0" fontId="2" fillId="0" borderId="3" xfId="5" applyBorder="1"/>
    <xf numFmtId="2" fontId="7" fillId="0" borderId="3" xfId="9" applyNumberFormat="1" applyFont="1" applyBorder="1" applyAlignment="1">
      <alignment horizontal="center" vertical="center"/>
    </xf>
    <xf numFmtId="169" fontId="7" fillId="0" borderId="3" xfId="9" applyFont="1" applyBorder="1"/>
    <xf numFmtId="49" fontId="19" fillId="0" borderId="26" xfId="14" applyNumberFormat="1" applyFont="1" applyFill="1" applyBorder="1" applyAlignment="1" applyProtection="1">
      <alignment vertical="center"/>
    </xf>
    <xf numFmtId="0" fontId="17" fillId="0" borderId="0" xfId="5" applyFont="1" applyBorder="1" applyAlignment="1">
      <alignment vertical="center"/>
    </xf>
    <xf numFmtId="168" fontId="17" fillId="0" borderId="0" xfId="3" applyFont="1" applyBorder="1" applyAlignment="1">
      <alignment vertical="center"/>
    </xf>
    <xf numFmtId="2" fontId="2" fillId="0" borderId="1" xfId="5" applyNumberFormat="1" applyBorder="1" applyAlignment="1">
      <alignment horizontal="center" vertical="center"/>
    </xf>
    <xf numFmtId="169" fontId="7" fillId="0" borderId="1" xfId="9" applyFont="1" applyBorder="1"/>
    <xf numFmtId="168" fontId="17" fillId="0" borderId="30" xfId="3" applyFont="1" applyBorder="1" applyAlignment="1">
      <alignment vertical="center"/>
    </xf>
    <xf numFmtId="0" fontId="21" fillId="0" borderId="0" xfId="16" applyFont="1" applyAlignment="1" applyProtection="1"/>
    <xf numFmtId="168" fontId="22" fillId="0" borderId="7" xfId="3" applyFont="1" applyBorder="1"/>
    <xf numFmtId="0" fontId="2" fillId="0" borderId="0" xfId="5" applyAlignment="1">
      <alignment horizontal="left"/>
    </xf>
    <xf numFmtId="0" fontId="2" fillId="0" borderId="0" xfId="5" applyFill="1" applyBorder="1" applyAlignment="1">
      <alignment horizontal="left"/>
    </xf>
    <xf numFmtId="0" fontId="16" fillId="0" borderId="1" xfId="5" applyFont="1" applyBorder="1" applyAlignment="1">
      <alignment horizontal="center" vertical="center"/>
    </xf>
    <xf numFmtId="4" fontId="23" fillId="16" borderId="34" xfId="5" applyNumberFormat="1" applyFont="1" applyFill="1" applyBorder="1" applyAlignment="1">
      <alignment horizontal="center" vertical="center"/>
    </xf>
    <xf numFmtId="4" fontId="23" fillId="16" borderId="9" xfId="5" applyNumberFormat="1" applyFont="1" applyFill="1" applyBorder="1" applyAlignment="1">
      <alignment horizontal="center" vertical="center"/>
    </xf>
    <xf numFmtId="0" fontId="2" fillId="0" borderId="0" xfId="5" applyAlignment="1">
      <alignment horizontal="left" vertical="center"/>
    </xf>
    <xf numFmtId="0" fontId="14" fillId="15" borderId="1" xfId="5" applyFont="1" applyFill="1" applyBorder="1" applyAlignment="1">
      <alignment horizontal="center" vertical="center" wrapText="1"/>
    </xf>
    <xf numFmtId="4" fontId="14" fillId="15" borderId="1" xfId="5" applyNumberFormat="1" applyFont="1" applyFill="1" applyBorder="1" applyAlignment="1">
      <alignment horizontal="center" vertical="center" wrapText="1"/>
    </xf>
    <xf numFmtId="0" fontId="14" fillId="0" borderId="0" xfId="5" applyFont="1" applyAlignment="1">
      <alignment horizontal="center" vertical="center" wrapText="1"/>
    </xf>
    <xf numFmtId="0" fontId="18" fillId="0" borderId="1" xfId="5" applyFont="1" applyBorder="1" applyAlignment="1">
      <alignment horizontal="center" vertical="center"/>
    </xf>
    <xf numFmtId="0" fontId="24" fillId="0" borderId="1" xfId="5" quotePrefix="1" applyFont="1" applyBorder="1" applyAlignment="1">
      <alignment vertical="top" wrapText="1"/>
    </xf>
    <xf numFmtId="4" fontId="18" fillId="0" borderId="1" xfId="5" applyNumberFormat="1" applyFont="1" applyBorder="1" applyAlignment="1">
      <alignment horizontal="center" vertical="center"/>
    </xf>
    <xf numFmtId="0" fontId="7" fillId="0" borderId="0" xfId="5" applyFont="1"/>
    <xf numFmtId="0" fontId="18" fillId="9" borderId="1" xfId="5" applyFont="1" applyFill="1" applyBorder="1" applyAlignment="1">
      <alignment horizontal="center" vertical="center"/>
    </xf>
    <xf numFmtId="0" fontId="7" fillId="9" borderId="0" xfId="5" applyFont="1" applyFill="1"/>
    <xf numFmtId="0" fontId="18" fillId="0" borderId="1" xfId="5" applyFont="1" applyFill="1" applyBorder="1" applyAlignment="1">
      <alignment horizontal="center" vertical="center"/>
    </xf>
    <xf numFmtId="0" fontId="7" fillId="0" borderId="0" xfId="5" applyFont="1" applyFill="1"/>
    <xf numFmtId="0" fontId="18" fillId="0" borderId="3" xfId="5" applyFont="1" applyBorder="1" applyAlignment="1">
      <alignment vertical="top" wrapText="1"/>
    </xf>
    <xf numFmtId="0" fontId="18" fillId="0" borderId="2" xfId="5" applyFont="1" applyBorder="1" applyAlignment="1">
      <alignment horizontal="center" vertical="center"/>
    </xf>
    <xf numFmtId="0" fontId="18" fillId="0" borderId="2" xfId="5" applyFont="1" applyFill="1" applyBorder="1" applyAlignment="1">
      <alignment horizontal="center" vertical="center"/>
    </xf>
    <xf numFmtId="4" fontId="18" fillId="0" borderId="2" xfId="5" applyNumberFormat="1" applyFont="1" applyFill="1" applyBorder="1" applyAlignment="1">
      <alignment horizontal="center" vertical="center"/>
    </xf>
    <xf numFmtId="168" fontId="24" fillId="0" borderId="30" xfId="3" applyFont="1" applyBorder="1" applyAlignment="1">
      <alignment horizontal="center" vertical="center"/>
    </xf>
    <xf numFmtId="168" fontId="2" fillId="0" borderId="0" xfId="5" applyNumberFormat="1"/>
    <xf numFmtId="0" fontId="18" fillId="0" borderId="0" xfId="5" applyFont="1" applyBorder="1" applyAlignment="1">
      <alignment horizontal="center" vertical="center" wrapText="1"/>
    </xf>
    <xf numFmtId="0" fontId="18" fillId="0" borderId="16" xfId="5" applyFont="1" applyBorder="1" applyAlignment="1">
      <alignment horizontal="center" vertical="center" wrapText="1"/>
    </xf>
    <xf numFmtId="0" fontId="18" fillId="0" borderId="0" xfId="5" applyFont="1" applyBorder="1" applyAlignment="1">
      <alignment horizontal="center" vertical="center"/>
    </xf>
    <xf numFmtId="4" fontId="7" fillId="0" borderId="0" xfId="5" applyNumberFormat="1" applyFont="1" applyBorder="1" applyAlignment="1">
      <alignment horizontal="center" vertical="center"/>
    </xf>
    <xf numFmtId="4" fontId="2" fillId="0" borderId="0" xfId="5" applyNumberFormat="1" applyBorder="1" applyAlignment="1">
      <alignment horizontal="center" vertical="center"/>
    </xf>
    <xf numFmtId="0" fontId="2" fillId="0" borderId="0" xfId="5" applyBorder="1"/>
    <xf numFmtId="0" fontId="2" fillId="0" borderId="0" xfId="5" applyBorder="1" applyAlignment="1">
      <alignment horizontal="center" vertical="center"/>
    </xf>
    <xf numFmtId="0" fontId="18" fillId="0" borderId="0" xfId="5" applyFont="1" applyBorder="1"/>
    <xf numFmtId="0" fontId="18" fillId="0" borderId="0" xfId="5" applyFont="1" applyBorder="1" applyAlignment="1">
      <alignment horizontal="center"/>
    </xf>
    <xf numFmtId="4" fontId="2" fillId="0" borderId="0" xfId="5" applyNumberFormat="1" applyBorder="1"/>
    <xf numFmtId="0" fontId="18" fillId="0" borderId="16" xfId="5" applyFont="1" applyBorder="1" applyAlignment="1">
      <alignment vertical="top" wrapText="1"/>
    </xf>
    <xf numFmtId="168" fontId="14" fillId="0" borderId="0" xfId="3" applyFont="1"/>
    <xf numFmtId="170" fontId="0" fillId="0" borderId="0" xfId="21" applyNumberFormat="1" applyFont="1" applyAlignment="1">
      <alignment horizontal="center" vertical="center"/>
    </xf>
    <xf numFmtId="170" fontId="0" fillId="11" borderId="0" xfId="21" applyNumberFormat="1" applyFont="1" applyFill="1" applyAlignment="1">
      <alignment horizontal="center" vertical="center"/>
    </xf>
    <xf numFmtId="0" fontId="1" fillId="11" borderId="0" xfId="0" applyFont="1" applyFill="1" applyAlignment="1">
      <alignment horizontal="center" vertical="center"/>
    </xf>
    <xf numFmtId="4" fontId="1" fillId="11" borderId="0" xfId="0" applyNumberFormat="1" applyFont="1" applyFill="1" applyAlignment="1">
      <alignment horizontal="center" vertical="center"/>
    </xf>
    <xf numFmtId="0" fontId="0" fillId="0" borderId="0" xfId="0" applyFont="1" applyAlignment="1">
      <alignment horizontal="center" vertical="center"/>
    </xf>
    <xf numFmtId="0" fontId="0" fillId="11" borderId="0" xfId="0" applyFont="1" applyFill="1" applyAlignment="1">
      <alignment horizontal="center" vertical="center"/>
    </xf>
    <xf numFmtId="4" fontId="0" fillId="11" borderId="0" xfId="0" applyNumberFormat="1" applyFont="1" applyFill="1" applyAlignment="1">
      <alignment horizontal="center" vertical="center"/>
    </xf>
    <xf numFmtId="0" fontId="0" fillId="11" borderId="0" xfId="0" applyFill="1" applyAlignment="1">
      <alignment horizontal="center" vertical="center"/>
    </xf>
    <xf numFmtId="165" fontId="0" fillId="7" borderId="0" xfId="0" applyNumberFormat="1" applyFill="1"/>
    <xf numFmtId="0" fontId="0" fillId="7" borderId="0" xfId="0" applyFont="1" applyFill="1" applyAlignment="1">
      <alignment horizontal="center" vertical="center"/>
    </xf>
    <xf numFmtId="0" fontId="0" fillId="7" borderId="0" xfId="0" applyFill="1" applyAlignment="1">
      <alignment horizontal="center" vertical="center"/>
    </xf>
    <xf numFmtId="165" fontId="0" fillId="11" borderId="0" xfId="0" applyNumberFormat="1" applyFill="1"/>
    <xf numFmtId="0" fontId="11" fillId="13" borderId="38" xfId="12" applyBorder="1" applyAlignment="1">
      <alignment horizontal="center" vertical="center" wrapText="1"/>
    </xf>
    <xf numFmtId="0" fontId="4" fillId="0" borderId="0" xfId="18" applyFont="1" applyAlignment="1">
      <alignment horizontal="center" vertical="center" wrapText="1"/>
    </xf>
    <xf numFmtId="0" fontId="3" fillId="0" borderId="39" xfId="18" applyBorder="1"/>
    <xf numFmtId="0" fontId="25" fillId="0" borderId="39" xfId="13" applyFont="1" applyFill="1" applyBorder="1"/>
    <xf numFmtId="0" fontId="3" fillId="0" borderId="39" xfId="18" applyFont="1" applyBorder="1"/>
    <xf numFmtId="2" fontId="3" fillId="15" borderId="39" xfId="18" applyNumberFormat="1" applyFill="1" applyBorder="1"/>
    <xf numFmtId="0" fontId="3" fillId="0" borderId="0" xfId="18"/>
    <xf numFmtId="0" fontId="3" fillId="0" borderId="0" xfId="18" applyFont="1" applyFill="1" applyBorder="1"/>
    <xf numFmtId="0" fontId="3" fillId="0" borderId="0" xfId="18" applyFill="1" applyBorder="1"/>
    <xf numFmtId="0" fontId="3" fillId="0" borderId="0" xfId="18" applyBorder="1"/>
    <xf numFmtId="0" fontId="3" fillId="0" borderId="39" xfId="18" applyFont="1" applyFill="1" applyBorder="1"/>
    <xf numFmtId="0" fontId="3" fillId="0" borderId="39" xfId="18" applyFill="1" applyBorder="1"/>
    <xf numFmtId="0" fontId="4" fillId="8" borderId="5" xfId="7" applyFont="1" applyAlignment="1">
      <alignment horizontal="center" vertical="center"/>
    </xf>
    <xf numFmtId="14" fontId="3" fillId="0" borderId="39" xfId="18" applyNumberFormat="1" applyBorder="1" applyAlignment="1">
      <alignment horizontal="center"/>
    </xf>
    <xf numFmtId="0" fontId="3" fillId="0" borderId="39" xfId="15" applyFont="1" applyBorder="1" applyAlignment="1" applyProtection="1"/>
    <xf numFmtId="14" fontId="3" fillId="0" borderId="0" xfId="18" applyNumberFormat="1" applyBorder="1" applyAlignment="1">
      <alignment horizontal="center"/>
    </xf>
    <xf numFmtId="0" fontId="3" fillId="0" borderId="0" xfId="18" applyFont="1" applyBorder="1"/>
    <xf numFmtId="0" fontId="4" fillId="0" borderId="0" xfId="18" applyFont="1" applyAlignment="1">
      <alignment horizontal="center" vertical="center"/>
    </xf>
    <xf numFmtId="0" fontId="20" fillId="0" borderId="39" xfId="20" applyBorder="1" applyAlignment="1" applyProtection="1"/>
    <xf numFmtId="0" fontId="3" fillId="0" borderId="0" xfId="18" applyAlignment="1">
      <alignment horizontal="center" vertical="center"/>
    </xf>
    <xf numFmtId="49" fontId="3" fillId="0" borderId="0" xfId="18" applyNumberFormat="1"/>
    <xf numFmtId="0" fontId="3" fillId="0" borderId="0" xfId="18" applyFont="1"/>
    <xf numFmtId="0" fontId="3" fillId="0" borderId="0" xfId="18" applyAlignment="1">
      <alignment horizontal="center"/>
    </xf>
    <xf numFmtId="14" fontId="3" fillId="0" borderId="0" xfId="18" applyNumberFormat="1" applyAlignment="1">
      <alignment horizontal="center"/>
    </xf>
    <xf numFmtId="0" fontId="3" fillId="0" borderId="0" xfId="15" applyFont="1" applyAlignment="1" applyProtection="1"/>
    <xf numFmtId="0" fontId="7" fillId="0" borderId="0" xfId="17"/>
    <xf numFmtId="0" fontId="14" fillId="0" borderId="0" xfId="17" applyFont="1"/>
    <xf numFmtId="0" fontId="7" fillId="17" borderId="0" xfId="17" applyFill="1"/>
    <xf numFmtId="1" fontId="7" fillId="17" borderId="0" xfId="17" applyNumberFormat="1" applyFill="1" applyAlignment="1">
      <alignment horizontal="center"/>
    </xf>
    <xf numFmtId="0" fontId="7" fillId="18" borderId="0" xfId="17" applyFill="1"/>
    <xf numFmtId="1" fontId="7" fillId="18" borderId="0" xfId="17" applyNumberFormat="1" applyFill="1" applyAlignment="1">
      <alignment horizontal="center"/>
    </xf>
    <xf numFmtId="0" fontId="7" fillId="7" borderId="0" xfId="17" applyFill="1"/>
    <xf numFmtId="1" fontId="7" fillId="7" borderId="0" xfId="17" applyNumberFormat="1" applyFill="1" applyAlignment="1">
      <alignment horizontal="center"/>
    </xf>
    <xf numFmtId="1" fontId="7" fillId="0" borderId="0" xfId="17" applyNumberFormat="1" applyAlignment="1">
      <alignment horizontal="center"/>
    </xf>
    <xf numFmtId="1" fontId="14" fillId="0" borderId="0" xfId="17" applyNumberFormat="1" applyFont="1" applyAlignment="1">
      <alignment horizontal="center"/>
    </xf>
    <xf numFmtId="9" fontId="14" fillId="0" borderId="0" xfId="8" applyFont="1" applyAlignment="1">
      <alignment horizontal="center"/>
    </xf>
    <xf numFmtId="0" fontId="14" fillId="4" borderId="0" xfId="17" applyFont="1" applyFill="1" applyAlignment="1">
      <alignment horizontal="center" vertical="center"/>
    </xf>
    <xf numFmtId="2" fontId="7" fillId="0" borderId="0" xfId="17" applyNumberFormat="1"/>
    <xf numFmtId="2" fontId="14" fillId="0" borderId="0" xfId="17" applyNumberFormat="1" applyFont="1"/>
    <xf numFmtId="4" fontId="7" fillId="0" borderId="0" xfId="17" applyNumberFormat="1"/>
    <xf numFmtId="9" fontId="7" fillId="0" borderId="0" xfId="8" applyFont="1"/>
    <xf numFmtId="9" fontId="7" fillId="0" borderId="0" xfId="17" applyNumberFormat="1"/>
    <xf numFmtId="0" fontId="7" fillId="9" borderId="0" xfId="17" applyFill="1"/>
    <xf numFmtId="9" fontId="7" fillId="9" borderId="0" xfId="8" applyFont="1" applyFill="1"/>
    <xf numFmtId="169" fontId="7" fillId="9" borderId="0" xfId="19" applyFont="1" applyFill="1"/>
    <xf numFmtId="0" fontId="7" fillId="0" borderId="1" xfId="17" applyBorder="1"/>
    <xf numFmtId="4" fontId="7" fillId="0" borderId="1" xfId="17" applyNumberFormat="1" applyBorder="1"/>
    <xf numFmtId="0" fontId="14" fillId="9" borderId="1" xfId="17" applyFont="1" applyFill="1" applyBorder="1"/>
    <xf numFmtId="4" fontId="14" fillId="9" borderId="1" xfId="17" applyNumberFormat="1" applyFont="1" applyFill="1" applyBorder="1"/>
    <xf numFmtId="4" fontId="14" fillId="9" borderId="1" xfId="19" applyNumberFormat="1" applyFont="1" applyFill="1" applyBorder="1" applyAlignment="1"/>
    <xf numFmtId="9" fontId="14" fillId="9" borderId="1" xfId="8" applyFont="1" applyFill="1" applyBorder="1"/>
    <xf numFmtId="168" fontId="14" fillId="9" borderId="1" xfId="4" applyFont="1" applyFill="1" applyBorder="1"/>
    <xf numFmtId="0" fontId="23" fillId="19" borderId="0" xfId="17" applyFont="1" applyFill="1"/>
    <xf numFmtId="168" fontId="25" fillId="19" borderId="0" xfId="4" applyFont="1" applyFill="1"/>
    <xf numFmtId="170" fontId="0" fillId="11" borderId="0" xfId="21" applyNumberFormat="1" applyFont="1" applyFill="1" applyAlignment="1">
      <alignment horizontal="left" vertical="center"/>
    </xf>
    <xf numFmtId="0" fontId="0" fillId="11" borderId="0" xfId="0" applyFont="1" applyFill="1" applyAlignment="1">
      <alignment horizontal="left" vertical="center"/>
    </xf>
    <xf numFmtId="0" fontId="0" fillId="7" borderId="0" xfId="0" applyFill="1" applyAlignment="1">
      <alignment horizontal="left" vertical="center"/>
    </xf>
    <xf numFmtId="0" fontId="0" fillId="11" borderId="0" xfId="0" applyFill="1" applyAlignment="1">
      <alignment horizontal="left" vertical="center"/>
    </xf>
    <xf numFmtId="164" fontId="26" fillId="4" borderId="15" xfId="0" applyNumberFormat="1" applyFont="1" applyFill="1" applyBorder="1" applyAlignment="1">
      <alignment horizontal="center" vertical="center"/>
    </xf>
    <xf numFmtId="0" fontId="26" fillId="0" borderId="15" xfId="0" applyFont="1" applyBorder="1"/>
    <xf numFmtId="165" fontId="26" fillId="5" borderId="15" xfId="0" applyNumberFormat="1" applyFont="1" applyFill="1" applyBorder="1"/>
    <xf numFmtId="0" fontId="26" fillId="2" borderId="15" xfId="0" applyFont="1" applyFill="1" applyBorder="1"/>
    <xf numFmtId="0" fontId="26" fillId="3" borderId="15" xfId="0" applyFont="1" applyFill="1" applyBorder="1"/>
    <xf numFmtId="0" fontId="26" fillId="3" borderId="15" xfId="0" applyFont="1" applyFill="1" applyBorder="1" applyAlignment="1">
      <alignment horizontal="center" vertical="center"/>
    </xf>
    <xf numFmtId="17" fontId="26" fillId="0" borderId="15" xfId="0" quotePrefix="1" applyNumberFormat="1" applyFont="1" applyBorder="1"/>
    <xf numFmtId="0" fontId="27" fillId="0" borderId="15" xfId="0" applyFont="1" applyBorder="1"/>
    <xf numFmtId="164" fontId="26" fillId="4" borderId="0" xfId="0" applyNumberFormat="1" applyFont="1" applyFill="1" applyAlignment="1">
      <alignment horizontal="center" vertical="center"/>
    </xf>
    <xf numFmtId="165" fontId="26" fillId="5" borderId="0" xfId="0" applyNumberFormat="1" applyFont="1" applyFill="1"/>
    <xf numFmtId="0" fontId="26" fillId="2" borderId="0" xfId="0" applyFont="1" applyFill="1"/>
    <xf numFmtId="0" fontId="26" fillId="3" borderId="0" xfId="0" applyFont="1" applyFill="1"/>
    <xf numFmtId="0" fontId="26" fillId="3" borderId="0" xfId="0" applyFont="1" applyFill="1" applyAlignment="1">
      <alignment horizontal="center" vertical="center"/>
    </xf>
    <xf numFmtId="0" fontId="26" fillId="0" borderId="0" xfId="0" applyFont="1"/>
    <xf numFmtId="164" fontId="28" fillId="4" borderId="15" xfId="0" applyNumberFormat="1" applyFont="1" applyFill="1" applyBorder="1" applyAlignment="1">
      <alignment horizontal="center" vertical="center"/>
    </xf>
    <xf numFmtId="0" fontId="28" fillId="0" borderId="15" xfId="0" applyFont="1" applyBorder="1" applyAlignment="1">
      <alignment horizontal="center" vertical="center"/>
    </xf>
    <xf numFmtId="165" fontId="28" fillId="5" borderId="15" xfId="0" applyNumberFormat="1" applyFont="1" applyFill="1" applyBorder="1" applyAlignment="1">
      <alignment horizontal="center" vertical="center"/>
    </xf>
    <xf numFmtId="0" fontId="28" fillId="2" borderId="15" xfId="0" applyFont="1" applyFill="1" applyBorder="1" applyAlignment="1">
      <alignment horizontal="center" vertical="center"/>
    </xf>
    <xf numFmtId="0" fontId="28" fillId="3" borderId="15" xfId="0" applyFont="1" applyFill="1" applyBorder="1" applyAlignment="1">
      <alignment horizontal="center" vertical="center"/>
    </xf>
    <xf numFmtId="0" fontId="28" fillId="0" borderId="0" xfId="0" applyFont="1" applyFill="1" applyAlignment="1">
      <alignment horizontal="center" vertical="center"/>
    </xf>
    <xf numFmtId="164" fontId="26" fillId="4" borderId="40" xfId="0" applyNumberFormat="1" applyFont="1" applyFill="1" applyBorder="1" applyAlignment="1">
      <alignment horizontal="center" vertical="center"/>
    </xf>
    <xf numFmtId="0" fontId="26" fillId="0" borderId="40" xfId="0" applyFont="1" applyBorder="1"/>
    <xf numFmtId="165" fontId="26" fillId="5" borderId="40" xfId="0" applyNumberFormat="1" applyFont="1" applyFill="1" applyBorder="1"/>
    <xf numFmtId="0" fontId="26" fillId="2" borderId="40" xfId="0" applyFont="1" applyFill="1" applyBorder="1"/>
    <xf numFmtId="0" fontId="0" fillId="0" borderId="4" xfId="0" applyBorder="1" applyAlignment="1">
      <alignment horizontal="left" indent="2"/>
    </xf>
    <xf numFmtId="0" fontId="0" fillId="0" borderId="41" xfId="0" pivotButton="1" applyBorder="1"/>
    <xf numFmtId="0" fontId="0" fillId="0" borderId="41" xfId="0" applyBorder="1"/>
    <xf numFmtId="0" fontId="0" fillId="0" borderId="4" xfId="0" applyFill="1" applyBorder="1" applyAlignment="1">
      <alignment horizontal="center" vertical="center"/>
    </xf>
    <xf numFmtId="0" fontId="1" fillId="0" borderId="0" xfId="0" applyFont="1" applyAlignment="1">
      <alignment horizontal="center"/>
    </xf>
    <xf numFmtId="43" fontId="0" fillId="0" borderId="0" xfId="22" applyFont="1"/>
    <xf numFmtId="43" fontId="0" fillId="7" borderId="0" xfId="22" applyFont="1" applyFill="1"/>
    <xf numFmtId="44" fontId="1" fillId="17" borderId="0" xfId="10" applyFont="1" applyFill="1" applyAlignment="1">
      <alignment horizontal="center" vertical="center"/>
    </xf>
    <xf numFmtId="44" fontId="0" fillId="17" borderId="0" xfId="10" applyFont="1" applyFill="1"/>
    <xf numFmtId="43" fontId="1" fillId="0" borderId="0" xfId="22" applyFont="1" applyAlignment="1">
      <alignment horizontal="center" vertical="center"/>
    </xf>
    <xf numFmtId="43" fontId="1" fillId="7" borderId="0" xfId="22" applyFont="1" applyFill="1" applyAlignment="1">
      <alignment horizontal="center" vertical="center"/>
    </xf>
    <xf numFmtId="0" fontId="0" fillId="20" borderId="0" xfId="0" applyFill="1"/>
    <xf numFmtId="0" fontId="0" fillId="20" borderId="0" xfId="0" applyFill="1" applyAlignment="1">
      <alignment horizontal="center" vertical="center"/>
    </xf>
    <xf numFmtId="43" fontId="0" fillId="20" borderId="0" xfId="22" applyFont="1" applyFill="1"/>
    <xf numFmtId="44" fontId="0" fillId="20" borderId="0" xfId="10" applyFont="1" applyFill="1"/>
    <xf numFmtId="0" fontId="29" fillId="0" borderId="0" xfId="0" applyFont="1" applyAlignment="1">
      <alignment horizontal="center" vertical="center"/>
    </xf>
    <xf numFmtId="0" fontId="30" fillId="0" borderId="0" xfId="0" applyFont="1" applyAlignment="1">
      <alignment horizontal="center" vertical="center"/>
    </xf>
    <xf numFmtId="0" fontId="30" fillId="20" borderId="0" xfId="0" applyFont="1" applyFill="1" applyAlignment="1">
      <alignment horizontal="center" vertical="center"/>
    </xf>
    <xf numFmtId="0" fontId="0" fillId="0" borderId="4" xfId="0" applyBorder="1" applyAlignment="1">
      <alignment horizontal="left" indent="3"/>
    </xf>
    <xf numFmtId="44" fontId="0" fillId="20" borderId="0" xfId="0" applyNumberFormat="1" applyFill="1"/>
    <xf numFmtId="44" fontId="0" fillId="6" borderId="0" xfId="0" applyNumberFormat="1" applyFill="1"/>
    <xf numFmtId="0" fontId="31" fillId="21" borderId="0" xfId="0" applyFont="1" applyFill="1"/>
    <xf numFmtId="0" fontId="31" fillId="21" borderId="0" xfId="0" applyFont="1" applyFill="1" applyAlignment="1">
      <alignment horizontal="center" vertical="center"/>
    </xf>
    <xf numFmtId="43" fontId="31" fillId="21" borderId="0" xfId="22" applyFont="1" applyFill="1"/>
    <xf numFmtId="44" fontId="31" fillId="21" borderId="0" xfId="10" applyFont="1" applyFill="1"/>
    <xf numFmtId="0" fontId="32" fillId="21" borderId="0" xfId="0" applyFont="1" applyFill="1" applyAlignment="1">
      <alignment horizontal="center" vertical="center"/>
    </xf>
    <xf numFmtId="44" fontId="31" fillId="21" borderId="0" xfId="0" applyNumberFormat="1" applyFont="1" applyFill="1"/>
    <xf numFmtId="0" fontId="26" fillId="0" borderId="40" xfId="0" quotePrefix="1" applyFont="1" applyBorder="1"/>
    <xf numFmtId="0" fontId="0" fillId="0" borderId="4" xfId="0" applyBorder="1" applyAlignment="1">
      <alignment horizontal="left" indent="4"/>
    </xf>
    <xf numFmtId="0" fontId="33" fillId="0" borderId="1" xfId="0" applyFont="1" applyBorder="1" applyAlignment="1">
      <alignment horizontal="center" vertical="center"/>
    </xf>
    <xf numFmtId="0" fontId="34" fillId="0" borderId="1" xfId="0" applyFont="1" applyBorder="1" applyAlignment="1">
      <alignment horizontal="center"/>
    </xf>
    <xf numFmtId="0" fontId="34" fillId="0" borderId="1" xfId="0" applyFont="1" applyBorder="1"/>
    <xf numFmtId="14" fontId="34" fillId="0" borderId="0" xfId="0" applyNumberFormat="1" applyFont="1" applyAlignment="1">
      <alignment horizontal="center" vertical="center"/>
    </xf>
    <xf numFmtId="0" fontId="34" fillId="0" borderId="0" xfId="0" applyFont="1" applyAlignment="1">
      <alignment horizontal="center"/>
    </xf>
    <xf numFmtId="0" fontId="34" fillId="0" borderId="0" xfId="0" applyFont="1" applyAlignment="1">
      <alignment horizontal="center" vertical="center"/>
    </xf>
    <xf numFmtId="0" fontId="34" fillId="0" borderId="0" xfId="0" applyFont="1" applyAlignment="1">
      <alignment horizontal="left"/>
    </xf>
    <xf numFmtId="0" fontId="34" fillId="0" borderId="0" xfId="0" applyFont="1"/>
    <xf numFmtId="4" fontId="35" fillId="0" borderId="42" xfId="0" applyNumberFormat="1" applyFont="1" applyBorder="1"/>
    <xf numFmtId="4" fontId="36" fillId="22" borderId="42" xfId="0" applyNumberFormat="1" applyFont="1" applyFill="1" applyBorder="1"/>
    <xf numFmtId="0" fontId="0" fillId="0" borderId="0" xfId="0" applyFont="1"/>
    <xf numFmtId="0" fontId="0" fillId="0" borderId="0" xfId="0" applyAlignment="1">
      <alignment wrapText="1"/>
    </xf>
    <xf numFmtId="165" fontId="30" fillId="0" borderId="42" xfId="0" applyNumberFormat="1" applyFont="1" applyBorder="1" applyAlignment="1">
      <alignment horizontal="right"/>
    </xf>
    <xf numFmtId="165" fontId="30" fillId="22" borderId="42" xfId="0" applyNumberFormat="1" applyFont="1" applyFill="1" applyBorder="1" applyAlignment="1">
      <alignment horizontal="right"/>
    </xf>
    <xf numFmtId="165" fontId="35" fillId="0" borderId="42" xfId="0" applyNumberFormat="1" applyFont="1" applyBorder="1" applyAlignment="1">
      <alignment horizontal="right"/>
    </xf>
    <xf numFmtId="165" fontId="36" fillId="22" borderId="42" xfId="0" applyNumberFormat="1" applyFont="1" applyFill="1" applyBorder="1" applyAlignment="1">
      <alignment horizontal="right"/>
    </xf>
    <xf numFmtId="165" fontId="0" fillId="0" borderId="0" xfId="0" applyNumberFormat="1"/>
    <xf numFmtId="171" fontId="35" fillId="0" borderId="42" xfId="0" applyNumberFormat="1" applyFont="1" applyBorder="1" applyAlignment="1">
      <alignment horizontal="right"/>
    </xf>
    <xf numFmtId="171" fontId="36" fillId="22" borderId="42" xfId="0" applyNumberFormat="1" applyFont="1" applyFill="1" applyBorder="1" applyAlignment="1">
      <alignment horizontal="right"/>
    </xf>
    <xf numFmtId="171" fontId="38" fillId="0" borderId="42" xfId="0" applyNumberFormat="1" applyFont="1" applyBorder="1" applyAlignment="1">
      <alignment horizontal="right"/>
    </xf>
    <xf numFmtId="0" fontId="26" fillId="3" borderId="40" xfId="0" applyFont="1" applyFill="1" applyBorder="1"/>
    <xf numFmtId="0" fontId="26" fillId="3" borderId="40" xfId="0" applyFont="1" applyFill="1" applyBorder="1" applyAlignment="1">
      <alignment horizontal="center" vertical="center"/>
    </xf>
    <xf numFmtId="164" fontId="0" fillId="0" borderId="0" xfId="0" applyNumberFormat="1"/>
    <xf numFmtId="14" fontId="0" fillId="0" borderId="0" xfId="0" applyNumberFormat="1" applyAlignment="1">
      <alignment wrapText="1"/>
    </xf>
    <xf numFmtId="164" fontId="35" fillId="0" borderId="42" xfId="0" applyNumberFormat="1" applyFont="1" applyBorder="1" applyAlignment="1">
      <alignment horizontal="center"/>
    </xf>
    <xf numFmtId="164" fontId="36" fillId="22" borderId="42" xfId="0" applyNumberFormat="1" applyFont="1" applyFill="1" applyBorder="1" applyAlignment="1">
      <alignment horizontal="center"/>
    </xf>
    <xf numFmtId="14" fontId="0" fillId="0" borderId="0" xfId="0" applyNumberFormat="1"/>
    <xf numFmtId="43" fontId="0" fillId="11" borderId="0" xfId="22" applyFont="1" applyFill="1"/>
    <xf numFmtId="4" fontId="0" fillId="0" borderId="0" xfId="0" applyNumberFormat="1"/>
    <xf numFmtId="44" fontId="1" fillId="0" borderId="0" xfId="10" applyFont="1"/>
    <xf numFmtId="0" fontId="0" fillId="11" borderId="0" xfId="0" applyFill="1"/>
    <xf numFmtId="0" fontId="1" fillId="0" borderId="0" xfId="0" applyFont="1" applyAlignment="1">
      <alignment horizontal="center" vertical="center" wrapText="1"/>
    </xf>
    <xf numFmtId="0" fontId="1" fillId="11" borderId="0" xfId="0" applyFont="1" applyFill="1" applyAlignment="1">
      <alignment horizontal="center" vertical="center" wrapText="1"/>
    </xf>
    <xf numFmtId="165" fontId="1" fillId="0" borderId="0" xfId="0" applyNumberFormat="1" applyFont="1"/>
    <xf numFmtId="165" fontId="1" fillId="7" borderId="0" xfId="22" applyNumberFormat="1" applyFont="1" applyFill="1" applyAlignment="1">
      <alignment horizontal="center" vertical="center"/>
    </xf>
    <xf numFmtId="44" fontId="1" fillId="7" borderId="0" xfId="10" applyFont="1" applyFill="1"/>
    <xf numFmtId="44" fontId="40" fillId="0" borderId="0" xfId="10" applyFont="1" applyAlignment="1">
      <alignment horizontal="center" vertical="center"/>
    </xf>
    <xf numFmtId="165" fontId="1" fillId="0" borderId="0" xfId="0" applyNumberFormat="1" applyFont="1" applyAlignment="1">
      <alignment horizontal="center" vertical="center"/>
    </xf>
    <xf numFmtId="165" fontId="41" fillId="0" borderId="0" xfId="0" applyNumberFormat="1" applyFont="1"/>
    <xf numFmtId="14" fontId="1" fillId="7" borderId="0" xfId="0" applyNumberFormat="1" applyFont="1" applyFill="1" applyAlignment="1">
      <alignment horizontal="center" vertical="center"/>
    </xf>
    <xf numFmtId="0" fontId="39" fillId="12" borderId="0" xfId="0" applyFont="1" applyFill="1" applyAlignment="1">
      <alignment horizontal="center" vertical="center"/>
    </xf>
    <xf numFmtId="4" fontId="1" fillId="0" borderId="0" xfId="0" applyNumberFormat="1" applyFont="1" applyAlignment="1">
      <alignment horizontal="center" vertical="center"/>
    </xf>
    <xf numFmtId="14" fontId="1" fillId="0" borderId="0" xfId="0" applyNumberFormat="1" applyFont="1" applyAlignment="1">
      <alignment horizontal="center" vertical="center"/>
    </xf>
    <xf numFmtId="0" fontId="42" fillId="0" borderId="0" xfId="23"/>
    <xf numFmtId="0" fontId="42" fillId="0" borderId="0" xfId="23" applyAlignment="1">
      <alignment horizontal="center" vertical="center"/>
    </xf>
    <xf numFmtId="0" fontId="1" fillId="0" borderId="40" xfId="0" applyFont="1" applyBorder="1" applyAlignment="1">
      <alignment horizontal="center" vertical="center" wrapText="1"/>
    </xf>
    <xf numFmtId="0" fontId="39" fillId="12" borderId="40" xfId="0" applyFont="1" applyFill="1" applyBorder="1" applyAlignment="1">
      <alignment horizontal="center" vertical="center" wrapText="1"/>
    </xf>
    <xf numFmtId="14" fontId="39" fillId="12" borderId="40" xfId="0" applyNumberFormat="1" applyFont="1" applyFill="1" applyBorder="1" applyAlignment="1">
      <alignment horizontal="center" vertical="center" wrapText="1"/>
    </xf>
    <xf numFmtId="4" fontId="39" fillId="12" borderId="40" xfId="0" applyNumberFormat="1" applyFont="1" applyFill="1" applyBorder="1" applyAlignment="1">
      <alignment horizontal="center" vertical="center" wrapText="1"/>
    </xf>
    <xf numFmtId="0" fontId="0" fillId="0" borderId="40" xfId="0" applyBorder="1" applyAlignment="1">
      <alignment horizontal="center" vertical="center"/>
    </xf>
    <xf numFmtId="0" fontId="0" fillId="0" borderId="40" xfId="0" applyFont="1" applyFill="1" applyBorder="1" applyAlignment="1">
      <alignment horizontal="center" vertical="center"/>
    </xf>
    <xf numFmtId="14" fontId="0" fillId="0" borderId="40" xfId="0" applyNumberFormat="1" applyFont="1" applyFill="1" applyBorder="1"/>
    <xf numFmtId="4" fontId="0" fillId="0" borderId="40" xfId="0" applyNumberFormat="1" applyFont="1" applyFill="1" applyBorder="1"/>
    <xf numFmtId="0" fontId="0" fillId="0" borderId="40" xfId="0" applyFont="1" applyFill="1" applyBorder="1"/>
    <xf numFmtId="0" fontId="0" fillId="0" borderId="40" xfId="0" applyFont="1" applyBorder="1" applyAlignment="1">
      <alignment horizontal="center" vertical="center"/>
    </xf>
    <xf numFmtId="44" fontId="0" fillId="0" borderId="40" xfId="0" applyNumberFormat="1" applyFont="1" applyFill="1" applyBorder="1"/>
    <xf numFmtId="0" fontId="0" fillId="0" borderId="40" xfId="0" applyFill="1" applyBorder="1"/>
    <xf numFmtId="14" fontId="0" fillId="0" borderId="40" xfId="0" applyNumberFormat="1" applyBorder="1"/>
    <xf numFmtId="4" fontId="0" fillId="0" borderId="40" xfId="0" applyNumberFormat="1" applyBorder="1"/>
    <xf numFmtId="0" fontId="0" fillId="0" borderId="40" xfId="0" applyBorder="1"/>
    <xf numFmtId="16" fontId="0" fillId="0" borderId="0" xfId="0" applyNumberFormat="1" applyAlignment="1">
      <alignment horizontal="center"/>
    </xf>
    <xf numFmtId="14" fontId="0" fillId="0" borderId="0" xfId="0" applyNumberFormat="1" applyAlignment="1">
      <alignment horizontal="center"/>
    </xf>
    <xf numFmtId="0" fontId="1" fillId="0" borderId="1" xfId="0" applyFont="1" applyBorder="1"/>
    <xf numFmtId="44" fontId="0" fillId="0" borderId="1" xfId="10" applyFont="1" applyBorder="1"/>
    <xf numFmtId="44" fontId="0" fillId="0" borderId="1" xfId="0" applyNumberFormat="1" applyBorder="1"/>
    <xf numFmtId="0" fontId="1" fillId="0" borderId="1" xfId="0" applyFont="1" applyBorder="1" applyAlignment="1">
      <alignment horizontal="center" vertical="center"/>
    </xf>
    <xf numFmtId="44" fontId="0" fillId="0" borderId="1" xfId="10" applyFont="1" applyBorder="1" applyAlignment="1">
      <alignment horizontal="center" vertical="center"/>
    </xf>
    <xf numFmtId="44" fontId="0" fillId="0" borderId="1" xfId="0" applyNumberFormat="1" applyBorder="1" applyAlignment="1">
      <alignment horizontal="center" vertical="center"/>
    </xf>
    <xf numFmtId="4" fontId="35" fillId="0" borderId="42" xfId="0" applyNumberFormat="1" applyFont="1" applyBorder="1" applyAlignment="1">
      <alignment horizontal="center"/>
    </xf>
    <xf numFmtId="4" fontId="36" fillId="22" borderId="42" xfId="0" applyNumberFormat="1" applyFont="1" applyFill="1" applyBorder="1" applyAlignment="1">
      <alignment horizontal="center"/>
    </xf>
    <xf numFmtId="4" fontId="38" fillId="0" borderId="42" xfId="0" applyNumberFormat="1" applyFont="1" applyBorder="1" applyAlignment="1">
      <alignment horizontal="center"/>
    </xf>
    <xf numFmtId="0" fontId="0" fillId="0" borderId="0" xfId="0" applyAlignment="1"/>
    <xf numFmtId="4" fontId="37" fillId="23" borderId="43" xfId="0" applyNumberFormat="1" applyFont="1" applyFill="1" applyBorder="1" applyAlignment="1">
      <alignment horizontal="center" vertical="center"/>
    </xf>
    <xf numFmtId="4" fontId="37" fillId="23" borderId="44" xfId="0" applyNumberFormat="1" applyFont="1" applyFill="1" applyBorder="1" applyAlignment="1">
      <alignment horizontal="center" vertical="center"/>
    </xf>
    <xf numFmtId="165" fontId="37" fillId="23" borderId="44" xfId="0" applyNumberFormat="1" applyFont="1" applyFill="1" applyBorder="1" applyAlignment="1">
      <alignment horizontal="center" vertical="center"/>
    </xf>
    <xf numFmtId="165" fontId="37" fillId="23" borderId="45" xfId="0" applyNumberFormat="1" applyFont="1" applyFill="1" applyBorder="1" applyAlignment="1">
      <alignment horizontal="center" vertical="center"/>
    </xf>
    <xf numFmtId="49" fontId="0" fillId="0" borderId="0" xfId="0" applyNumberFormat="1"/>
    <xf numFmtId="164" fontId="0" fillId="0" borderId="40" xfId="0" applyNumberFormat="1" applyBorder="1" applyAlignment="1">
      <alignment horizontal="center" vertical="center"/>
    </xf>
    <xf numFmtId="164" fontId="0" fillId="0" borderId="40" xfId="0" applyNumberFormat="1" applyBorder="1"/>
    <xf numFmtId="44" fontId="0" fillId="0" borderId="40" xfId="10" applyFont="1" applyFill="1" applyBorder="1" applyAlignment="1">
      <alignment horizontal="center" vertical="center"/>
    </xf>
    <xf numFmtId="43" fontId="0" fillId="0" borderId="40" xfId="22" applyFont="1" applyFill="1" applyBorder="1"/>
    <xf numFmtId="0" fontId="42" fillId="0" borderId="0" xfId="23" applyFill="1"/>
    <xf numFmtId="0" fontId="1" fillId="0" borderId="0" xfId="0" applyFont="1" applyAlignment="1">
      <alignment horizontal="center" vertical="center"/>
    </xf>
    <xf numFmtId="0" fontId="0" fillId="0" borderId="0" xfId="0" pivotButton="1"/>
    <xf numFmtId="0" fontId="0" fillId="0" borderId="0" xfId="0" applyAlignment="1">
      <alignment horizontal="left"/>
    </xf>
    <xf numFmtId="0" fontId="0" fillId="7" borderId="0" xfId="0" applyFill="1" applyAlignment="1">
      <alignment horizontal="left"/>
    </xf>
    <xf numFmtId="0" fontId="16" fillId="0" borderId="1" xfId="5" applyFont="1" applyBorder="1" applyAlignment="1">
      <alignment vertical="top" wrapText="1"/>
    </xf>
    <xf numFmtId="4" fontId="16" fillId="0" borderId="1" xfId="5" applyNumberFormat="1" applyFont="1" applyBorder="1" applyAlignment="1">
      <alignment horizontal="center" vertical="center"/>
    </xf>
    <xf numFmtId="0" fontId="16" fillId="0" borderId="0" xfId="5" applyFont="1"/>
    <xf numFmtId="0" fontId="44" fillId="7" borderId="0" xfId="0" applyFont="1" applyFill="1" applyAlignment="1">
      <alignment horizontal="center" vertical="center"/>
    </xf>
    <xf numFmtId="0" fontId="2" fillId="0" borderId="0" xfId="5" quotePrefix="1" applyFill="1" applyBorder="1" applyAlignment="1">
      <alignment horizontal="left" wrapText="1"/>
    </xf>
    <xf numFmtId="0" fontId="45" fillId="0" borderId="3" xfId="5" applyFont="1" applyBorder="1" applyAlignment="1">
      <alignment horizontal="center" vertical="center"/>
    </xf>
    <xf numFmtId="0" fontId="14" fillId="15" borderId="3" xfId="5" applyFont="1" applyFill="1" applyBorder="1" applyAlignment="1">
      <alignment horizontal="right" vertical="center" wrapText="1"/>
    </xf>
    <xf numFmtId="0" fontId="14" fillId="15" borderId="1" xfId="5" applyFont="1" applyFill="1" applyBorder="1" applyAlignment="1">
      <alignment horizontal="right" vertical="center" wrapText="1"/>
    </xf>
    <xf numFmtId="168" fontId="24" fillId="0" borderId="12" xfId="3" applyFont="1" applyBorder="1" applyAlignment="1">
      <alignment horizontal="center" vertical="center"/>
    </xf>
    <xf numFmtId="0" fontId="2" fillId="0" borderId="14" xfId="5" applyBorder="1" applyAlignment="1"/>
    <xf numFmtId="0" fontId="2" fillId="0" borderId="13" xfId="5" applyBorder="1" applyAlignment="1"/>
    <xf numFmtId="0" fontId="46" fillId="0" borderId="14" xfId="5" applyFont="1" applyBorder="1" applyAlignment="1">
      <alignment horizontal="center" vertical="center"/>
    </xf>
    <xf numFmtId="9" fontId="46" fillId="0" borderId="13" xfId="5" applyNumberFormat="1" applyFont="1" applyBorder="1" applyAlignment="1">
      <alignment horizontal="center" vertical="center"/>
    </xf>
    <xf numFmtId="0" fontId="46" fillId="0" borderId="30" xfId="5" applyFont="1" applyBorder="1" applyAlignment="1">
      <alignment horizontal="center" vertical="center"/>
    </xf>
    <xf numFmtId="0" fontId="17" fillId="0" borderId="26" xfId="5" applyFont="1" applyBorder="1" applyAlignment="1">
      <alignment vertical="center"/>
    </xf>
    <xf numFmtId="0" fontId="47" fillId="0" borderId="26" xfId="11" applyFont="1" applyBorder="1" applyAlignment="1" applyProtection="1">
      <alignment vertical="center"/>
    </xf>
    <xf numFmtId="0" fontId="14" fillId="15" borderId="3" xfId="5" applyFont="1" applyFill="1" applyBorder="1" applyAlignment="1">
      <alignment horizontal="right" vertical="center" wrapText="1"/>
    </xf>
    <xf numFmtId="0" fontId="14" fillId="15" borderId="1" xfId="5" applyFont="1" applyFill="1" applyBorder="1" applyAlignment="1">
      <alignment horizontal="right" vertical="center" wrapText="1"/>
    </xf>
    <xf numFmtId="9" fontId="46" fillId="0" borderId="13" xfId="5" applyNumberFormat="1" applyFont="1" applyBorder="1" applyAlignment="1">
      <alignment horizontal="center" vertical="center"/>
    </xf>
    <xf numFmtId="4" fontId="23" fillId="16" borderId="7" xfId="5" quotePrefix="1" applyNumberFormat="1" applyFont="1" applyFill="1" applyBorder="1" applyAlignment="1">
      <alignment horizontal="left" vertical="center" wrapText="1"/>
    </xf>
    <xf numFmtId="43" fontId="2" fillId="11" borderId="0" xfId="22" applyFont="1" applyFill="1"/>
    <xf numFmtId="0" fontId="1" fillId="0" borderId="0" xfId="0" applyFont="1" applyAlignment="1">
      <alignment horizontal="center" vertical="center"/>
    </xf>
    <xf numFmtId="44" fontId="0" fillId="0" borderId="0" xfId="10" applyFont="1" applyFill="1" applyAlignment="1">
      <alignment horizontal="center"/>
    </xf>
    <xf numFmtId="44" fontId="0" fillId="0" borderId="0" xfId="10" applyFont="1" applyFill="1"/>
    <xf numFmtId="0" fontId="1" fillId="0" borderId="1" xfId="0" applyFont="1" applyFill="1" applyBorder="1" applyAlignment="1">
      <alignment horizontal="center" vertical="center"/>
    </xf>
    <xf numFmtId="0" fontId="10" fillId="0" borderId="1" xfId="11" applyBorder="1" applyAlignment="1" applyProtection="1"/>
    <xf numFmtId="0" fontId="0" fillId="0" borderId="1" xfId="0" quotePrefix="1" applyBorder="1"/>
    <xf numFmtId="0" fontId="1" fillId="7" borderId="0" xfId="0" applyFont="1" applyFill="1" applyAlignment="1">
      <alignment horizontal="center" vertical="center"/>
    </xf>
    <xf numFmtId="0" fontId="1" fillId="7" borderId="0" xfId="0" applyFont="1" applyFill="1"/>
    <xf numFmtId="9" fontId="46" fillId="0" borderId="13" xfId="5" applyNumberFormat="1" applyFont="1" applyBorder="1" applyAlignment="1">
      <alignment horizontal="center" vertical="center"/>
    </xf>
    <xf numFmtId="44" fontId="1" fillId="7" borderId="0" xfId="0" applyNumberFormat="1" applyFont="1" applyFill="1"/>
    <xf numFmtId="0" fontId="10" fillId="0" borderId="26" xfId="11" applyBorder="1" applyAlignment="1" applyProtection="1"/>
    <xf numFmtId="0" fontId="10" fillId="0" borderId="15" xfId="11" applyBorder="1" applyAlignment="1" applyProtection="1"/>
    <xf numFmtId="0" fontId="10" fillId="0" borderId="20" xfId="11" applyBorder="1" applyAlignment="1" applyProtection="1"/>
    <xf numFmtId="0" fontId="14" fillId="0" borderId="1" xfId="5" applyFont="1" applyFill="1" applyBorder="1" applyAlignment="1">
      <alignment horizontal="right" vertical="center" wrapText="1"/>
    </xf>
    <xf numFmtId="0" fontId="14" fillId="0" borderId="3" xfId="5" applyFont="1" applyFill="1" applyBorder="1" applyAlignment="1">
      <alignment horizontal="right" vertical="center" wrapText="1"/>
    </xf>
    <xf numFmtId="0" fontId="14" fillId="0" borderId="1" xfId="5" applyFont="1" applyFill="1" applyBorder="1" applyAlignment="1">
      <alignment horizontal="center" vertical="center" wrapText="1"/>
    </xf>
    <xf numFmtId="4" fontId="14" fillId="0" borderId="1" xfId="5" applyNumberFormat="1" applyFont="1" applyFill="1" applyBorder="1" applyAlignment="1">
      <alignment horizontal="center" vertical="center" wrapText="1"/>
    </xf>
    <xf numFmtId="0" fontId="16" fillId="0" borderId="1" xfId="5" applyFont="1" applyFill="1" applyBorder="1" applyAlignment="1">
      <alignment horizontal="center" vertical="center"/>
    </xf>
    <xf numFmtId="0" fontId="16" fillId="0" borderId="1" xfId="5" applyFont="1" applyFill="1" applyBorder="1" applyAlignment="1">
      <alignment vertical="top" wrapText="1"/>
    </xf>
    <xf numFmtId="4" fontId="16" fillId="0" borderId="1" xfId="5" applyNumberFormat="1" applyFont="1" applyFill="1" applyBorder="1" applyAlignment="1">
      <alignment horizontal="center" vertical="center"/>
    </xf>
    <xf numFmtId="9" fontId="46" fillId="0" borderId="13" xfId="5" applyNumberFormat="1" applyFont="1" applyBorder="1" applyAlignment="1">
      <alignment horizontal="center" vertical="center"/>
    </xf>
    <xf numFmtId="0" fontId="14" fillId="0" borderId="3" xfId="5" applyFont="1" applyFill="1" applyBorder="1" applyAlignment="1">
      <alignment horizontal="right" vertical="center" wrapText="1"/>
    </xf>
    <xf numFmtId="0" fontId="14" fillId="0" borderId="1" xfId="5" applyFont="1" applyFill="1" applyBorder="1" applyAlignment="1">
      <alignment horizontal="right" vertical="center" wrapText="1"/>
    </xf>
    <xf numFmtId="9" fontId="46" fillId="0" borderId="13" xfId="5" applyNumberFormat="1" applyFont="1" applyBorder="1" applyAlignment="1">
      <alignment horizontal="center" vertical="center"/>
    </xf>
    <xf numFmtId="0" fontId="14" fillId="0" borderId="3" xfId="5" applyFont="1" applyFill="1" applyBorder="1" applyAlignment="1">
      <alignment horizontal="right" vertical="center" wrapText="1"/>
    </xf>
    <xf numFmtId="0" fontId="14" fillId="0" borderId="1" xfId="5" applyFont="1" applyFill="1" applyBorder="1" applyAlignment="1">
      <alignment horizontal="right" vertical="center" wrapText="1"/>
    </xf>
    <xf numFmtId="0" fontId="14" fillId="0" borderId="3" xfId="5" applyFont="1" applyFill="1" applyBorder="1" applyAlignment="1">
      <alignment horizontal="right" vertical="center" wrapText="1"/>
    </xf>
    <xf numFmtId="0" fontId="14" fillId="0" borderId="1" xfId="5" applyFont="1" applyFill="1" applyBorder="1" applyAlignment="1">
      <alignment horizontal="right" vertical="center" wrapText="1"/>
    </xf>
    <xf numFmtId="9" fontId="46" fillId="0" borderId="13" xfId="5" applyNumberFormat="1" applyFont="1" applyBorder="1" applyAlignment="1">
      <alignment horizontal="center" vertical="center"/>
    </xf>
    <xf numFmtId="175" fontId="24" fillId="0" borderId="30" xfId="22" applyNumberFormat="1" applyFont="1" applyBorder="1" applyAlignment="1">
      <alignment horizontal="center" vertical="center"/>
    </xf>
    <xf numFmtId="44" fontId="2" fillId="0" borderId="0" xfId="5" applyNumberFormat="1"/>
    <xf numFmtId="0" fontId="0" fillId="0" borderId="0" xfId="0" applyAlignment="1">
      <alignment horizontal="center" vertical="center" wrapText="1"/>
    </xf>
    <xf numFmtId="0" fontId="0" fillId="0" borderId="40" xfId="0" applyBorder="1" applyAlignment="1">
      <alignment horizontal="center" vertical="center" wrapText="1"/>
    </xf>
    <xf numFmtId="0" fontId="10" fillId="0" borderId="40" xfId="11" quotePrefix="1" applyBorder="1" applyAlignment="1" applyProtection="1">
      <alignment horizontal="center" vertical="center" wrapText="1"/>
    </xf>
    <xf numFmtId="0" fontId="0" fillId="0" borderId="46" xfId="0" applyBorder="1" applyAlignment="1">
      <alignment horizontal="center" vertical="center" wrapText="1"/>
    </xf>
    <xf numFmtId="0" fontId="0" fillId="0" borderId="16" xfId="0" applyBorder="1" applyAlignment="1">
      <alignment horizontal="center" vertical="center" wrapText="1"/>
    </xf>
    <xf numFmtId="0" fontId="1" fillId="0" borderId="10" xfId="0" applyFont="1" applyFill="1" applyBorder="1" applyAlignment="1">
      <alignment horizontal="center" vertical="center" wrapText="1"/>
    </xf>
    <xf numFmtId="0" fontId="1" fillId="0" borderId="47" xfId="0" applyFont="1" applyFill="1" applyBorder="1" applyAlignment="1">
      <alignment horizontal="center" vertical="center" wrapText="1"/>
    </xf>
    <xf numFmtId="0" fontId="1" fillId="0" borderId="11" xfId="0" applyFont="1" applyFill="1" applyBorder="1" applyAlignment="1">
      <alignment horizontal="center" vertical="center" wrapText="1"/>
    </xf>
    <xf numFmtId="0" fontId="1" fillId="0" borderId="48" xfId="0" applyFont="1" applyFill="1" applyBorder="1" applyAlignment="1">
      <alignment horizontal="center" vertical="center" wrapText="1"/>
    </xf>
    <xf numFmtId="0" fontId="1" fillId="0" borderId="49" xfId="0" applyFont="1" applyFill="1" applyBorder="1" applyAlignment="1">
      <alignment horizontal="center" vertical="center" wrapText="1"/>
    </xf>
    <xf numFmtId="0" fontId="1" fillId="0" borderId="50" xfId="0" applyFont="1" applyFill="1" applyBorder="1" applyAlignment="1">
      <alignment horizontal="center" vertical="center" wrapText="1"/>
    </xf>
    <xf numFmtId="0" fontId="1" fillId="0" borderId="40" xfId="0" applyFont="1" applyFill="1" applyBorder="1" applyAlignment="1">
      <alignment horizontal="center" vertical="center" wrapText="1"/>
    </xf>
    <xf numFmtId="0" fontId="1" fillId="0" borderId="46" xfId="0" applyFont="1" applyFill="1" applyBorder="1" applyAlignment="1">
      <alignment horizontal="center" vertical="center" wrapText="1"/>
    </xf>
    <xf numFmtId="0" fontId="1" fillId="0" borderId="16" xfId="0" applyFont="1" applyFill="1" applyBorder="1" applyAlignment="1">
      <alignment horizontal="center" vertical="center" wrapText="1"/>
    </xf>
    <xf numFmtId="0" fontId="50" fillId="0" borderId="30" xfId="0" applyFont="1" applyFill="1" applyBorder="1" applyAlignment="1">
      <alignment horizontal="center" vertical="center" wrapText="1"/>
    </xf>
    <xf numFmtId="0" fontId="50" fillId="0" borderId="40" xfId="0" applyFont="1" applyFill="1" applyBorder="1" applyAlignment="1">
      <alignment horizontal="center" vertical="center" wrapText="1"/>
    </xf>
    <xf numFmtId="0" fontId="0" fillId="0" borderId="40" xfId="0" applyFont="1" applyBorder="1" applyAlignment="1">
      <alignment horizontal="center" vertical="center" wrapText="1"/>
    </xf>
    <xf numFmtId="0" fontId="0" fillId="0" borderId="40" xfId="0" applyFont="1" applyFill="1" applyBorder="1" applyAlignment="1">
      <alignment horizontal="center" vertical="center" wrapText="1"/>
    </xf>
    <xf numFmtId="0" fontId="0" fillId="0" borderId="0" xfId="0" applyFont="1" applyAlignment="1">
      <alignment horizontal="center" vertical="center" wrapText="1"/>
    </xf>
    <xf numFmtId="0" fontId="0" fillId="0" borderId="40" xfId="0" applyFill="1" applyBorder="1" applyAlignment="1">
      <alignment horizontal="center" vertical="center" wrapText="1"/>
    </xf>
    <xf numFmtId="0" fontId="0" fillId="0" borderId="51" xfId="0" pivotButton="1" applyBorder="1"/>
    <xf numFmtId="0" fontId="0" fillId="0" borderId="51" xfId="0" applyBorder="1"/>
    <xf numFmtId="165" fontId="0" fillId="0" borderId="51" xfId="0" applyNumberFormat="1" applyBorder="1"/>
    <xf numFmtId="0" fontId="0" fillId="0" borderId="51" xfId="0" applyBorder="1" applyAlignment="1">
      <alignment horizontal="left"/>
    </xf>
    <xf numFmtId="0" fontId="0" fillId="0" borderId="51" xfId="0" applyFill="1" applyBorder="1"/>
    <xf numFmtId="0" fontId="0" fillId="6" borderId="51" xfId="0" applyFill="1" applyBorder="1" applyAlignment="1">
      <alignment horizontal="left" indent="1"/>
    </xf>
    <xf numFmtId="0" fontId="0" fillId="0" borderId="51" xfId="0" pivotButton="1" applyBorder="1" applyAlignment="1">
      <alignment horizontal="center" vertical="center"/>
    </xf>
    <xf numFmtId="0" fontId="0" fillId="0" borderId="51" xfId="0" applyBorder="1" applyAlignment="1">
      <alignment horizontal="center" vertical="center"/>
    </xf>
    <xf numFmtId="165" fontId="0" fillId="6" borderId="51" xfId="0" applyNumberFormat="1" applyFill="1" applyBorder="1" applyAlignment="1">
      <alignment horizontal="right" vertical="center"/>
    </xf>
    <xf numFmtId="165" fontId="0" fillId="0" borderId="51" xfId="0" applyNumberFormat="1" applyBorder="1" applyAlignment="1">
      <alignment horizontal="right" vertical="center"/>
    </xf>
    <xf numFmtId="165" fontId="0" fillId="0" borderId="51" xfId="0" applyNumberFormat="1" applyFill="1" applyBorder="1"/>
    <xf numFmtId="165" fontId="0" fillId="0" borderId="51" xfId="0" applyNumberFormat="1" applyFill="1" applyBorder="1" applyAlignment="1">
      <alignment horizontal="right" vertical="center"/>
    </xf>
    <xf numFmtId="20" fontId="51" fillId="0" borderId="40" xfId="23" applyNumberFormat="1" applyFont="1" applyFill="1" applyBorder="1" applyAlignment="1">
      <alignment horizontal="center"/>
    </xf>
    <xf numFmtId="20" fontId="51" fillId="0" borderId="40" xfId="23" applyNumberFormat="1" applyFont="1" applyFill="1" applyBorder="1" applyAlignment="1" applyProtection="1">
      <alignment horizontal="center"/>
    </xf>
    <xf numFmtId="0" fontId="51" fillId="0" borderId="40" xfId="23" applyFont="1" applyBorder="1"/>
    <xf numFmtId="0" fontId="51" fillId="0" borderId="40" xfId="23" applyFont="1" applyFill="1" applyBorder="1"/>
    <xf numFmtId="0" fontId="51" fillId="0" borderId="40" xfId="23" applyFont="1" applyFill="1" applyBorder="1" applyAlignment="1">
      <alignment horizontal="center" vertical="center"/>
    </xf>
    <xf numFmtId="164" fontId="51" fillId="0" borderId="40" xfId="23" applyNumberFormat="1" applyFont="1" applyFill="1" applyBorder="1" applyAlignment="1">
      <alignment horizontal="center" vertical="center"/>
    </xf>
    <xf numFmtId="172" fontId="2" fillId="0" borderId="40" xfId="24" applyNumberFormat="1" applyFont="1" applyFill="1" applyBorder="1"/>
    <xf numFmtId="173" fontId="51" fillId="0" borderId="40" xfId="23" applyNumberFormat="1" applyFont="1" applyFill="1" applyBorder="1" applyAlignment="1">
      <alignment horizontal="center"/>
    </xf>
    <xf numFmtId="0" fontId="51" fillId="0" borderId="0" xfId="23" applyFont="1"/>
    <xf numFmtId="172" fontId="2" fillId="0" borderId="40" xfId="24" applyNumberFormat="1" applyFont="1" applyFill="1" applyBorder="1" applyProtection="1"/>
    <xf numFmtId="0" fontId="51" fillId="0" borderId="40" xfId="23" applyFont="1" applyFill="1" applyBorder="1" applyProtection="1"/>
    <xf numFmtId="0" fontId="51" fillId="0" borderId="40" xfId="23" applyFont="1" applyFill="1" applyBorder="1" applyAlignment="1" applyProtection="1">
      <alignment horizontal="center" vertical="center"/>
    </xf>
    <xf numFmtId="164" fontId="51" fillId="0" borderId="40" xfId="23" applyNumberFormat="1" applyFont="1" applyFill="1" applyBorder="1" applyAlignment="1" applyProtection="1">
      <alignment horizontal="center" vertical="center"/>
    </xf>
    <xf numFmtId="0" fontId="52" fillId="0" borderId="40" xfId="23" applyFont="1" applyFill="1" applyBorder="1" applyProtection="1"/>
    <xf numFmtId="0" fontId="52" fillId="0" borderId="40" xfId="23" applyFont="1" applyFill="1" applyBorder="1"/>
    <xf numFmtId="17" fontId="51" fillId="0" borderId="40" xfId="23" quotePrefix="1" applyNumberFormat="1" applyFont="1" applyFill="1" applyBorder="1" applyAlignment="1">
      <alignment horizontal="center" vertical="center"/>
    </xf>
    <xf numFmtId="0" fontId="51" fillId="0" borderId="0" xfId="23" applyFont="1" applyFill="1"/>
    <xf numFmtId="0" fontId="51" fillId="0" borderId="46" xfId="23" applyFont="1" applyFill="1" applyBorder="1"/>
    <xf numFmtId="0" fontId="51" fillId="0" borderId="46" xfId="23" applyFont="1" applyBorder="1"/>
    <xf numFmtId="0" fontId="51" fillId="0" borderId="46" xfId="23" applyFont="1" applyBorder="1" applyAlignment="1">
      <alignment horizontal="center" vertical="center"/>
    </xf>
    <xf numFmtId="0" fontId="52" fillId="0" borderId="0" xfId="23" applyFont="1"/>
    <xf numFmtId="0" fontId="52" fillId="0" borderId="12" xfId="23" applyFont="1" applyBorder="1" applyAlignment="1">
      <alignment horizontal="center" vertical="center"/>
    </xf>
    <xf numFmtId="0" fontId="52" fillId="0" borderId="14" xfId="23" applyFont="1" applyBorder="1" applyAlignment="1">
      <alignment horizontal="center" vertical="center"/>
    </xf>
    <xf numFmtId="0" fontId="52" fillId="0" borderId="14" xfId="23" applyFont="1" applyBorder="1"/>
    <xf numFmtId="46" fontId="52" fillId="0" borderId="14" xfId="23" applyNumberFormat="1" applyFont="1" applyFill="1" applyBorder="1" applyAlignment="1">
      <alignment horizontal="center" vertical="center"/>
    </xf>
    <xf numFmtId="0" fontId="4" fillId="12" borderId="0" xfId="23" applyFont="1" applyFill="1"/>
    <xf numFmtId="0" fontId="52" fillId="0" borderId="18" xfId="23" applyFont="1" applyFill="1" applyBorder="1" applyAlignment="1">
      <alignment horizontal="center" vertical="center"/>
    </xf>
    <xf numFmtId="44" fontId="52" fillId="0" borderId="13" xfId="10" applyFont="1" applyFill="1" applyBorder="1" applyAlignment="1">
      <alignment horizontal="center" vertical="center"/>
    </xf>
    <xf numFmtId="46" fontId="52" fillId="0" borderId="19" xfId="23" applyNumberFormat="1" applyFont="1" applyFill="1" applyBorder="1" applyAlignment="1">
      <alignment horizontal="center" vertical="center"/>
    </xf>
    <xf numFmtId="46" fontId="52" fillId="0" borderId="17" xfId="23" applyNumberFormat="1" applyFont="1" applyFill="1" applyBorder="1" applyAlignment="1">
      <alignment horizontal="center" vertical="center"/>
    </xf>
    <xf numFmtId="0" fontId="4" fillId="0" borderId="0" xfId="23" applyFont="1" applyFill="1" applyAlignment="1">
      <alignment horizontal="center"/>
    </xf>
    <xf numFmtId="20" fontId="1" fillId="0" borderId="40" xfId="25" applyNumberFormat="1" applyFont="1" applyFill="1" applyBorder="1" applyAlignment="1">
      <alignment horizontal="center"/>
    </xf>
    <xf numFmtId="0" fontId="52" fillId="0" borderId="46" xfId="23" applyFont="1" applyFill="1" applyBorder="1"/>
    <xf numFmtId="0" fontId="4" fillId="0" borderId="0" xfId="23" applyFont="1" applyFill="1"/>
    <xf numFmtId="0" fontId="52" fillId="0" borderId="14" xfId="23" applyFont="1" applyFill="1" applyBorder="1"/>
    <xf numFmtId="20" fontId="52" fillId="0" borderId="40" xfId="23" applyNumberFormat="1" applyFont="1" applyFill="1" applyBorder="1" applyAlignment="1">
      <alignment horizontal="center"/>
    </xf>
    <xf numFmtId="0" fontId="52" fillId="0" borderId="56" xfId="23" applyFont="1" applyBorder="1" applyAlignment="1">
      <alignment horizontal="center" vertical="center"/>
    </xf>
    <xf numFmtId="0" fontId="53" fillId="0" borderId="57" xfId="23" applyFont="1" applyBorder="1" applyAlignment="1">
      <alignment horizontal="center" vertical="center"/>
    </xf>
    <xf numFmtId="0" fontId="54" fillId="0" borderId="40" xfId="23" applyFont="1" applyFill="1" applyBorder="1" applyAlignment="1">
      <alignment horizontal="center" vertical="center" wrapText="1"/>
    </xf>
    <xf numFmtId="0" fontId="53" fillId="0" borderId="0" xfId="23" applyFont="1" applyAlignment="1">
      <alignment horizontal="center" vertical="center" wrapText="1"/>
    </xf>
    <xf numFmtId="0" fontId="53" fillId="0" borderId="51" xfId="23" applyFont="1" applyFill="1" applyBorder="1" applyAlignment="1">
      <alignment horizontal="center" vertical="center" wrapText="1"/>
    </xf>
    <xf numFmtId="0" fontId="54" fillId="0" borderId="51" xfId="23" applyFont="1" applyFill="1" applyBorder="1" applyAlignment="1">
      <alignment horizontal="center" vertical="center" wrapText="1"/>
    </xf>
    <xf numFmtId="14" fontId="42" fillId="0" borderId="0" xfId="23" applyNumberFormat="1" applyFill="1"/>
    <xf numFmtId="44" fontId="42" fillId="0" borderId="0" xfId="10" applyFont="1" applyFill="1"/>
    <xf numFmtId="16" fontId="1" fillId="0" borderId="0" xfId="0" applyNumberFormat="1" applyFont="1"/>
    <xf numFmtId="2" fontId="51" fillId="0" borderId="40" xfId="23" applyNumberFormat="1" applyFont="1" applyFill="1" applyBorder="1" applyAlignment="1">
      <alignment horizontal="center" vertical="center"/>
    </xf>
    <xf numFmtId="2" fontId="3" fillId="0" borderId="40" xfId="23" applyNumberFormat="1" applyFont="1" applyFill="1" applyBorder="1"/>
    <xf numFmtId="44" fontId="4" fillId="0" borderId="0" xfId="10" applyFont="1" applyFill="1"/>
    <xf numFmtId="2" fontId="51" fillId="0" borderId="40" xfId="23" quotePrefix="1" applyNumberFormat="1" applyFont="1" applyFill="1" applyBorder="1" applyAlignment="1">
      <alignment horizontal="left" vertical="center"/>
    </xf>
    <xf numFmtId="43" fontId="42" fillId="0" borderId="40" xfId="22" applyFont="1" applyFill="1" applyBorder="1" applyAlignment="1">
      <alignment horizontal="left"/>
    </xf>
    <xf numFmtId="2" fontId="51" fillId="0" borderId="46" xfId="23" quotePrefix="1" applyNumberFormat="1" applyFont="1" applyFill="1" applyBorder="1" applyAlignment="1">
      <alignment horizontal="left" vertical="center"/>
    </xf>
    <xf numFmtId="43" fontId="3" fillId="0" borderId="46" xfId="22" applyFont="1" applyFill="1" applyBorder="1" applyAlignment="1">
      <alignment horizontal="left"/>
    </xf>
    <xf numFmtId="2" fontId="0" fillId="0" borderId="40" xfId="0" applyNumberFormat="1" applyFill="1" applyBorder="1" applyAlignment="1">
      <alignment horizontal="left"/>
    </xf>
    <xf numFmtId="43" fontId="42" fillId="0" borderId="0" xfId="23" applyNumberFormat="1" applyFill="1"/>
    <xf numFmtId="14" fontId="42" fillId="0" borderId="0" xfId="23" applyNumberFormat="1"/>
    <xf numFmtId="0" fontId="3" fillId="0" borderId="0" xfId="23" applyFont="1"/>
    <xf numFmtId="0" fontId="3" fillId="0" borderId="0" xfId="23" applyFont="1" applyAlignment="1">
      <alignment horizontal="center" vertical="center"/>
    </xf>
    <xf numFmtId="0" fontId="4" fillId="0" borderId="0" xfId="23" applyFont="1" applyFill="1" applyAlignment="1">
      <alignment horizontal="center" vertical="center"/>
    </xf>
    <xf numFmtId="0" fontId="42" fillId="0" borderId="0" xfId="23" applyFill="1" applyAlignment="1">
      <alignment horizontal="center" vertical="center"/>
    </xf>
    <xf numFmtId="44" fontId="42" fillId="0" borderId="0" xfId="23" applyNumberFormat="1" applyFill="1" applyAlignment="1">
      <alignment horizontal="center" vertical="center"/>
    </xf>
    <xf numFmtId="0" fontId="3" fillId="0" borderId="0" xfId="23" applyFont="1" applyFill="1" applyBorder="1"/>
    <xf numFmtId="174" fontId="53" fillId="0" borderId="0" xfId="23" applyNumberFormat="1" applyFont="1" applyFill="1" applyBorder="1" applyAlignment="1">
      <alignment horizontal="center"/>
    </xf>
    <xf numFmtId="0" fontId="3" fillId="0" borderId="0" xfId="23" quotePrefix="1" applyFont="1"/>
    <xf numFmtId="14" fontId="42" fillId="0" borderId="0" xfId="23" applyNumberFormat="1" applyAlignment="1">
      <alignment horizontal="center" vertical="center"/>
    </xf>
    <xf numFmtId="44" fontId="42" fillId="0" borderId="0" xfId="10" applyFont="1"/>
    <xf numFmtId="0" fontId="1" fillId="0" borderId="0" xfId="0" applyFont="1" applyAlignment="1">
      <alignment horizontal="center" vertical="center"/>
    </xf>
    <xf numFmtId="0" fontId="14" fillId="0" borderId="36" xfId="5" applyFont="1" applyFill="1" applyBorder="1" applyAlignment="1">
      <alignment horizontal="right" vertical="center" wrapText="1"/>
    </xf>
    <xf numFmtId="0" fontId="14" fillId="0" borderId="20" xfId="5" applyFont="1" applyFill="1" applyBorder="1" applyAlignment="1">
      <alignment horizontal="right" vertical="center" wrapText="1"/>
    </xf>
    <xf numFmtId="0" fontId="14" fillId="0" borderId="8" xfId="5" applyFont="1" applyFill="1" applyBorder="1" applyAlignment="1">
      <alignment horizontal="right" vertical="center" wrapText="1"/>
    </xf>
    <xf numFmtId="0" fontId="14" fillId="0" borderId="37" xfId="5" applyFont="1" applyFill="1" applyBorder="1" applyAlignment="1">
      <alignment horizontal="right" vertical="center" wrapText="1"/>
    </xf>
    <xf numFmtId="9" fontId="46" fillId="0" borderId="12" xfId="5" applyNumberFormat="1" applyFont="1" applyBorder="1" applyAlignment="1">
      <alignment horizontal="center" vertical="center"/>
    </xf>
    <xf numFmtId="9" fontId="46" fillId="0" borderId="13" xfId="5" applyNumberFormat="1" applyFont="1" applyBorder="1" applyAlignment="1">
      <alignment horizontal="center" vertical="center"/>
    </xf>
    <xf numFmtId="0" fontId="14" fillId="0" borderId="27" xfId="5" applyFont="1" applyBorder="1" applyAlignment="1">
      <alignment horizontal="center"/>
    </xf>
    <xf numFmtId="0" fontId="14" fillId="0" borderId="28" xfId="5" applyFont="1" applyBorder="1" applyAlignment="1">
      <alignment horizontal="center"/>
    </xf>
    <xf numFmtId="0" fontId="14" fillId="0" borderId="29" xfId="5" applyFont="1" applyBorder="1" applyAlignment="1">
      <alignment horizontal="center"/>
    </xf>
    <xf numFmtId="0" fontId="17" fillId="0" borderId="12" xfId="5" applyFont="1" applyFill="1" applyBorder="1" applyAlignment="1">
      <alignment horizontal="center" vertical="center" wrapText="1"/>
    </xf>
    <xf numFmtId="0" fontId="17" fillId="0" borderId="13" xfId="5" applyFont="1" applyFill="1" applyBorder="1" applyAlignment="1">
      <alignment horizontal="center" vertical="center" wrapText="1"/>
    </xf>
    <xf numFmtId="0" fontId="17" fillId="0" borderId="12" xfId="5" applyFont="1" applyBorder="1" applyAlignment="1">
      <alignment horizontal="center" vertical="center"/>
    </xf>
    <xf numFmtId="0" fontId="17" fillId="0" borderId="13" xfId="5" applyFont="1" applyBorder="1" applyAlignment="1">
      <alignment horizontal="center" vertical="center"/>
    </xf>
    <xf numFmtId="0" fontId="17" fillId="0" borderId="31" xfId="5" applyFont="1" applyBorder="1" applyAlignment="1">
      <alignment horizontal="center" vertical="center"/>
    </xf>
    <xf numFmtId="0" fontId="17" fillId="0" borderId="32" xfId="5" applyFont="1" applyBorder="1" applyAlignment="1">
      <alignment horizontal="center" vertical="center"/>
    </xf>
    <xf numFmtId="0" fontId="17" fillId="0" borderId="33" xfId="5" applyFont="1" applyBorder="1" applyAlignment="1">
      <alignment horizontal="center" vertical="center"/>
    </xf>
    <xf numFmtId="0" fontId="14" fillId="0" borderId="2" xfId="5" applyFont="1" applyFill="1" applyBorder="1" applyAlignment="1">
      <alignment horizontal="right" vertical="center" wrapText="1"/>
    </xf>
    <xf numFmtId="0" fontId="14" fillId="0" borderId="3" xfId="5" applyFont="1" applyFill="1" applyBorder="1" applyAlignment="1">
      <alignment horizontal="right" vertical="center" wrapText="1"/>
    </xf>
    <xf numFmtId="0" fontId="17" fillId="0" borderId="34" xfId="16" applyFont="1" applyBorder="1" applyAlignment="1" applyProtection="1">
      <alignment horizontal="center" vertical="center" wrapText="1"/>
    </xf>
    <xf numFmtId="0" fontId="17" fillId="0" borderId="35" xfId="16" applyFont="1" applyBorder="1" applyAlignment="1" applyProtection="1">
      <alignment horizontal="center" vertical="center" wrapText="1"/>
    </xf>
    <xf numFmtId="0" fontId="14" fillId="0" borderId="6" xfId="5" applyFont="1" applyFill="1" applyBorder="1" applyAlignment="1">
      <alignment horizontal="right" vertical="center" wrapText="1"/>
    </xf>
    <xf numFmtId="0" fontId="14" fillId="0" borderId="1" xfId="5" applyFont="1" applyFill="1" applyBorder="1" applyAlignment="1">
      <alignment horizontal="right" vertical="center" wrapText="1"/>
    </xf>
    <xf numFmtId="0" fontId="13" fillId="0" borderId="17" xfId="5" applyFont="1" applyBorder="1" applyAlignment="1">
      <alignment horizontal="center" vertical="center"/>
    </xf>
    <xf numFmtId="0" fontId="13" fillId="0" borderId="18" xfId="5" applyFont="1" applyBorder="1" applyAlignment="1">
      <alignment horizontal="center" vertical="center"/>
    </xf>
    <xf numFmtId="0" fontId="13" fillId="0" borderId="19" xfId="5" applyFont="1" applyBorder="1" applyAlignment="1">
      <alignment horizontal="center" vertical="center"/>
    </xf>
    <xf numFmtId="0" fontId="13" fillId="0" borderId="21" xfId="5" applyFont="1" applyBorder="1" applyAlignment="1">
      <alignment horizontal="center" vertical="center"/>
    </xf>
    <xf numFmtId="0" fontId="13" fillId="0" borderId="0" xfId="5" applyFont="1" applyBorder="1" applyAlignment="1">
      <alignment horizontal="center" vertical="center"/>
    </xf>
    <xf numFmtId="0" fontId="13" fillId="0" borderId="22" xfId="5" applyFont="1" applyBorder="1" applyAlignment="1">
      <alignment horizontal="center" vertical="center"/>
    </xf>
    <xf numFmtId="0" fontId="13" fillId="0" borderId="23" xfId="5" applyFont="1" applyBorder="1" applyAlignment="1">
      <alignment horizontal="center" vertical="center"/>
    </xf>
    <xf numFmtId="0" fontId="13" fillId="0" borderId="24" xfId="5" applyFont="1" applyBorder="1" applyAlignment="1">
      <alignment horizontal="center" vertical="center"/>
    </xf>
    <xf numFmtId="0" fontId="13" fillId="0" borderId="25" xfId="5" applyFont="1" applyBorder="1" applyAlignment="1">
      <alignment horizontal="center" vertical="center"/>
    </xf>
    <xf numFmtId="0" fontId="14" fillId="0" borderId="20" xfId="5" applyFont="1" applyBorder="1" applyAlignment="1">
      <alignment horizontal="center"/>
    </xf>
    <xf numFmtId="0" fontId="14" fillId="0" borderId="1" xfId="5" applyFont="1" applyBorder="1" applyAlignment="1">
      <alignment horizontal="center"/>
    </xf>
    <xf numFmtId="0" fontId="15" fillId="0" borderId="12" xfId="5" applyFont="1" applyBorder="1" applyAlignment="1">
      <alignment horizontal="center" vertical="center"/>
    </xf>
    <xf numFmtId="0" fontId="15" fillId="0" borderId="14" xfId="5" applyFont="1" applyBorder="1" applyAlignment="1">
      <alignment horizontal="center" vertical="center"/>
    </xf>
    <xf numFmtId="0" fontId="15" fillId="0" borderId="13" xfId="5" applyFont="1" applyBorder="1" applyAlignment="1">
      <alignment horizontal="center" vertical="center"/>
    </xf>
    <xf numFmtId="0" fontId="17" fillId="0" borderId="17" xfId="5" applyFont="1" applyBorder="1" applyAlignment="1">
      <alignment horizontal="center" vertical="center"/>
    </xf>
    <xf numFmtId="0" fontId="17" fillId="0" borderId="19" xfId="5" applyFont="1" applyBorder="1" applyAlignment="1">
      <alignment horizontal="center" vertical="center"/>
    </xf>
    <xf numFmtId="0" fontId="17" fillId="0" borderId="23" xfId="5" applyFont="1" applyBorder="1" applyAlignment="1">
      <alignment horizontal="center" vertical="center"/>
    </xf>
    <xf numFmtId="0" fontId="17" fillId="0" borderId="25" xfId="5" applyFont="1" applyBorder="1" applyAlignment="1">
      <alignment horizontal="center" vertical="center"/>
    </xf>
    <xf numFmtId="168" fontId="17" fillId="0" borderId="19" xfId="3" applyFont="1" applyBorder="1" applyAlignment="1">
      <alignment horizontal="center" vertical="center"/>
    </xf>
    <xf numFmtId="168" fontId="17" fillId="0" borderId="25" xfId="3" applyFont="1" applyBorder="1" applyAlignment="1">
      <alignment horizontal="center" vertical="center"/>
    </xf>
    <xf numFmtId="0" fontId="43" fillId="0" borderId="12" xfId="23" applyFont="1" applyBorder="1" applyAlignment="1">
      <alignment horizontal="center"/>
    </xf>
    <xf numFmtId="0" fontId="43" fillId="0" borderId="14" xfId="23" applyFont="1" applyBorder="1" applyAlignment="1">
      <alignment horizontal="center"/>
    </xf>
    <xf numFmtId="0" fontId="43" fillId="0" borderId="13" xfId="23" applyFont="1" applyBorder="1" applyAlignment="1">
      <alignment horizontal="center"/>
    </xf>
    <xf numFmtId="0" fontId="4" fillId="0" borderId="51" xfId="23" applyFont="1" applyBorder="1" applyAlignment="1">
      <alignment horizontal="center"/>
    </xf>
    <xf numFmtId="46" fontId="52" fillId="0" borderId="52" xfId="23" applyNumberFormat="1" applyFont="1" applyFill="1" applyBorder="1" applyAlignment="1">
      <alignment horizontal="center"/>
    </xf>
    <xf numFmtId="0" fontId="52" fillId="0" borderId="51" xfId="23" applyFont="1" applyFill="1" applyBorder="1" applyAlignment="1">
      <alignment horizontal="center"/>
    </xf>
    <xf numFmtId="0" fontId="52" fillId="0" borderId="53" xfId="23" applyFont="1" applyFill="1" applyBorder="1" applyAlignment="1">
      <alignment horizontal="center"/>
    </xf>
    <xf numFmtId="174" fontId="53" fillId="0" borderId="8" xfId="23" applyNumberFormat="1" applyFont="1" applyFill="1" applyBorder="1" applyAlignment="1">
      <alignment horizontal="center"/>
    </xf>
    <xf numFmtId="174" fontId="53" fillId="0" borderId="54" xfId="23" applyNumberFormat="1" applyFont="1" applyFill="1" applyBorder="1" applyAlignment="1">
      <alignment horizontal="center"/>
    </xf>
    <xf numFmtId="174" fontId="53" fillId="0" borderId="55" xfId="23" applyNumberFormat="1" applyFont="1" applyFill="1" applyBorder="1" applyAlignment="1">
      <alignment horizontal="center"/>
    </xf>
    <xf numFmtId="0" fontId="14" fillId="15" borderId="36" xfId="5" applyFont="1" applyFill="1" applyBorder="1" applyAlignment="1">
      <alignment horizontal="right" vertical="center" wrapText="1"/>
    </xf>
    <xf numFmtId="0" fontId="14" fillId="15" borderId="20" xfId="5" applyFont="1" applyFill="1" applyBorder="1" applyAlignment="1">
      <alignment horizontal="right" vertical="center" wrapText="1"/>
    </xf>
    <xf numFmtId="0" fontId="14" fillId="15" borderId="8" xfId="5" applyFont="1" applyFill="1" applyBorder="1" applyAlignment="1">
      <alignment horizontal="right" vertical="center" wrapText="1"/>
    </xf>
    <xf numFmtId="0" fontId="14" fillId="15" borderId="37" xfId="5" applyFont="1" applyFill="1" applyBorder="1" applyAlignment="1">
      <alignment horizontal="right" vertical="center" wrapText="1"/>
    </xf>
    <xf numFmtId="0" fontId="14" fillId="15" borderId="2" xfId="5" applyFont="1" applyFill="1" applyBorder="1" applyAlignment="1">
      <alignment horizontal="right" vertical="center" wrapText="1"/>
    </xf>
    <xf numFmtId="0" fontId="14" fillId="15" borderId="3" xfId="5" applyFont="1" applyFill="1" applyBorder="1" applyAlignment="1">
      <alignment horizontal="right" vertical="center" wrapText="1"/>
    </xf>
    <xf numFmtId="0" fontId="14" fillId="15" borderId="6" xfId="5" applyFont="1" applyFill="1" applyBorder="1" applyAlignment="1">
      <alignment horizontal="right" vertical="center" wrapText="1"/>
    </xf>
    <xf numFmtId="0" fontId="14" fillId="15" borderId="1" xfId="5" applyFont="1" applyFill="1" applyBorder="1" applyAlignment="1">
      <alignment horizontal="right" vertical="center" wrapText="1"/>
    </xf>
    <xf numFmtId="44" fontId="1" fillId="7" borderId="0" xfId="10" applyFont="1" applyFill="1" applyAlignment="1">
      <alignment horizontal="center"/>
    </xf>
    <xf numFmtId="44" fontId="1" fillId="11" borderId="0" xfId="10" applyFont="1" applyFill="1" applyAlignment="1">
      <alignment horizontal="center"/>
    </xf>
    <xf numFmtId="0" fontId="1" fillId="0" borderId="1" xfId="0" applyFont="1" applyBorder="1" applyAlignment="1">
      <alignment horizontal="center" vertical="center"/>
    </xf>
    <xf numFmtId="4" fontId="3" fillId="0" borderId="10" xfId="1" applyNumberFormat="1" applyBorder="1" applyAlignment="1">
      <alignment horizontal="center" vertical="center"/>
    </xf>
    <xf numFmtId="4" fontId="3" fillId="0" borderId="11" xfId="1" applyNumberFormat="1" applyBorder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7" fillId="17" borderId="0" xfId="17" applyFill="1" applyAlignment="1">
      <alignment horizontal="center" vertical="center"/>
    </xf>
    <xf numFmtId="0" fontId="7" fillId="18" borderId="0" xfId="17" applyFill="1" applyAlignment="1">
      <alignment horizontal="center" vertical="center"/>
    </xf>
    <xf numFmtId="0" fontId="7" fillId="7" borderId="0" xfId="17" applyFill="1" applyAlignment="1">
      <alignment horizontal="center" vertical="center"/>
    </xf>
    <xf numFmtId="0" fontId="14" fillId="9" borderId="1" xfId="17" applyFont="1" applyFill="1" applyBorder="1" applyAlignment="1">
      <alignment horizontal="center" vertical="center"/>
    </xf>
  </cellXfs>
  <cellStyles count="26">
    <cellStyle name="Ênfase1_INVENTARIOS" xfId="12"/>
    <cellStyle name="Ênfase2_INVENTARIOS" xfId="13"/>
    <cellStyle name="Hyperlink" xfId="11" builtinId="8"/>
    <cellStyle name="Hyperlink 2" xfId="2"/>
    <cellStyle name="Hyperlink 3" xfId="20"/>
    <cellStyle name="Hyperlink_Controles_2011-110912-1423" xfId="14"/>
    <cellStyle name="Hyperlink_INVENTARIOS" xfId="15"/>
    <cellStyle name="Hyperlink_ORDENS_110222-2214" xfId="16"/>
    <cellStyle name="Moeda" xfId="10" builtinId="4"/>
    <cellStyle name="Moeda 2" xfId="3"/>
    <cellStyle name="Moeda 2 2" xfId="4"/>
    <cellStyle name="Moeda 3" xfId="21"/>
    <cellStyle name="Moeda 4" xfId="24"/>
    <cellStyle name="Normal" xfId="0" builtinId="0"/>
    <cellStyle name="Normal 2" xfId="5"/>
    <cellStyle name="Normal 3" xfId="1"/>
    <cellStyle name="Normal 4" xfId="6"/>
    <cellStyle name="Normal 5" xfId="23"/>
    <cellStyle name="Normal_Calculo Preço-v02" xfId="17"/>
    <cellStyle name="Normal_INVENTARIOS" xfId="18"/>
    <cellStyle name="Nota 2" xfId="7"/>
    <cellStyle name="Porcentagem 2" xfId="8"/>
    <cellStyle name="Separador de milhares" xfId="22" builtinId="3"/>
    <cellStyle name="Separador de milhares 2" xfId="9"/>
    <cellStyle name="Separador de milhares 3" xfId="25"/>
    <cellStyle name="Separador de milhares_Calculo Preço-v02" xfId="19"/>
  </cellStyles>
  <dxfs count="152">
    <dxf>
      <font>
        <b/>
        <i val="0"/>
      </font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numFmt numFmtId="165" formatCode="#,##0.00_ ;[Red]\-#,##0.00\ "/>
    </dxf>
    <dxf>
      <numFmt numFmtId="165" formatCode="#,##0.00_ ;[Red]\-#,##0.00\ "/>
    </dxf>
    <dxf>
      <alignment vertical="center" readingOrder="0"/>
    </dxf>
    <dxf>
      <alignment vertical="center" readingOrder="0"/>
    </dxf>
    <dxf>
      <alignment vertic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numFmt numFmtId="4" formatCode="#,##0.00"/>
    </dxf>
    <dxf>
      <fill>
        <patternFill patternType="none">
          <fgColor indexed="64"/>
          <bgColor indexed="65"/>
        </patternFill>
      </fill>
    </dxf>
    <dxf>
      <alignment vertical="center" readingOrder="0"/>
    </dxf>
    <dxf>
      <alignment horizontal="center" readingOrder="0"/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none">
          <fgColor indexed="64"/>
          <bgColor indexed="65"/>
        </patternFill>
      </fill>
      <alignment indent="1" relativeIndent="0" readingOrder="0"/>
    </dxf>
    <dxf>
      <fill>
        <patternFill patternType="none">
          <fgColor indexed="64"/>
          <bgColor indexed="65"/>
        </patternFill>
      </fill>
      <alignment indent="1" relativeIndent="0" readingOrder="0"/>
    </dxf>
    <dxf>
      <fill>
        <patternFill patternType="none">
          <bgColor auto="1"/>
        </patternFill>
      </fill>
    </dxf>
    <dxf>
      <border>
        <left style="thin">
          <color indexed="64"/>
        </left>
        <right style="thin">
          <color indexed="64"/>
        </right>
        <top style="thin">
          <color indexed="64"/>
        </top>
        <vertical style="thin">
          <color indexed="64"/>
        </vertical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 patternType="solid">
          <bgColor theme="0"/>
        </patternFill>
      </fill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alignment horizontal="right" readingOrder="0"/>
    </dxf>
    <dxf>
      <alignment horizontal="right" readingOrder="0"/>
    </dxf>
    <dxf>
      <alignment horizontal="right" readingOrder="0"/>
    </dxf>
    <dxf>
      <numFmt numFmtId="4" formatCode="#,##0.00"/>
    </dxf>
    <dxf>
      <numFmt numFmtId="4" formatCode="#,##0.00"/>
    </dxf>
    <dxf>
      <numFmt numFmtId="4" formatCode="#,##0.00"/>
    </dxf>
    <dxf>
      <alignment horizontal="center" readingOrder="0"/>
    </dxf>
    <dxf>
      <alignment vertical="center" readingOrder="0"/>
    </dxf>
    <dxf>
      <alignment horizontal="center" readingOrder="0"/>
    </dxf>
    <dxf>
      <alignment vertical="center" readingOrder="0"/>
    </dxf>
    <dxf>
      <alignment horizontal="center" readingOrder="0"/>
    </dxf>
    <dxf>
      <alignment vertical="center" readingOrder="0"/>
    </dxf>
    <dxf>
      <border>
        <top style="thin">
          <color auto="1"/>
        </top>
        <bottom style="thin">
          <color auto="1"/>
        </bottom>
        <horizontal style="thin">
          <color auto="1"/>
        </horizontal>
      </border>
    </dxf>
    <dxf>
      <border>
        <top style="thin">
          <color auto="1"/>
        </top>
        <bottom style="thin">
          <color auto="1"/>
        </bottom>
        <horizontal style="thin">
          <color auto="1"/>
        </horizontal>
      </border>
    </dxf>
    <dxf>
      <border>
        <top style="thin">
          <color auto="1"/>
        </top>
        <bottom style="thin">
          <color auto="1"/>
        </bottom>
        <horizontal style="thin">
          <color auto="1"/>
        </horizontal>
      </border>
    </dxf>
    <dxf>
      <border>
        <top style="thin">
          <color auto="1"/>
        </top>
        <bottom style="thin">
          <color auto="1"/>
        </bottom>
        <horizontal style="thin">
          <color auto="1"/>
        </horizontal>
      </border>
    </dxf>
    <dxf>
      <border>
        <top style="thin">
          <color auto="1"/>
        </top>
        <bottom style="thin">
          <color auto="1"/>
        </bottom>
        <horizontal style="thin">
          <color auto="1"/>
        </horizontal>
      </border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numFmt numFmtId="165" formatCode="#,##0.00_ ;[Red]\-#,##0.00\ "/>
    </dxf>
    <dxf>
      <numFmt numFmtId="165" formatCode="#,##0.00_ ;[Red]\-#,##0.00\ "/>
    </dxf>
    <dxf>
      <alignment vertical="center" readingOrder="0"/>
    </dxf>
    <dxf>
      <alignment vertical="center" readingOrder="0"/>
    </dxf>
    <dxf>
      <alignment vertic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numFmt numFmtId="4" formatCode="#,##0.00"/>
    </dxf>
    <dxf>
      <fill>
        <patternFill patternType="none">
          <fgColor indexed="64"/>
          <bgColor indexed="65"/>
        </patternFill>
      </fill>
    </dxf>
    <dxf>
      <alignment vertical="center" readingOrder="0"/>
    </dxf>
    <dxf>
      <alignment horizontal="center" readingOrder="0"/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none">
          <fgColor indexed="64"/>
          <bgColor indexed="65"/>
        </patternFill>
      </fill>
      <alignment indent="1" relativeIndent="0" readingOrder="0"/>
    </dxf>
    <dxf>
      <fill>
        <patternFill patternType="none">
          <fgColor indexed="64"/>
          <bgColor indexed="65"/>
        </patternFill>
      </fill>
      <alignment indent="1" relativeIndent="0" readingOrder="0"/>
    </dxf>
    <dxf>
      <fill>
        <patternFill patternType="none">
          <bgColor auto="1"/>
        </patternFill>
      </fill>
    </dxf>
    <dxf>
      <border>
        <left style="thin">
          <color indexed="64"/>
        </left>
        <right style="thin">
          <color indexed="64"/>
        </right>
        <top style="thin">
          <color indexed="64"/>
        </top>
        <vertical style="thin">
          <color indexed="64"/>
        </vertical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 patternType="solid">
          <bgColor theme="0"/>
        </patternFill>
      </fill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alignment horizontal="right" readingOrder="0"/>
    </dxf>
    <dxf>
      <alignment horizontal="right" readingOrder="0"/>
    </dxf>
    <dxf>
      <alignment horizontal="right" readingOrder="0"/>
    </dxf>
    <dxf>
      <numFmt numFmtId="4" formatCode="#,##0.00"/>
    </dxf>
    <dxf>
      <numFmt numFmtId="4" formatCode="#,##0.00"/>
    </dxf>
    <dxf>
      <numFmt numFmtId="4" formatCode="#,##0.00"/>
    </dxf>
    <dxf>
      <alignment horizontal="center" readingOrder="0"/>
    </dxf>
    <dxf>
      <alignment vertical="center" readingOrder="0"/>
    </dxf>
    <dxf>
      <alignment horizontal="center" readingOrder="0"/>
    </dxf>
    <dxf>
      <alignment vertical="center" readingOrder="0"/>
    </dxf>
    <dxf>
      <alignment horizontal="center" readingOrder="0"/>
    </dxf>
    <dxf>
      <alignment vertical="center" readingOrder="0"/>
    </dxf>
    <dxf>
      <border>
        <top style="thin">
          <color auto="1"/>
        </top>
        <bottom style="thin">
          <color auto="1"/>
        </bottom>
        <horizontal style="thin">
          <color auto="1"/>
        </horizontal>
      </border>
    </dxf>
    <dxf>
      <border>
        <top style="thin">
          <color auto="1"/>
        </top>
        <bottom style="thin">
          <color auto="1"/>
        </bottom>
        <horizontal style="thin">
          <color auto="1"/>
        </horizontal>
      </border>
    </dxf>
    <dxf>
      <border>
        <top style="thin">
          <color auto="1"/>
        </top>
        <bottom style="thin">
          <color auto="1"/>
        </bottom>
        <horizontal style="thin">
          <color auto="1"/>
        </horizontal>
      </border>
    </dxf>
    <dxf>
      <border>
        <top style="thin">
          <color auto="1"/>
        </top>
        <bottom style="thin">
          <color auto="1"/>
        </bottom>
        <horizontal style="thin">
          <color auto="1"/>
        </horizontal>
      </border>
    </dxf>
    <dxf>
      <border>
        <top style="thin">
          <color auto="1"/>
        </top>
        <bottom style="thin">
          <color auto="1"/>
        </bottom>
        <horizontal style="thin">
          <color auto="1"/>
        </horizontal>
      </border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FF0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  <color auto="1"/>
      </font>
      <fill>
        <patternFill patternType="none">
          <bgColor auto="1"/>
        </patternFill>
      </fill>
    </dxf>
    <dxf>
      <font>
        <color theme="0"/>
      </font>
      <fill>
        <patternFill patternType="solid">
          <bgColor theme="1"/>
        </patternFill>
      </fill>
    </dxf>
    <dxf>
      <font>
        <color theme="0"/>
      </font>
      <fill>
        <patternFill patternType="solid">
          <bgColor theme="1"/>
        </patternFill>
      </fill>
    </dxf>
    <dxf>
      <font>
        <b/>
        <i val="0"/>
        <color auto="1"/>
      </font>
      <fill>
        <patternFill patternType="none">
          <bgColor auto="1"/>
        </patternFill>
      </fill>
    </dxf>
    <dxf>
      <font>
        <b/>
        <i val="0"/>
        <color theme="0"/>
      </font>
      <fill>
        <patternFill patternType="solid">
          <bgColor theme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alignment horizontal="center" vertical="center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indexed="65"/>
        </patternFill>
      </fill>
      <alignment horizontal="left" textRotation="0" wrapText="0" indent="0" relativeIndent="255" justifyLastLine="0" shrinkToFit="0" mergeCell="0" readingOrder="0"/>
      <border diagonalUp="0" diagonalDown="0" outline="0">
        <left/>
        <right/>
        <top style="thin">
          <color auto="1"/>
        </top>
        <bottom style="thin">
          <color auto="1"/>
        </bottom>
      </border>
    </dxf>
    <dxf>
      <numFmt numFmtId="2" formatCode="0.00"/>
      <fill>
        <patternFill patternType="none">
          <fgColor indexed="64"/>
          <bgColor indexed="65"/>
        </patternFill>
      </fill>
      <alignment horizontal="left" textRotation="0" wrapText="0" indent="0" relativeIndent="255" justifyLastLine="0" shrinkToFit="0" mergeCell="0" readingOrder="0"/>
      <border diagonalUp="0" diagonalDown="0" outline="0">
        <left/>
        <right/>
        <top style="thin">
          <color auto="1"/>
        </top>
        <bottom style="thin">
          <color auto="1"/>
        </bottom>
      </border>
    </dxf>
    <dxf>
      <numFmt numFmtId="2" formatCode="0.00"/>
      <fill>
        <patternFill patternType="none">
          <fgColor indexed="64"/>
          <bgColor indexed="65"/>
        </patternFill>
      </fill>
      <alignment horizontal="left" textRotation="0" wrapText="0" indent="0" relativeIndent="255" justifyLastLine="0" shrinkToFit="0" mergeCell="0" readingOrder="0"/>
    </dxf>
    <dxf>
      <numFmt numFmtId="2" formatCode="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scheme val="none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auto="1"/>
        </top>
        <bottom style="thin">
          <color auto="1"/>
        </bottom>
      </border>
    </dxf>
    <dxf>
      <font>
        <strike val="0"/>
        <outline val="0"/>
        <shadow val="0"/>
        <u val="none"/>
        <vertAlign val="baseline"/>
        <sz val="11"/>
      </font>
      <numFmt numFmtId="173" formatCode="h:mm"/>
      <fill>
        <patternFill patternType="none">
          <fgColor indexed="64"/>
          <bgColor indexed="65"/>
        </patternFill>
      </fill>
      <alignment horizontal="center" vertical="bottom" textRotation="0" wrapText="0" indent="0" relativeIndent="0" justifyLastLine="0" shrinkToFit="0" mergeCell="0" readingOrder="0"/>
      <border diagonalUp="0" diagonalDown="0" outline="0">
        <left/>
        <right/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scheme val="none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auto="1"/>
        </top>
        <bottom style="thin">
          <color auto="1"/>
        </bottom>
      </border>
    </dxf>
    <dxf>
      <font>
        <b/>
        <strike val="0"/>
        <outline val="0"/>
        <shadow val="0"/>
        <u val="none"/>
        <vertAlign val="baseline"/>
        <sz val="11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auto="1"/>
        </top>
        <bottom style="thin">
          <color auto="1"/>
        </bottom>
      </border>
    </dxf>
    <dxf>
      <font>
        <b/>
        <strike val="0"/>
        <outline val="0"/>
        <shadow val="0"/>
        <u val="none"/>
        <vertAlign val="baseline"/>
        <sz val="11"/>
      </font>
      <numFmt numFmtId="25" formatCode="hh:mm"/>
      <fill>
        <patternFill patternType="none">
          <fgColor indexed="64"/>
          <bgColor indexed="65"/>
        </patternFill>
      </fill>
      <alignment horizontal="center" vertical="bottom" textRotation="0" wrapText="0" indent="0" relativeIndent="0" justifyLastLine="0" shrinkToFit="0" mergeCell="0" readingOrder="0"/>
      <border diagonalUp="0" diagonalDown="0" outline="0">
        <left/>
        <right/>
        <top style="thin">
          <color auto="1"/>
        </top>
        <bottom style="thin">
          <color auto="1"/>
        </bottom>
      </border>
    </dxf>
    <dxf>
      <font>
        <strike val="0"/>
        <outline val="0"/>
        <shadow val="0"/>
        <u val="none"/>
        <vertAlign val="baseline"/>
        <sz val="11"/>
      </font>
      <numFmt numFmtId="25" formatCode="hh:mm"/>
      <fill>
        <patternFill patternType="none">
          <fgColor indexed="64"/>
          <bgColor indexed="65"/>
        </patternFill>
      </fill>
      <alignment horizontal="center" vertical="bottom" textRotation="0" wrapText="0" indent="0" relativeIndent="0" justifyLastLine="0" shrinkToFit="0" mergeCell="0" readingOrder="0"/>
      <border diagonalUp="0" diagonalDown="0" outline="0">
        <left/>
        <right/>
        <top style="thin">
          <color auto="1"/>
        </top>
        <bottom style="thin">
          <color auto="1"/>
        </bottom>
      </border>
    </dxf>
    <dxf>
      <font>
        <strike val="0"/>
        <outline val="0"/>
        <shadow val="0"/>
        <u val="none"/>
        <vertAlign val="baseline"/>
        <sz val="11"/>
      </font>
      <fill>
        <patternFill patternType="none">
          <fgColor indexed="64"/>
          <bgColor auto="1"/>
        </patternFill>
      </fill>
      <border diagonalUp="0" diagonalDown="0" outline="0">
        <left/>
        <right/>
        <top style="thin">
          <color auto="1"/>
        </top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25" formatCode="hh:mm"/>
      <fill>
        <patternFill patternType="none">
          <fgColor indexed="64"/>
          <bgColor indexed="65"/>
        </patternFill>
      </fill>
      <alignment horizontal="center" vertical="bottom" textRotation="0" wrapText="0" indent="0" relativeIndent="0" justifyLastLine="0" shrinkToFit="0" mergeCell="0" readingOrder="0"/>
      <border diagonalUp="0" diagonalDown="0" outline="0">
        <left/>
        <right/>
        <top style="thin">
          <color auto="1"/>
        </top>
        <bottom style="thin">
          <color auto="1"/>
        </bottom>
      </border>
    </dxf>
    <dxf>
      <font>
        <strike val="0"/>
        <outline val="0"/>
        <shadow val="0"/>
        <u val="none"/>
        <vertAlign val="baseline"/>
        <sz val="11"/>
      </font>
      <numFmt numFmtId="25" formatCode="hh:mm"/>
      <fill>
        <patternFill patternType="none">
          <fgColor indexed="64"/>
          <bgColor indexed="65"/>
        </patternFill>
      </fill>
      <alignment horizontal="center" vertical="bottom" textRotation="0" wrapText="0" indent="0" relativeIndent="0" justifyLastLine="0" shrinkToFit="0" mergeCell="0" readingOrder="0"/>
      <border diagonalUp="0" diagonalDown="0" outline="0">
        <left/>
        <right/>
        <top style="thin">
          <color auto="1"/>
        </top>
        <bottom style="thin">
          <color auto="1"/>
        </bottom>
      </border>
    </dxf>
    <dxf>
      <font>
        <strike val="0"/>
        <outline val="0"/>
        <shadow val="0"/>
        <u val="none"/>
        <vertAlign val="baseline"/>
        <sz val="11"/>
      </font>
      <fill>
        <patternFill patternType="none">
          <fgColor indexed="64"/>
          <bgColor auto="1"/>
        </patternFill>
      </fill>
      <border diagonalUp="0" diagonalDown="0" outline="0">
        <left/>
        <right/>
        <top style="thin">
          <color auto="1"/>
        </top>
        <bottom style="thin">
          <color auto="1"/>
        </bottom>
      </border>
    </dxf>
    <dxf>
      <font>
        <strike val="0"/>
        <outline val="0"/>
        <shadow val="0"/>
        <u val="none"/>
        <vertAlign val="baseline"/>
        <sz val="11"/>
      </font>
      <numFmt numFmtId="25" formatCode="hh:mm"/>
      <fill>
        <patternFill patternType="none">
          <fgColor indexed="64"/>
          <bgColor indexed="65"/>
        </patternFill>
      </fill>
      <alignment horizontal="center" vertical="bottom" textRotation="0" wrapText="0" indent="0" relativeIndent="0" justifyLastLine="0" shrinkToFit="0" mergeCell="0" readingOrder="0"/>
      <border diagonalUp="0" diagonalDown="0" outline="0">
        <left/>
        <right/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scheme val="none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auto="1"/>
        </top>
        <bottom style="thin">
          <color auto="1"/>
        </bottom>
      </border>
    </dxf>
    <dxf>
      <font>
        <strike val="0"/>
        <outline val="0"/>
        <shadow val="0"/>
        <u val="none"/>
        <vertAlign val="baseline"/>
        <sz val="11"/>
      </font>
      <numFmt numFmtId="164" formatCode="dd/mm/yy;@"/>
      <fill>
        <patternFill patternType="none">
          <fgColor indexed="64"/>
          <bgColor indexed="65"/>
        </patternFill>
      </fill>
      <alignment horizontal="center" vertical="center" textRotation="0" wrapText="0" indent="0" relativeIndent="0" justifyLastLine="0" shrinkToFit="0" mergeCell="0" readingOrder="0"/>
      <border diagonalUp="0" diagonalDown="0" outline="0">
        <left/>
        <right/>
        <top style="thin">
          <color auto="1"/>
        </top>
        <bottom style="thin">
          <color auto="1"/>
        </bottom>
      </border>
    </dxf>
    <dxf>
      <font>
        <strike val="0"/>
        <outline val="0"/>
        <shadow val="0"/>
        <u val="none"/>
        <vertAlign val="baseline"/>
        <sz val="11"/>
      </font>
      <fill>
        <patternFill patternType="none">
          <fgColor indexed="64"/>
          <bgColor indexed="65"/>
        </patternFill>
      </fill>
      <alignment horizontal="center" vertical="center" textRotation="0" wrapText="0" indent="0" relativeIndent="255" justifyLastLine="0" shrinkToFit="0" mergeCell="0" readingOrder="0"/>
      <border diagonalUp="0" diagonalDown="0" outline="0">
        <left/>
        <right/>
        <top style="thin">
          <color auto="1"/>
        </top>
        <bottom style="thin">
          <color auto="1"/>
        </bottom>
      </border>
    </dxf>
    <dxf>
      <font>
        <strike val="0"/>
        <outline val="0"/>
        <shadow val="0"/>
        <u val="none"/>
        <vertAlign val="baseline"/>
        <sz val="11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auto="1"/>
        </top>
        <bottom style="thin">
          <color auto="1"/>
        </bottom>
      </border>
    </dxf>
    <dxf>
      <font>
        <strike val="0"/>
        <outline val="0"/>
        <shadow val="0"/>
        <u val="none"/>
        <vertAlign val="baseline"/>
        <sz val="11"/>
      </font>
      <fill>
        <patternFill patternType="none">
          <fgColor indexed="64"/>
          <bgColor auto="1"/>
        </patternFill>
      </fill>
      <border diagonalUp="0" diagonalDown="0" outline="0">
        <left/>
        <right/>
        <top style="thin">
          <color auto="1"/>
        </top>
        <bottom style="thin">
          <color auto="1"/>
        </bottom>
      </border>
    </dxf>
    <dxf>
      <font>
        <strike val="0"/>
        <outline val="0"/>
        <shadow val="0"/>
        <u val="none"/>
        <vertAlign val="baseline"/>
        <sz val="11"/>
      </font>
      <fill>
        <patternFill patternType="none">
          <fgColor indexed="64"/>
          <bgColor auto="1"/>
        </patternFill>
      </fill>
    </dxf>
    <dxf>
      <border>
        <bottom style="thin">
          <color auto="1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Arial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relativeIndent="255" justifyLastLine="0" shrinkToFit="0" mergeCell="0" readingOrder="0"/>
    </dxf>
    <dxf>
      <font>
        <b/>
        <i val="0"/>
        <color auto="1"/>
      </font>
      <fill>
        <patternFill patternType="none">
          <bgColor auto="1"/>
        </patternFill>
      </fill>
    </dxf>
    <dxf>
      <font>
        <b/>
        <i val="0"/>
        <condense val="0"/>
        <extend val="0"/>
      </font>
    </dxf>
  </dxfs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microsoft.com/office/2006/relationships/vbaProject" Target="vbaProject.bin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pivotCacheDefinition" Target="pivotCache/pivotCacheDefinition2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pivotCacheDefinition" Target="pivotCache/pivotCacheDefinition1.xml"/><Relationship Id="rId38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externalLink" Target="externalLinks/externalLink3.xml"/><Relationship Id="rId37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externalLink" Target="externalLinks/externalLink2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externalLink" Target="externalLinks/externalLink1.xml"/><Relationship Id="rId35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266700</xdr:colOff>
      <xdr:row>1</xdr:row>
      <xdr:rowOff>28576</xdr:rowOff>
    </xdr:from>
    <xdr:to>
      <xdr:col>7</xdr:col>
      <xdr:colOff>123825</xdr:colOff>
      <xdr:row>3</xdr:row>
      <xdr:rowOff>123826</xdr:rowOff>
    </xdr:to>
    <xdr:sp macro="[0]!ShowfrmCadLigacao" textlink="">
      <xdr:nvSpPr>
        <xdr:cNvPr id="2" name="Retângulo de cantos arredondados 1"/>
        <xdr:cNvSpPr/>
      </xdr:nvSpPr>
      <xdr:spPr>
        <a:xfrm>
          <a:off x="7115175" y="190501"/>
          <a:ext cx="2000250" cy="4191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pt-BR" sz="1100"/>
            <a:t>CADASTRO</a:t>
          </a:r>
          <a:r>
            <a:rPr lang="pt-BR" sz="1100" baseline="0"/>
            <a:t> DE LIGAÇÃO</a:t>
          </a:r>
          <a:endParaRPr lang="pt-BR" sz="1100"/>
        </a:p>
      </xdr:txBody>
    </xdr:sp>
    <xdr:clientData/>
  </xdr:twoCellAnchor>
  <xdr:twoCellAnchor>
    <xdr:from>
      <xdr:col>6</xdr:col>
      <xdr:colOff>266700</xdr:colOff>
      <xdr:row>4</xdr:row>
      <xdr:rowOff>66676</xdr:rowOff>
    </xdr:from>
    <xdr:to>
      <xdr:col>7</xdr:col>
      <xdr:colOff>85725</xdr:colOff>
      <xdr:row>7</xdr:row>
      <xdr:rowOff>0</xdr:rowOff>
    </xdr:to>
    <xdr:sp macro="[0]!ShowfrmCadTelefone" textlink="">
      <xdr:nvSpPr>
        <xdr:cNvPr id="3" name="Retângulo com Único Canto Aparado 2"/>
        <xdr:cNvSpPr/>
      </xdr:nvSpPr>
      <xdr:spPr>
        <a:xfrm>
          <a:off x="7115175" y="714376"/>
          <a:ext cx="1962150" cy="419099"/>
        </a:xfrm>
        <a:prstGeom prst="snip1Rect">
          <a:avLst/>
        </a:prstGeom>
        <a:solidFill>
          <a:schemeClr val="accent3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pt-BR" sz="1100"/>
            <a:t>CADASTRO DE TELEFONE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AILTON\AppData\Roaming\Microsoft\Excel\F4CONSULT-v04_120926-1737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F:\HORAS.xlsx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AILTON\AppData\Roaming\Microsoft\Excel\130805_1040_FluxoDeCaixa.xlsm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Dados"/>
      <sheetName val="Fluxo"/>
      <sheetName val="Apoio"/>
      <sheetName val="itaú"/>
    </sheetNames>
    <sheetDataSet>
      <sheetData sheetId="0">
        <row r="1">
          <cell r="A1" t="str">
            <v>Mês</v>
          </cell>
          <cell r="B1" t="str">
            <v>Vencimento</v>
          </cell>
          <cell r="C1" t="str">
            <v>Categoria</v>
          </cell>
          <cell r="D1" t="str">
            <v>SubCategoria</v>
          </cell>
          <cell r="E1" t="str">
            <v>Valor</v>
          </cell>
          <cell r="F1" t="str">
            <v>Obs</v>
          </cell>
        </row>
        <row r="2">
          <cell r="A2" t="str">
            <v>12/2011</v>
          </cell>
          <cell r="B2">
            <v>40892</v>
          </cell>
        </row>
        <row r="3">
          <cell r="A3" t="str">
            <v>12/2011</v>
          </cell>
          <cell r="B3">
            <v>40892</v>
          </cell>
        </row>
        <row r="4">
          <cell r="A4" t="str">
            <v>10/2011</v>
          </cell>
          <cell r="B4">
            <v>40826</v>
          </cell>
        </row>
        <row r="5">
          <cell r="A5" t="str">
            <v>12/2011</v>
          </cell>
          <cell r="B5">
            <v>40886</v>
          </cell>
        </row>
        <row r="6">
          <cell r="A6" t="str">
            <v>11/2011</v>
          </cell>
          <cell r="B6">
            <v>40863</v>
          </cell>
        </row>
        <row r="7">
          <cell r="A7" t="str">
            <v>10/2011</v>
          </cell>
          <cell r="B7">
            <v>40823</v>
          </cell>
        </row>
        <row r="8">
          <cell r="A8" t="str">
            <v>09/2011</v>
          </cell>
          <cell r="B8">
            <v>40794</v>
          </cell>
        </row>
        <row r="9">
          <cell r="A9" t="str">
            <v>10/2011</v>
          </cell>
          <cell r="B9">
            <v>40823</v>
          </cell>
        </row>
        <row r="10">
          <cell r="A10" t="str">
            <v>09/2011</v>
          </cell>
          <cell r="B10">
            <v>40794</v>
          </cell>
        </row>
        <row r="11">
          <cell r="A11" t="str">
            <v>11/2011</v>
          </cell>
          <cell r="B11">
            <v>40569</v>
          </cell>
        </row>
        <row r="12">
          <cell r="A12" t="str">
            <v>03/2011</v>
          </cell>
          <cell r="B12">
            <v>40611</v>
          </cell>
        </row>
        <row r="13">
          <cell r="A13" t="str">
            <v>03/2011</v>
          </cell>
          <cell r="B13">
            <v>40618</v>
          </cell>
        </row>
        <row r="14">
          <cell r="A14" t="str">
            <v>04/2011</v>
          </cell>
          <cell r="B14">
            <v>40640</v>
          </cell>
        </row>
        <row r="15">
          <cell r="A15" t="str">
            <v>05/2011</v>
          </cell>
          <cell r="B15">
            <v>40672</v>
          </cell>
        </row>
        <row r="16">
          <cell r="A16" t="str">
            <v>07/2011</v>
          </cell>
          <cell r="B16">
            <v>40725</v>
          </cell>
        </row>
        <row r="17">
          <cell r="A17" t="str">
            <v>07/2011</v>
          </cell>
          <cell r="B17">
            <v>40731</v>
          </cell>
        </row>
        <row r="18">
          <cell r="A18" t="str">
            <v>08/2011</v>
          </cell>
          <cell r="B18">
            <v>40772</v>
          </cell>
        </row>
        <row r="19">
          <cell r="A19" t="str">
            <v>11/2011</v>
          </cell>
          <cell r="B19">
            <v>40875</v>
          </cell>
        </row>
        <row r="20">
          <cell r="A20" t="str">
            <v>12/2011</v>
          </cell>
          <cell r="B20">
            <v>40891</v>
          </cell>
        </row>
        <row r="21">
          <cell r="A21" t="str">
            <v>12/2011</v>
          </cell>
          <cell r="B21">
            <v>40893</v>
          </cell>
        </row>
        <row r="22">
          <cell r="A22" t="str">
            <v>12/2011</v>
          </cell>
          <cell r="B22">
            <v>40893</v>
          </cell>
        </row>
        <row r="23">
          <cell r="A23" t="str">
            <v>12/2011</v>
          </cell>
          <cell r="B23">
            <v>40893</v>
          </cell>
        </row>
        <row r="24">
          <cell r="A24" t="str">
            <v>12/2011</v>
          </cell>
          <cell r="B24">
            <v>40898</v>
          </cell>
        </row>
        <row r="25">
          <cell r="A25" t="str">
            <v>09/2011</v>
          </cell>
          <cell r="B25">
            <v>40808</v>
          </cell>
        </row>
        <row r="26">
          <cell r="A26" t="str">
            <v>11/2011</v>
          </cell>
          <cell r="B26">
            <v>40851</v>
          </cell>
        </row>
        <row r="27">
          <cell r="A27" t="str">
            <v>11/2011</v>
          </cell>
          <cell r="B27">
            <v>40851</v>
          </cell>
        </row>
        <row r="28">
          <cell r="A28" t="str">
            <v>11/2011</v>
          </cell>
          <cell r="B28">
            <v>40863</v>
          </cell>
        </row>
        <row r="29">
          <cell r="A29" t="str">
            <v>12/2011</v>
          </cell>
          <cell r="B29">
            <v>40891</v>
          </cell>
        </row>
        <row r="30">
          <cell r="A30" t="str">
            <v>06/2011</v>
          </cell>
          <cell r="B30">
            <v>40716</v>
          </cell>
        </row>
        <row r="31">
          <cell r="A31" t="str">
            <v>09/2011</v>
          </cell>
          <cell r="B31">
            <v>40800</v>
          </cell>
        </row>
        <row r="32">
          <cell r="A32" t="str">
            <v>09/2011</v>
          </cell>
          <cell r="B32">
            <v>40800</v>
          </cell>
        </row>
        <row r="33">
          <cell r="A33" t="str">
            <v>12/2011</v>
          </cell>
          <cell r="B33">
            <v>40897</v>
          </cell>
        </row>
        <row r="34">
          <cell r="A34" t="str">
            <v>08/2011</v>
          </cell>
          <cell r="B34">
            <v>40772</v>
          </cell>
        </row>
        <row r="35">
          <cell r="A35" t="str">
            <v>04/2011</v>
          </cell>
          <cell r="B35">
            <v>40648</v>
          </cell>
        </row>
        <row r="36">
          <cell r="A36" t="str">
            <v>03/2011</v>
          </cell>
          <cell r="B36">
            <v>40617</v>
          </cell>
        </row>
        <row r="37">
          <cell r="A37" t="str">
            <v>11/2011</v>
          </cell>
          <cell r="B37">
            <v>40861</v>
          </cell>
        </row>
        <row r="38">
          <cell r="A38" t="str">
            <v>05/2011</v>
          </cell>
          <cell r="B38">
            <v>40676</v>
          </cell>
        </row>
        <row r="39">
          <cell r="A39" t="str">
            <v>04/2011</v>
          </cell>
          <cell r="B39">
            <v>40646</v>
          </cell>
        </row>
        <row r="40">
          <cell r="A40" t="str">
            <v>12/2011</v>
          </cell>
          <cell r="B40">
            <v>40904</v>
          </cell>
        </row>
        <row r="41">
          <cell r="A41" t="str">
            <v>12/2011</v>
          </cell>
          <cell r="B41">
            <v>40900</v>
          </cell>
        </row>
        <row r="42">
          <cell r="A42" t="str">
            <v>11/2011</v>
          </cell>
          <cell r="B42">
            <v>40872</v>
          </cell>
        </row>
        <row r="43">
          <cell r="A43" t="str">
            <v>10/2011</v>
          </cell>
          <cell r="B43">
            <v>40841</v>
          </cell>
        </row>
        <row r="44">
          <cell r="A44" t="str">
            <v>08/2011</v>
          </cell>
          <cell r="B44">
            <v>40780</v>
          </cell>
        </row>
        <row r="45">
          <cell r="A45" t="str">
            <v>12/2011</v>
          </cell>
          <cell r="B45">
            <v>40889</v>
          </cell>
        </row>
        <row r="46">
          <cell r="A46" t="str">
            <v>09/2011</v>
          </cell>
          <cell r="B46">
            <v>40815</v>
          </cell>
        </row>
        <row r="47">
          <cell r="A47" t="str">
            <v>10/2011</v>
          </cell>
          <cell r="B47">
            <v>40829</v>
          </cell>
        </row>
        <row r="48">
          <cell r="A48" t="str">
            <v>08/2011</v>
          </cell>
          <cell r="B48">
            <v>40765</v>
          </cell>
        </row>
        <row r="49">
          <cell r="A49" t="str">
            <v>08/2011</v>
          </cell>
          <cell r="B49">
            <v>40765</v>
          </cell>
        </row>
        <row r="50">
          <cell r="A50" t="str">
            <v>06/2011</v>
          </cell>
          <cell r="B50">
            <v>40702</v>
          </cell>
        </row>
        <row r="51">
          <cell r="A51" t="str">
            <v>05/2011</v>
          </cell>
          <cell r="B51">
            <v>40673</v>
          </cell>
        </row>
        <row r="52">
          <cell r="A52" t="str">
            <v>01/2011</v>
          </cell>
          <cell r="B52">
            <v>40553</v>
          </cell>
        </row>
        <row r="53">
          <cell r="A53" t="str">
            <v>05/2011</v>
          </cell>
          <cell r="B53">
            <v>40691</v>
          </cell>
        </row>
        <row r="54">
          <cell r="A54" t="str">
            <v>06/2011</v>
          </cell>
          <cell r="B54">
            <v>40697</v>
          </cell>
        </row>
        <row r="55">
          <cell r="A55" t="str">
            <v>09/2011</v>
          </cell>
          <cell r="B55">
            <v>40808</v>
          </cell>
        </row>
        <row r="56">
          <cell r="A56" t="str">
            <v>10/2011</v>
          </cell>
          <cell r="B56">
            <v>40838</v>
          </cell>
        </row>
        <row r="57">
          <cell r="A57" t="str">
            <v>04/2011</v>
          </cell>
          <cell r="B57">
            <v>40647</v>
          </cell>
        </row>
        <row r="58">
          <cell r="A58" t="str">
            <v>11/2011</v>
          </cell>
          <cell r="B58">
            <v>40872</v>
          </cell>
        </row>
        <row r="59">
          <cell r="A59" t="str">
            <v>10/2011</v>
          </cell>
          <cell r="B59">
            <v>40841</v>
          </cell>
        </row>
        <row r="60">
          <cell r="A60" t="str">
            <v>09/2011</v>
          </cell>
          <cell r="B60">
            <v>40811</v>
          </cell>
        </row>
        <row r="61">
          <cell r="A61" t="str">
            <v>08/2011</v>
          </cell>
          <cell r="B61">
            <v>40780</v>
          </cell>
        </row>
        <row r="62">
          <cell r="A62" t="str">
            <v>07/2011</v>
          </cell>
          <cell r="B62">
            <v>40749</v>
          </cell>
        </row>
        <row r="63">
          <cell r="A63" t="str">
            <v>06/2011</v>
          </cell>
          <cell r="B63">
            <v>40719</v>
          </cell>
        </row>
        <row r="64">
          <cell r="A64" t="str">
            <v>05/2011</v>
          </cell>
          <cell r="B64">
            <v>40688</v>
          </cell>
        </row>
        <row r="65">
          <cell r="A65" t="str">
            <v>04/2011</v>
          </cell>
          <cell r="B65">
            <v>40658</v>
          </cell>
        </row>
        <row r="66">
          <cell r="A66" t="str">
            <v>12/2011</v>
          </cell>
          <cell r="B66">
            <v>40903</v>
          </cell>
        </row>
        <row r="67">
          <cell r="A67" t="str">
            <v>05/2011</v>
          </cell>
          <cell r="B67">
            <v>40693</v>
          </cell>
        </row>
        <row r="68">
          <cell r="A68" t="str">
            <v>04/2011</v>
          </cell>
          <cell r="B68">
            <v>40661</v>
          </cell>
        </row>
        <row r="69">
          <cell r="A69" t="str">
            <v>04/2011</v>
          </cell>
          <cell r="B69">
            <v>40658</v>
          </cell>
        </row>
        <row r="70">
          <cell r="A70" t="str">
            <v>03/2011</v>
          </cell>
          <cell r="B70">
            <v>40630</v>
          </cell>
        </row>
        <row r="71">
          <cell r="A71" t="str">
            <v>02/2011</v>
          </cell>
          <cell r="B71">
            <v>40602</v>
          </cell>
        </row>
        <row r="72">
          <cell r="A72" t="str">
            <v>01/2011</v>
          </cell>
          <cell r="B72">
            <v>40571</v>
          </cell>
        </row>
        <row r="73">
          <cell r="A73" t="str">
            <v>02/2011</v>
          </cell>
          <cell r="B73">
            <v>40596</v>
          </cell>
        </row>
        <row r="74">
          <cell r="A74" t="str">
            <v>07/2011</v>
          </cell>
          <cell r="B74">
            <v>40753</v>
          </cell>
        </row>
        <row r="75">
          <cell r="A75" t="str">
            <v>08/2011</v>
          </cell>
          <cell r="B75">
            <v>40781</v>
          </cell>
        </row>
        <row r="76">
          <cell r="A76" t="str">
            <v>10/2011</v>
          </cell>
          <cell r="B76">
            <v>40844</v>
          </cell>
        </row>
        <row r="77">
          <cell r="A77" t="str">
            <v>12/2011</v>
          </cell>
          <cell r="B77">
            <v>40893</v>
          </cell>
        </row>
        <row r="78">
          <cell r="A78" t="str">
            <v>12/2011</v>
          </cell>
          <cell r="B78">
            <v>40893</v>
          </cell>
        </row>
        <row r="79">
          <cell r="A79" t="str">
            <v>09/2011</v>
          </cell>
          <cell r="B79">
            <v>40808</v>
          </cell>
        </row>
        <row r="80">
          <cell r="A80" t="str">
            <v>12/2011</v>
          </cell>
          <cell r="B80">
            <v>40892</v>
          </cell>
        </row>
        <row r="81">
          <cell r="A81" t="str">
            <v>06/2011</v>
          </cell>
          <cell r="B81">
            <v>40708</v>
          </cell>
        </row>
        <row r="82">
          <cell r="A82" t="str">
            <v>08/2011</v>
          </cell>
          <cell r="B82">
            <v>40781</v>
          </cell>
        </row>
        <row r="83">
          <cell r="A83" t="str">
            <v>09/2011</v>
          </cell>
          <cell r="B83">
            <v>40789</v>
          </cell>
        </row>
        <row r="84">
          <cell r="A84" t="str">
            <v>09/2011</v>
          </cell>
          <cell r="B84">
            <v>40795</v>
          </cell>
        </row>
        <row r="85">
          <cell r="A85" t="str">
            <v>09/2011</v>
          </cell>
          <cell r="B85">
            <v>40804</v>
          </cell>
        </row>
        <row r="86">
          <cell r="A86" t="str">
            <v>09/2011</v>
          </cell>
          <cell r="B86">
            <v>40804</v>
          </cell>
        </row>
        <row r="87">
          <cell r="A87" t="str">
            <v>09/2011</v>
          </cell>
          <cell r="B87">
            <v>40814</v>
          </cell>
        </row>
        <row r="88">
          <cell r="A88" t="str">
            <v>10/2011</v>
          </cell>
          <cell r="B88">
            <v>40829</v>
          </cell>
        </row>
        <row r="89">
          <cell r="A89" t="str">
            <v>10/2011</v>
          </cell>
          <cell r="B89">
            <v>40839</v>
          </cell>
        </row>
        <row r="90">
          <cell r="A90" t="str">
            <v>11/2011</v>
          </cell>
          <cell r="B90">
            <v>40849</v>
          </cell>
        </row>
        <row r="91">
          <cell r="A91" t="str">
            <v>11/2011</v>
          </cell>
          <cell r="B91">
            <v>40857</v>
          </cell>
        </row>
        <row r="92">
          <cell r="A92" t="str">
            <v>11/2011</v>
          </cell>
          <cell r="B92">
            <v>40861</v>
          </cell>
        </row>
        <row r="93">
          <cell r="A93" t="str">
            <v>11/2011</v>
          </cell>
          <cell r="B93">
            <v>40871</v>
          </cell>
        </row>
        <row r="94">
          <cell r="A94" t="str">
            <v>11/2011</v>
          </cell>
          <cell r="B94">
            <v>40873</v>
          </cell>
        </row>
        <row r="95">
          <cell r="A95" t="str">
            <v>11/2011</v>
          </cell>
          <cell r="B95">
            <v>40874</v>
          </cell>
        </row>
        <row r="96">
          <cell r="A96" t="str">
            <v>12/2011</v>
          </cell>
          <cell r="B96">
            <v>40879</v>
          </cell>
        </row>
        <row r="97">
          <cell r="A97" t="str">
            <v>12/2011</v>
          </cell>
          <cell r="B97">
            <v>40886</v>
          </cell>
        </row>
        <row r="98">
          <cell r="A98" t="str">
            <v>12/2011</v>
          </cell>
          <cell r="B98">
            <v>40896</v>
          </cell>
        </row>
        <row r="99">
          <cell r="A99" t="str">
            <v>01/2011</v>
          </cell>
          <cell r="B99">
            <v>40570</v>
          </cell>
        </row>
        <row r="100">
          <cell r="A100" t="str">
            <v>08/2011</v>
          </cell>
          <cell r="B100">
            <v>40775</v>
          </cell>
        </row>
        <row r="101">
          <cell r="A101" t="str">
            <v>08/2011</v>
          </cell>
          <cell r="B101">
            <v>40780</v>
          </cell>
        </row>
        <row r="102">
          <cell r="A102" t="str">
            <v>08/2011</v>
          </cell>
          <cell r="B102">
            <v>40780</v>
          </cell>
        </row>
        <row r="103">
          <cell r="A103" t="str">
            <v>08/2011</v>
          </cell>
          <cell r="B103">
            <v>40781</v>
          </cell>
        </row>
        <row r="104">
          <cell r="A104" t="str">
            <v>08/2011</v>
          </cell>
          <cell r="B104">
            <v>40782</v>
          </cell>
        </row>
        <row r="105">
          <cell r="A105" t="str">
            <v>08/2011</v>
          </cell>
          <cell r="B105">
            <v>40782</v>
          </cell>
        </row>
        <row r="106">
          <cell r="A106" t="str">
            <v>08/2011</v>
          </cell>
          <cell r="B106">
            <v>40782</v>
          </cell>
        </row>
        <row r="107">
          <cell r="A107" t="str">
            <v>08/2011</v>
          </cell>
          <cell r="B107">
            <v>40783</v>
          </cell>
        </row>
        <row r="108">
          <cell r="A108" t="str">
            <v>08/2011</v>
          </cell>
          <cell r="B108">
            <v>40785</v>
          </cell>
        </row>
        <row r="109">
          <cell r="A109" t="str">
            <v>08/2011</v>
          </cell>
          <cell r="B109">
            <v>40785</v>
          </cell>
        </row>
        <row r="110">
          <cell r="A110" t="str">
            <v>08/2011</v>
          </cell>
          <cell r="B110">
            <v>40785</v>
          </cell>
        </row>
        <row r="111">
          <cell r="A111" t="str">
            <v>08/2011</v>
          </cell>
          <cell r="B111">
            <v>40786</v>
          </cell>
        </row>
        <row r="112">
          <cell r="A112" t="str">
            <v>09/2011</v>
          </cell>
          <cell r="B112">
            <v>40788</v>
          </cell>
        </row>
        <row r="113">
          <cell r="A113" t="str">
            <v>09/2011</v>
          </cell>
          <cell r="B113">
            <v>40789</v>
          </cell>
        </row>
        <row r="114">
          <cell r="A114" t="str">
            <v>09/2011</v>
          </cell>
          <cell r="B114">
            <v>40789</v>
          </cell>
        </row>
        <row r="115">
          <cell r="A115" t="str">
            <v>09/2011</v>
          </cell>
          <cell r="B115">
            <v>40791</v>
          </cell>
        </row>
        <row r="116">
          <cell r="A116" t="str">
            <v>09/2011</v>
          </cell>
          <cell r="B116">
            <v>40791</v>
          </cell>
        </row>
        <row r="117">
          <cell r="A117" t="str">
            <v>09/2011</v>
          </cell>
          <cell r="B117">
            <v>40792</v>
          </cell>
        </row>
        <row r="118">
          <cell r="A118" t="str">
            <v>09/2011</v>
          </cell>
          <cell r="B118">
            <v>40792</v>
          </cell>
        </row>
        <row r="119">
          <cell r="A119" t="str">
            <v>09/2011</v>
          </cell>
          <cell r="B119">
            <v>40793</v>
          </cell>
        </row>
        <row r="120">
          <cell r="A120" t="str">
            <v>09/2011</v>
          </cell>
          <cell r="B120">
            <v>40794</v>
          </cell>
        </row>
        <row r="121">
          <cell r="A121" t="str">
            <v>09/2011</v>
          </cell>
          <cell r="B121">
            <v>40795</v>
          </cell>
        </row>
        <row r="122">
          <cell r="A122" t="str">
            <v>09/2011</v>
          </cell>
          <cell r="B122">
            <v>40795</v>
          </cell>
        </row>
        <row r="123">
          <cell r="A123" t="str">
            <v>09/2011</v>
          </cell>
          <cell r="B123">
            <v>40795</v>
          </cell>
        </row>
        <row r="124">
          <cell r="A124" t="str">
            <v>09/2011</v>
          </cell>
          <cell r="B124">
            <v>40795</v>
          </cell>
        </row>
        <row r="125">
          <cell r="A125" t="str">
            <v>09/2011</v>
          </cell>
          <cell r="B125">
            <v>40795</v>
          </cell>
        </row>
        <row r="126">
          <cell r="A126" t="str">
            <v>09/2011</v>
          </cell>
          <cell r="B126">
            <v>40795</v>
          </cell>
        </row>
        <row r="127">
          <cell r="A127" t="str">
            <v>09/2011</v>
          </cell>
          <cell r="B127">
            <v>40798</v>
          </cell>
        </row>
        <row r="128">
          <cell r="A128" t="str">
            <v>09/2011</v>
          </cell>
          <cell r="B128">
            <v>40799</v>
          </cell>
        </row>
        <row r="129">
          <cell r="A129" t="str">
            <v>09/2011</v>
          </cell>
          <cell r="B129">
            <v>40799</v>
          </cell>
        </row>
        <row r="130">
          <cell r="A130" t="str">
            <v>09/2011</v>
          </cell>
          <cell r="B130">
            <v>40799</v>
          </cell>
        </row>
        <row r="131">
          <cell r="A131" t="str">
            <v>09/2011</v>
          </cell>
          <cell r="B131">
            <v>40800</v>
          </cell>
        </row>
        <row r="132">
          <cell r="A132" t="str">
            <v>09/2011</v>
          </cell>
          <cell r="B132">
            <v>40801</v>
          </cell>
        </row>
        <row r="133">
          <cell r="A133" t="str">
            <v>09/2011</v>
          </cell>
          <cell r="B133">
            <v>40802</v>
          </cell>
        </row>
        <row r="134">
          <cell r="A134" t="str">
            <v>09/2011</v>
          </cell>
          <cell r="B134">
            <v>40803</v>
          </cell>
        </row>
        <row r="135">
          <cell r="A135" t="str">
            <v>09/2011</v>
          </cell>
          <cell r="B135">
            <v>40804</v>
          </cell>
        </row>
        <row r="136">
          <cell r="A136" t="str">
            <v>09/2011</v>
          </cell>
          <cell r="B136">
            <v>40804</v>
          </cell>
        </row>
        <row r="137">
          <cell r="A137" t="str">
            <v>09/2011</v>
          </cell>
          <cell r="B137">
            <v>40805</v>
          </cell>
        </row>
        <row r="138">
          <cell r="A138" t="str">
            <v>09/2011</v>
          </cell>
          <cell r="B138">
            <v>40806</v>
          </cell>
        </row>
        <row r="139">
          <cell r="A139" t="str">
            <v>09/2011</v>
          </cell>
          <cell r="B139">
            <v>40806</v>
          </cell>
        </row>
        <row r="140">
          <cell r="A140" t="str">
            <v>09/2011</v>
          </cell>
          <cell r="B140">
            <v>40807</v>
          </cell>
        </row>
        <row r="141">
          <cell r="A141" t="str">
            <v>09/2011</v>
          </cell>
          <cell r="B141">
            <v>40807</v>
          </cell>
        </row>
        <row r="142">
          <cell r="A142" t="str">
            <v>09/2011</v>
          </cell>
          <cell r="B142">
            <v>40808</v>
          </cell>
        </row>
        <row r="143">
          <cell r="A143" t="str">
            <v>09/2011</v>
          </cell>
          <cell r="B143">
            <v>40809</v>
          </cell>
        </row>
        <row r="144">
          <cell r="A144" t="str">
            <v>09/2011</v>
          </cell>
          <cell r="B144">
            <v>40811</v>
          </cell>
        </row>
        <row r="145">
          <cell r="A145" t="str">
            <v>09/2011</v>
          </cell>
          <cell r="B145">
            <v>40811</v>
          </cell>
        </row>
        <row r="146">
          <cell r="A146" t="str">
            <v>09/2011</v>
          </cell>
          <cell r="B146">
            <v>40811</v>
          </cell>
        </row>
        <row r="147">
          <cell r="A147" t="str">
            <v>09/2011</v>
          </cell>
          <cell r="B147">
            <v>40812</v>
          </cell>
        </row>
        <row r="148">
          <cell r="A148" t="str">
            <v>09/2011</v>
          </cell>
          <cell r="B148">
            <v>40813</v>
          </cell>
        </row>
        <row r="149">
          <cell r="A149" t="str">
            <v>09/2011</v>
          </cell>
          <cell r="B149">
            <v>40814</v>
          </cell>
        </row>
        <row r="150">
          <cell r="A150" t="str">
            <v>09/2011</v>
          </cell>
          <cell r="B150">
            <v>40815</v>
          </cell>
        </row>
        <row r="151">
          <cell r="A151" t="str">
            <v>09/2011</v>
          </cell>
          <cell r="B151">
            <v>40816</v>
          </cell>
        </row>
        <row r="152">
          <cell r="A152" t="str">
            <v>10/2011</v>
          </cell>
          <cell r="B152">
            <v>40817</v>
          </cell>
        </row>
        <row r="153">
          <cell r="A153" t="str">
            <v>10/2011</v>
          </cell>
          <cell r="B153">
            <v>40817</v>
          </cell>
        </row>
        <row r="154">
          <cell r="A154" t="str">
            <v>10/2011</v>
          </cell>
          <cell r="B154">
            <v>40817</v>
          </cell>
        </row>
        <row r="155">
          <cell r="A155" t="str">
            <v>10/2011</v>
          </cell>
          <cell r="B155">
            <v>40817</v>
          </cell>
        </row>
        <row r="156">
          <cell r="A156" t="str">
            <v>10/2011</v>
          </cell>
          <cell r="B156">
            <v>40818</v>
          </cell>
        </row>
        <row r="157">
          <cell r="A157" t="str">
            <v>10/2011</v>
          </cell>
          <cell r="B157">
            <v>40820</v>
          </cell>
        </row>
        <row r="158">
          <cell r="A158" t="str">
            <v>10/2011</v>
          </cell>
          <cell r="B158">
            <v>40820</v>
          </cell>
        </row>
        <row r="159">
          <cell r="A159" t="str">
            <v>10/2011</v>
          </cell>
          <cell r="B159">
            <v>40821</v>
          </cell>
        </row>
        <row r="160">
          <cell r="A160" t="str">
            <v>10/2011</v>
          </cell>
          <cell r="B160">
            <v>40823</v>
          </cell>
        </row>
        <row r="161">
          <cell r="A161" t="str">
            <v>10/2011</v>
          </cell>
          <cell r="B161">
            <v>40824</v>
          </cell>
        </row>
        <row r="162">
          <cell r="A162" t="str">
            <v>10/2011</v>
          </cell>
          <cell r="B162">
            <v>40824</v>
          </cell>
        </row>
        <row r="163">
          <cell r="A163" t="str">
            <v>10/2011</v>
          </cell>
          <cell r="B163">
            <v>40825</v>
          </cell>
        </row>
        <row r="164">
          <cell r="A164" t="str">
            <v>10/2011</v>
          </cell>
          <cell r="B164">
            <v>40826</v>
          </cell>
        </row>
        <row r="165">
          <cell r="A165" t="str">
            <v>10/2011</v>
          </cell>
          <cell r="B165">
            <v>40826</v>
          </cell>
        </row>
        <row r="166">
          <cell r="A166" t="str">
            <v>10/2011</v>
          </cell>
          <cell r="B166">
            <v>40827</v>
          </cell>
        </row>
        <row r="167">
          <cell r="A167" t="str">
            <v>10/2011</v>
          </cell>
          <cell r="B167">
            <v>40829</v>
          </cell>
        </row>
        <row r="168">
          <cell r="A168" t="str">
            <v>10/2011</v>
          </cell>
          <cell r="B168">
            <v>40830</v>
          </cell>
        </row>
        <row r="169">
          <cell r="A169" t="str">
            <v>10/2011</v>
          </cell>
          <cell r="B169">
            <v>40832</v>
          </cell>
        </row>
        <row r="170">
          <cell r="A170" t="str">
            <v>10/2011</v>
          </cell>
          <cell r="B170">
            <v>40833</v>
          </cell>
        </row>
        <row r="171">
          <cell r="A171" t="str">
            <v>10/2011</v>
          </cell>
          <cell r="B171">
            <v>40834</v>
          </cell>
        </row>
        <row r="172">
          <cell r="A172" t="str">
            <v>10/2011</v>
          </cell>
          <cell r="B172">
            <v>40834</v>
          </cell>
        </row>
        <row r="173">
          <cell r="A173" t="str">
            <v>10/2011</v>
          </cell>
          <cell r="B173">
            <v>40835</v>
          </cell>
        </row>
        <row r="174">
          <cell r="A174" t="str">
            <v>10/2011</v>
          </cell>
          <cell r="B174">
            <v>40835</v>
          </cell>
        </row>
        <row r="175">
          <cell r="A175" t="str">
            <v>10/2011</v>
          </cell>
          <cell r="B175">
            <v>40835</v>
          </cell>
        </row>
        <row r="176">
          <cell r="A176" t="str">
            <v>10/2011</v>
          </cell>
          <cell r="B176">
            <v>40835</v>
          </cell>
        </row>
        <row r="177">
          <cell r="A177" t="str">
            <v>10/2011</v>
          </cell>
          <cell r="B177">
            <v>40835</v>
          </cell>
        </row>
        <row r="178">
          <cell r="A178" t="str">
            <v>10/2011</v>
          </cell>
          <cell r="B178">
            <v>40836</v>
          </cell>
        </row>
        <row r="179">
          <cell r="A179" t="str">
            <v>10/2011</v>
          </cell>
          <cell r="B179">
            <v>40837</v>
          </cell>
        </row>
        <row r="180">
          <cell r="A180" t="str">
            <v>10/2011</v>
          </cell>
          <cell r="B180">
            <v>40837</v>
          </cell>
        </row>
        <row r="181">
          <cell r="A181" t="str">
            <v>10/2011</v>
          </cell>
          <cell r="B181">
            <v>40837</v>
          </cell>
        </row>
        <row r="182">
          <cell r="A182" t="str">
            <v>10/2011</v>
          </cell>
          <cell r="B182">
            <v>40838</v>
          </cell>
        </row>
        <row r="183">
          <cell r="A183" t="str">
            <v>10/2011</v>
          </cell>
          <cell r="B183">
            <v>40838</v>
          </cell>
        </row>
        <row r="184">
          <cell r="A184" t="str">
            <v>10/2011</v>
          </cell>
          <cell r="B184">
            <v>40839</v>
          </cell>
        </row>
        <row r="185">
          <cell r="A185" t="str">
            <v>10/2011</v>
          </cell>
          <cell r="B185">
            <v>40840</v>
          </cell>
        </row>
        <row r="186">
          <cell r="A186" t="str">
            <v>10/2011</v>
          </cell>
          <cell r="B186">
            <v>40840</v>
          </cell>
        </row>
        <row r="187">
          <cell r="A187" t="str">
            <v>10/2011</v>
          </cell>
          <cell r="B187">
            <v>40841</v>
          </cell>
        </row>
        <row r="188">
          <cell r="A188" t="str">
            <v>10/2011</v>
          </cell>
          <cell r="B188">
            <v>40842</v>
          </cell>
        </row>
        <row r="189">
          <cell r="A189" t="str">
            <v>10/2011</v>
          </cell>
          <cell r="B189">
            <v>40843</v>
          </cell>
        </row>
        <row r="190">
          <cell r="A190" t="str">
            <v>10/2011</v>
          </cell>
          <cell r="B190">
            <v>40844</v>
          </cell>
        </row>
        <row r="191">
          <cell r="A191" t="str">
            <v>10/2011</v>
          </cell>
          <cell r="B191">
            <v>40845</v>
          </cell>
        </row>
        <row r="192">
          <cell r="A192" t="str">
            <v>10/2011</v>
          </cell>
          <cell r="B192">
            <v>40845</v>
          </cell>
        </row>
        <row r="193">
          <cell r="A193" t="str">
            <v>10/2011</v>
          </cell>
          <cell r="B193">
            <v>40847</v>
          </cell>
        </row>
        <row r="194">
          <cell r="A194" t="str">
            <v>10/2011</v>
          </cell>
          <cell r="B194">
            <v>40847</v>
          </cell>
        </row>
        <row r="195">
          <cell r="A195" t="str">
            <v>11/2011</v>
          </cell>
          <cell r="B195">
            <v>40849</v>
          </cell>
        </row>
        <row r="196">
          <cell r="A196" t="str">
            <v>11/2011</v>
          </cell>
          <cell r="B196">
            <v>40849</v>
          </cell>
        </row>
        <row r="197">
          <cell r="A197" t="str">
            <v>11/2011</v>
          </cell>
          <cell r="B197">
            <v>40850</v>
          </cell>
        </row>
        <row r="198">
          <cell r="A198" t="str">
            <v>11/2011</v>
          </cell>
          <cell r="B198">
            <v>40854</v>
          </cell>
        </row>
        <row r="199">
          <cell r="A199" t="str">
            <v>11/2011</v>
          </cell>
          <cell r="B199">
            <v>40856</v>
          </cell>
        </row>
        <row r="200">
          <cell r="A200" t="str">
            <v>11/2011</v>
          </cell>
          <cell r="B200">
            <v>40859</v>
          </cell>
        </row>
        <row r="201">
          <cell r="A201" t="str">
            <v>11/2011</v>
          </cell>
          <cell r="B201">
            <v>40863</v>
          </cell>
        </row>
        <row r="202">
          <cell r="A202" t="str">
            <v>11/2011</v>
          </cell>
          <cell r="B202">
            <v>40865</v>
          </cell>
        </row>
        <row r="203">
          <cell r="A203" t="str">
            <v>11/2011</v>
          </cell>
          <cell r="B203">
            <v>40866</v>
          </cell>
        </row>
        <row r="204">
          <cell r="A204" t="str">
            <v>11/2011</v>
          </cell>
          <cell r="B204">
            <v>40866</v>
          </cell>
        </row>
        <row r="205">
          <cell r="A205" t="str">
            <v>11/2011</v>
          </cell>
          <cell r="B205">
            <v>40867</v>
          </cell>
        </row>
        <row r="206">
          <cell r="A206" t="str">
            <v>11/2011</v>
          </cell>
          <cell r="B206">
            <v>40867</v>
          </cell>
        </row>
        <row r="207">
          <cell r="A207" t="str">
            <v>11/2011</v>
          </cell>
          <cell r="B207">
            <v>40868</v>
          </cell>
        </row>
        <row r="208">
          <cell r="A208" t="str">
            <v>11/2011</v>
          </cell>
          <cell r="B208">
            <v>40868</v>
          </cell>
        </row>
        <row r="209">
          <cell r="A209" t="str">
            <v>11/2011</v>
          </cell>
          <cell r="B209">
            <v>40871</v>
          </cell>
        </row>
        <row r="210">
          <cell r="A210" t="str">
            <v>11/2011</v>
          </cell>
          <cell r="B210">
            <v>40877</v>
          </cell>
        </row>
        <row r="211">
          <cell r="A211" t="str">
            <v>12/2011</v>
          </cell>
          <cell r="B211">
            <v>40878</v>
          </cell>
        </row>
        <row r="212">
          <cell r="A212" t="str">
            <v>12/2011</v>
          </cell>
          <cell r="B212">
            <v>40880</v>
          </cell>
        </row>
        <row r="213">
          <cell r="A213" t="str">
            <v>12/2011</v>
          </cell>
          <cell r="B213">
            <v>40881</v>
          </cell>
        </row>
        <row r="214">
          <cell r="A214" t="str">
            <v>12/2011</v>
          </cell>
          <cell r="B214">
            <v>40886</v>
          </cell>
        </row>
        <row r="215">
          <cell r="A215" t="str">
            <v>12/2011</v>
          </cell>
          <cell r="B215">
            <v>40889</v>
          </cell>
        </row>
        <row r="216">
          <cell r="A216" t="str">
            <v>12/2011</v>
          </cell>
          <cell r="B216">
            <v>40900</v>
          </cell>
        </row>
        <row r="217">
          <cell r="A217" t="str">
            <v>12/2011</v>
          </cell>
          <cell r="B217">
            <v>40901</v>
          </cell>
        </row>
        <row r="218">
          <cell r="A218" t="str">
            <v>12/2011</v>
          </cell>
          <cell r="B218">
            <v>40905</v>
          </cell>
        </row>
        <row r="219">
          <cell r="A219" t="str">
            <v>12/2011</v>
          </cell>
          <cell r="B219">
            <v>40899</v>
          </cell>
        </row>
        <row r="220">
          <cell r="A220" t="str">
            <v>12/2011</v>
          </cell>
          <cell r="B220">
            <v>40895</v>
          </cell>
        </row>
        <row r="221">
          <cell r="A221" t="str">
            <v>12/2011</v>
          </cell>
          <cell r="B221">
            <v>40901</v>
          </cell>
        </row>
        <row r="222">
          <cell r="A222" t="str">
            <v>12/2011</v>
          </cell>
          <cell r="B222">
            <v>40892</v>
          </cell>
        </row>
        <row r="223">
          <cell r="A223" t="str">
            <v>12/2011</v>
          </cell>
          <cell r="B223">
            <v>40906</v>
          </cell>
        </row>
        <row r="224">
          <cell r="A224" t="str">
            <v>12/2011</v>
          </cell>
          <cell r="B224">
            <v>40906</v>
          </cell>
        </row>
        <row r="225">
          <cell r="A225" t="str">
            <v>12/2011</v>
          </cell>
          <cell r="B225">
            <v>40906</v>
          </cell>
        </row>
        <row r="226">
          <cell r="A226" t="str">
            <v>10/2011</v>
          </cell>
          <cell r="B226">
            <v>40819</v>
          </cell>
        </row>
        <row r="227">
          <cell r="A227" t="str">
            <v>07/2011</v>
          </cell>
          <cell r="B227">
            <v>40737</v>
          </cell>
        </row>
        <row r="228">
          <cell r="A228" t="str">
            <v>06/2011</v>
          </cell>
          <cell r="B228">
            <v>40707</v>
          </cell>
        </row>
        <row r="229">
          <cell r="A229" t="str">
            <v>05/2011</v>
          </cell>
          <cell r="B229">
            <v>40676</v>
          </cell>
        </row>
        <row r="230">
          <cell r="A230" t="str">
            <v>04/2011</v>
          </cell>
          <cell r="B230">
            <v>40646</v>
          </cell>
        </row>
        <row r="231">
          <cell r="A231" t="str">
            <v>04/2011</v>
          </cell>
          <cell r="B231">
            <v>40647</v>
          </cell>
        </row>
        <row r="232">
          <cell r="A232" t="str">
            <v>02/11</v>
          </cell>
          <cell r="B232">
            <v>40595</v>
          </cell>
        </row>
        <row r="233">
          <cell r="A233" t="str">
            <v>01/11</v>
          </cell>
          <cell r="B233">
            <v>40561</v>
          </cell>
        </row>
        <row r="234">
          <cell r="A234" t="str">
            <v>01/11</v>
          </cell>
          <cell r="B234">
            <v>40562</v>
          </cell>
        </row>
        <row r="235">
          <cell r="A235" t="str">
            <v>06/2011</v>
          </cell>
          <cell r="B235">
            <v>40697</v>
          </cell>
        </row>
        <row r="236">
          <cell r="A236" t="str">
            <v>06/2011</v>
          </cell>
          <cell r="B236">
            <v>40697</v>
          </cell>
        </row>
        <row r="237">
          <cell r="A237" t="str">
            <v>12/2011</v>
          </cell>
          <cell r="B237">
            <v>40886</v>
          </cell>
        </row>
        <row r="238">
          <cell r="A238" t="str">
            <v>11/2011</v>
          </cell>
          <cell r="B238">
            <v>40863</v>
          </cell>
        </row>
        <row r="239">
          <cell r="A239" t="str">
            <v>10/2011</v>
          </cell>
          <cell r="B239">
            <v>40823</v>
          </cell>
        </row>
        <row r="240">
          <cell r="A240" t="str">
            <v>09/2011</v>
          </cell>
          <cell r="B240">
            <v>40794</v>
          </cell>
        </row>
        <row r="241">
          <cell r="A241" t="str">
            <v>08/2011</v>
          </cell>
          <cell r="B241">
            <v>40772</v>
          </cell>
        </row>
        <row r="242">
          <cell r="A242" t="str">
            <v>07/2011</v>
          </cell>
          <cell r="B242">
            <v>40753</v>
          </cell>
        </row>
        <row r="243">
          <cell r="A243" t="str">
            <v>07/2011</v>
          </cell>
          <cell r="B243">
            <v>40725</v>
          </cell>
        </row>
        <row r="244">
          <cell r="A244" t="str">
            <v>05/2011</v>
          </cell>
          <cell r="B244">
            <v>40675</v>
          </cell>
        </row>
        <row r="245">
          <cell r="A245" t="str">
            <v>04/2011</v>
          </cell>
          <cell r="B245">
            <v>40644</v>
          </cell>
        </row>
        <row r="246">
          <cell r="A246" t="str">
            <v>03/2011</v>
          </cell>
          <cell r="B246">
            <v>40625</v>
          </cell>
        </row>
        <row r="247">
          <cell r="A247" t="str">
            <v>03/2011</v>
          </cell>
          <cell r="B247">
            <v>40625</v>
          </cell>
        </row>
        <row r="248">
          <cell r="A248" t="str">
            <v>03/2011</v>
          </cell>
          <cell r="B248">
            <v>40625</v>
          </cell>
        </row>
        <row r="249">
          <cell r="A249" t="str">
            <v>03/2011</v>
          </cell>
          <cell r="B249">
            <v>40623</v>
          </cell>
        </row>
        <row r="250">
          <cell r="A250" t="str">
            <v>08/2011</v>
          </cell>
          <cell r="B250">
            <v>40781</v>
          </cell>
        </row>
        <row r="251">
          <cell r="A251" t="str">
            <v>08/2011</v>
          </cell>
          <cell r="B251">
            <v>40782</v>
          </cell>
        </row>
        <row r="252">
          <cell r="A252" t="str">
            <v>08/2011</v>
          </cell>
          <cell r="B252">
            <v>40785</v>
          </cell>
        </row>
        <row r="253">
          <cell r="A253" t="str">
            <v>09/2011</v>
          </cell>
          <cell r="B253">
            <v>40788</v>
          </cell>
        </row>
        <row r="254">
          <cell r="A254" t="str">
            <v>09/2011</v>
          </cell>
          <cell r="B254">
            <v>40789</v>
          </cell>
        </row>
        <row r="255">
          <cell r="A255" t="str">
            <v>09/2011</v>
          </cell>
          <cell r="B255">
            <v>40793</v>
          </cell>
        </row>
        <row r="256">
          <cell r="A256" t="str">
            <v>09/2011</v>
          </cell>
          <cell r="B256">
            <v>40794</v>
          </cell>
        </row>
        <row r="257">
          <cell r="A257" t="str">
            <v>09/2011</v>
          </cell>
          <cell r="B257">
            <v>40809</v>
          </cell>
        </row>
        <row r="258">
          <cell r="A258" t="str">
            <v>09/2011</v>
          </cell>
          <cell r="B258">
            <v>40809</v>
          </cell>
        </row>
        <row r="259">
          <cell r="A259" t="str">
            <v>09/2011</v>
          </cell>
          <cell r="B259">
            <v>40811</v>
          </cell>
        </row>
        <row r="260">
          <cell r="A260" t="str">
            <v>09/2011</v>
          </cell>
          <cell r="B260">
            <v>40811</v>
          </cell>
        </row>
        <row r="261">
          <cell r="A261" t="str">
            <v>09/2011</v>
          </cell>
          <cell r="B261">
            <v>40813</v>
          </cell>
        </row>
        <row r="262">
          <cell r="A262" t="str">
            <v>10/2011</v>
          </cell>
          <cell r="B262">
            <v>40826</v>
          </cell>
        </row>
        <row r="263">
          <cell r="A263" t="str">
            <v>10/2011</v>
          </cell>
          <cell r="B263">
            <v>40836</v>
          </cell>
        </row>
        <row r="264">
          <cell r="A264" t="str">
            <v>10/2011</v>
          </cell>
          <cell r="B264">
            <v>40836</v>
          </cell>
        </row>
        <row r="265">
          <cell r="A265" t="str">
            <v>10/2011</v>
          </cell>
          <cell r="B265">
            <v>40837</v>
          </cell>
        </row>
        <row r="266">
          <cell r="A266" t="str">
            <v>10/2011</v>
          </cell>
          <cell r="B266">
            <v>40839</v>
          </cell>
        </row>
        <row r="267">
          <cell r="A267" t="str">
            <v>10/2011</v>
          </cell>
          <cell r="B267">
            <v>40843</v>
          </cell>
        </row>
        <row r="268">
          <cell r="A268" t="str">
            <v>11/2011</v>
          </cell>
          <cell r="B268">
            <v>40854</v>
          </cell>
        </row>
        <row r="269">
          <cell r="A269" t="str">
            <v>11/2011</v>
          </cell>
          <cell r="B269">
            <v>40863</v>
          </cell>
        </row>
        <row r="270">
          <cell r="A270" t="str">
            <v>11/2011</v>
          </cell>
          <cell r="B270">
            <v>40868</v>
          </cell>
        </row>
        <row r="271">
          <cell r="A271" t="str">
            <v>12/2011</v>
          </cell>
          <cell r="B271">
            <v>40895</v>
          </cell>
        </row>
        <row r="272">
          <cell r="A272" t="str">
            <v>12/2011</v>
          </cell>
          <cell r="B272">
            <v>40900</v>
          </cell>
        </row>
        <row r="273">
          <cell r="A273" t="str">
            <v>08/2011</v>
          </cell>
          <cell r="B273">
            <v>40779</v>
          </cell>
        </row>
        <row r="274">
          <cell r="A274" t="str">
            <v>09/2011</v>
          </cell>
          <cell r="B274">
            <v>40814</v>
          </cell>
        </row>
        <row r="275">
          <cell r="A275" t="str">
            <v>10/2011</v>
          </cell>
          <cell r="B275">
            <v>40820</v>
          </cell>
        </row>
        <row r="276">
          <cell r="A276" t="str">
            <v>11/2011</v>
          </cell>
          <cell r="B276">
            <v>40854</v>
          </cell>
        </row>
        <row r="277">
          <cell r="A277" t="str">
            <v>11/2011</v>
          </cell>
          <cell r="B277">
            <v>40858</v>
          </cell>
        </row>
        <row r="278">
          <cell r="A278" t="str">
            <v>11/2011</v>
          </cell>
          <cell r="B278">
            <v>40861</v>
          </cell>
        </row>
        <row r="279">
          <cell r="A279" t="str">
            <v>11/2011</v>
          </cell>
          <cell r="B279">
            <v>40873</v>
          </cell>
        </row>
        <row r="280">
          <cell r="A280" t="str">
            <v>12/2011</v>
          </cell>
          <cell r="B280">
            <v>40878</v>
          </cell>
        </row>
        <row r="281">
          <cell r="A281" t="str">
            <v>12/2011</v>
          </cell>
          <cell r="B281">
            <v>40878</v>
          </cell>
        </row>
        <row r="282">
          <cell r="A282" t="str">
            <v>12/2011</v>
          </cell>
          <cell r="B282">
            <v>40879</v>
          </cell>
        </row>
        <row r="283">
          <cell r="A283" t="str">
            <v>12/2011</v>
          </cell>
          <cell r="B283">
            <v>40881</v>
          </cell>
        </row>
        <row r="284">
          <cell r="A284" t="str">
            <v>12/2011</v>
          </cell>
          <cell r="B284">
            <v>40884</v>
          </cell>
        </row>
        <row r="285">
          <cell r="A285" t="str">
            <v>12/2011</v>
          </cell>
          <cell r="B285">
            <v>40887</v>
          </cell>
        </row>
        <row r="286">
          <cell r="A286" t="str">
            <v>12/2011</v>
          </cell>
          <cell r="B286">
            <v>40889</v>
          </cell>
        </row>
        <row r="287">
          <cell r="A287" t="str">
            <v>12/2011</v>
          </cell>
          <cell r="B287">
            <v>40892</v>
          </cell>
        </row>
        <row r="288">
          <cell r="A288" t="str">
            <v>12/2011</v>
          </cell>
          <cell r="B288">
            <v>40896</v>
          </cell>
        </row>
        <row r="289">
          <cell r="A289" t="str">
            <v>12/2011</v>
          </cell>
          <cell r="B289">
            <v>40896</v>
          </cell>
        </row>
        <row r="290">
          <cell r="A290" t="str">
            <v>12/2011</v>
          </cell>
          <cell r="B290">
            <v>40898</v>
          </cell>
        </row>
        <row r="291">
          <cell r="A291" t="str">
            <v>12/2011</v>
          </cell>
          <cell r="B291">
            <v>40904</v>
          </cell>
        </row>
        <row r="292">
          <cell r="A292" t="str">
            <v>12/2011</v>
          </cell>
          <cell r="B292">
            <v>40886</v>
          </cell>
        </row>
        <row r="293">
          <cell r="A293" t="str">
            <v>12/2011</v>
          </cell>
          <cell r="B293">
            <v>40886</v>
          </cell>
        </row>
        <row r="294">
          <cell r="A294" t="str">
            <v>11/2011</v>
          </cell>
          <cell r="B294">
            <v>40863</v>
          </cell>
        </row>
        <row r="295">
          <cell r="A295" t="str">
            <v>10/2011</v>
          </cell>
          <cell r="B295">
            <v>40823</v>
          </cell>
        </row>
        <row r="296">
          <cell r="A296" t="str">
            <v>09/2011</v>
          </cell>
          <cell r="B296">
            <v>40794</v>
          </cell>
        </row>
        <row r="297">
          <cell r="A297" t="str">
            <v>04/2011</v>
          </cell>
          <cell r="B297">
            <v>40648</v>
          </cell>
        </row>
        <row r="298">
          <cell r="A298" t="str">
            <v>05/2011</v>
          </cell>
          <cell r="B298">
            <v>40674</v>
          </cell>
        </row>
        <row r="299">
          <cell r="A299" t="str">
            <v>07/2011</v>
          </cell>
          <cell r="B299">
            <v>40753</v>
          </cell>
        </row>
        <row r="300">
          <cell r="A300" t="str">
            <v>08/2011</v>
          </cell>
          <cell r="B300">
            <v>40772</v>
          </cell>
        </row>
        <row r="301">
          <cell r="A301" t="str">
            <v>08/2011</v>
          </cell>
          <cell r="B301">
            <v>40768</v>
          </cell>
        </row>
        <row r="302">
          <cell r="A302" t="str">
            <v>08/2011</v>
          </cell>
          <cell r="B302">
            <v>40782</v>
          </cell>
        </row>
        <row r="303">
          <cell r="A303" t="str">
            <v>10/2011</v>
          </cell>
          <cell r="B303">
            <v>40830</v>
          </cell>
        </row>
        <row r="304">
          <cell r="A304" t="str">
            <v>11/2011</v>
          </cell>
          <cell r="B304">
            <v>40848</v>
          </cell>
        </row>
        <row r="305">
          <cell r="A305" t="str">
            <v>12/2011</v>
          </cell>
          <cell r="B305">
            <v>40881</v>
          </cell>
        </row>
        <row r="306">
          <cell r="A306" t="str">
            <v>12/2011</v>
          </cell>
          <cell r="B306">
            <v>40882</v>
          </cell>
        </row>
        <row r="307">
          <cell r="A307" t="str">
            <v>12/2011</v>
          </cell>
          <cell r="B307">
            <v>40892</v>
          </cell>
        </row>
        <row r="308">
          <cell r="A308" t="str">
            <v>12/2011</v>
          </cell>
          <cell r="B308">
            <v>40904</v>
          </cell>
        </row>
        <row r="309">
          <cell r="A309" t="str">
            <v>12/2011</v>
          </cell>
          <cell r="B309">
            <v>40904</v>
          </cell>
        </row>
        <row r="310">
          <cell r="A310" t="str">
            <v>03/2011</v>
          </cell>
          <cell r="B310">
            <v>40632</v>
          </cell>
        </row>
        <row r="311">
          <cell r="A311" t="str">
            <v>09/2011</v>
          </cell>
          <cell r="B311">
            <v>40796</v>
          </cell>
        </row>
        <row r="312">
          <cell r="A312" t="str">
            <v>10/2011</v>
          </cell>
          <cell r="B312">
            <v>40818</v>
          </cell>
        </row>
        <row r="313">
          <cell r="A313" t="str">
            <v>10/2011</v>
          </cell>
          <cell r="B313">
            <v>40826</v>
          </cell>
        </row>
        <row r="314">
          <cell r="A314" t="str">
            <v>11/2011</v>
          </cell>
          <cell r="B314">
            <v>40854</v>
          </cell>
        </row>
        <row r="315">
          <cell r="A315" t="str">
            <v>11/2011</v>
          </cell>
          <cell r="B315">
            <v>40856</v>
          </cell>
        </row>
        <row r="316">
          <cell r="A316" t="str">
            <v>11/2011</v>
          </cell>
          <cell r="B316">
            <v>40858</v>
          </cell>
        </row>
        <row r="317">
          <cell r="A317" t="str">
            <v>11/2011</v>
          </cell>
          <cell r="B317">
            <v>40870</v>
          </cell>
        </row>
        <row r="318">
          <cell r="A318" t="str">
            <v>12/2011</v>
          </cell>
          <cell r="B318">
            <v>40879</v>
          </cell>
        </row>
        <row r="319">
          <cell r="A319" t="str">
            <v>12/2011</v>
          </cell>
          <cell r="B319">
            <v>40879</v>
          </cell>
        </row>
        <row r="320">
          <cell r="A320" t="str">
            <v>12/2011</v>
          </cell>
          <cell r="B320">
            <v>40880</v>
          </cell>
        </row>
        <row r="321">
          <cell r="A321" t="str">
            <v>12/2011</v>
          </cell>
          <cell r="B321">
            <v>40886</v>
          </cell>
        </row>
        <row r="322">
          <cell r="A322" t="str">
            <v>12/2011</v>
          </cell>
          <cell r="B322">
            <v>40891</v>
          </cell>
        </row>
        <row r="323">
          <cell r="A323" t="str">
            <v>12/2011</v>
          </cell>
          <cell r="B323">
            <v>40893</v>
          </cell>
        </row>
        <row r="324">
          <cell r="A324" t="str">
            <v>12/2011</v>
          </cell>
          <cell r="B324">
            <v>40894</v>
          </cell>
        </row>
        <row r="325">
          <cell r="A325" t="str">
            <v>12/2011</v>
          </cell>
          <cell r="B325">
            <v>40895</v>
          </cell>
        </row>
        <row r="326">
          <cell r="A326" t="str">
            <v>12/2011</v>
          </cell>
          <cell r="B326">
            <v>40896</v>
          </cell>
        </row>
        <row r="327">
          <cell r="A327" t="str">
            <v>12/2011</v>
          </cell>
          <cell r="B327">
            <v>40901</v>
          </cell>
        </row>
        <row r="328">
          <cell r="A328" t="str">
            <v>12/2011</v>
          </cell>
          <cell r="B328">
            <v>40903</v>
          </cell>
        </row>
        <row r="329">
          <cell r="A329" t="str">
            <v>12/2011</v>
          </cell>
          <cell r="B329">
            <v>40906</v>
          </cell>
        </row>
        <row r="330">
          <cell r="A330" t="str">
            <v>12/2011</v>
          </cell>
          <cell r="B330">
            <v>40894</v>
          </cell>
        </row>
        <row r="331">
          <cell r="A331" t="str">
            <v>09/2011</v>
          </cell>
          <cell r="B331">
            <v>40796</v>
          </cell>
        </row>
        <row r="332">
          <cell r="A332" t="str">
            <v>10/2011</v>
          </cell>
          <cell r="B332">
            <v>40836</v>
          </cell>
        </row>
        <row r="333">
          <cell r="A333" t="str">
            <v>11/2011</v>
          </cell>
          <cell r="B333">
            <v>40872</v>
          </cell>
        </row>
        <row r="334">
          <cell r="A334" t="str">
            <v>12/2011</v>
          </cell>
          <cell r="B334">
            <v>40893</v>
          </cell>
        </row>
        <row r="335">
          <cell r="A335" t="str">
            <v>12/2011</v>
          </cell>
          <cell r="B335">
            <v>40900</v>
          </cell>
        </row>
        <row r="336">
          <cell r="A336" t="str">
            <v>04/2011</v>
          </cell>
          <cell r="B336">
            <v>40640</v>
          </cell>
        </row>
        <row r="337">
          <cell r="A337" t="str">
            <v>02/2011</v>
          </cell>
          <cell r="B337">
            <v>40589</v>
          </cell>
        </row>
        <row r="338">
          <cell r="A338" t="str">
            <v>01/2011</v>
          </cell>
          <cell r="B338">
            <v>40561</v>
          </cell>
        </row>
        <row r="339">
          <cell r="A339" t="str">
            <v>01/2011</v>
          </cell>
          <cell r="B339">
            <v>40553</v>
          </cell>
        </row>
        <row r="340">
          <cell r="A340" t="str">
            <v>10/2011</v>
          </cell>
          <cell r="B340">
            <v>40841</v>
          </cell>
        </row>
        <row r="341">
          <cell r="A341" t="str">
            <v>11/2011</v>
          </cell>
          <cell r="B341">
            <v>40868</v>
          </cell>
        </row>
        <row r="342">
          <cell r="A342" t="str">
            <v>12/2011</v>
          </cell>
          <cell r="B342">
            <v>40900</v>
          </cell>
        </row>
        <row r="343">
          <cell r="A343" t="str">
            <v>09/2011</v>
          </cell>
          <cell r="B343">
            <v>40806</v>
          </cell>
        </row>
        <row r="344">
          <cell r="A344" t="str">
            <v>10/2011</v>
          </cell>
          <cell r="B344">
            <v>40841</v>
          </cell>
        </row>
        <row r="345">
          <cell r="A345" t="str">
            <v>12/2011</v>
          </cell>
          <cell r="B345">
            <v>40878</v>
          </cell>
        </row>
        <row r="346">
          <cell r="A346" t="str">
            <v>10/2011</v>
          </cell>
          <cell r="B346">
            <v>40903</v>
          </cell>
        </row>
        <row r="347">
          <cell r="A347" t="str">
            <v>10/2011</v>
          </cell>
          <cell r="B347">
            <v>40841</v>
          </cell>
        </row>
        <row r="348">
          <cell r="A348" t="str">
            <v>12/2011</v>
          </cell>
          <cell r="B348">
            <v>40878</v>
          </cell>
        </row>
        <row r="349">
          <cell r="A349" t="str">
            <v>09/2011</v>
          </cell>
          <cell r="B349">
            <v>40796</v>
          </cell>
        </row>
        <row r="350">
          <cell r="A350" t="str">
            <v>11/2011</v>
          </cell>
          <cell r="B350">
            <v>40850</v>
          </cell>
        </row>
        <row r="351">
          <cell r="A351" t="str">
            <v>11/2011</v>
          </cell>
          <cell r="B351">
            <v>40872</v>
          </cell>
        </row>
        <row r="352">
          <cell r="A352" t="str">
            <v>12/2011</v>
          </cell>
          <cell r="B352">
            <v>40882</v>
          </cell>
        </row>
        <row r="353">
          <cell r="A353" t="str">
            <v>12/2011</v>
          </cell>
          <cell r="B353">
            <v>40889</v>
          </cell>
        </row>
        <row r="354">
          <cell r="A354" t="str">
            <v>12/2011</v>
          </cell>
          <cell r="B354">
            <v>40892</v>
          </cell>
        </row>
        <row r="355">
          <cell r="A355" t="str">
            <v>12/2011</v>
          </cell>
          <cell r="B355">
            <v>40896</v>
          </cell>
        </row>
        <row r="356">
          <cell r="A356" t="str">
            <v>12/2011</v>
          </cell>
          <cell r="B356">
            <v>40901</v>
          </cell>
        </row>
        <row r="357">
          <cell r="A357" t="str">
            <v>11/2011</v>
          </cell>
          <cell r="B357">
            <v>40866</v>
          </cell>
        </row>
        <row r="358">
          <cell r="A358" t="str">
            <v>08/2011</v>
          </cell>
          <cell r="B358">
            <v>40781</v>
          </cell>
        </row>
        <row r="359">
          <cell r="A359" t="str">
            <v>10/2011</v>
          </cell>
          <cell r="B359">
            <v>40817</v>
          </cell>
        </row>
        <row r="360">
          <cell r="A360" t="str">
            <v>10/2011</v>
          </cell>
          <cell r="B360">
            <v>40844</v>
          </cell>
        </row>
        <row r="361">
          <cell r="A361" t="str">
            <v>11/2011</v>
          </cell>
          <cell r="B361">
            <v>40849</v>
          </cell>
        </row>
        <row r="362">
          <cell r="A362" t="str">
            <v>11/2011</v>
          </cell>
          <cell r="B362">
            <v>40850</v>
          </cell>
        </row>
        <row r="363">
          <cell r="A363" t="str">
            <v>11/2011</v>
          </cell>
          <cell r="B363">
            <v>40858</v>
          </cell>
        </row>
        <row r="364">
          <cell r="A364" t="str">
            <v>11/2011</v>
          </cell>
          <cell r="B364">
            <v>40863</v>
          </cell>
        </row>
        <row r="365">
          <cell r="A365" t="str">
            <v>11/2011</v>
          </cell>
          <cell r="B365">
            <v>40867</v>
          </cell>
        </row>
        <row r="366">
          <cell r="A366" t="str">
            <v>11/2011</v>
          </cell>
          <cell r="B366">
            <v>40873</v>
          </cell>
        </row>
        <row r="367">
          <cell r="A367" t="str">
            <v>11/2011</v>
          </cell>
          <cell r="B367">
            <v>40874</v>
          </cell>
        </row>
        <row r="368">
          <cell r="A368" t="str">
            <v>12/2011</v>
          </cell>
          <cell r="B368">
            <v>40879</v>
          </cell>
        </row>
        <row r="369">
          <cell r="A369" t="str">
            <v>12/2011</v>
          </cell>
          <cell r="B369">
            <v>40879</v>
          </cell>
        </row>
        <row r="370">
          <cell r="A370" t="str">
            <v>12/2011</v>
          </cell>
          <cell r="B370">
            <v>40880</v>
          </cell>
        </row>
        <row r="371">
          <cell r="A371" t="str">
            <v>12/2011</v>
          </cell>
          <cell r="B371">
            <v>40889</v>
          </cell>
        </row>
        <row r="372">
          <cell r="A372" t="str">
            <v>12/2011</v>
          </cell>
          <cell r="B372">
            <v>40891</v>
          </cell>
        </row>
        <row r="373">
          <cell r="A373" t="str">
            <v>12/2011</v>
          </cell>
          <cell r="B373">
            <v>40892</v>
          </cell>
        </row>
        <row r="374">
          <cell r="A374" t="str">
            <v>12/2011</v>
          </cell>
          <cell r="B374">
            <v>40896</v>
          </cell>
        </row>
        <row r="375">
          <cell r="A375" t="str">
            <v>12/2011</v>
          </cell>
          <cell r="B375">
            <v>40896</v>
          </cell>
        </row>
        <row r="376">
          <cell r="A376" t="str">
            <v>12/2011</v>
          </cell>
          <cell r="B376">
            <v>40902</v>
          </cell>
        </row>
        <row r="377">
          <cell r="A377" t="str">
            <v>08/2011</v>
          </cell>
          <cell r="B377">
            <v>40760</v>
          </cell>
        </row>
        <row r="378">
          <cell r="A378" t="str">
            <v>01/2012</v>
          </cell>
          <cell r="B378">
            <v>40911</v>
          </cell>
        </row>
        <row r="379">
          <cell r="A379" t="str">
            <v>01/2012</v>
          </cell>
          <cell r="B379">
            <v>40913</v>
          </cell>
        </row>
        <row r="380">
          <cell r="A380" t="str">
            <v>01/2012</v>
          </cell>
          <cell r="B380">
            <v>40914</v>
          </cell>
        </row>
        <row r="381">
          <cell r="A381" t="str">
            <v>01/2012</v>
          </cell>
          <cell r="B381">
            <v>40915</v>
          </cell>
        </row>
        <row r="382">
          <cell r="A382" t="str">
            <v>01/2012</v>
          </cell>
          <cell r="B382">
            <v>40911</v>
          </cell>
        </row>
        <row r="383">
          <cell r="A383" t="str">
            <v>01/2012</v>
          </cell>
          <cell r="B383">
            <v>40911</v>
          </cell>
        </row>
        <row r="384">
          <cell r="A384" t="str">
            <v>01/2012</v>
          </cell>
          <cell r="B384">
            <v>40912</v>
          </cell>
        </row>
        <row r="385">
          <cell r="A385" t="str">
            <v>01/2012</v>
          </cell>
          <cell r="B385">
            <v>40911</v>
          </cell>
        </row>
        <row r="386">
          <cell r="A386" t="str">
            <v>01/2012</v>
          </cell>
          <cell r="B386">
            <v>40911</v>
          </cell>
        </row>
        <row r="387">
          <cell r="A387" t="str">
            <v>01/2012</v>
          </cell>
          <cell r="B387">
            <v>40915</v>
          </cell>
        </row>
        <row r="388">
          <cell r="A388" t="str">
            <v>01/2012</v>
          </cell>
          <cell r="B388">
            <v>40914</v>
          </cell>
        </row>
        <row r="389">
          <cell r="A389" t="str">
            <v>01/2012</v>
          </cell>
          <cell r="B389">
            <v>40915</v>
          </cell>
        </row>
        <row r="390">
          <cell r="A390" t="str">
            <v>01/2012</v>
          </cell>
          <cell r="B390">
            <v>40915</v>
          </cell>
        </row>
        <row r="391">
          <cell r="A391" t="str">
            <v>01/2012</v>
          </cell>
          <cell r="B391">
            <v>40917</v>
          </cell>
        </row>
        <row r="392">
          <cell r="A392" t="str">
            <v>01/2012</v>
          </cell>
          <cell r="B392">
            <v>40915</v>
          </cell>
        </row>
        <row r="393">
          <cell r="A393" t="str">
            <v>01/2012</v>
          </cell>
          <cell r="B393">
            <v>40913</v>
          </cell>
        </row>
        <row r="394">
          <cell r="A394" t="str">
            <v>01/2012</v>
          </cell>
          <cell r="B394">
            <v>40915</v>
          </cell>
        </row>
        <row r="395">
          <cell r="A395" t="str">
            <v>01/2012</v>
          </cell>
          <cell r="B395">
            <v>40927</v>
          </cell>
        </row>
        <row r="396">
          <cell r="A396" t="str">
            <v>01/2012</v>
          </cell>
          <cell r="B396">
            <v>40927</v>
          </cell>
        </row>
        <row r="397">
          <cell r="A397" t="str">
            <v>01/2012</v>
          </cell>
          <cell r="B397">
            <v>40927</v>
          </cell>
        </row>
        <row r="398">
          <cell r="A398" t="str">
            <v>01/2012</v>
          </cell>
          <cell r="B398">
            <v>40926</v>
          </cell>
        </row>
        <row r="399">
          <cell r="A399" t="str">
            <v>01/2012</v>
          </cell>
          <cell r="B399">
            <v>40924</v>
          </cell>
        </row>
        <row r="400">
          <cell r="A400" t="str">
            <v>01/2012</v>
          </cell>
          <cell r="B400">
            <v>40922</v>
          </cell>
        </row>
        <row r="401">
          <cell r="A401" t="str">
            <v>01/2012</v>
          </cell>
          <cell r="B401">
            <v>40922</v>
          </cell>
        </row>
        <row r="402">
          <cell r="A402" t="str">
            <v>01/2012</v>
          </cell>
          <cell r="B402">
            <v>40921</v>
          </cell>
        </row>
        <row r="403">
          <cell r="A403" t="str">
            <v>01/2012</v>
          </cell>
          <cell r="B403">
            <v>40921</v>
          </cell>
        </row>
        <row r="404">
          <cell r="A404" t="str">
            <v>01/2012</v>
          </cell>
          <cell r="B404">
            <v>40921</v>
          </cell>
        </row>
        <row r="405">
          <cell r="A405" t="str">
            <v>01/2012</v>
          </cell>
          <cell r="B405">
            <v>40922</v>
          </cell>
        </row>
        <row r="406">
          <cell r="A406" t="str">
            <v>01/2012</v>
          </cell>
          <cell r="B406">
            <v>40924</v>
          </cell>
        </row>
        <row r="407">
          <cell r="A407" t="str">
            <v>01/2012</v>
          </cell>
          <cell r="B407">
            <v>40919</v>
          </cell>
        </row>
        <row r="408">
          <cell r="A408" t="str">
            <v>01/2012</v>
          </cell>
          <cell r="B408">
            <v>40921</v>
          </cell>
        </row>
        <row r="409">
          <cell r="A409" t="str">
            <v>01/2012</v>
          </cell>
          <cell r="B409">
            <v>40926</v>
          </cell>
        </row>
        <row r="410">
          <cell r="A410" t="str">
            <v>01/2012</v>
          </cell>
          <cell r="B410">
            <v>40922</v>
          </cell>
        </row>
        <row r="411">
          <cell r="A411" t="str">
            <v>01/2012</v>
          </cell>
          <cell r="B411">
            <v>40922</v>
          </cell>
        </row>
        <row r="412">
          <cell r="A412" t="str">
            <v>01/2012</v>
          </cell>
          <cell r="B412">
            <v>40920</v>
          </cell>
        </row>
        <row r="413">
          <cell r="A413" t="str">
            <v>01/2012</v>
          </cell>
          <cell r="B413">
            <v>40920</v>
          </cell>
        </row>
        <row r="414">
          <cell r="A414" t="str">
            <v>01/2012</v>
          </cell>
          <cell r="B414">
            <v>40927</v>
          </cell>
        </row>
        <row r="415">
          <cell r="A415" t="str">
            <v>01/2012</v>
          </cell>
          <cell r="B415">
            <v>40927</v>
          </cell>
        </row>
        <row r="416">
          <cell r="A416" t="str">
            <v>01/2012</v>
          </cell>
          <cell r="B416">
            <v>40927</v>
          </cell>
        </row>
      </sheetData>
      <sheetData sheetId="1"/>
      <sheetData sheetId="2">
        <row r="1">
          <cell r="A1" t="str">
            <v>EMPRESA</v>
          </cell>
          <cell r="B1" t="str">
            <v>FAMILIA</v>
          </cell>
        </row>
        <row r="2">
          <cell r="A2" t="str">
            <v>7707-7135</v>
          </cell>
          <cell r="B2" t="str">
            <v>Condominio - (Agua, Gaz e Manutenção)</v>
          </cell>
        </row>
        <row r="3">
          <cell r="A3" t="str">
            <v>8405-8334</v>
          </cell>
          <cell r="B3" t="str">
            <v>Alimentação</v>
          </cell>
        </row>
        <row r="4">
          <cell r="A4" t="str">
            <v>Alimentação</v>
          </cell>
          <cell r="B4" t="str">
            <v>Apartamento</v>
          </cell>
        </row>
        <row r="5">
          <cell r="A5" t="str">
            <v>Cartorio</v>
          </cell>
          <cell r="B5" t="str">
            <v>Calçados</v>
          </cell>
        </row>
        <row r="6">
          <cell r="A6" t="str">
            <v>Comissão</v>
          </cell>
          <cell r="B6" t="str">
            <v>Correio</v>
          </cell>
        </row>
        <row r="7">
          <cell r="A7" t="str">
            <v>Contador</v>
          </cell>
          <cell r="B7" t="str">
            <v>Corte de cabelo</v>
          </cell>
        </row>
        <row r="8">
          <cell r="A8" t="str">
            <v>Correio</v>
          </cell>
          <cell r="B8" t="str">
            <v>Farmacia</v>
          </cell>
        </row>
        <row r="9">
          <cell r="A9" t="str">
            <v>Cursos</v>
          </cell>
          <cell r="B9" t="str">
            <v>Feira</v>
          </cell>
        </row>
        <row r="10">
          <cell r="A10" t="str">
            <v>Emprestimo</v>
          </cell>
          <cell r="B10" t="str">
            <v>Jornais/Revistas</v>
          </cell>
        </row>
        <row r="11">
          <cell r="A11" t="str">
            <v>Escritório</v>
          </cell>
          <cell r="B11" t="str">
            <v>Lanche</v>
          </cell>
        </row>
        <row r="12">
          <cell r="A12" t="str">
            <v>Hospedagem</v>
          </cell>
          <cell r="B12" t="str">
            <v>Lazer</v>
          </cell>
        </row>
        <row r="13">
          <cell r="A13" t="str">
            <v>Impostos</v>
          </cell>
          <cell r="B13" t="str">
            <v>Livros</v>
          </cell>
        </row>
        <row r="14">
          <cell r="A14" t="str">
            <v>Informatica</v>
          </cell>
          <cell r="B14" t="str">
            <v>Luz</v>
          </cell>
        </row>
        <row r="15">
          <cell r="A15" t="str">
            <v>Internet</v>
          </cell>
          <cell r="B15" t="str">
            <v>Manutenção - Casa</v>
          </cell>
        </row>
        <row r="16">
          <cell r="A16" t="str">
            <v>Livros/Revistas</v>
          </cell>
          <cell r="B16" t="str">
            <v>Mercado</v>
          </cell>
        </row>
        <row r="17">
          <cell r="A17" t="str">
            <v>Transporte</v>
          </cell>
          <cell r="B17" t="str">
            <v>Outros</v>
          </cell>
        </row>
        <row r="18">
          <cell r="B18" t="str">
            <v>Plano de Saúde</v>
          </cell>
        </row>
        <row r="19">
          <cell r="B19" t="str">
            <v>Plano Odontológico</v>
          </cell>
        </row>
        <row r="20">
          <cell r="B20" t="str">
            <v>Rodrigo</v>
          </cell>
        </row>
        <row r="21">
          <cell r="B21" t="str">
            <v>Roupas</v>
          </cell>
        </row>
        <row r="22">
          <cell r="B22" t="str">
            <v>Taxi</v>
          </cell>
        </row>
        <row r="23">
          <cell r="B23" t="str">
            <v>Transporte</v>
          </cell>
        </row>
      </sheetData>
      <sheetData sheetId="3"/>
    </sheetDataSet>
  </externalBook>
</externalLink>
</file>

<file path=xl/externalLinks/externalLink2.xml><?xml version="1.0" encoding="utf-8"?>
<externalLink xmlns="http://schemas.openxmlformats.org/spreadsheetml/2006/main">
  <externalBook xmlns:r="http://schemas.openxmlformats.org/officeDocument/2006/relationships" r:id="rId1">
    <sheetNames>
      <sheetName val="HORAS TRABALHADAS"/>
      <sheetName val="HORAS"/>
    </sheetNames>
    <definedNames>
      <definedName name="Categoria"/>
    </definedNames>
    <sheetDataSet>
      <sheetData sheetId="0" refreshError="1"/>
      <sheetData sheetId="1" refreshError="1"/>
    </sheetDataSet>
  </externalBook>
</externalLink>
</file>

<file path=xl/externalLinks/externalLink3.xml><?xml version="1.0" encoding="utf-8"?>
<externalLink xmlns="http://schemas.openxmlformats.org/spreadsheetml/2006/main">
  <externalBook xmlns:r="http://schemas.openxmlformats.org/officeDocument/2006/relationships" r:id="rId1">
    <sheetNames>
      <sheetName val="CALENDARIO - 2013"/>
      <sheetName val="130502-1000"/>
      <sheetName val="130226-0920"/>
      <sheetName val="ABR-2013"/>
      <sheetName val="OS"/>
      <sheetName val="ORDENS DE SERVIÇOS"/>
      <sheetName val="Dados"/>
      <sheetName val="ANÁLISE ANUAL"/>
      <sheetName val="FLUXO DE CAIXA"/>
      <sheetName val="INVENTARIOS"/>
      <sheetName val="BOLETOS_E-MAILS"/>
      <sheetName val="05_2012"/>
      <sheetName val="06_2012"/>
      <sheetName val="07_2012"/>
      <sheetName val="Numeros"/>
      <sheetName val="RECURSOS"/>
      <sheetName val="Calculos"/>
      <sheetName val="Custos"/>
      <sheetName val="Preço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>
        <row r="1">
          <cell r="A1" t="str">
            <v>Telefone</v>
          </cell>
        </row>
        <row r="2">
          <cell r="A2">
            <v>33283396</v>
          </cell>
        </row>
        <row r="3">
          <cell r="A3" t="str">
            <v>94857-5143</v>
          </cell>
        </row>
        <row r="4">
          <cell r="A4" t="str">
            <v>7833-8705</v>
          </cell>
        </row>
        <row r="5">
          <cell r="A5" t="str">
            <v>3031-2417</v>
          </cell>
        </row>
        <row r="6">
          <cell r="A6" t="str">
            <v>5845-1420</v>
          </cell>
        </row>
        <row r="7">
          <cell r="A7" t="str">
            <v>98232-4787</v>
          </cell>
        </row>
        <row r="8">
          <cell r="A8" t="str">
            <v>97143-5168</v>
          </cell>
        </row>
        <row r="9">
          <cell r="A9" t="str">
            <v>98359-5377</v>
          </cell>
        </row>
        <row r="10">
          <cell r="A10" t="str">
            <v>3046-8044</v>
          </cell>
        </row>
        <row r="11">
          <cell r="A11" t="str">
            <v>2501-0829</v>
          </cell>
        </row>
        <row r="12">
          <cell r="A12" t="str">
            <v>3507-6858</v>
          </cell>
        </row>
        <row r="13">
          <cell r="A13" t="str">
            <v>3815-5553</v>
          </cell>
        </row>
        <row r="14">
          <cell r="A14" t="str">
            <v>3839-2222</v>
          </cell>
        </row>
        <row r="15">
          <cell r="A15" t="str">
            <v>3021-6090</v>
          </cell>
        </row>
        <row r="16">
          <cell r="A16" t="str">
            <v>3868-4549</v>
          </cell>
        </row>
        <row r="17">
          <cell r="A17" t="str">
            <v>3873-0200</v>
          </cell>
        </row>
        <row r="18">
          <cell r="A18" t="str">
            <v>3297-0108</v>
          </cell>
        </row>
        <row r="19">
          <cell r="A19" t="str">
            <v>3712-1548</v>
          </cell>
        </row>
        <row r="20">
          <cell r="A20" t="str">
            <v>3743-3425</v>
          </cell>
        </row>
        <row r="21">
          <cell r="A21" t="str">
            <v>3743-3750</v>
          </cell>
        </row>
        <row r="22">
          <cell r="A22" t="str">
            <v>5527-4259</v>
          </cell>
        </row>
        <row r="23">
          <cell r="A23" t="str">
            <v>98342-3747</v>
          </cell>
        </row>
        <row r="24">
          <cell r="A24" t="str">
            <v>99946-1727</v>
          </cell>
        </row>
        <row r="25">
          <cell r="A25" t="str">
            <v>97373-8016</v>
          </cell>
        </row>
        <row r="26">
          <cell r="A26" t="str">
            <v>97756-2677</v>
          </cell>
        </row>
        <row r="27">
          <cell r="A27" t="str">
            <v>5103-5692</v>
          </cell>
        </row>
        <row r="28">
          <cell r="A28" t="str">
            <v>0800-10123</v>
          </cell>
        </row>
        <row r="29">
          <cell r="A29" t="str">
            <v>0800-152119</v>
          </cell>
        </row>
        <row r="30">
          <cell r="A30" t="str">
            <v>0800-7011774</v>
          </cell>
        </row>
        <row r="31">
          <cell r="A31" t="str">
            <v>0800-7272192</v>
          </cell>
        </row>
        <row r="32">
          <cell r="A32" t="str">
            <v>0800-7731114</v>
          </cell>
        </row>
        <row r="33">
          <cell r="A33" t="str">
            <v>0800-8884081</v>
          </cell>
        </row>
        <row r="34">
          <cell r="A34" t="str">
            <v>3846-5809</v>
          </cell>
        </row>
        <row r="35">
          <cell r="A35" t="str">
            <v>4004-1144</v>
          </cell>
        </row>
        <row r="36">
          <cell r="A36" t="str">
            <v>2146-6414</v>
          </cell>
        </row>
        <row r="37">
          <cell r="A37" t="str">
            <v>2171-1521</v>
          </cell>
        </row>
        <row r="38">
          <cell r="A38" t="str">
            <v>2186-9837</v>
          </cell>
        </row>
        <row r="39">
          <cell r="A39" t="str">
            <v>2192-9707</v>
          </cell>
        </row>
        <row r="40">
          <cell r="A40" t="str">
            <v>2231-5522</v>
          </cell>
        </row>
        <row r="41">
          <cell r="A41" t="str">
            <v>2293-5354</v>
          </cell>
        </row>
        <row r="42">
          <cell r="A42" t="str">
            <v>2293-5377</v>
          </cell>
        </row>
        <row r="43">
          <cell r="A43" t="str">
            <v>2501-1725</v>
          </cell>
        </row>
        <row r="44">
          <cell r="A44" t="str">
            <v>2537-1705</v>
          </cell>
        </row>
        <row r="45">
          <cell r="A45" t="str">
            <v>2574-4962</v>
          </cell>
        </row>
        <row r="46">
          <cell r="A46" t="str">
            <v>2703-0899</v>
          </cell>
        </row>
        <row r="47">
          <cell r="A47" t="str">
            <v>2892-2263</v>
          </cell>
        </row>
        <row r="48">
          <cell r="A48" t="str">
            <v>2911-5376</v>
          </cell>
        </row>
        <row r="49">
          <cell r="A49" t="str">
            <v>2950-7452</v>
          </cell>
        </row>
        <row r="50">
          <cell r="A50" t="str">
            <v>2971-1312</v>
          </cell>
        </row>
        <row r="51">
          <cell r="A51" t="str">
            <v>2971-6170</v>
          </cell>
        </row>
        <row r="52">
          <cell r="A52" t="str">
            <v>3011-2676</v>
          </cell>
        </row>
        <row r="53">
          <cell r="A53" t="str">
            <v>3011-2676</v>
          </cell>
        </row>
        <row r="54">
          <cell r="A54" t="str">
            <v>3019-4828</v>
          </cell>
        </row>
        <row r="55">
          <cell r="A55" t="str">
            <v>3034-6034</v>
          </cell>
        </row>
        <row r="56">
          <cell r="A56" t="str">
            <v>3111-2131</v>
          </cell>
        </row>
        <row r="57">
          <cell r="A57" t="str">
            <v>3111-2680</v>
          </cell>
        </row>
        <row r="58">
          <cell r="A58" t="str">
            <v>3111-2699</v>
          </cell>
        </row>
        <row r="59">
          <cell r="A59" t="str">
            <v>3111-2700</v>
          </cell>
        </row>
        <row r="60">
          <cell r="A60" t="str">
            <v>3111-2706</v>
          </cell>
        </row>
        <row r="61">
          <cell r="A61" t="str">
            <v>3124-1000</v>
          </cell>
        </row>
        <row r="62">
          <cell r="A62" t="str">
            <v>3255-5714</v>
          </cell>
        </row>
        <row r="63">
          <cell r="A63" t="str">
            <v>3384-4875</v>
          </cell>
        </row>
        <row r="64">
          <cell r="A64" t="str">
            <v>3441-1255</v>
          </cell>
        </row>
        <row r="65">
          <cell r="A65" t="str">
            <v>3464-2469</v>
          </cell>
        </row>
        <row r="66">
          <cell r="A66" t="str">
            <v>3531-9707</v>
          </cell>
        </row>
        <row r="67">
          <cell r="A67" t="str">
            <v>3544-0500</v>
          </cell>
        </row>
        <row r="68">
          <cell r="A68" t="str">
            <v>3567-2206</v>
          </cell>
        </row>
        <row r="69">
          <cell r="A69" t="str">
            <v>3578-3620</v>
          </cell>
        </row>
        <row r="70">
          <cell r="A70" t="str">
            <v>3637-3102</v>
          </cell>
        </row>
        <row r="71">
          <cell r="A71" t="str">
            <v>3692-4019</v>
          </cell>
        </row>
        <row r="72">
          <cell r="A72" t="str">
            <v>3712-2416</v>
          </cell>
        </row>
        <row r="73">
          <cell r="A73" t="str">
            <v>3742-6834</v>
          </cell>
        </row>
        <row r="74">
          <cell r="A74" t="str">
            <v>3746-9283</v>
          </cell>
        </row>
        <row r="75">
          <cell r="A75" t="str">
            <v>3749-1133</v>
          </cell>
        </row>
        <row r="76">
          <cell r="A76" t="str">
            <v>3768-2641</v>
          </cell>
        </row>
        <row r="77">
          <cell r="A77" t="str">
            <v>3814-0430</v>
          </cell>
        </row>
        <row r="78">
          <cell r="A78" t="str">
            <v>3814-9533</v>
          </cell>
        </row>
        <row r="79">
          <cell r="A79" t="str">
            <v>3816-8313</v>
          </cell>
        </row>
        <row r="80">
          <cell r="A80" t="str">
            <v>3819-8082</v>
          </cell>
        </row>
        <row r="81">
          <cell r="A81" t="str">
            <v>3836-4858</v>
          </cell>
        </row>
        <row r="82">
          <cell r="A82" t="str">
            <v>3837-7714</v>
          </cell>
        </row>
        <row r="83">
          <cell r="A83" t="str">
            <v>3842-1135</v>
          </cell>
        </row>
        <row r="84">
          <cell r="A84" t="str">
            <v>3872-3316</v>
          </cell>
        </row>
        <row r="85">
          <cell r="A85" t="str">
            <v>3884-3677</v>
          </cell>
        </row>
        <row r="86">
          <cell r="A86" t="str">
            <v>3908-1253</v>
          </cell>
        </row>
        <row r="87">
          <cell r="A87" t="str">
            <v>3908-1281</v>
          </cell>
        </row>
        <row r="88">
          <cell r="A88" t="str">
            <v>3924-5786</v>
          </cell>
        </row>
        <row r="89">
          <cell r="A89" t="str">
            <v>3931-0935</v>
          </cell>
        </row>
        <row r="90">
          <cell r="A90" t="str">
            <v>3966-4651</v>
          </cell>
        </row>
        <row r="91">
          <cell r="A91" t="str">
            <v>3966-4651</v>
          </cell>
        </row>
        <row r="92">
          <cell r="A92" t="str">
            <v>4002-1022</v>
          </cell>
        </row>
        <row r="93">
          <cell r="A93" t="str">
            <v>4054-4300</v>
          </cell>
        </row>
        <row r="94">
          <cell r="A94" t="str">
            <v>4056-6243</v>
          </cell>
        </row>
        <row r="95">
          <cell r="A95" t="str">
            <v>4063-5569</v>
          </cell>
        </row>
        <row r="96">
          <cell r="A96" t="str">
            <v>4063-5569</v>
          </cell>
        </row>
        <row r="97">
          <cell r="A97" t="str">
            <v>4092-4252</v>
          </cell>
        </row>
        <row r="98">
          <cell r="A98" t="str">
            <v>4666-8703</v>
          </cell>
        </row>
        <row r="99">
          <cell r="A99" t="str">
            <v>4667-5003</v>
          </cell>
        </row>
        <row r="100">
          <cell r="A100" t="str">
            <v>4683-2402</v>
          </cell>
        </row>
        <row r="101">
          <cell r="A101" t="str">
            <v>5011-3093</v>
          </cell>
        </row>
        <row r="102">
          <cell r="A102" t="str">
            <v>5034-2713</v>
          </cell>
        </row>
        <row r="103">
          <cell r="A103" t="str">
            <v>5034-7389</v>
          </cell>
        </row>
        <row r="104">
          <cell r="A104" t="str">
            <v>5041-0331</v>
          </cell>
        </row>
        <row r="105">
          <cell r="A105" t="str">
            <v>5041-0698</v>
          </cell>
        </row>
        <row r="106">
          <cell r="A106" t="str">
            <v>5041-2040</v>
          </cell>
        </row>
        <row r="107">
          <cell r="A107" t="str">
            <v>5041-5168</v>
          </cell>
        </row>
        <row r="108">
          <cell r="A108" t="str">
            <v>5041-5371</v>
          </cell>
        </row>
        <row r="109">
          <cell r="A109" t="str">
            <v>5051-1020</v>
          </cell>
        </row>
        <row r="110">
          <cell r="A110" t="str">
            <v>5052-2093</v>
          </cell>
        </row>
        <row r="111">
          <cell r="A111" t="str">
            <v>5052-6767</v>
          </cell>
        </row>
        <row r="112">
          <cell r="A112" t="str">
            <v>5068-1581</v>
          </cell>
        </row>
        <row r="113">
          <cell r="A113" t="str">
            <v>5071-4094</v>
          </cell>
        </row>
        <row r="114">
          <cell r="A114" t="str">
            <v>5090-0421</v>
          </cell>
        </row>
        <row r="115">
          <cell r="A115" t="str">
            <v>5090-0446</v>
          </cell>
        </row>
        <row r="116">
          <cell r="A116" t="str">
            <v>5094-0919</v>
          </cell>
        </row>
        <row r="117">
          <cell r="A117" t="str">
            <v>5103-0330</v>
          </cell>
        </row>
        <row r="118">
          <cell r="A118" t="str">
            <v>5183-7231</v>
          </cell>
        </row>
        <row r="119">
          <cell r="A119" t="str">
            <v>5506-9498</v>
          </cell>
        </row>
        <row r="120">
          <cell r="A120" t="str">
            <v>5507-5734</v>
          </cell>
        </row>
        <row r="121">
          <cell r="A121" t="str">
            <v>5507-5735</v>
          </cell>
        </row>
        <row r="122">
          <cell r="A122" t="str">
            <v>5507-5736</v>
          </cell>
        </row>
        <row r="123">
          <cell r="A123" t="str">
            <v>5524-9600</v>
          </cell>
        </row>
        <row r="124">
          <cell r="A124" t="str">
            <v>5531-5071</v>
          </cell>
        </row>
        <row r="125">
          <cell r="A125" t="str">
            <v>5536-0133</v>
          </cell>
        </row>
        <row r="126">
          <cell r="A126" t="str">
            <v>5536-0744</v>
          </cell>
        </row>
        <row r="127">
          <cell r="A127" t="str">
            <v>5536-3656</v>
          </cell>
        </row>
        <row r="128">
          <cell r="A128" t="str">
            <v>5543-0680</v>
          </cell>
        </row>
        <row r="129">
          <cell r="A129" t="str">
            <v>5543-4522</v>
          </cell>
        </row>
        <row r="130">
          <cell r="A130" t="str">
            <v>5543-4838</v>
          </cell>
        </row>
        <row r="131">
          <cell r="A131" t="str">
            <v>5571-2751</v>
          </cell>
        </row>
        <row r="132">
          <cell r="A132" t="str">
            <v>5572-0181</v>
          </cell>
        </row>
        <row r="133">
          <cell r="A133" t="str">
            <v>5576-9525</v>
          </cell>
        </row>
        <row r="134">
          <cell r="A134" t="str">
            <v>5576-9625</v>
          </cell>
        </row>
        <row r="135">
          <cell r="A135" t="str">
            <v>5594-8242</v>
          </cell>
        </row>
        <row r="136">
          <cell r="A136" t="str">
            <v>5660-8005</v>
          </cell>
        </row>
        <row r="137">
          <cell r="A137" t="str">
            <v>5661-2863</v>
          </cell>
        </row>
        <row r="138">
          <cell r="A138" t="str">
            <v>5661-9692</v>
          </cell>
        </row>
        <row r="139">
          <cell r="A139" t="str">
            <v>5662-6720</v>
          </cell>
        </row>
        <row r="140">
          <cell r="A140" t="str">
            <v>5666-0958</v>
          </cell>
        </row>
        <row r="141">
          <cell r="A141" t="str">
            <v>5667-6100</v>
          </cell>
        </row>
        <row r="142">
          <cell r="A142" t="str">
            <v>5667-8022</v>
          </cell>
        </row>
        <row r="143">
          <cell r="A143" t="str">
            <v>5667-8110</v>
          </cell>
        </row>
        <row r="144">
          <cell r="A144" t="str">
            <v>5681-3333</v>
          </cell>
        </row>
        <row r="145">
          <cell r="A145" t="str">
            <v>5685-1129</v>
          </cell>
        </row>
        <row r="146">
          <cell r="A146" t="str">
            <v>5819-5814</v>
          </cell>
        </row>
        <row r="147">
          <cell r="A147" t="str">
            <v>5831-6656</v>
          </cell>
        </row>
        <row r="148">
          <cell r="A148" t="str">
            <v>6203-0393</v>
          </cell>
        </row>
        <row r="149">
          <cell r="A149" t="str">
            <v>6754-0264</v>
          </cell>
        </row>
        <row r="150">
          <cell r="A150" t="str">
            <v>6792-0252</v>
          </cell>
        </row>
        <row r="151">
          <cell r="A151" t="str">
            <v>6965-4469</v>
          </cell>
        </row>
        <row r="152">
          <cell r="A152" t="str">
            <v>97054-7823</v>
          </cell>
        </row>
        <row r="153">
          <cell r="A153" t="str">
            <v>97132-9975</v>
          </cell>
        </row>
        <row r="154">
          <cell r="A154" t="str">
            <v>97202-0644</v>
          </cell>
        </row>
        <row r="155">
          <cell r="A155" t="str">
            <v>97251-0991</v>
          </cell>
        </row>
        <row r="156">
          <cell r="A156" t="str">
            <v>97259-5986</v>
          </cell>
        </row>
        <row r="157">
          <cell r="A157" t="str">
            <v>97283-9970</v>
          </cell>
        </row>
        <row r="158">
          <cell r="A158" t="str">
            <v>97349-2206</v>
          </cell>
        </row>
        <row r="159">
          <cell r="A159" t="str">
            <v>97373-8016</v>
          </cell>
        </row>
        <row r="160">
          <cell r="A160" t="str">
            <v>97448-6886</v>
          </cell>
        </row>
        <row r="161">
          <cell r="A161" t="str">
            <v>97608-2216</v>
          </cell>
        </row>
        <row r="162">
          <cell r="A162" t="str">
            <v>97613-8293</v>
          </cell>
        </row>
        <row r="163">
          <cell r="A163" t="str">
            <v>97615-9703</v>
          </cell>
        </row>
        <row r="164">
          <cell r="A164" t="str">
            <v>97652-2031</v>
          </cell>
        </row>
        <row r="165">
          <cell r="A165" t="str">
            <v>97682-9177</v>
          </cell>
        </row>
        <row r="166">
          <cell r="A166" t="str">
            <v>97712-8951</v>
          </cell>
        </row>
        <row r="167">
          <cell r="A167" t="str">
            <v>97712-8951</v>
          </cell>
        </row>
        <row r="168">
          <cell r="A168" t="str">
            <v>97713-4529</v>
          </cell>
        </row>
        <row r="169">
          <cell r="A169" t="str">
            <v>97715-8037</v>
          </cell>
        </row>
        <row r="170">
          <cell r="A170" t="str">
            <v>97809-3337</v>
          </cell>
        </row>
        <row r="171">
          <cell r="A171" t="str">
            <v>97809-3337</v>
          </cell>
        </row>
        <row r="172">
          <cell r="A172" t="str">
            <v>97810-1960</v>
          </cell>
        </row>
        <row r="173">
          <cell r="A173" t="str">
            <v>97812-9078</v>
          </cell>
        </row>
        <row r="174">
          <cell r="A174" t="str">
            <v>97830-6862</v>
          </cell>
        </row>
        <row r="175">
          <cell r="A175" t="str">
            <v>97853-2148</v>
          </cell>
        </row>
        <row r="176">
          <cell r="A176" t="str">
            <v>97864-0811</v>
          </cell>
        </row>
        <row r="177">
          <cell r="A177" t="str">
            <v>97871-1074</v>
          </cell>
        </row>
        <row r="178">
          <cell r="A178" t="str">
            <v>97875-1673</v>
          </cell>
        </row>
        <row r="179">
          <cell r="A179" t="str">
            <v>97883-8446</v>
          </cell>
        </row>
        <row r="180">
          <cell r="A180" t="str">
            <v>97889-7478</v>
          </cell>
        </row>
        <row r="181">
          <cell r="A181" t="str">
            <v>97891-7744</v>
          </cell>
        </row>
        <row r="182">
          <cell r="A182" t="str">
            <v>97895-2813</v>
          </cell>
        </row>
        <row r="183">
          <cell r="A183" t="str">
            <v>98081-1822</v>
          </cell>
        </row>
        <row r="184">
          <cell r="A184" t="str">
            <v>98100-8500</v>
          </cell>
        </row>
        <row r="185">
          <cell r="A185" t="str">
            <v>98111-6318</v>
          </cell>
        </row>
        <row r="186">
          <cell r="A186" t="str">
            <v>98115-3535</v>
          </cell>
        </row>
        <row r="187">
          <cell r="A187" t="str">
            <v>98126-6161</v>
          </cell>
        </row>
        <row r="188">
          <cell r="A188" t="str">
            <v>98148-0425</v>
          </cell>
        </row>
        <row r="189">
          <cell r="A189" t="str">
            <v>98163-1855</v>
          </cell>
        </row>
        <row r="190">
          <cell r="A190" t="str">
            <v>98181-4405</v>
          </cell>
        </row>
        <row r="191">
          <cell r="A191" t="str">
            <v>98181-8733</v>
          </cell>
        </row>
        <row r="192">
          <cell r="A192" t="str">
            <v>98187-4167</v>
          </cell>
        </row>
        <row r="193">
          <cell r="A193" t="str">
            <v>98204-0700</v>
          </cell>
        </row>
        <row r="194">
          <cell r="A194" t="str">
            <v>98222-6363</v>
          </cell>
        </row>
        <row r="195">
          <cell r="A195" t="str">
            <v>98256-3906</v>
          </cell>
        </row>
        <row r="196">
          <cell r="A196" t="str">
            <v>98262-3405</v>
          </cell>
        </row>
        <row r="197">
          <cell r="A197" t="str">
            <v>98341-0222</v>
          </cell>
        </row>
        <row r="198">
          <cell r="A198" t="str">
            <v>98365-3029</v>
          </cell>
        </row>
        <row r="199">
          <cell r="A199" t="str">
            <v>98365-9725</v>
          </cell>
        </row>
        <row r="200">
          <cell r="A200" t="str">
            <v>98405-8334</v>
          </cell>
        </row>
        <row r="201">
          <cell r="A201" t="str">
            <v>98410-9986</v>
          </cell>
        </row>
        <row r="202">
          <cell r="A202" t="str">
            <v>98457-5025</v>
          </cell>
        </row>
        <row r="203">
          <cell r="A203" t="str">
            <v>98468-2874</v>
          </cell>
        </row>
        <row r="204">
          <cell r="A204" t="str">
            <v>98469-0614</v>
          </cell>
        </row>
        <row r="205">
          <cell r="A205" t="str">
            <v>98501-3004</v>
          </cell>
        </row>
        <row r="206">
          <cell r="A206" t="str">
            <v>98571-1992</v>
          </cell>
        </row>
        <row r="207">
          <cell r="A207" t="str">
            <v>98586-0674</v>
          </cell>
        </row>
        <row r="208">
          <cell r="A208" t="str">
            <v>98593-6844</v>
          </cell>
        </row>
        <row r="209">
          <cell r="A209" t="str">
            <v>98593-6852</v>
          </cell>
        </row>
        <row r="210">
          <cell r="A210" t="str">
            <v>98758-0542</v>
          </cell>
        </row>
        <row r="211">
          <cell r="A211" t="str">
            <v>98890-3227</v>
          </cell>
        </row>
        <row r="212">
          <cell r="A212" t="str">
            <v>98901-7516</v>
          </cell>
        </row>
        <row r="213">
          <cell r="A213" t="str">
            <v>98942-4185</v>
          </cell>
        </row>
        <row r="214">
          <cell r="A214" t="str">
            <v>98986-9587</v>
          </cell>
        </row>
        <row r="215">
          <cell r="A215" t="str">
            <v>99135-4818</v>
          </cell>
        </row>
        <row r="216">
          <cell r="A216" t="str">
            <v>99141-2247</v>
          </cell>
        </row>
        <row r="217">
          <cell r="A217" t="str">
            <v>99154-6747</v>
          </cell>
        </row>
        <row r="218">
          <cell r="A218" t="str">
            <v>99167-3359</v>
          </cell>
        </row>
        <row r="219">
          <cell r="A219" t="str">
            <v>99177-3915</v>
          </cell>
        </row>
        <row r="220">
          <cell r="A220" t="str">
            <v>99244-8007</v>
          </cell>
        </row>
        <row r="221">
          <cell r="A221" t="str">
            <v>99244-8007</v>
          </cell>
        </row>
        <row r="222">
          <cell r="A222" t="str">
            <v>99244-8615</v>
          </cell>
        </row>
        <row r="223">
          <cell r="A223" t="str">
            <v>99294-5303</v>
          </cell>
        </row>
        <row r="224">
          <cell r="A224" t="str">
            <v>99295-6338</v>
          </cell>
        </row>
        <row r="225">
          <cell r="A225" t="str">
            <v>99315-1549</v>
          </cell>
        </row>
        <row r="226">
          <cell r="A226" t="str">
            <v>99317-2918</v>
          </cell>
        </row>
        <row r="227">
          <cell r="A227" t="str">
            <v>99330-9211</v>
          </cell>
        </row>
        <row r="228">
          <cell r="A228" t="str">
            <v>99338-0450</v>
          </cell>
        </row>
        <row r="229">
          <cell r="A229" t="str">
            <v>99451-0615</v>
          </cell>
        </row>
        <row r="230">
          <cell r="A230" t="str">
            <v>99461-9590</v>
          </cell>
        </row>
        <row r="231">
          <cell r="A231" t="str">
            <v>99469-3646</v>
          </cell>
        </row>
        <row r="232">
          <cell r="A232" t="str">
            <v>99487-3082</v>
          </cell>
        </row>
        <row r="233">
          <cell r="A233" t="str">
            <v>99616-7508</v>
          </cell>
        </row>
        <row r="234">
          <cell r="A234" t="str">
            <v>99617-1269</v>
          </cell>
        </row>
        <row r="235">
          <cell r="A235" t="str">
            <v>99620-2955</v>
          </cell>
        </row>
        <row r="236">
          <cell r="A236" t="str">
            <v>99651-0677</v>
          </cell>
        </row>
        <row r="237">
          <cell r="A237" t="str">
            <v>99714-8706</v>
          </cell>
        </row>
        <row r="238">
          <cell r="A238" t="str">
            <v>99755-1864</v>
          </cell>
        </row>
        <row r="239">
          <cell r="A239" t="str">
            <v>99755-1864</v>
          </cell>
        </row>
        <row r="240">
          <cell r="A240" t="str">
            <v>99801-9004</v>
          </cell>
        </row>
        <row r="241">
          <cell r="A241" t="str">
            <v>99881-7206</v>
          </cell>
        </row>
        <row r="242">
          <cell r="A242" t="str">
            <v>99905-1956</v>
          </cell>
        </row>
        <row r="243">
          <cell r="A243" t="str">
            <v>99919-0575</v>
          </cell>
        </row>
        <row r="244">
          <cell r="A244" t="str">
            <v>99919-9579</v>
          </cell>
        </row>
        <row r="245">
          <cell r="A245" t="str">
            <v>99932-6117</v>
          </cell>
        </row>
        <row r="246">
          <cell r="A246" t="str">
            <v>99940-9180</v>
          </cell>
        </row>
        <row r="247">
          <cell r="A247" t="str">
            <v>99979-0340</v>
          </cell>
        </row>
        <row r="248">
          <cell r="A248" t="str">
            <v>97670-5441</v>
          </cell>
        </row>
        <row r="249">
          <cell r="A249" t="str">
            <v>96998-4839</v>
          </cell>
        </row>
        <row r="250">
          <cell r="A250" t="str">
            <v>98896-9589</v>
          </cell>
        </row>
        <row r="251">
          <cell r="A251" t="str">
            <v>99983-2091</v>
          </cell>
        </row>
        <row r="252">
          <cell r="A252" t="str">
            <v>99994-4839</v>
          </cell>
        </row>
        <row r="253">
          <cell r="A253" t="str">
            <v>94870-8143</v>
          </cell>
        </row>
        <row r="254">
          <cell r="A254" t="str">
            <v>95361-3640</v>
          </cell>
        </row>
        <row r="255">
          <cell r="A255" t="str">
            <v>98291-9969</v>
          </cell>
        </row>
        <row r="256">
          <cell r="A256" t="str">
            <v>97187-6938</v>
          </cell>
        </row>
        <row r="257">
          <cell r="A257" t="str">
            <v>98083-5081</v>
          </cell>
        </row>
        <row r="258">
          <cell r="A258" t="str">
            <v>3836-9265</v>
          </cell>
        </row>
        <row r="259">
          <cell r="A259" t="str">
            <v>3031-8204</v>
          </cell>
        </row>
        <row r="260">
          <cell r="A260" t="str">
            <v>3968-2856</v>
          </cell>
        </row>
        <row r="261">
          <cell r="A261" t="str">
            <v>4701-9624</v>
          </cell>
        </row>
        <row r="262">
          <cell r="A262" t="str">
            <v>96982-3670</v>
          </cell>
        </row>
        <row r="263">
          <cell r="A263" t="str">
            <v>99942-9954</v>
          </cell>
        </row>
        <row r="264">
          <cell r="A264" t="str">
            <v>99668-2458</v>
          </cell>
        </row>
        <row r="265">
          <cell r="A265" t="str">
            <v>99654-4332</v>
          </cell>
        </row>
        <row r="266">
          <cell r="A266" t="str">
            <v>98915-7575</v>
          </cell>
        </row>
        <row r="267">
          <cell r="A267" t="str">
            <v>97528-7121</v>
          </cell>
        </row>
        <row r="268">
          <cell r="A268">
            <v>3001007575</v>
          </cell>
        </row>
        <row r="269">
          <cell r="A269" t="str">
            <v>97413-2702</v>
          </cell>
        </row>
        <row r="270">
          <cell r="A270" t="str">
            <v>5555-5555</v>
          </cell>
        </row>
        <row r="271">
          <cell r="A271" t="str">
            <v>5555-8888</v>
          </cell>
        </row>
        <row r="272">
          <cell r="A272" t="str">
            <v>98962-3729</v>
          </cell>
        </row>
        <row r="273">
          <cell r="A273" t="str">
            <v>5083-3133</v>
          </cell>
        </row>
        <row r="274">
          <cell r="A274" t="str">
            <v>2503-3477</v>
          </cell>
        </row>
        <row r="275">
          <cell r="A275" t="str">
            <v>3046-8044</v>
          </cell>
        </row>
        <row r="276">
          <cell r="A276" t="str">
            <v>3839-9400</v>
          </cell>
        </row>
        <row r="277">
          <cell r="A277" t="str">
            <v>3897-5333</v>
          </cell>
        </row>
        <row r="278">
          <cell r="A278" t="str">
            <v>5574-9171</v>
          </cell>
        </row>
      </sheetData>
      <sheetData sheetId="15"/>
      <sheetData sheetId="16"/>
      <sheetData sheetId="17"/>
      <sheetData sheetId="18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AILTON" refreshedDate="42202.922599305559" createdVersion="3" refreshedVersion="3" minRefreshableVersion="3" recordCount="94">
  <cacheSource type="worksheet">
    <worksheetSource ref="B1:C1048576" sheet="Plan1"/>
  </cacheSource>
  <cacheFields count="2">
    <cacheField name="GRUPO" numFmtId="0">
      <sharedItems containsBlank="1" count="19">
        <s v="AILTON"/>
        <s v="ALIMENTAÇÃO"/>
        <s v="CLIENTES"/>
        <s v="COBRANÇA"/>
        <s v="EMPRESTIMOS"/>
        <s v="EXECUTOR"/>
        <s v="IMPOSTOS"/>
        <s v="PROVISÃO"/>
        <s v="M.OBRA"/>
        <s v="MORADIA"/>
        <s v="NET"/>
        <s v="ORÇAMENTOS"/>
        <s v="SAUDE"/>
        <s v="RODRIGO"/>
        <s v="TARIFAS"/>
        <s v="TELEFONIA"/>
        <s v="VENDAS"/>
        <s v="WEB"/>
        <m/>
      </sharedItems>
    </cacheField>
    <cacheField name="CONTA" numFmtId="0">
      <sharedItems containsBlank="1" count="92">
        <s v="ACESSORIOS"/>
        <s v="ANTIVIRUS"/>
        <s v="CARTUCHO - HP (21)"/>
        <s v="CARTUCHO - HP (22)"/>
        <s v="ESTUDOS"/>
        <s v="LIVROS/REVISTAS"/>
        <s v="MATERIAL"/>
        <s v="HD EXTERNO"/>
        <s v="MICRO SDHC"/>
        <s v="PRESENTES"/>
        <s v="TABLET"/>
        <s v="TRANSPORTE"/>
        <s v="VESTUARIO"/>
        <s v="NETFLIX"/>
        <s v="CAFÉ"/>
        <s v="HORTFRUTI"/>
        <s v="LANCHES/LAZER"/>
        <s v="MERCADO"/>
        <s v="UZO"/>
        <s v="ALPHA SERVER"/>
        <s v="BERTINI MADEIRAS"/>
        <s v="BR TECNOLOGY"/>
        <s v="CAIO"/>
        <s v="CARMELITA"/>
        <s v="CLAUDETE"/>
        <s v="DARIO MACHADO"/>
        <s v="ELISA"/>
        <s v="FALCON MOSAICS"/>
        <s v="JET CLASS"/>
        <s v="KAWAI"/>
        <s v="LUKARMONA"/>
        <s v="MIGUEL AMADOR"/>
        <s v="MILLENNIUM"/>
        <s v="RENATA PANTELEICIUC"/>
        <s v="RENATO PORTELLA"/>
        <s v="RETEC"/>
        <s v="SPRINGER"/>
        <s v="TEREZA"/>
        <s v="WAGNER"/>
        <s v="PAGSEGURO"/>
        <s v="CAIXA ECONOMICA"/>
        <s v="ITAU"/>
        <s v="VANESSA"/>
        <s v="ALIMENTAÇÃO"/>
        <s v="PEÇAS / APLICATIVOS"/>
        <s v="CERTIFICADO DIGITAL"/>
        <s v="ISS"/>
        <s v="TFE"/>
        <s v="INVESTIMENTO-MENSAL (10%)"/>
        <s v="PIC"/>
        <s v="FABIANO"/>
        <s v="JOAQUIM PETIZ"/>
        <s v="ADIWEB"/>
        <s v="APARTAMENTO"/>
        <s v="CONDOMINIO"/>
        <s v="LUZ"/>
        <s v="MANUTENÇÃO"/>
        <s v="MOBILIA"/>
        <s v="2373-7625 NET"/>
        <s v="LINK WEB (10 MB)"/>
        <s v="Multa/juros"/>
        <s v="TV"/>
        <s v="ORÇAMENTOS"/>
        <s v="RESERVA-AILTON"/>
        <s v="RESERVA-CAIXA"/>
        <s v="RESERVA-FÉRIAS"/>
        <s v="RESERVA-SUPORTE"/>
        <s v="RESERVA-P.SAUDE"/>
        <s v="RESERVA-TRANSPORTE"/>
        <s v="RESERVA-LAZER"/>
        <s v="FARMACIA"/>
        <s v="H.PESSOAL"/>
        <s v="P.ODONTO"/>
        <s v="P.SAUDE"/>
        <s v="P.SAUDE_RODRIGO"/>
        <s v="ESCOLINHA"/>
        <s v="VACINA_RODRIGO"/>
        <s v="ADIANT.DEPOSITANTE "/>
        <s v="CC.ITAU"/>
        <s v="CUSTAS COBRANCA"/>
        <s v="DOC INTERNET"/>
        <s v="IOF"/>
        <s v="MAXICONTA"/>
        <s v="9-4857-5143 TIM"/>
        <s v="9-4870-8143 TIM VANESSA"/>
        <s v="9-5472-7493 VIVO"/>
        <s v="9-8405-8334 VIVO"/>
        <s v="VENDAS"/>
        <s v="f4consult.com.br"/>
        <s v="REVENDA PLESK I"/>
        <s v="REVENDA_II"/>
        <m/>
      </sharedItems>
    </cacheField>
  </cacheFields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AILTON" refreshedDate="42202.922601157406" createdVersion="3" refreshedVersion="3" minRefreshableVersion="3" recordCount="1202">
  <cacheSource type="worksheet">
    <worksheetSource ref="A1:M1048576" sheet="MOVIMENTO"/>
  </cacheSource>
  <cacheFields count="13">
    <cacheField name="EMISSÃO" numFmtId="164">
      <sharedItems containsNonDate="0" containsDate="1" containsString="0" containsBlank="1" minDate="2011-04-14T00:00:00" maxDate="2014-12-21T00:00:00"/>
    </cacheField>
    <cacheField name="DOCUMENTO" numFmtId="0">
      <sharedItems containsBlank="1"/>
    </cacheField>
    <cacheField name="OBSERVAÇÃO" numFmtId="0">
      <sharedItems containsBlank="1"/>
    </cacheField>
    <cacheField name="VENCIMENTO" numFmtId="164">
      <sharedItems containsNonDate="0" containsDate="1" containsString="0" containsBlank="1" minDate="2011-03-30T00:00:00" maxDate="2017-05-11T00:00:00" count="348">
        <d v="2011-04-14T00:00:00"/>
        <d v="2012-01-10T00:00:00"/>
        <d v="2012-04-09T00:00:00"/>
        <d v="2012-11-08T00:00:00"/>
        <d v="2013-01-02T00:00:00"/>
        <d v="2013-01-10T00:00:00"/>
        <d v="2013-01-03T00:00:00"/>
        <d v="2013-01-04T00:00:00"/>
        <d v="2013-01-05T00:00:00"/>
        <d v="2013-01-08T00:00:00"/>
        <d v="2013-01-09T00:00:00"/>
        <d v="2013-01-17T00:00:00"/>
        <d v="2013-01-18T00:00:00"/>
        <d v="2013-01-20T00:00:00"/>
        <d v="2013-01-21T00:00:00"/>
        <d v="2013-01-22T00:00:00"/>
        <d v="2013-01-23T00:00:00"/>
        <d v="2013-01-24T00:00:00"/>
        <d v="2013-01-28T00:00:00"/>
        <d v="2013-01-31T00:00:00"/>
        <d v="2013-01-01T00:00:00"/>
        <d v="2013-02-01T00:00:00"/>
        <d v="2013-02-03T00:00:00"/>
        <d v="2013-02-04T00:00:00"/>
        <d v="2013-02-10T00:00:00"/>
        <d v="2013-02-05T00:00:00"/>
        <d v="2013-02-14T00:00:00"/>
        <d v="2013-02-15T00:00:00"/>
        <d v="2013-02-20T00:00:00"/>
        <d v="2013-02-21T00:00:00"/>
        <d v="2013-02-22T00:00:00"/>
        <d v="2013-02-26T00:00:00"/>
        <d v="2013-02-28T00:00:00"/>
        <d v="2013-03-02T00:00:00"/>
        <d v="2013-03-03T00:00:00"/>
        <d v="2013-03-04T00:00:00"/>
        <d v="2013-03-10T00:00:00"/>
        <d v="2013-03-05T00:00:00"/>
        <d v="2013-03-06T00:00:00"/>
        <d v="2013-03-08T00:00:00"/>
        <d v="2013-03-11T00:00:00"/>
        <d v="2013-03-12T00:00:00"/>
        <d v="2013-03-13T00:00:00"/>
        <d v="2013-03-14T00:00:00"/>
        <d v="2013-03-15T00:00:00"/>
        <d v="2013-03-16T00:00:00"/>
        <d v="2013-03-18T00:00:00"/>
        <d v="2013-03-20T00:00:00"/>
        <d v="2013-03-21T00:00:00"/>
        <d v="2013-03-22T00:00:00"/>
        <d v="2013-03-23T00:00:00"/>
        <d v="2013-03-25T00:00:00"/>
        <d v="2013-03-26T00:00:00"/>
        <d v="2013-03-27T00:00:00"/>
        <d v="2013-03-28T00:00:00"/>
        <d v="2013-03-29T00:00:00"/>
        <d v="2013-03-30T00:00:00"/>
        <d v="2013-03-31T00:00:00"/>
        <d v="2013-03-01T00:00:00"/>
        <d v="2013-04-02T00:00:00"/>
        <d v="2013-04-10T00:00:00"/>
        <d v="2013-04-03T00:00:00"/>
        <d v="2013-04-04T00:00:00"/>
        <d v="2013-04-05T00:00:00"/>
        <d v="2013-04-07T00:00:00"/>
        <d v="2013-04-08T00:00:00"/>
        <d v="2013-04-11T00:00:00"/>
        <d v="2013-04-12T00:00:00"/>
        <d v="2013-04-16T00:00:00"/>
        <d v="2013-04-17T00:00:00"/>
        <d v="2013-04-18T00:00:00"/>
        <d v="2013-04-19T00:00:00"/>
        <d v="2013-04-22T00:00:00"/>
        <d v="2013-04-23T00:00:00"/>
        <d v="2013-04-26T00:00:00"/>
        <d v="2013-04-29T00:00:00"/>
        <d v="2013-04-30T00:00:00"/>
        <d v="2013-04-01T00:00:00"/>
        <d v="2013-05-01T00:00:00"/>
        <d v="2013-05-02T00:00:00"/>
        <d v="2013-05-03T00:00:00"/>
        <d v="2013-05-10T00:00:00"/>
        <d v="2013-05-06T00:00:00"/>
        <d v="2013-05-08T00:00:00"/>
        <d v="2013-05-09T00:00:00"/>
        <d v="2013-05-13T00:00:00"/>
        <d v="2013-05-16T00:00:00"/>
        <d v="2013-05-21T00:00:00"/>
        <d v="2013-05-22T00:00:00"/>
        <d v="2013-05-23T00:00:00"/>
        <d v="2013-05-24T00:00:00"/>
        <d v="2013-05-27T00:00:00"/>
        <d v="2013-05-29T00:00:00"/>
        <d v="2013-05-31T00:00:00"/>
        <d v="2013-06-05T00:00:00"/>
        <d v="2013-06-06T00:00:00"/>
        <d v="2013-06-08T00:00:00"/>
        <d v="2013-06-09T00:00:00"/>
        <d v="2013-06-11T00:00:00"/>
        <d v="2013-06-12T00:00:00"/>
        <d v="2013-06-13T00:00:00"/>
        <d v="2013-06-14T00:00:00"/>
        <d v="2013-06-15T00:00:00"/>
        <d v="2013-06-17T00:00:00"/>
        <d v="2013-06-10T00:00:00"/>
        <d v="2013-06-18T00:00:00"/>
        <d v="2013-06-19T00:00:00"/>
        <d v="2013-06-20T00:00:00"/>
        <d v="2013-06-22T00:00:00"/>
        <d v="2013-06-23T00:00:00"/>
        <d v="2013-06-24T00:00:00"/>
        <d v="2013-06-26T00:00:00"/>
        <d v="2013-06-28T00:00:00"/>
        <d v="2013-06-29T00:00:00"/>
        <d v="2013-06-01T00:00:00"/>
        <d v="2013-07-01T00:00:00"/>
        <d v="2013-07-02T00:00:00"/>
        <d v="2011-03-30T00:00:00"/>
        <d v="2012-05-15T00:00:00"/>
        <d v="2012-06-10T00:00:00"/>
        <d v="2012-07-10T00:00:00"/>
        <d v="2012-07-13T00:00:00"/>
        <d v="2012-07-31T00:00:00"/>
        <d v="2012-08-10T00:00:00"/>
        <d v="2012-09-10T00:00:00"/>
        <d v="2012-09-26T00:00:00"/>
        <d v="2012-10-10T00:00:00"/>
        <d v="2012-11-10T00:00:00"/>
        <d v="2012-11-15T00:00:00"/>
        <d v="2012-11-19T00:00:00"/>
        <d v="2012-12-08T00:00:00"/>
        <d v="2012-12-10T00:00:00"/>
        <d v="2013-01-15T00:00:00"/>
        <d v="2013-01-25T00:00:00"/>
        <d v="2013-01-29T00:00:00"/>
        <d v="2013-02-08T00:00:00"/>
        <d v="2013-02-25T00:00:00"/>
        <d v="2013-03-09T00:00:00"/>
        <d v="2013-04-20T00:00:00"/>
        <d v="2013-04-25T00:00:00"/>
        <d v="2013-05-04T00:00:00"/>
        <d v="2013-05-07T00:00:00"/>
        <d v="2013-05-20T00:00:00"/>
        <d v="2013-05-25T00:00:00"/>
        <d v="2013-05-28T00:00:00"/>
        <d v="2013-05-30T00:00:00"/>
        <d v="2013-07-20T00:00:00"/>
        <d v="2013-06-25T00:00:00"/>
        <d v="2013-09-14T00:00:00"/>
        <d v="2013-07-04T00:00:00"/>
        <d v="2013-07-05T00:00:00"/>
        <d v="2013-07-10T00:00:00"/>
        <d v="2013-07-15T00:00:00"/>
        <d v="2013-07-17T00:00:00"/>
        <d v="2013-07-25T00:00:00"/>
        <d v="2013-11-20T00:00:00"/>
        <d v="2013-08-01T00:00:00"/>
        <d v="2013-08-10T00:00:00"/>
        <d v="2013-08-20T00:00:00"/>
        <d v="2013-08-25T00:00:00"/>
        <d v="2014-01-01T00:00:00"/>
        <d v="2013-09-01T00:00:00"/>
        <d v="2013-09-10T00:00:00"/>
        <d v="2013-09-20T00:00:00"/>
        <d v="2013-09-25T00:00:00"/>
        <d v="2013-10-01T00:00:00"/>
        <d v="2013-10-10T00:00:00"/>
        <d v="2013-11-05T00:00:00"/>
        <d v="2013-10-20T00:00:00"/>
        <d v="2013-10-25T00:00:00"/>
        <d v="2013-11-01T00:00:00"/>
        <d v="2013-11-10T00:00:00"/>
        <d v="2013-11-25T00:00:00"/>
        <d v="2013-12-01T00:00:00"/>
        <d v="2013-12-10T00:00:00"/>
        <d v="2014-01-10T00:00:00"/>
        <d v="2014-02-01T00:00:00"/>
        <d v="2014-02-10T00:00:00"/>
        <d v="2014-03-10T00:00:00"/>
        <d v="2014-04-10T00:00:00"/>
        <d v="2014-05-10T00:00:00"/>
        <d v="2014-06-10T00:00:00"/>
        <d v="2014-07-10T00:00:00"/>
        <d v="2014-08-10T00:00:00"/>
        <d v="2014-09-10T00:00:00"/>
        <d v="2014-10-10T00:00:00"/>
        <d v="2014-11-10T00:00:00"/>
        <d v="2014-12-10T00:00:00"/>
        <d v="2015-01-10T00:00:00"/>
        <d v="2015-02-10T00:00:00"/>
        <d v="2015-03-10T00:00:00"/>
        <d v="2015-04-10T00:00:00"/>
        <d v="2015-05-10T00:00:00"/>
        <d v="2015-06-10T00:00:00"/>
        <d v="2015-07-10T00:00:00"/>
        <d v="2015-08-10T00:00:00"/>
        <d v="2015-09-10T00:00:00"/>
        <d v="2015-10-10T00:00:00"/>
        <d v="2015-11-10T00:00:00"/>
        <d v="2015-12-10T00:00:00"/>
        <d v="2016-01-10T00:00:00"/>
        <d v="2016-02-10T00:00:00"/>
        <d v="2016-03-10T00:00:00"/>
        <d v="2016-04-10T00:00:00"/>
        <d v="2016-05-10T00:00:00"/>
        <d v="2016-06-10T00:00:00"/>
        <d v="2016-07-10T00:00:00"/>
        <d v="2016-08-10T00:00:00"/>
        <d v="2016-09-10T00:00:00"/>
        <d v="2016-10-10T00:00:00"/>
        <d v="2016-11-10T00:00:00"/>
        <d v="2016-12-10T00:00:00"/>
        <d v="2017-01-10T00:00:00"/>
        <d v="2017-02-10T00:00:00"/>
        <d v="2017-03-10T00:00:00"/>
        <d v="2017-04-10T00:00:00"/>
        <d v="2017-05-10T00:00:00"/>
        <d v="2013-07-18T00:00:00"/>
        <d v="2013-08-08T00:00:00"/>
        <d v="2013-08-19T00:00:00"/>
        <d v="2013-07-19T00:00:00"/>
        <d v="2013-07-21T00:00:00"/>
        <d v="2013-07-23T00:00:00"/>
        <d v="2013-07-24T00:00:00"/>
        <d v="2013-07-26T00:00:00"/>
        <d v="2013-07-27T00:00:00"/>
        <d v="2013-07-28T00:00:00"/>
        <d v="2013-07-29T00:00:00"/>
        <d v="2013-07-30T00:00:00"/>
        <d v="2013-07-31T00:00:00"/>
        <d v="2013-08-02T00:00:00"/>
        <d v="2013-08-03T00:00:00"/>
        <d v="2013-08-06T00:00:00"/>
        <d v="2013-08-12T00:00:00"/>
        <d v="2013-09-12T00:00:00"/>
        <d v="2013-08-09T00:00:00"/>
        <d v="2013-08-11T00:00:00"/>
        <d v="2013-10-03T00:00:00"/>
        <d v="2014-01-20T00:00:00"/>
        <d v="2013-08-16T00:00:00"/>
        <d v="2013-08-17T00:00:00"/>
        <d v="2013-08-21T00:00:00"/>
        <d v="2013-08-22T00:00:00"/>
        <d v="2013-08-23T00:00:00"/>
        <d v="2013-08-24T00:00:00"/>
        <d v="2013-08-26T00:00:00"/>
        <d v="2013-08-27T00:00:00"/>
        <d v="2013-08-28T00:00:00"/>
        <d v="2013-08-29T00:00:00"/>
        <d v="2013-08-30T00:00:00"/>
        <d v="2013-08-31T00:00:00"/>
        <d v="2013-09-03T00:00:00"/>
        <d v="2013-09-05T00:00:00"/>
        <d v="2013-09-07T00:00:00"/>
        <d v="2013-09-15T00:00:00"/>
        <d v="2013-09-17T00:00:00"/>
        <d v="2013-09-18T00:00:00"/>
        <d v="2013-09-19T00:00:00"/>
        <d v="2013-09-21T00:00:00"/>
        <d v="2013-09-24T00:00:00"/>
        <d v="2013-09-26T00:00:00"/>
        <d v="2013-09-28T00:00:00"/>
        <d v="2013-09-29T00:00:00"/>
        <d v="2013-09-30T00:00:00"/>
        <d v="2013-10-02T00:00:00"/>
        <d v="2013-10-05T00:00:00"/>
        <d v="2013-10-06T00:00:00"/>
        <d v="2013-10-08T00:00:00"/>
        <d v="2013-10-09T00:00:00"/>
        <d v="2013-10-15T00:00:00"/>
        <d v="2013-10-12T00:00:00"/>
        <d v="2013-10-13T00:00:00"/>
        <d v="2013-10-14T00:00:00"/>
        <d v="2013-10-17T00:00:00"/>
        <d v="2013-10-19T00:00:00"/>
        <d v="2013-10-22T00:00:00"/>
        <d v="2013-10-23T00:00:00"/>
        <d v="2013-10-26T00:00:00"/>
        <d v="2013-10-27T00:00:00"/>
        <d v="2013-10-28T00:00:00"/>
        <d v="2013-10-31T00:00:00"/>
        <d v="2013-10-29T00:00:00"/>
        <d v="2013-10-30T00:00:00"/>
        <d v="2013-11-02T00:00:00"/>
        <d v="2013-11-03T00:00:00"/>
        <d v="2013-11-06T00:00:00"/>
        <d v="2013-11-07T00:00:00"/>
        <d v="2013-11-08T00:00:00"/>
        <d v="2013-11-09T00:00:00"/>
        <d v="2013-11-11T00:00:00"/>
        <d v="2013-11-12T00:00:00"/>
        <d v="2013-11-14T00:00:00"/>
        <d v="2013-11-16T00:00:00"/>
        <d v="2013-11-18T00:00:00"/>
        <d v="2013-11-19T00:00:00"/>
        <d v="2013-11-23T00:00:00"/>
        <d v="2013-11-24T00:00:00"/>
        <d v="2013-11-26T00:00:00"/>
        <d v="2013-11-28T00:00:00"/>
        <d v="2013-11-29T00:00:00"/>
        <d v="2013-12-02T00:00:00"/>
        <d v="2013-12-03T00:00:00"/>
        <d v="2013-12-05T00:00:00"/>
        <d v="2013-12-06T00:00:00"/>
        <d v="2013-12-08T00:00:00"/>
        <d v="2013-12-20T00:00:00"/>
        <d v="2013-12-11T00:00:00"/>
        <d v="2013-12-18T00:00:00"/>
        <d v="2013-12-12T00:00:00"/>
        <d v="2013-12-13T00:00:00"/>
        <d v="2014-02-20T00:00:00"/>
        <d v="2014-03-20T00:00:00"/>
        <d v="2014-04-20T00:00:00"/>
        <d v="2014-05-20T00:00:00"/>
        <d v="2014-06-20T00:00:00"/>
        <d v="2014-07-20T00:00:00"/>
        <d v="2014-08-20T00:00:00"/>
        <d v="2014-09-20T00:00:00"/>
        <d v="2014-10-20T00:00:00"/>
        <d v="2014-11-20T00:00:00"/>
        <d v="2014-12-20T00:00:00"/>
        <d v="2013-12-14T00:00:00"/>
        <d v="2013-12-16T00:00:00"/>
        <d v="2013-12-17T00:00:00"/>
        <d v="2013-12-19T00:00:00"/>
        <d v="2013-12-21T00:00:00"/>
        <d v="2013-12-23T00:00:00"/>
        <d v="2013-12-25T00:00:00"/>
        <d v="2013-12-26T00:00:00"/>
        <d v="2013-12-27T00:00:00"/>
        <d v="2013-12-28T00:00:00"/>
        <d v="2013-12-30T00:00:00"/>
        <d v="2014-04-01T00:00:00"/>
        <d v="2014-03-01T00:00:00"/>
        <d v="2014-05-01T00:00:00"/>
        <d v="2014-06-01T00:00:00"/>
        <d v="2014-07-01T00:00:00"/>
        <d v="2014-08-01T00:00:00"/>
        <d v="2014-09-01T00:00:00"/>
        <d v="2014-10-01T00:00:00"/>
        <d v="2014-11-01T00:00:00"/>
        <d v="2014-12-01T00:00:00"/>
        <d v="2014-02-07T00:00:00"/>
        <d v="2014-02-21T00:00:00"/>
        <d v="2014-02-23T00:00:00"/>
        <d v="2013-12-31T00:00:00"/>
        <d v="2014-01-31T00:00:00"/>
        <m/>
      </sharedItems>
      <fieldGroup base="3">
        <rangePr groupBy="months" startDate="2011-03-30T00:00:00" endDate="2017-05-11T00:00:00"/>
        <groupItems count="14">
          <s v="(vazio)"/>
          <s v="jan"/>
          <s v="fev"/>
          <s v="mar"/>
          <s v="abr"/>
          <s v="mai"/>
          <s v="jun"/>
          <s v="jul"/>
          <s v="ago"/>
          <s v="set"/>
          <s v="out"/>
          <s v="nov"/>
          <s v="dez"/>
          <s v="&gt;11/05/2017"/>
        </groupItems>
      </fieldGroup>
    </cacheField>
    <cacheField name="VAL.ORGINAL" numFmtId="165">
      <sharedItems containsString="0" containsBlank="1" containsNumber="1" minValue="0" maxValue="158391.97666666677"/>
    </cacheField>
    <cacheField name="PAGAMENTO" numFmtId="164">
      <sharedItems containsNonDate="0" containsDate="1" containsString="0" containsBlank="1" minDate="2011-03-30T00:00:00" maxDate="2014-12-21T00:00:00"/>
    </cacheField>
    <cacheField name="VAL.FINAL" numFmtId="165">
      <sharedItems containsString="0" containsBlank="1" containsNumber="1" minValue="-52005.916666666715" maxValue="6000"/>
    </cacheField>
    <cacheField name="MOVIMENTO" numFmtId="0">
      <sharedItems containsBlank="1" count="5">
        <s v="DESPESA"/>
        <s v="RECEITA"/>
        <m/>
        <s v="01_PRIORIDADE" u="1"/>
        <s v="ORÇAMENTOS" u="1"/>
      </sharedItems>
    </cacheField>
    <cacheField name="PLANO" numFmtId="0">
      <sharedItems containsBlank="1" count="6">
        <s v="PESSOAL"/>
        <s v="01_PRIORIDADE"/>
        <s v="PROFISSIONAL"/>
        <m/>
        <s v="PRIORIDADE" u="1"/>
        <s v="ORÇAMENTOS" u="1"/>
      </sharedItems>
    </cacheField>
    <cacheField name="CONTA" numFmtId="0">
      <sharedItems containsBlank="1" count="94">
        <s v="HD EXTERNO"/>
        <s v="RETEC"/>
        <s v="MERCADO"/>
        <s v="LANCHES/LAZER"/>
        <s v="MAXICONTA"/>
        <s v="FARMACIA"/>
        <s v="CC.ITAU"/>
        <s v="CAFÉ"/>
        <s v="TRANSPORTE"/>
        <s v="SPRINGER"/>
        <s v="WAGNER"/>
        <s v="H.PESSOAL"/>
        <s v="BERTINI MADEIRAS"/>
        <s v="CLAUDETE"/>
        <s v="CERTIFICADO DIGITAL"/>
        <s v="PIC"/>
        <s v="TFE"/>
        <s v="CAIO"/>
        <s v="LIVROS/REVISTAS"/>
        <s v="ELISA"/>
        <s v="TABLET"/>
        <s v="VESTUARIO"/>
        <s v="9-8405-8334 VIVO"/>
        <s v="LUKARMONA"/>
        <s v="JET CLASS"/>
        <s v="DARIO MACHADO"/>
        <s v="ALPHA SERVER"/>
        <s v="VENDAS"/>
        <s v="LINK WEB (10 MB)"/>
        <s v="TV"/>
        <s v="2373-7625 NET"/>
        <s v="REVENDA_II"/>
        <s v="CONDOMINIO"/>
        <s v="LUZ"/>
        <s v="P.ODONTO"/>
        <s v="f4consult.com.br"/>
        <s v="MANUTENÇÃO"/>
        <s v="BR TECNOLOGY"/>
        <s v="ISS"/>
        <s v="MILLENNIUM"/>
        <s v="ACESSORIOS"/>
        <s v="TEREZA"/>
        <s v="9-4857-5143 TIM"/>
        <s v="APARTAMENTO"/>
        <s v="KAWAI"/>
        <s v="FABIANO"/>
        <s v="MATERIAL"/>
        <s v="RENATO PORTELLA"/>
        <s v="REVENDA PLESK I"/>
        <s v="CAIXA ECONOMICA"/>
        <s v="VANESSA"/>
        <s v="CUSTAS COBRANCA"/>
        <s v="FALCON MOSAICS"/>
        <s v="PRESENTES"/>
        <s v="IOF"/>
        <s v="P.SAUDE"/>
        <s v="P.SAUDE_RODRIGO"/>
        <s v="9-4870-8143 TIM VANESSA"/>
        <s v="9-5472-7493 VIVO"/>
        <s v="DOC INTERNET"/>
        <s v="ADIANT.DEPOSITANTE "/>
        <s v="CARTUCHO - HP (22)"/>
        <s v="CARMELITA"/>
        <s v="RENATA PANTELEICIUC"/>
        <s v="PAGSEGURO"/>
        <s v="ANTIVIRUS"/>
        <s v="INVESTIMENTO-MENSAL (10%)"/>
        <s v="RESERVA-AILTON"/>
        <s v="RESERVA-CAIXA"/>
        <s v="RESERVA-FÉRIAS"/>
        <s v="RESERVA-SUPORTE"/>
        <s v="RESERVA-P.SAUDE"/>
        <s v="MIGUEL AMADOR"/>
        <s v="JOAQUIM PETIZ"/>
        <s v="NETFLIX"/>
        <s v="RESERVA-TRANSPORTE"/>
        <s v="ADIWEB"/>
        <s v="VACINA_RODRIGO"/>
        <s v="ESCOLINHA"/>
        <s v="RESERVA-LAZER"/>
        <s v="Multa/juros"/>
        <s v="UZO"/>
        <m/>
        <s v="9-4870-8143 TIM" u="1"/>
        <s v="RESERVA-GASTOS" u="1"/>
        <s v="MOBILIA" u="1"/>
        <s v="REVENDA_I" u="1"/>
        <s v="AILTON" u="1"/>
        <s v="ORÇAMENTOS" u="1"/>
        <s v="LANCHES / LAZER" u="1"/>
        <s v="CAIXINHA" u="1"/>
        <s v="MICRO SDHC" u="1"/>
        <s v="FÉRIAS" u="1"/>
        <s v="ESTUDOS" u="1"/>
      </sharedItems>
    </cacheField>
    <cacheField name="GRUPO" numFmtId="0">
      <sharedItems containsBlank="1" count="25">
        <s v="AILTON"/>
        <s v="CLIENTES"/>
        <s v="ALIMENTAÇÃO"/>
        <s v="TARIFAS"/>
        <s v="SAUDE"/>
        <s v="IMPOSTOS"/>
        <s v="PROVISÃO"/>
        <s v="TELEFONIA"/>
        <s v="VENDAS"/>
        <s v="NET"/>
        <s v="WEB"/>
        <s v="MORADIA"/>
        <s v="M.OBRA"/>
        <s v="EMPRESTIMOS"/>
        <s v="RODRIGO"/>
        <s v="COBRANÇA"/>
        <m/>
        <s v="VANESSA" u="1"/>
        <s v="TRANSPORTE" u="1"/>
        <s v="LANCHES/LAZER" u="1"/>
        <s v="INVESTIMENTO" u="1"/>
        <s v="TI" u="1"/>
        <s v="RESERVA-SUPORTE" u="1"/>
        <s v="RESERVA" u="1"/>
        <s v="ESCRITORIO" u="1"/>
      </sharedItems>
    </cacheField>
    <cacheField name="DIA" numFmtId="0">
      <sharedItems containsString="0" containsBlank="1" containsNumber="1" containsInteger="1" minValue="1" maxValue="31" count="32">
        <n v="14"/>
        <n v="10"/>
        <n v="9"/>
        <n v="8"/>
        <n v="2"/>
        <n v="3"/>
        <n v="4"/>
        <n v="5"/>
        <n v="17"/>
        <n v="18"/>
        <n v="20"/>
        <n v="21"/>
        <n v="22"/>
        <n v="23"/>
        <n v="24"/>
        <n v="28"/>
        <n v="31"/>
        <n v="1"/>
        <n v="15"/>
        <n v="26"/>
        <n v="6"/>
        <n v="11"/>
        <n v="12"/>
        <n v="13"/>
        <n v="16"/>
        <n v="25"/>
        <n v="27"/>
        <n v="29"/>
        <n v="30"/>
        <n v="7"/>
        <n v="19"/>
        <m/>
      </sharedItems>
    </cacheField>
    <cacheField name="STATUS" numFmtId="0">
      <sharedItems containsBlank="1" count="69">
        <s v="2011/04"/>
        <s v="2012/01"/>
        <s v="2012/04"/>
        <s v="2012/11"/>
        <s v="2013/01"/>
        <s v="2013/02"/>
        <s v="2013/03"/>
        <s v="2013/04"/>
        <s v="2013/05"/>
        <s v="2013/06"/>
        <s v="2013/07"/>
        <s v="2011/03"/>
        <s v="2012/05"/>
        <s v="2012/06"/>
        <s v="2012/07"/>
        <s v="ATRASADO"/>
        <s v="2012/08"/>
        <s v="2012/09"/>
        <s v="2012/10"/>
        <s v="2012/12"/>
        <s v="2013/09"/>
        <s v="2013/08"/>
        <s v="2013/10"/>
        <s v="2013/11"/>
        <s v="2013/12"/>
        <s v="2014/01"/>
        <s v="2014/02"/>
        <s v="2015/08"/>
        <s v="2015/09"/>
        <s v="2015/10"/>
        <s v="2015/11"/>
        <s v="2015/12"/>
        <s v="2016/01"/>
        <s v="2016/02"/>
        <s v="2016/03"/>
        <s v="2016/04"/>
        <s v="2016/05"/>
        <s v="2016/06"/>
        <s v="2016/07"/>
        <s v="2016/08"/>
        <s v="2016/09"/>
        <s v="2016/10"/>
        <s v="2016/11"/>
        <s v="2016/12"/>
        <s v="2017/01"/>
        <s v="2017/02"/>
        <s v="2017/03"/>
        <s v="2017/04"/>
        <s v="2017/05"/>
        <s v="2014/12"/>
        <s v="2014/03"/>
        <m/>
        <s v="" u="1"/>
        <s v="2014/04" u="1"/>
        <s v="2015/06" u="1"/>
        <s v="2014/05" u="1"/>
        <s v="2015/07" u="1"/>
        <s v="2014/06" u="1"/>
        <s v="2014/07" u="1"/>
        <s v="2014/08" u="1"/>
        <s v="2014/09" u="1"/>
        <s v="1900/01" u="1"/>
        <s v="2015/01" u="1"/>
        <s v="2015/02" u="1"/>
        <s v="2014/10" u="1"/>
        <s v="2015/03" u="1"/>
        <s v="2014/11" u="1"/>
        <s v="2015/04" u="1"/>
        <s v="2015/05" u="1"/>
      </sharedItems>
    </cacheField>
  </cacheFields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94">
  <r>
    <x v="0"/>
    <x v="0"/>
  </r>
  <r>
    <x v="0"/>
    <x v="1"/>
  </r>
  <r>
    <x v="0"/>
    <x v="2"/>
  </r>
  <r>
    <x v="0"/>
    <x v="3"/>
  </r>
  <r>
    <x v="0"/>
    <x v="4"/>
  </r>
  <r>
    <x v="0"/>
    <x v="5"/>
  </r>
  <r>
    <x v="0"/>
    <x v="6"/>
  </r>
  <r>
    <x v="0"/>
    <x v="7"/>
  </r>
  <r>
    <x v="0"/>
    <x v="8"/>
  </r>
  <r>
    <x v="0"/>
    <x v="9"/>
  </r>
  <r>
    <x v="0"/>
    <x v="10"/>
  </r>
  <r>
    <x v="0"/>
    <x v="11"/>
  </r>
  <r>
    <x v="0"/>
    <x v="12"/>
  </r>
  <r>
    <x v="0"/>
    <x v="13"/>
  </r>
  <r>
    <x v="1"/>
    <x v="14"/>
  </r>
  <r>
    <x v="1"/>
    <x v="15"/>
  </r>
  <r>
    <x v="1"/>
    <x v="16"/>
  </r>
  <r>
    <x v="1"/>
    <x v="17"/>
  </r>
  <r>
    <x v="2"/>
    <x v="18"/>
  </r>
  <r>
    <x v="2"/>
    <x v="19"/>
  </r>
  <r>
    <x v="2"/>
    <x v="20"/>
  </r>
  <r>
    <x v="2"/>
    <x v="21"/>
  </r>
  <r>
    <x v="2"/>
    <x v="22"/>
  </r>
  <r>
    <x v="2"/>
    <x v="23"/>
  </r>
  <r>
    <x v="2"/>
    <x v="24"/>
  </r>
  <r>
    <x v="2"/>
    <x v="25"/>
  </r>
  <r>
    <x v="2"/>
    <x v="26"/>
  </r>
  <r>
    <x v="2"/>
    <x v="27"/>
  </r>
  <r>
    <x v="2"/>
    <x v="28"/>
  </r>
  <r>
    <x v="2"/>
    <x v="29"/>
  </r>
  <r>
    <x v="2"/>
    <x v="30"/>
  </r>
  <r>
    <x v="2"/>
    <x v="31"/>
  </r>
  <r>
    <x v="2"/>
    <x v="32"/>
  </r>
  <r>
    <x v="2"/>
    <x v="33"/>
  </r>
  <r>
    <x v="2"/>
    <x v="34"/>
  </r>
  <r>
    <x v="2"/>
    <x v="35"/>
  </r>
  <r>
    <x v="2"/>
    <x v="36"/>
  </r>
  <r>
    <x v="2"/>
    <x v="37"/>
  </r>
  <r>
    <x v="2"/>
    <x v="38"/>
  </r>
  <r>
    <x v="3"/>
    <x v="39"/>
  </r>
  <r>
    <x v="4"/>
    <x v="40"/>
  </r>
  <r>
    <x v="4"/>
    <x v="41"/>
  </r>
  <r>
    <x v="4"/>
    <x v="42"/>
  </r>
  <r>
    <x v="5"/>
    <x v="43"/>
  </r>
  <r>
    <x v="5"/>
    <x v="44"/>
  </r>
  <r>
    <x v="6"/>
    <x v="45"/>
  </r>
  <r>
    <x v="6"/>
    <x v="46"/>
  </r>
  <r>
    <x v="6"/>
    <x v="47"/>
  </r>
  <r>
    <x v="7"/>
    <x v="48"/>
  </r>
  <r>
    <x v="7"/>
    <x v="49"/>
  </r>
  <r>
    <x v="8"/>
    <x v="50"/>
  </r>
  <r>
    <x v="8"/>
    <x v="51"/>
  </r>
  <r>
    <x v="8"/>
    <x v="52"/>
  </r>
  <r>
    <x v="9"/>
    <x v="53"/>
  </r>
  <r>
    <x v="9"/>
    <x v="54"/>
  </r>
  <r>
    <x v="9"/>
    <x v="55"/>
  </r>
  <r>
    <x v="9"/>
    <x v="56"/>
  </r>
  <r>
    <x v="9"/>
    <x v="57"/>
  </r>
  <r>
    <x v="10"/>
    <x v="58"/>
  </r>
  <r>
    <x v="10"/>
    <x v="59"/>
  </r>
  <r>
    <x v="10"/>
    <x v="60"/>
  </r>
  <r>
    <x v="10"/>
    <x v="61"/>
  </r>
  <r>
    <x v="11"/>
    <x v="62"/>
  </r>
  <r>
    <x v="11"/>
    <x v="62"/>
  </r>
  <r>
    <x v="7"/>
    <x v="63"/>
  </r>
  <r>
    <x v="7"/>
    <x v="64"/>
  </r>
  <r>
    <x v="7"/>
    <x v="65"/>
  </r>
  <r>
    <x v="7"/>
    <x v="66"/>
  </r>
  <r>
    <x v="7"/>
    <x v="67"/>
  </r>
  <r>
    <x v="7"/>
    <x v="68"/>
  </r>
  <r>
    <x v="7"/>
    <x v="69"/>
  </r>
  <r>
    <x v="12"/>
    <x v="70"/>
  </r>
  <r>
    <x v="12"/>
    <x v="71"/>
  </r>
  <r>
    <x v="12"/>
    <x v="72"/>
  </r>
  <r>
    <x v="12"/>
    <x v="73"/>
  </r>
  <r>
    <x v="13"/>
    <x v="74"/>
  </r>
  <r>
    <x v="13"/>
    <x v="75"/>
  </r>
  <r>
    <x v="13"/>
    <x v="76"/>
  </r>
  <r>
    <x v="14"/>
    <x v="77"/>
  </r>
  <r>
    <x v="14"/>
    <x v="78"/>
  </r>
  <r>
    <x v="14"/>
    <x v="79"/>
  </r>
  <r>
    <x v="14"/>
    <x v="80"/>
  </r>
  <r>
    <x v="14"/>
    <x v="81"/>
  </r>
  <r>
    <x v="14"/>
    <x v="82"/>
  </r>
  <r>
    <x v="15"/>
    <x v="83"/>
  </r>
  <r>
    <x v="15"/>
    <x v="84"/>
  </r>
  <r>
    <x v="15"/>
    <x v="85"/>
  </r>
  <r>
    <x v="15"/>
    <x v="86"/>
  </r>
  <r>
    <x v="16"/>
    <x v="87"/>
  </r>
  <r>
    <x v="16"/>
    <x v="87"/>
  </r>
  <r>
    <x v="17"/>
    <x v="88"/>
  </r>
  <r>
    <x v="17"/>
    <x v="89"/>
  </r>
  <r>
    <x v="17"/>
    <x v="90"/>
  </r>
  <r>
    <x v="18"/>
    <x v="91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1202">
  <r>
    <d v="2011-04-14T00:00:00"/>
    <m/>
    <s v="HD EXTERNO 500 GB"/>
    <x v="0"/>
    <n v="329"/>
    <d v="2011-04-14T00:00:00"/>
    <n v="-329"/>
    <x v="0"/>
    <x v="0"/>
    <x v="0"/>
    <x v="0"/>
    <x v="0"/>
    <x v="0"/>
  </r>
  <r>
    <d v="2012-01-10T00:00:00"/>
    <s v="121113-0900"/>
    <m/>
    <x v="1"/>
    <n v="4000"/>
    <d v="2012-01-10T00:00:00"/>
    <n v="4470"/>
    <x v="1"/>
    <x v="0"/>
    <x v="1"/>
    <x v="1"/>
    <x v="1"/>
    <x v="1"/>
  </r>
  <r>
    <d v="2012-04-09T00:00:00"/>
    <s v="121113-0900"/>
    <m/>
    <x v="2"/>
    <n v="3250"/>
    <d v="2012-04-09T00:00:00"/>
    <n v="3500"/>
    <x v="1"/>
    <x v="0"/>
    <x v="1"/>
    <x v="1"/>
    <x v="2"/>
    <x v="2"/>
  </r>
  <r>
    <d v="2012-11-08T00:00:00"/>
    <s v="121113-0900"/>
    <m/>
    <x v="3"/>
    <n v="6000"/>
    <d v="2012-11-08T00:00:00"/>
    <n v="6000"/>
    <x v="1"/>
    <x v="0"/>
    <x v="1"/>
    <x v="1"/>
    <x v="3"/>
    <x v="3"/>
  </r>
  <r>
    <d v="2013-01-02T00:00:00"/>
    <m/>
    <m/>
    <x v="4"/>
    <n v="19.760000000000002"/>
    <d v="2013-01-02T00:00:00"/>
    <n v="-19.760000000000002"/>
    <x v="0"/>
    <x v="0"/>
    <x v="2"/>
    <x v="2"/>
    <x v="4"/>
    <x v="4"/>
  </r>
  <r>
    <d v="2013-01-02T00:00:00"/>
    <m/>
    <m/>
    <x v="4"/>
    <n v="15.51"/>
    <d v="2013-01-02T00:00:00"/>
    <n v="-15.51"/>
    <x v="0"/>
    <x v="0"/>
    <x v="3"/>
    <x v="2"/>
    <x v="4"/>
    <x v="4"/>
  </r>
  <r>
    <d v="2013-01-03T00:00:00"/>
    <m/>
    <m/>
    <x v="5"/>
    <n v="19.5"/>
    <d v="2013-01-03T00:00:00"/>
    <n v="-19.5"/>
    <x v="0"/>
    <x v="1"/>
    <x v="4"/>
    <x v="3"/>
    <x v="1"/>
    <x v="4"/>
  </r>
  <r>
    <d v="2013-01-03T00:00:00"/>
    <m/>
    <m/>
    <x v="6"/>
    <n v="5.68"/>
    <d v="2013-01-03T00:00:00"/>
    <n v="-5.68"/>
    <x v="0"/>
    <x v="1"/>
    <x v="5"/>
    <x v="4"/>
    <x v="5"/>
    <x v="4"/>
  </r>
  <r>
    <d v="2013-01-04T00:00:00"/>
    <m/>
    <m/>
    <x v="7"/>
    <n v="16.95"/>
    <d v="2013-01-04T00:00:00"/>
    <n v="-16.95"/>
    <x v="0"/>
    <x v="0"/>
    <x v="2"/>
    <x v="2"/>
    <x v="6"/>
    <x v="4"/>
  </r>
  <r>
    <d v="2013-01-04T00:00:00"/>
    <m/>
    <m/>
    <x v="7"/>
    <n v="3.72"/>
    <d v="2013-01-04T00:00:00"/>
    <n v="-3.72"/>
    <x v="0"/>
    <x v="1"/>
    <x v="6"/>
    <x v="3"/>
    <x v="6"/>
    <x v="4"/>
  </r>
  <r>
    <d v="2013-01-04T00:00:00"/>
    <m/>
    <m/>
    <x v="7"/>
    <n v="5.78"/>
    <d v="2013-01-04T00:00:00"/>
    <n v="-5.78"/>
    <x v="0"/>
    <x v="1"/>
    <x v="5"/>
    <x v="4"/>
    <x v="6"/>
    <x v="4"/>
  </r>
  <r>
    <d v="2013-01-05T00:00:00"/>
    <m/>
    <m/>
    <x v="8"/>
    <n v="8.7100000000000009"/>
    <d v="2013-01-05T00:00:00"/>
    <n v="-8.7100000000000009"/>
    <x v="0"/>
    <x v="0"/>
    <x v="3"/>
    <x v="2"/>
    <x v="7"/>
    <x v="4"/>
  </r>
  <r>
    <d v="2013-01-08T00:00:00"/>
    <m/>
    <m/>
    <x v="9"/>
    <n v="24.44"/>
    <d v="2013-01-08T00:00:00"/>
    <n v="-24.44"/>
    <x v="0"/>
    <x v="0"/>
    <x v="2"/>
    <x v="2"/>
    <x v="3"/>
    <x v="4"/>
  </r>
  <r>
    <d v="2013-01-08T00:00:00"/>
    <m/>
    <m/>
    <x v="9"/>
    <n v="4.5"/>
    <d v="2013-01-08T00:00:00"/>
    <n v="-4.5"/>
    <x v="0"/>
    <x v="1"/>
    <x v="6"/>
    <x v="3"/>
    <x v="3"/>
    <x v="4"/>
  </r>
  <r>
    <d v="2013-01-09T00:00:00"/>
    <m/>
    <m/>
    <x v="10"/>
    <n v="10.93"/>
    <d v="2013-01-09T00:00:00"/>
    <n v="-10.93"/>
    <x v="0"/>
    <x v="0"/>
    <x v="2"/>
    <x v="2"/>
    <x v="2"/>
    <x v="4"/>
  </r>
  <r>
    <d v="2013-01-10T00:00:00"/>
    <m/>
    <m/>
    <x v="5"/>
    <n v="2.4500000000000002"/>
    <d v="2013-01-10T00:00:00"/>
    <n v="-2.4500000000000002"/>
    <x v="0"/>
    <x v="0"/>
    <x v="3"/>
    <x v="2"/>
    <x v="1"/>
    <x v="4"/>
  </r>
  <r>
    <d v="2013-01-10T00:00:00"/>
    <m/>
    <m/>
    <x v="5"/>
    <n v="10.9"/>
    <d v="2013-01-10T00:00:00"/>
    <n v="-10.9"/>
    <x v="0"/>
    <x v="0"/>
    <x v="3"/>
    <x v="2"/>
    <x v="1"/>
    <x v="4"/>
  </r>
  <r>
    <d v="2013-01-10T00:00:00"/>
    <m/>
    <m/>
    <x v="5"/>
    <n v="9"/>
    <d v="2013-01-10T00:00:00"/>
    <n v="-9"/>
    <x v="0"/>
    <x v="1"/>
    <x v="6"/>
    <x v="3"/>
    <x v="1"/>
    <x v="4"/>
  </r>
  <r>
    <d v="2013-01-17T00:00:00"/>
    <m/>
    <m/>
    <x v="11"/>
    <n v="4.04"/>
    <d v="2013-01-17T00:00:00"/>
    <n v="-4.04"/>
    <x v="0"/>
    <x v="0"/>
    <x v="3"/>
    <x v="2"/>
    <x v="8"/>
    <x v="4"/>
  </r>
  <r>
    <d v="2013-01-17T00:00:00"/>
    <m/>
    <m/>
    <x v="11"/>
    <n v="11.16"/>
    <d v="2013-01-17T00:00:00"/>
    <n v="-11.16"/>
    <x v="0"/>
    <x v="1"/>
    <x v="6"/>
    <x v="3"/>
    <x v="8"/>
    <x v="4"/>
  </r>
  <r>
    <d v="2013-01-18T00:00:00"/>
    <m/>
    <m/>
    <x v="12"/>
    <n v="15.5"/>
    <d v="2013-01-18T00:00:00"/>
    <n v="-15.5"/>
    <x v="0"/>
    <x v="0"/>
    <x v="3"/>
    <x v="2"/>
    <x v="9"/>
    <x v="4"/>
  </r>
  <r>
    <d v="2013-01-18T00:00:00"/>
    <m/>
    <m/>
    <x v="12"/>
    <n v="3.09"/>
    <d v="2013-01-18T00:00:00"/>
    <n v="-3.09"/>
    <x v="0"/>
    <x v="0"/>
    <x v="3"/>
    <x v="2"/>
    <x v="9"/>
    <x v="4"/>
  </r>
  <r>
    <d v="2013-01-20T00:00:00"/>
    <m/>
    <m/>
    <x v="13"/>
    <n v="11.89"/>
    <d v="2013-01-20T00:00:00"/>
    <n v="-11.89"/>
    <x v="0"/>
    <x v="0"/>
    <x v="3"/>
    <x v="2"/>
    <x v="10"/>
    <x v="4"/>
  </r>
  <r>
    <d v="2013-01-21T00:00:00"/>
    <m/>
    <m/>
    <x v="14"/>
    <n v="34.450000000000003"/>
    <d v="2013-01-21T00:00:00"/>
    <n v="-34.450000000000003"/>
    <x v="0"/>
    <x v="1"/>
    <x v="5"/>
    <x v="4"/>
    <x v="11"/>
    <x v="4"/>
  </r>
  <r>
    <d v="2013-01-22T00:00:00"/>
    <m/>
    <m/>
    <x v="15"/>
    <n v="5.17"/>
    <d v="2013-01-22T00:00:00"/>
    <n v="-5.17"/>
    <x v="0"/>
    <x v="0"/>
    <x v="3"/>
    <x v="2"/>
    <x v="12"/>
    <x v="4"/>
  </r>
  <r>
    <d v="2013-01-22T00:00:00"/>
    <m/>
    <m/>
    <x v="15"/>
    <n v="16"/>
    <d v="2013-01-22T00:00:00"/>
    <n v="-16"/>
    <x v="0"/>
    <x v="0"/>
    <x v="3"/>
    <x v="2"/>
    <x v="12"/>
    <x v="4"/>
  </r>
  <r>
    <d v="2013-01-22T00:00:00"/>
    <m/>
    <m/>
    <x v="15"/>
    <n v="4"/>
    <d v="2013-01-22T00:00:00"/>
    <n v="-4"/>
    <x v="0"/>
    <x v="0"/>
    <x v="3"/>
    <x v="2"/>
    <x v="12"/>
    <x v="4"/>
  </r>
  <r>
    <d v="2013-01-22T00:00:00"/>
    <m/>
    <m/>
    <x v="15"/>
    <n v="5"/>
    <d v="2013-01-22T00:00:00"/>
    <n v="-5"/>
    <x v="0"/>
    <x v="0"/>
    <x v="3"/>
    <x v="2"/>
    <x v="12"/>
    <x v="4"/>
  </r>
  <r>
    <d v="2013-01-22T00:00:00"/>
    <m/>
    <m/>
    <x v="15"/>
    <n v="1.65"/>
    <d v="2013-01-22T00:00:00"/>
    <n v="-1.65"/>
    <x v="0"/>
    <x v="0"/>
    <x v="3"/>
    <x v="2"/>
    <x v="12"/>
    <x v="4"/>
  </r>
  <r>
    <d v="2013-01-22T00:00:00"/>
    <m/>
    <m/>
    <x v="15"/>
    <n v="3.72"/>
    <d v="2013-01-22T00:00:00"/>
    <n v="-3.72"/>
    <x v="0"/>
    <x v="1"/>
    <x v="6"/>
    <x v="3"/>
    <x v="12"/>
    <x v="4"/>
  </r>
  <r>
    <d v="2013-01-23T00:00:00"/>
    <m/>
    <m/>
    <x v="16"/>
    <n v="3.72"/>
    <d v="2013-01-23T00:00:00"/>
    <n v="-3.72"/>
    <x v="0"/>
    <x v="1"/>
    <x v="6"/>
    <x v="3"/>
    <x v="13"/>
    <x v="4"/>
  </r>
  <r>
    <d v="2013-01-24T00:00:00"/>
    <m/>
    <m/>
    <x v="17"/>
    <n v="15.66"/>
    <d v="2013-01-24T00:00:00"/>
    <n v="-15.66"/>
    <x v="0"/>
    <x v="0"/>
    <x v="2"/>
    <x v="2"/>
    <x v="14"/>
    <x v="4"/>
  </r>
  <r>
    <d v="2013-01-24T00:00:00"/>
    <m/>
    <m/>
    <x v="17"/>
    <n v="22"/>
    <d v="2013-01-24T00:00:00"/>
    <n v="-22"/>
    <x v="0"/>
    <x v="0"/>
    <x v="3"/>
    <x v="2"/>
    <x v="14"/>
    <x v="4"/>
  </r>
  <r>
    <d v="2013-01-24T00:00:00"/>
    <m/>
    <m/>
    <x v="17"/>
    <n v="5"/>
    <d v="2013-01-24T00:00:00"/>
    <n v="-5"/>
    <x v="0"/>
    <x v="0"/>
    <x v="3"/>
    <x v="2"/>
    <x v="14"/>
    <x v="4"/>
  </r>
  <r>
    <d v="2013-01-28T00:00:00"/>
    <m/>
    <m/>
    <x v="18"/>
    <n v="40"/>
    <d v="2013-01-28T00:00:00"/>
    <n v="-40"/>
    <x v="0"/>
    <x v="0"/>
    <x v="2"/>
    <x v="2"/>
    <x v="15"/>
    <x v="4"/>
  </r>
  <r>
    <d v="2013-01-28T00:00:00"/>
    <m/>
    <m/>
    <x v="18"/>
    <n v="22"/>
    <d v="2013-01-28T00:00:00"/>
    <n v="-22"/>
    <x v="0"/>
    <x v="0"/>
    <x v="3"/>
    <x v="2"/>
    <x v="15"/>
    <x v="4"/>
  </r>
  <r>
    <d v="2013-01-31T00:00:00"/>
    <s v="121113-0900"/>
    <m/>
    <x v="19"/>
    <n v="2000"/>
    <d v="2013-01-31T00:00:00"/>
    <n v="2000"/>
    <x v="1"/>
    <x v="0"/>
    <x v="1"/>
    <x v="1"/>
    <x v="16"/>
    <x v="4"/>
  </r>
  <r>
    <d v="2013-01-31T00:00:00"/>
    <m/>
    <m/>
    <x v="19"/>
    <n v="902.09"/>
    <d v="2013-01-31T00:00:00"/>
    <n v="-902.09"/>
    <x v="0"/>
    <x v="0"/>
    <x v="2"/>
    <x v="2"/>
    <x v="16"/>
    <x v="4"/>
  </r>
  <r>
    <d v="2013-01-31T00:00:00"/>
    <m/>
    <m/>
    <x v="19"/>
    <n v="22"/>
    <d v="2013-01-31T00:00:00"/>
    <n v="-22"/>
    <x v="0"/>
    <x v="0"/>
    <x v="3"/>
    <x v="2"/>
    <x v="16"/>
    <x v="4"/>
  </r>
  <r>
    <d v="2013-01-31T00:00:00"/>
    <m/>
    <m/>
    <x v="19"/>
    <n v="3.72"/>
    <d v="2013-01-31T00:00:00"/>
    <n v="-3.72"/>
    <x v="0"/>
    <x v="1"/>
    <x v="6"/>
    <x v="3"/>
    <x v="16"/>
    <x v="4"/>
  </r>
  <r>
    <d v="2013-01-31T00:00:00"/>
    <m/>
    <m/>
    <x v="20"/>
    <n v="65"/>
    <d v="2013-01-01T00:00:00"/>
    <n v="-65"/>
    <x v="0"/>
    <x v="0"/>
    <x v="7"/>
    <x v="2"/>
    <x v="17"/>
    <x v="4"/>
  </r>
  <r>
    <d v="2013-02-01T00:00:00"/>
    <m/>
    <m/>
    <x v="21"/>
    <n v="67.8"/>
    <d v="2013-02-01T00:00:00"/>
    <n v="-67.8"/>
    <x v="0"/>
    <x v="0"/>
    <x v="2"/>
    <x v="2"/>
    <x v="17"/>
    <x v="5"/>
  </r>
  <r>
    <d v="2013-02-01T00:00:00"/>
    <m/>
    <m/>
    <x v="21"/>
    <n v="8.6"/>
    <d v="2013-03-01T00:00:00"/>
    <n v="-8.6"/>
    <x v="0"/>
    <x v="0"/>
    <x v="3"/>
    <x v="2"/>
    <x v="17"/>
    <x v="5"/>
  </r>
  <r>
    <d v="2013-02-01T00:00:00"/>
    <m/>
    <m/>
    <x v="21"/>
    <n v="0.05"/>
    <d v="2013-04-01T00:00:00"/>
    <n v="-0.05"/>
    <x v="0"/>
    <x v="1"/>
    <x v="6"/>
    <x v="3"/>
    <x v="17"/>
    <x v="5"/>
  </r>
  <r>
    <d v="2013-02-03T00:00:00"/>
    <m/>
    <m/>
    <x v="22"/>
    <n v="19.690000000000001"/>
    <d v="2013-05-01T00:00:00"/>
    <n v="-19.690000000000001"/>
    <x v="0"/>
    <x v="1"/>
    <x v="5"/>
    <x v="4"/>
    <x v="5"/>
    <x v="5"/>
  </r>
  <r>
    <d v="2013-02-04T00:00:00"/>
    <m/>
    <m/>
    <x v="23"/>
    <n v="27.29"/>
    <d v="2013-06-01T00:00:00"/>
    <n v="-27.29"/>
    <x v="0"/>
    <x v="0"/>
    <x v="2"/>
    <x v="2"/>
    <x v="6"/>
    <x v="5"/>
  </r>
  <r>
    <d v="2013-02-04T00:00:00"/>
    <m/>
    <m/>
    <x v="23"/>
    <n v="66.55"/>
    <d v="2013-07-01T00:00:00"/>
    <n v="-66.55"/>
    <x v="0"/>
    <x v="0"/>
    <x v="2"/>
    <x v="2"/>
    <x v="6"/>
    <x v="5"/>
  </r>
  <r>
    <d v="2013-02-04T00:00:00"/>
    <m/>
    <m/>
    <x v="23"/>
    <n v="30"/>
    <d v="2013-08-01T00:00:00"/>
    <n v="-30"/>
    <x v="0"/>
    <x v="0"/>
    <x v="2"/>
    <x v="2"/>
    <x v="6"/>
    <x v="5"/>
  </r>
  <r>
    <d v="2013-02-04T00:00:00"/>
    <m/>
    <s v="MENS 01/13"/>
    <x v="24"/>
    <n v="19.5"/>
    <d v="2013-09-01T00:00:00"/>
    <n v="-19.5"/>
    <x v="0"/>
    <x v="1"/>
    <x v="4"/>
    <x v="3"/>
    <x v="1"/>
    <x v="5"/>
  </r>
  <r>
    <d v="2013-02-05T00:00:00"/>
    <m/>
    <m/>
    <x v="25"/>
    <n v="31.23"/>
    <d v="2013-10-01T00:00:00"/>
    <n v="-31.23"/>
    <x v="0"/>
    <x v="0"/>
    <x v="2"/>
    <x v="2"/>
    <x v="7"/>
    <x v="5"/>
  </r>
  <r>
    <d v="2013-02-05T00:00:00"/>
    <m/>
    <m/>
    <x v="25"/>
    <n v="7.6"/>
    <d v="2013-11-01T00:00:00"/>
    <n v="-7.6"/>
    <x v="0"/>
    <x v="0"/>
    <x v="3"/>
    <x v="2"/>
    <x v="7"/>
    <x v="5"/>
  </r>
  <r>
    <d v="2013-02-05T00:00:00"/>
    <m/>
    <m/>
    <x v="25"/>
    <n v="17.440000000000001"/>
    <d v="2013-12-01T00:00:00"/>
    <n v="-17.440000000000001"/>
    <x v="0"/>
    <x v="1"/>
    <x v="5"/>
    <x v="4"/>
    <x v="7"/>
    <x v="5"/>
  </r>
  <r>
    <d v="2013-02-14T00:00:00"/>
    <m/>
    <m/>
    <x v="26"/>
    <n v="6.74"/>
    <d v="2013-02-14T00:00:00"/>
    <n v="-6.74"/>
    <x v="0"/>
    <x v="0"/>
    <x v="2"/>
    <x v="2"/>
    <x v="0"/>
    <x v="5"/>
  </r>
  <r>
    <d v="2013-02-14T00:00:00"/>
    <m/>
    <m/>
    <x v="26"/>
    <n v="3.72"/>
    <d v="2013-02-14T00:00:00"/>
    <n v="-3.72"/>
    <x v="0"/>
    <x v="1"/>
    <x v="6"/>
    <x v="3"/>
    <x v="0"/>
    <x v="5"/>
  </r>
  <r>
    <d v="2013-02-15T00:00:00"/>
    <m/>
    <m/>
    <x v="27"/>
    <n v="5.74"/>
    <d v="2013-02-15T00:00:00"/>
    <n v="-5.74"/>
    <x v="0"/>
    <x v="0"/>
    <x v="2"/>
    <x v="2"/>
    <x v="18"/>
    <x v="5"/>
  </r>
  <r>
    <d v="2013-02-20T00:00:00"/>
    <m/>
    <m/>
    <x v="28"/>
    <n v="3.72"/>
    <d v="2013-02-20T00:00:00"/>
    <n v="-3.72"/>
    <x v="0"/>
    <x v="1"/>
    <x v="6"/>
    <x v="3"/>
    <x v="10"/>
    <x v="5"/>
  </r>
  <r>
    <d v="2013-02-20T00:00:00"/>
    <m/>
    <m/>
    <x v="28"/>
    <n v="20"/>
    <d v="2013-02-20T00:00:00"/>
    <n v="-20"/>
    <x v="0"/>
    <x v="0"/>
    <x v="8"/>
    <x v="0"/>
    <x v="10"/>
    <x v="5"/>
  </r>
  <r>
    <d v="2013-02-21T00:00:00"/>
    <m/>
    <m/>
    <x v="29"/>
    <n v="35.549999999999997"/>
    <d v="2013-02-21T00:00:00"/>
    <n v="-35.549999999999997"/>
    <x v="0"/>
    <x v="0"/>
    <x v="2"/>
    <x v="2"/>
    <x v="11"/>
    <x v="5"/>
  </r>
  <r>
    <d v="2013-02-21T00:00:00"/>
    <m/>
    <m/>
    <x v="29"/>
    <n v="11"/>
    <d v="2013-02-21T00:00:00"/>
    <n v="-11"/>
    <x v="0"/>
    <x v="0"/>
    <x v="3"/>
    <x v="2"/>
    <x v="11"/>
    <x v="5"/>
  </r>
  <r>
    <d v="2013-02-21T00:00:00"/>
    <m/>
    <m/>
    <x v="29"/>
    <n v="3.72"/>
    <d v="2013-02-21T00:00:00"/>
    <n v="-3.72"/>
    <x v="0"/>
    <x v="1"/>
    <x v="6"/>
    <x v="3"/>
    <x v="11"/>
    <x v="5"/>
  </r>
  <r>
    <d v="2013-02-22T00:00:00"/>
    <m/>
    <m/>
    <x v="30"/>
    <n v="3.72"/>
    <d v="2013-02-22T00:00:00"/>
    <n v="-3.72"/>
    <x v="0"/>
    <x v="1"/>
    <x v="6"/>
    <x v="3"/>
    <x v="12"/>
    <x v="5"/>
  </r>
  <r>
    <d v="2013-02-26T00:00:00"/>
    <m/>
    <m/>
    <x v="31"/>
    <n v="21.29"/>
    <d v="2013-02-26T00:00:00"/>
    <n v="-21.29"/>
    <x v="0"/>
    <x v="0"/>
    <x v="2"/>
    <x v="2"/>
    <x v="19"/>
    <x v="5"/>
  </r>
  <r>
    <d v="2013-02-28T00:00:00"/>
    <m/>
    <m/>
    <x v="32"/>
    <n v="8.66"/>
    <d v="2013-02-28T00:00:00"/>
    <n v="-8.66"/>
    <x v="0"/>
    <x v="0"/>
    <x v="2"/>
    <x v="2"/>
    <x v="15"/>
    <x v="5"/>
  </r>
  <r>
    <d v="2013-02-28T00:00:00"/>
    <m/>
    <m/>
    <x v="32"/>
    <n v="417.83"/>
    <d v="2013-02-28T00:00:00"/>
    <n v="-417.83"/>
    <x v="0"/>
    <x v="0"/>
    <x v="2"/>
    <x v="2"/>
    <x v="15"/>
    <x v="5"/>
  </r>
  <r>
    <d v="2013-02-28T00:00:00"/>
    <m/>
    <m/>
    <x v="21"/>
    <n v="65"/>
    <d v="2013-02-01T00:00:00"/>
    <n v="-65"/>
    <x v="0"/>
    <x v="0"/>
    <x v="7"/>
    <x v="2"/>
    <x v="17"/>
    <x v="5"/>
  </r>
  <r>
    <d v="2013-03-02T00:00:00"/>
    <m/>
    <m/>
    <x v="33"/>
    <n v="43"/>
    <d v="2013-03-02T00:00:00"/>
    <n v="-43"/>
    <x v="0"/>
    <x v="1"/>
    <x v="5"/>
    <x v="4"/>
    <x v="4"/>
    <x v="6"/>
  </r>
  <r>
    <d v="2013-03-03T00:00:00"/>
    <m/>
    <m/>
    <x v="34"/>
    <n v="3.71"/>
    <d v="2013-03-03T00:00:00"/>
    <n v="-3.71"/>
    <x v="0"/>
    <x v="0"/>
    <x v="3"/>
    <x v="2"/>
    <x v="5"/>
    <x v="6"/>
  </r>
  <r>
    <d v="2013-03-04T00:00:00"/>
    <m/>
    <m/>
    <x v="35"/>
    <n v="61.86"/>
    <d v="2013-03-04T00:00:00"/>
    <n v="-61.86"/>
    <x v="0"/>
    <x v="0"/>
    <x v="2"/>
    <x v="2"/>
    <x v="6"/>
    <x v="6"/>
  </r>
  <r>
    <d v="2013-03-04T00:00:00"/>
    <m/>
    <s v="MENS 02/13"/>
    <x v="36"/>
    <n v="19.5"/>
    <d v="2013-03-04T00:00:00"/>
    <n v="-19.5"/>
    <x v="0"/>
    <x v="1"/>
    <x v="4"/>
    <x v="3"/>
    <x v="1"/>
    <x v="6"/>
  </r>
  <r>
    <d v="2013-03-05T00:00:00"/>
    <m/>
    <m/>
    <x v="37"/>
    <n v="19.62"/>
    <d v="2013-03-05T00:00:00"/>
    <n v="-19.62"/>
    <x v="0"/>
    <x v="1"/>
    <x v="5"/>
    <x v="4"/>
    <x v="7"/>
    <x v="6"/>
  </r>
  <r>
    <d v="2013-03-06T00:00:00"/>
    <m/>
    <m/>
    <x v="38"/>
    <n v="4"/>
    <d v="2013-03-06T00:00:00"/>
    <n v="-4"/>
    <x v="0"/>
    <x v="0"/>
    <x v="3"/>
    <x v="2"/>
    <x v="20"/>
    <x v="6"/>
  </r>
  <r>
    <d v="2013-03-08T00:00:00"/>
    <m/>
    <m/>
    <x v="39"/>
    <n v="22"/>
    <d v="2013-03-08T00:00:00"/>
    <n v="-22"/>
    <x v="0"/>
    <x v="0"/>
    <x v="3"/>
    <x v="2"/>
    <x v="3"/>
    <x v="6"/>
  </r>
  <r>
    <d v="2013-03-10T00:00:00"/>
    <m/>
    <m/>
    <x v="36"/>
    <n v="12.5"/>
    <d v="2013-03-10T00:00:00"/>
    <n v="-12.5"/>
    <x v="0"/>
    <x v="0"/>
    <x v="3"/>
    <x v="2"/>
    <x v="1"/>
    <x v="6"/>
  </r>
  <r>
    <d v="2013-03-10T00:00:00"/>
    <m/>
    <m/>
    <x v="36"/>
    <n v="23.9"/>
    <d v="2013-03-10T00:00:00"/>
    <n v="-23.9"/>
    <x v="0"/>
    <x v="0"/>
    <x v="3"/>
    <x v="2"/>
    <x v="1"/>
    <x v="6"/>
  </r>
  <r>
    <d v="2013-03-11T00:00:00"/>
    <m/>
    <m/>
    <x v="40"/>
    <n v="20.9"/>
    <d v="2013-03-11T00:00:00"/>
    <n v="-20.9"/>
    <x v="0"/>
    <x v="0"/>
    <x v="2"/>
    <x v="2"/>
    <x v="21"/>
    <x v="6"/>
  </r>
  <r>
    <d v="2013-03-11T00:00:00"/>
    <m/>
    <m/>
    <x v="40"/>
    <n v="65.33"/>
    <d v="2013-03-11T00:00:00"/>
    <n v="-65.33"/>
    <x v="0"/>
    <x v="0"/>
    <x v="2"/>
    <x v="2"/>
    <x v="21"/>
    <x v="6"/>
  </r>
  <r>
    <d v="2013-03-11T00:00:00"/>
    <m/>
    <m/>
    <x v="40"/>
    <n v="27.69"/>
    <d v="2013-03-11T00:00:00"/>
    <n v="-27.69"/>
    <x v="0"/>
    <x v="0"/>
    <x v="2"/>
    <x v="2"/>
    <x v="21"/>
    <x v="6"/>
  </r>
  <r>
    <d v="2013-03-11T00:00:00"/>
    <m/>
    <m/>
    <x v="40"/>
    <n v="12"/>
    <d v="2013-03-11T00:00:00"/>
    <n v="-12"/>
    <x v="0"/>
    <x v="0"/>
    <x v="3"/>
    <x v="2"/>
    <x v="21"/>
    <x v="6"/>
  </r>
  <r>
    <d v="2013-03-11T00:00:00"/>
    <m/>
    <m/>
    <x v="40"/>
    <n v="30.54"/>
    <d v="2013-03-11T00:00:00"/>
    <n v="-30.54"/>
    <x v="0"/>
    <x v="1"/>
    <x v="5"/>
    <x v="4"/>
    <x v="21"/>
    <x v="6"/>
  </r>
  <r>
    <d v="2013-03-12T00:00:00"/>
    <m/>
    <m/>
    <x v="41"/>
    <n v="71.66"/>
    <d v="2013-03-12T00:00:00"/>
    <n v="-71.66"/>
    <x v="0"/>
    <x v="0"/>
    <x v="2"/>
    <x v="2"/>
    <x v="22"/>
    <x v="6"/>
  </r>
  <r>
    <d v="2013-03-12T00:00:00"/>
    <m/>
    <m/>
    <x v="41"/>
    <n v="25"/>
    <d v="2013-03-12T00:00:00"/>
    <n v="-25"/>
    <x v="0"/>
    <x v="0"/>
    <x v="3"/>
    <x v="2"/>
    <x v="22"/>
    <x v="6"/>
  </r>
  <r>
    <d v="2013-03-12T00:00:00"/>
    <m/>
    <m/>
    <x v="41"/>
    <n v="19.36"/>
    <d v="2013-03-12T00:00:00"/>
    <n v="-19.36"/>
    <x v="0"/>
    <x v="0"/>
    <x v="3"/>
    <x v="2"/>
    <x v="22"/>
    <x v="6"/>
  </r>
  <r>
    <d v="2013-03-13T00:00:00"/>
    <m/>
    <m/>
    <x v="42"/>
    <n v="19.36"/>
    <d v="2013-03-13T00:00:00"/>
    <n v="-19.36"/>
    <x v="0"/>
    <x v="0"/>
    <x v="2"/>
    <x v="2"/>
    <x v="23"/>
    <x v="6"/>
  </r>
  <r>
    <d v="2013-03-13T00:00:00"/>
    <m/>
    <m/>
    <x v="42"/>
    <n v="3.72"/>
    <d v="2013-03-13T00:00:00"/>
    <n v="-3.72"/>
    <x v="0"/>
    <x v="1"/>
    <x v="6"/>
    <x v="3"/>
    <x v="23"/>
    <x v="6"/>
  </r>
  <r>
    <d v="2013-03-14T00:00:00"/>
    <m/>
    <m/>
    <x v="43"/>
    <n v="6.75"/>
    <d v="2013-03-14T00:00:00"/>
    <n v="-6.75"/>
    <x v="0"/>
    <x v="0"/>
    <x v="3"/>
    <x v="2"/>
    <x v="0"/>
    <x v="6"/>
  </r>
  <r>
    <d v="2013-03-14T00:00:00"/>
    <m/>
    <m/>
    <x v="43"/>
    <n v="3.72"/>
    <d v="2013-03-14T00:00:00"/>
    <n v="-3.72"/>
    <x v="0"/>
    <x v="1"/>
    <x v="6"/>
    <x v="3"/>
    <x v="0"/>
    <x v="6"/>
  </r>
  <r>
    <d v="2013-03-14T00:00:00"/>
    <s v="130314-1300"/>
    <m/>
    <x v="43"/>
    <n v="1160"/>
    <d v="2013-03-14T00:00:00"/>
    <n v="1160"/>
    <x v="1"/>
    <x v="2"/>
    <x v="9"/>
    <x v="1"/>
    <x v="0"/>
    <x v="6"/>
  </r>
  <r>
    <d v="2013-03-15T00:00:00"/>
    <m/>
    <m/>
    <x v="44"/>
    <n v="12"/>
    <d v="2013-03-15T00:00:00"/>
    <n v="-12"/>
    <x v="0"/>
    <x v="0"/>
    <x v="3"/>
    <x v="2"/>
    <x v="18"/>
    <x v="6"/>
  </r>
  <r>
    <d v="2013-03-15T00:00:00"/>
    <m/>
    <m/>
    <x v="44"/>
    <n v="6.75"/>
    <d v="2013-03-15T00:00:00"/>
    <n v="-6.75"/>
    <x v="0"/>
    <x v="0"/>
    <x v="3"/>
    <x v="2"/>
    <x v="18"/>
    <x v="6"/>
  </r>
  <r>
    <d v="2013-03-15T00:00:00"/>
    <m/>
    <m/>
    <x v="44"/>
    <n v="56.09"/>
    <d v="2013-03-15T00:00:00"/>
    <n v="-56.09"/>
    <x v="0"/>
    <x v="1"/>
    <x v="5"/>
    <x v="4"/>
    <x v="18"/>
    <x v="6"/>
  </r>
  <r>
    <d v="2013-03-15T00:00:00"/>
    <m/>
    <m/>
    <x v="44"/>
    <n v="16.64"/>
    <d v="2013-03-15T00:00:00"/>
    <n v="-16.64"/>
    <x v="0"/>
    <x v="1"/>
    <x v="5"/>
    <x v="4"/>
    <x v="18"/>
    <x v="6"/>
  </r>
  <r>
    <d v="2013-03-16T00:00:00"/>
    <s v="130316-1100"/>
    <m/>
    <x v="45"/>
    <n v="300"/>
    <d v="2013-03-16T00:00:00"/>
    <n v="300"/>
    <x v="1"/>
    <x v="0"/>
    <x v="10"/>
    <x v="1"/>
    <x v="24"/>
    <x v="6"/>
  </r>
  <r>
    <d v="2013-03-18T00:00:00"/>
    <m/>
    <m/>
    <x v="46"/>
    <n v="32.15"/>
    <d v="2013-03-18T00:00:00"/>
    <n v="-32.15"/>
    <x v="0"/>
    <x v="0"/>
    <x v="2"/>
    <x v="2"/>
    <x v="9"/>
    <x v="6"/>
  </r>
  <r>
    <d v="2013-03-18T00:00:00"/>
    <m/>
    <m/>
    <x v="46"/>
    <n v="156.97"/>
    <d v="2013-03-18T00:00:00"/>
    <n v="-156.97"/>
    <x v="0"/>
    <x v="0"/>
    <x v="2"/>
    <x v="2"/>
    <x v="9"/>
    <x v="6"/>
  </r>
  <r>
    <d v="2013-03-20T00:00:00"/>
    <m/>
    <m/>
    <x v="47"/>
    <n v="36.51"/>
    <d v="2013-03-20T00:00:00"/>
    <n v="-36.51"/>
    <x v="0"/>
    <x v="0"/>
    <x v="2"/>
    <x v="2"/>
    <x v="10"/>
    <x v="6"/>
  </r>
  <r>
    <d v="2013-03-20T00:00:00"/>
    <m/>
    <m/>
    <x v="47"/>
    <n v="30.2"/>
    <d v="2013-03-20T00:00:00"/>
    <n v="-30.2"/>
    <x v="0"/>
    <x v="0"/>
    <x v="3"/>
    <x v="2"/>
    <x v="10"/>
    <x v="6"/>
  </r>
  <r>
    <d v="2013-03-20T00:00:00"/>
    <m/>
    <s v="Corte de cabelo"/>
    <x v="47"/>
    <n v="20"/>
    <d v="2013-03-20T00:00:00"/>
    <n v="-20"/>
    <x v="0"/>
    <x v="1"/>
    <x v="11"/>
    <x v="4"/>
    <x v="10"/>
    <x v="6"/>
  </r>
  <r>
    <d v="2013-03-21T00:00:00"/>
    <m/>
    <m/>
    <x v="48"/>
    <n v="30.2"/>
    <d v="2013-03-21T00:00:00"/>
    <n v="-30.2"/>
    <x v="0"/>
    <x v="0"/>
    <x v="3"/>
    <x v="2"/>
    <x v="11"/>
    <x v="6"/>
  </r>
  <r>
    <d v="2013-03-21T00:00:00"/>
    <m/>
    <m/>
    <x v="48"/>
    <n v="3.72"/>
    <d v="2013-03-21T00:00:00"/>
    <n v="-3.72"/>
    <x v="0"/>
    <x v="1"/>
    <x v="6"/>
    <x v="3"/>
    <x v="11"/>
    <x v="6"/>
  </r>
  <r>
    <d v="2013-03-21T00:00:00"/>
    <m/>
    <m/>
    <x v="48"/>
    <n v="19.399999999999999"/>
    <d v="2013-03-21T00:00:00"/>
    <n v="-19.399999999999999"/>
    <x v="0"/>
    <x v="1"/>
    <x v="5"/>
    <x v="4"/>
    <x v="11"/>
    <x v="6"/>
  </r>
  <r>
    <d v="2013-03-22T00:00:00"/>
    <m/>
    <m/>
    <x v="49"/>
    <n v="59.82"/>
    <d v="2013-03-22T00:00:00"/>
    <n v="-59.82"/>
    <x v="0"/>
    <x v="0"/>
    <x v="2"/>
    <x v="2"/>
    <x v="12"/>
    <x v="6"/>
  </r>
  <r>
    <d v="2013-03-23T00:00:00"/>
    <m/>
    <m/>
    <x v="50"/>
    <n v="17"/>
    <d v="2013-03-23T00:00:00"/>
    <n v="-17"/>
    <x v="0"/>
    <x v="0"/>
    <x v="3"/>
    <x v="2"/>
    <x v="13"/>
    <x v="6"/>
  </r>
  <r>
    <d v="2013-03-25T00:00:00"/>
    <m/>
    <m/>
    <x v="51"/>
    <n v="117.33"/>
    <d v="2013-03-25T00:00:00"/>
    <n v="-117.33"/>
    <x v="0"/>
    <x v="0"/>
    <x v="2"/>
    <x v="2"/>
    <x v="25"/>
    <x v="6"/>
  </r>
  <r>
    <d v="2013-03-25T00:00:00"/>
    <m/>
    <m/>
    <x v="51"/>
    <n v="32.01"/>
    <d v="2013-03-25T00:00:00"/>
    <n v="-32.01"/>
    <x v="0"/>
    <x v="0"/>
    <x v="2"/>
    <x v="2"/>
    <x v="25"/>
    <x v="6"/>
  </r>
  <r>
    <d v="2013-03-25T00:00:00"/>
    <m/>
    <m/>
    <x v="51"/>
    <n v="19"/>
    <d v="2013-03-25T00:00:00"/>
    <n v="-19"/>
    <x v="0"/>
    <x v="0"/>
    <x v="3"/>
    <x v="2"/>
    <x v="25"/>
    <x v="6"/>
  </r>
  <r>
    <d v="2013-03-26T00:00:00"/>
    <m/>
    <m/>
    <x v="52"/>
    <n v="5.9"/>
    <d v="2013-03-26T00:00:00"/>
    <n v="-5.9"/>
    <x v="0"/>
    <x v="0"/>
    <x v="3"/>
    <x v="2"/>
    <x v="19"/>
    <x v="6"/>
  </r>
  <r>
    <d v="2013-03-26T00:00:00"/>
    <m/>
    <m/>
    <x v="52"/>
    <n v="18"/>
    <d v="2013-03-26T00:00:00"/>
    <n v="-18"/>
    <x v="0"/>
    <x v="0"/>
    <x v="3"/>
    <x v="2"/>
    <x v="19"/>
    <x v="6"/>
  </r>
  <r>
    <d v="2013-03-26T00:00:00"/>
    <m/>
    <m/>
    <x v="52"/>
    <n v="3.72"/>
    <d v="2013-03-26T00:00:00"/>
    <n v="-3.72"/>
    <x v="0"/>
    <x v="1"/>
    <x v="6"/>
    <x v="3"/>
    <x v="19"/>
    <x v="6"/>
  </r>
  <r>
    <d v="2013-03-27T00:00:00"/>
    <m/>
    <m/>
    <x v="53"/>
    <n v="5.2"/>
    <d v="2013-03-27T00:00:00"/>
    <n v="-5.2"/>
    <x v="0"/>
    <x v="0"/>
    <x v="3"/>
    <x v="2"/>
    <x v="26"/>
    <x v="6"/>
  </r>
  <r>
    <d v="2013-03-27T00:00:00"/>
    <m/>
    <m/>
    <x v="53"/>
    <n v="6.4"/>
    <d v="2013-03-27T00:00:00"/>
    <n v="-6.4"/>
    <x v="0"/>
    <x v="0"/>
    <x v="3"/>
    <x v="2"/>
    <x v="26"/>
    <x v="6"/>
  </r>
  <r>
    <d v="2013-03-27T00:00:00"/>
    <m/>
    <m/>
    <x v="53"/>
    <n v="5.4"/>
    <d v="2013-03-27T00:00:00"/>
    <n v="-5.4"/>
    <x v="0"/>
    <x v="0"/>
    <x v="3"/>
    <x v="2"/>
    <x v="26"/>
    <x v="6"/>
  </r>
  <r>
    <d v="2013-03-28T00:00:00"/>
    <m/>
    <m/>
    <x v="54"/>
    <n v="16.68"/>
    <d v="2013-03-28T00:00:00"/>
    <n v="-16.68"/>
    <x v="0"/>
    <x v="0"/>
    <x v="2"/>
    <x v="2"/>
    <x v="15"/>
    <x v="6"/>
  </r>
  <r>
    <d v="2013-03-28T00:00:00"/>
    <m/>
    <m/>
    <x v="54"/>
    <n v="16.850000000000001"/>
    <d v="2013-03-28T00:00:00"/>
    <n v="-16.850000000000001"/>
    <x v="0"/>
    <x v="0"/>
    <x v="3"/>
    <x v="2"/>
    <x v="15"/>
    <x v="6"/>
  </r>
  <r>
    <d v="2013-03-29T00:00:00"/>
    <m/>
    <m/>
    <x v="55"/>
    <n v="135.5"/>
    <d v="2013-03-29T00:00:00"/>
    <n v="-135.5"/>
    <x v="0"/>
    <x v="0"/>
    <x v="3"/>
    <x v="2"/>
    <x v="27"/>
    <x v="6"/>
  </r>
  <r>
    <d v="2013-03-29T00:00:00"/>
    <m/>
    <m/>
    <x v="55"/>
    <n v="3.7"/>
    <d v="2013-03-29T00:00:00"/>
    <n v="-3.7"/>
    <x v="0"/>
    <x v="1"/>
    <x v="5"/>
    <x v="4"/>
    <x v="27"/>
    <x v="6"/>
  </r>
  <r>
    <d v="2013-03-30T00:00:00"/>
    <m/>
    <m/>
    <x v="56"/>
    <n v="25.7"/>
    <d v="2013-03-30T00:00:00"/>
    <n v="-25.7"/>
    <x v="0"/>
    <x v="0"/>
    <x v="3"/>
    <x v="2"/>
    <x v="28"/>
    <x v="6"/>
  </r>
  <r>
    <d v="2013-03-30T00:00:00"/>
    <m/>
    <m/>
    <x v="56"/>
    <n v="22.4"/>
    <d v="2013-03-30T00:00:00"/>
    <n v="-22.4"/>
    <x v="0"/>
    <x v="0"/>
    <x v="3"/>
    <x v="2"/>
    <x v="28"/>
    <x v="6"/>
  </r>
  <r>
    <d v="2013-03-30T00:00:00"/>
    <m/>
    <m/>
    <x v="56"/>
    <n v="14.9"/>
    <d v="2013-03-30T00:00:00"/>
    <n v="-14.9"/>
    <x v="0"/>
    <x v="0"/>
    <x v="3"/>
    <x v="2"/>
    <x v="28"/>
    <x v="6"/>
  </r>
  <r>
    <d v="2013-03-30T00:00:00"/>
    <m/>
    <m/>
    <x v="56"/>
    <n v="26.27"/>
    <d v="2013-03-30T00:00:00"/>
    <n v="-26.27"/>
    <x v="0"/>
    <x v="0"/>
    <x v="3"/>
    <x v="2"/>
    <x v="28"/>
    <x v="6"/>
  </r>
  <r>
    <d v="2013-03-30T00:00:00"/>
    <m/>
    <m/>
    <x v="56"/>
    <n v="2.2000000000000002"/>
    <d v="2013-03-30T00:00:00"/>
    <n v="-2.2000000000000002"/>
    <x v="0"/>
    <x v="1"/>
    <x v="5"/>
    <x v="4"/>
    <x v="28"/>
    <x v="6"/>
  </r>
  <r>
    <d v="2013-03-31T00:00:00"/>
    <m/>
    <m/>
    <x v="57"/>
    <n v="269.02"/>
    <d v="2013-03-31T00:00:00"/>
    <n v="-269.02"/>
    <x v="0"/>
    <x v="0"/>
    <x v="2"/>
    <x v="2"/>
    <x v="16"/>
    <x v="6"/>
  </r>
  <r>
    <d v="2013-03-31T00:00:00"/>
    <m/>
    <m/>
    <x v="58"/>
    <n v="65"/>
    <d v="2013-03-01T00:00:00"/>
    <n v="-65"/>
    <x v="0"/>
    <x v="0"/>
    <x v="7"/>
    <x v="2"/>
    <x v="17"/>
    <x v="6"/>
  </r>
  <r>
    <d v="2013-04-02T00:00:00"/>
    <m/>
    <m/>
    <x v="59"/>
    <n v="5.03"/>
    <d v="2013-04-02T00:00:00"/>
    <n v="-5.03"/>
    <x v="0"/>
    <x v="0"/>
    <x v="3"/>
    <x v="2"/>
    <x v="4"/>
    <x v="7"/>
  </r>
  <r>
    <d v="2013-04-02T00:00:00"/>
    <m/>
    <s v="MENS 03/13"/>
    <x v="60"/>
    <n v="19.5"/>
    <d v="2013-04-02T00:00:00"/>
    <n v="-19.5"/>
    <x v="0"/>
    <x v="1"/>
    <x v="4"/>
    <x v="3"/>
    <x v="1"/>
    <x v="7"/>
  </r>
  <r>
    <d v="2013-04-03T00:00:00"/>
    <m/>
    <m/>
    <x v="61"/>
    <n v="9.3000000000000007"/>
    <d v="2013-04-03T00:00:00"/>
    <n v="-9.3000000000000007"/>
    <x v="0"/>
    <x v="0"/>
    <x v="3"/>
    <x v="2"/>
    <x v="5"/>
    <x v="7"/>
  </r>
  <r>
    <d v="2013-04-03T00:00:00"/>
    <m/>
    <m/>
    <x v="61"/>
    <n v="4.5999999999999996"/>
    <d v="2013-04-03T00:00:00"/>
    <n v="-4.5999999999999996"/>
    <x v="0"/>
    <x v="0"/>
    <x v="3"/>
    <x v="2"/>
    <x v="5"/>
    <x v="7"/>
  </r>
  <r>
    <d v="2013-04-04T00:00:00"/>
    <m/>
    <m/>
    <x v="62"/>
    <n v="12.75"/>
    <d v="2013-04-04T00:00:00"/>
    <n v="-12.75"/>
    <x v="0"/>
    <x v="0"/>
    <x v="3"/>
    <x v="2"/>
    <x v="6"/>
    <x v="7"/>
  </r>
  <r>
    <d v="2013-04-04T00:00:00"/>
    <m/>
    <m/>
    <x v="62"/>
    <n v="18"/>
    <d v="2013-04-04T00:00:00"/>
    <n v="-18"/>
    <x v="0"/>
    <x v="0"/>
    <x v="3"/>
    <x v="2"/>
    <x v="6"/>
    <x v="7"/>
  </r>
  <r>
    <d v="2013-04-05T00:00:00"/>
    <m/>
    <m/>
    <x v="63"/>
    <n v="3.78"/>
    <d v="2013-04-05T00:00:00"/>
    <n v="-3.78"/>
    <x v="0"/>
    <x v="0"/>
    <x v="3"/>
    <x v="2"/>
    <x v="7"/>
    <x v="7"/>
  </r>
  <r>
    <d v="2013-04-05T00:00:00"/>
    <m/>
    <m/>
    <x v="63"/>
    <n v="10.5"/>
    <d v="2013-04-05T00:00:00"/>
    <n v="-10.5"/>
    <x v="0"/>
    <x v="0"/>
    <x v="3"/>
    <x v="2"/>
    <x v="7"/>
    <x v="7"/>
  </r>
  <r>
    <d v="2013-04-05T00:00:00"/>
    <m/>
    <m/>
    <x v="63"/>
    <n v="6.25"/>
    <d v="2013-04-05T00:00:00"/>
    <n v="-6.25"/>
    <x v="0"/>
    <x v="0"/>
    <x v="3"/>
    <x v="2"/>
    <x v="7"/>
    <x v="7"/>
  </r>
  <r>
    <d v="2013-04-07T00:00:00"/>
    <m/>
    <m/>
    <x v="64"/>
    <n v="26.2"/>
    <d v="2013-04-07T00:00:00"/>
    <n v="-26.2"/>
    <x v="0"/>
    <x v="0"/>
    <x v="3"/>
    <x v="2"/>
    <x v="29"/>
    <x v="7"/>
  </r>
  <r>
    <d v="2013-04-07T00:00:00"/>
    <m/>
    <m/>
    <x v="64"/>
    <n v="18.84"/>
    <d v="2013-04-07T00:00:00"/>
    <n v="-18.84"/>
    <x v="0"/>
    <x v="0"/>
    <x v="3"/>
    <x v="2"/>
    <x v="29"/>
    <x v="7"/>
  </r>
  <r>
    <d v="2013-04-08T00:00:00"/>
    <m/>
    <m/>
    <x v="65"/>
    <n v="16.27"/>
    <d v="2013-04-08T00:00:00"/>
    <n v="-16.27"/>
    <x v="0"/>
    <x v="0"/>
    <x v="3"/>
    <x v="2"/>
    <x v="3"/>
    <x v="7"/>
  </r>
  <r>
    <d v="2013-04-11T00:00:00"/>
    <m/>
    <m/>
    <x v="66"/>
    <n v="7.5"/>
    <d v="2013-04-11T00:00:00"/>
    <n v="-7.5"/>
    <x v="0"/>
    <x v="0"/>
    <x v="3"/>
    <x v="2"/>
    <x v="21"/>
    <x v="7"/>
  </r>
  <r>
    <d v="2013-04-11T00:00:00"/>
    <m/>
    <m/>
    <x v="66"/>
    <n v="6.85"/>
    <d v="2013-04-11T00:00:00"/>
    <n v="-6.85"/>
    <x v="0"/>
    <x v="0"/>
    <x v="3"/>
    <x v="2"/>
    <x v="21"/>
    <x v="7"/>
  </r>
  <r>
    <d v="2013-04-11T00:00:00"/>
    <m/>
    <m/>
    <x v="66"/>
    <n v="6"/>
    <d v="2013-04-11T00:00:00"/>
    <n v="-6"/>
    <x v="0"/>
    <x v="0"/>
    <x v="3"/>
    <x v="2"/>
    <x v="21"/>
    <x v="7"/>
  </r>
  <r>
    <d v="2013-04-11T00:00:00"/>
    <m/>
    <m/>
    <x v="66"/>
    <n v="7"/>
    <d v="2013-04-11T00:00:00"/>
    <n v="-7"/>
    <x v="0"/>
    <x v="0"/>
    <x v="3"/>
    <x v="2"/>
    <x v="21"/>
    <x v="7"/>
  </r>
  <r>
    <d v="2013-04-11T00:00:00"/>
    <m/>
    <m/>
    <x v="66"/>
    <n v="10"/>
    <d v="2013-04-11T00:00:00"/>
    <n v="-10"/>
    <x v="0"/>
    <x v="0"/>
    <x v="8"/>
    <x v="0"/>
    <x v="21"/>
    <x v="7"/>
  </r>
  <r>
    <d v="2013-04-12T00:00:00"/>
    <m/>
    <m/>
    <x v="67"/>
    <n v="7.5"/>
    <d v="2013-04-12T00:00:00"/>
    <n v="-7.5"/>
    <x v="0"/>
    <x v="0"/>
    <x v="3"/>
    <x v="2"/>
    <x v="22"/>
    <x v="7"/>
  </r>
  <r>
    <d v="2013-04-12T00:00:00"/>
    <m/>
    <m/>
    <x v="67"/>
    <n v="3.75"/>
    <d v="2013-04-12T00:00:00"/>
    <n v="-3.75"/>
    <x v="0"/>
    <x v="0"/>
    <x v="3"/>
    <x v="2"/>
    <x v="22"/>
    <x v="7"/>
  </r>
  <r>
    <d v="2013-04-16T00:00:00"/>
    <m/>
    <m/>
    <x v="68"/>
    <n v="2.99"/>
    <d v="2013-04-16T00:00:00"/>
    <n v="-2.99"/>
    <x v="0"/>
    <x v="0"/>
    <x v="3"/>
    <x v="2"/>
    <x v="24"/>
    <x v="7"/>
  </r>
  <r>
    <d v="2013-04-17T00:00:00"/>
    <m/>
    <m/>
    <x v="69"/>
    <n v="2.99"/>
    <d v="2013-04-17T00:00:00"/>
    <n v="-2.99"/>
    <x v="0"/>
    <x v="0"/>
    <x v="3"/>
    <x v="2"/>
    <x v="8"/>
    <x v="7"/>
  </r>
  <r>
    <d v="2013-04-18T00:00:00"/>
    <m/>
    <m/>
    <x v="70"/>
    <n v="3.72"/>
    <d v="2013-04-18T00:00:00"/>
    <n v="-3.72"/>
    <x v="0"/>
    <x v="1"/>
    <x v="6"/>
    <x v="3"/>
    <x v="9"/>
    <x v="7"/>
  </r>
  <r>
    <d v="2013-04-19T00:00:00"/>
    <m/>
    <m/>
    <x v="71"/>
    <n v="3.72"/>
    <d v="2013-04-19T00:00:00"/>
    <n v="-3.72"/>
    <x v="0"/>
    <x v="1"/>
    <x v="6"/>
    <x v="3"/>
    <x v="30"/>
    <x v="7"/>
  </r>
  <r>
    <d v="2013-04-22T00:00:00"/>
    <m/>
    <m/>
    <x v="72"/>
    <n v="37.69"/>
    <d v="2013-04-22T00:00:00"/>
    <n v="-37.69"/>
    <x v="0"/>
    <x v="0"/>
    <x v="2"/>
    <x v="2"/>
    <x v="12"/>
    <x v="7"/>
  </r>
  <r>
    <d v="2013-04-22T00:00:00"/>
    <m/>
    <m/>
    <x v="72"/>
    <n v="3.72"/>
    <d v="2013-04-22T00:00:00"/>
    <n v="-3.72"/>
    <x v="0"/>
    <x v="1"/>
    <x v="6"/>
    <x v="3"/>
    <x v="12"/>
    <x v="7"/>
  </r>
  <r>
    <d v="2013-04-23T00:00:00"/>
    <m/>
    <m/>
    <x v="73"/>
    <n v="11"/>
    <d v="2013-04-23T00:00:00"/>
    <n v="-11"/>
    <x v="0"/>
    <x v="0"/>
    <x v="3"/>
    <x v="2"/>
    <x v="13"/>
    <x v="7"/>
  </r>
  <r>
    <d v="2013-04-23T00:00:00"/>
    <m/>
    <m/>
    <x v="73"/>
    <n v="53.7"/>
    <d v="2013-04-23T00:00:00"/>
    <n v="-53.7"/>
    <x v="0"/>
    <x v="0"/>
    <x v="3"/>
    <x v="2"/>
    <x v="13"/>
    <x v="7"/>
  </r>
  <r>
    <d v="2013-04-26T00:00:00"/>
    <m/>
    <m/>
    <x v="74"/>
    <n v="46.27"/>
    <d v="2013-04-26T00:00:00"/>
    <n v="-46.27"/>
    <x v="0"/>
    <x v="0"/>
    <x v="2"/>
    <x v="2"/>
    <x v="19"/>
    <x v="7"/>
  </r>
  <r>
    <d v="2013-04-26T00:00:00"/>
    <s v="130426-0930"/>
    <m/>
    <x v="74"/>
    <n v="2100"/>
    <d v="2013-04-26T00:00:00"/>
    <n v="2100"/>
    <x v="1"/>
    <x v="2"/>
    <x v="9"/>
    <x v="1"/>
    <x v="19"/>
    <x v="7"/>
  </r>
  <r>
    <d v="2013-04-29T00:00:00"/>
    <m/>
    <m/>
    <x v="75"/>
    <n v="13"/>
    <d v="2013-04-29T00:00:00"/>
    <n v="-13"/>
    <x v="0"/>
    <x v="0"/>
    <x v="3"/>
    <x v="2"/>
    <x v="27"/>
    <x v="7"/>
  </r>
  <r>
    <d v="2013-04-30T00:00:00"/>
    <s v="121113-0900"/>
    <m/>
    <x v="76"/>
    <n v="3500"/>
    <d v="2013-04-30T00:00:00"/>
    <n v="3500"/>
    <x v="1"/>
    <x v="0"/>
    <x v="1"/>
    <x v="1"/>
    <x v="28"/>
    <x v="7"/>
  </r>
  <r>
    <d v="2013-04-30T00:00:00"/>
    <m/>
    <m/>
    <x v="76"/>
    <n v="11.06"/>
    <d v="2013-04-30T00:00:00"/>
    <n v="-11.06"/>
    <x v="0"/>
    <x v="0"/>
    <x v="3"/>
    <x v="2"/>
    <x v="28"/>
    <x v="7"/>
  </r>
  <r>
    <d v="2013-04-30T00:00:00"/>
    <m/>
    <m/>
    <x v="77"/>
    <n v="65"/>
    <d v="2013-04-01T00:00:00"/>
    <n v="-65"/>
    <x v="0"/>
    <x v="0"/>
    <x v="7"/>
    <x v="2"/>
    <x v="17"/>
    <x v="7"/>
  </r>
  <r>
    <d v="2013-05-01T00:00:00"/>
    <m/>
    <m/>
    <x v="78"/>
    <n v="795.39"/>
    <d v="2013-05-01T00:00:00"/>
    <n v="-795.39"/>
    <x v="0"/>
    <x v="0"/>
    <x v="2"/>
    <x v="2"/>
    <x v="17"/>
    <x v="8"/>
  </r>
  <r>
    <d v="2013-05-02T00:00:00"/>
    <m/>
    <m/>
    <x v="79"/>
    <n v="65.16"/>
    <d v="2013-05-02T00:00:00"/>
    <n v="-65.16"/>
    <x v="0"/>
    <x v="0"/>
    <x v="2"/>
    <x v="2"/>
    <x v="4"/>
    <x v="8"/>
  </r>
  <r>
    <d v="2013-05-02T00:00:00"/>
    <m/>
    <m/>
    <x v="79"/>
    <n v="31.4"/>
    <d v="2013-05-02T00:00:00"/>
    <n v="-31.4"/>
    <x v="0"/>
    <x v="0"/>
    <x v="3"/>
    <x v="2"/>
    <x v="4"/>
    <x v="8"/>
  </r>
  <r>
    <d v="2013-05-02T00:00:00"/>
    <m/>
    <m/>
    <x v="79"/>
    <n v="11.06"/>
    <d v="2013-05-02T00:00:00"/>
    <n v="-11.06"/>
    <x v="0"/>
    <x v="0"/>
    <x v="3"/>
    <x v="2"/>
    <x v="4"/>
    <x v="8"/>
  </r>
  <r>
    <d v="2013-05-03T00:00:00"/>
    <m/>
    <m/>
    <x v="80"/>
    <n v="7.72"/>
    <d v="2013-05-03T00:00:00"/>
    <n v="-7.72"/>
    <x v="0"/>
    <x v="0"/>
    <x v="3"/>
    <x v="2"/>
    <x v="5"/>
    <x v="8"/>
  </r>
  <r>
    <d v="2013-05-03T00:00:00"/>
    <m/>
    <m/>
    <x v="80"/>
    <n v="8.5"/>
    <d v="2013-05-03T00:00:00"/>
    <n v="-8.5"/>
    <x v="0"/>
    <x v="0"/>
    <x v="3"/>
    <x v="2"/>
    <x v="5"/>
    <x v="8"/>
  </r>
  <r>
    <d v="2013-05-03T00:00:00"/>
    <m/>
    <s v="MENS 04/13"/>
    <x v="81"/>
    <n v="19.5"/>
    <d v="2013-05-03T00:00:00"/>
    <n v="-19.5"/>
    <x v="0"/>
    <x v="1"/>
    <x v="4"/>
    <x v="3"/>
    <x v="1"/>
    <x v="8"/>
  </r>
  <r>
    <d v="2013-05-06T00:00:00"/>
    <m/>
    <m/>
    <x v="82"/>
    <n v="37.450000000000003"/>
    <d v="2013-05-06T00:00:00"/>
    <n v="-37.450000000000003"/>
    <x v="0"/>
    <x v="0"/>
    <x v="2"/>
    <x v="2"/>
    <x v="20"/>
    <x v="8"/>
  </r>
  <r>
    <d v="2013-05-06T00:00:00"/>
    <m/>
    <m/>
    <x v="82"/>
    <n v="40.409999999999997"/>
    <d v="2013-05-06T00:00:00"/>
    <n v="-40.409999999999997"/>
    <x v="0"/>
    <x v="0"/>
    <x v="2"/>
    <x v="2"/>
    <x v="20"/>
    <x v="8"/>
  </r>
  <r>
    <d v="2013-05-06T00:00:00"/>
    <m/>
    <m/>
    <x v="82"/>
    <n v="29.9"/>
    <d v="2013-05-06T00:00:00"/>
    <n v="-29.9"/>
    <x v="0"/>
    <x v="0"/>
    <x v="3"/>
    <x v="2"/>
    <x v="20"/>
    <x v="8"/>
  </r>
  <r>
    <d v="2013-05-06T00:00:00"/>
    <m/>
    <m/>
    <x v="82"/>
    <n v="22.49"/>
    <d v="2013-05-06T00:00:00"/>
    <n v="-22.49"/>
    <x v="0"/>
    <x v="1"/>
    <x v="5"/>
    <x v="4"/>
    <x v="20"/>
    <x v="8"/>
  </r>
  <r>
    <d v="2013-05-08T00:00:00"/>
    <m/>
    <m/>
    <x v="83"/>
    <n v="54.49"/>
    <d v="2013-05-08T00:00:00"/>
    <n v="-54.49"/>
    <x v="0"/>
    <x v="0"/>
    <x v="3"/>
    <x v="2"/>
    <x v="3"/>
    <x v="8"/>
  </r>
  <r>
    <d v="2013-05-08T00:00:00"/>
    <m/>
    <m/>
    <x v="83"/>
    <n v="46.48"/>
    <d v="2013-05-08T00:00:00"/>
    <n v="-46.48"/>
    <x v="0"/>
    <x v="1"/>
    <x v="5"/>
    <x v="4"/>
    <x v="3"/>
    <x v="8"/>
  </r>
  <r>
    <d v="2013-05-09T00:00:00"/>
    <m/>
    <m/>
    <x v="84"/>
    <n v="51.49"/>
    <d v="2013-05-09T00:00:00"/>
    <n v="-51.49"/>
    <x v="0"/>
    <x v="0"/>
    <x v="3"/>
    <x v="2"/>
    <x v="2"/>
    <x v="8"/>
  </r>
  <r>
    <d v="2013-05-09T00:00:00"/>
    <m/>
    <m/>
    <x v="84"/>
    <n v="31.4"/>
    <d v="2013-05-09T00:00:00"/>
    <n v="-31.4"/>
    <x v="0"/>
    <x v="0"/>
    <x v="3"/>
    <x v="2"/>
    <x v="2"/>
    <x v="8"/>
  </r>
  <r>
    <d v="2013-05-13T00:00:00"/>
    <m/>
    <m/>
    <x v="85"/>
    <n v="48.61"/>
    <d v="2013-05-13T00:00:00"/>
    <n v="-48.61"/>
    <x v="0"/>
    <x v="0"/>
    <x v="2"/>
    <x v="2"/>
    <x v="23"/>
    <x v="8"/>
  </r>
  <r>
    <d v="2013-05-13T00:00:00"/>
    <m/>
    <m/>
    <x v="85"/>
    <n v="15.66"/>
    <d v="2013-05-13T00:00:00"/>
    <n v="-15.66"/>
    <x v="0"/>
    <x v="0"/>
    <x v="2"/>
    <x v="2"/>
    <x v="23"/>
    <x v="8"/>
  </r>
  <r>
    <d v="2013-05-13T00:00:00"/>
    <m/>
    <m/>
    <x v="85"/>
    <n v="27.3"/>
    <d v="2013-05-13T00:00:00"/>
    <n v="-27.3"/>
    <x v="0"/>
    <x v="0"/>
    <x v="3"/>
    <x v="2"/>
    <x v="23"/>
    <x v="8"/>
  </r>
  <r>
    <d v="2013-05-13T00:00:00"/>
    <m/>
    <m/>
    <x v="85"/>
    <n v="11.8"/>
    <d v="2013-05-13T00:00:00"/>
    <n v="-11.8"/>
    <x v="0"/>
    <x v="0"/>
    <x v="3"/>
    <x v="2"/>
    <x v="23"/>
    <x v="8"/>
  </r>
  <r>
    <d v="2013-05-13T00:00:00"/>
    <m/>
    <m/>
    <x v="85"/>
    <n v="20"/>
    <d v="2013-05-13T00:00:00"/>
    <n v="-20"/>
    <x v="0"/>
    <x v="0"/>
    <x v="8"/>
    <x v="0"/>
    <x v="23"/>
    <x v="8"/>
  </r>
  <r>
    <d v="2013-05-13T00:00:00"/>
    <m/>
    <m/>
    <x v="85"/>
    <n v="20"/>
    <d v="2013-05-13T00:00:00"/>
    <n v="-20"/>
    <x v="0"/>
    <x v="0"/>
    <x v="8"/>
    <x v="0"/>
    <x v="23"/>
    <x v="8"/>
  </r>
  <r>
    <d v="2013-05-16T00:00:00"/>
    <m/>
    <m/>
    <x v="86"/>
    <n v="15.8"/>
    <d v="2013-05-16T00:00:00"/>
    <n v="-15.8"/>
    <x v="0"/>
    <x v="0"/>
    <x v="3"/>
    <x v="2"/>
    <x v="24"/>
    <x v="8"/>
  </r>
  <r>
    <d v="2013-05-16T00:00:00"/>
    <m/>
    <m/>
    <x v="86"/>
    <n v="26.15"/>
    <d v="2013-05-16T00:00:00"/>
    <n v="-26.15"/>
    <x v="0"/>
    <x v="0"/>
    <x v="3"/>
    <x v="2"/>
    <x v="24"/>
    <x v="8"/>
  </r>
  <r>
    <d v="2013-05-21T00:00:00"/>
    <m/>
    <m/>
    <x v="87"/>
    <n v="8.3000000000000007"/>
    <d v="2013-05-21T00:00:00"/>
    <n v="-8.3000000000000007"/>
    <x v="0"/>
    <x v="0"/>
    <x v="3"/>
    <x v="2"/>
    <x v="11"/>
    <x v="8"/>
  </r>
  <r>
    <d v="2013-05-21T00:00:00"/>
    <m/>
    <m/>
    <x v="87"/>
    <n v="3.72"/>
    <d v="2013-05-21T00:00:00"/>
    <n v="-3.72"/>
    <x v="0"/>
    <x v="1"/>
    <x v="6"/>
    <x v="3"/>
    <x v="11"/>
    <x v="8"/>
  </r>
  <r>
    <d v="2013-05-22T00:00:00"/>
    <m/>
    <m/>
    <x v="88"/>
    <n v="15"/>
    <d v="2013-05-22T00:00:00"/>
    <n v="-15"/>
    <x v="0"/>
    <x v="0"/>
    <x v="3"/>
    <x v="2"/>
    <x v="12"/>
    <x v="8"/>
  </r>
  <r>
    <d v="2013-05-22T00:00:00"/>
    <m/>
    <m/>
    <x v="88"/>
    <n v="7.44"/>
    <d v="2013-05-22T00:00:00"/>
    <n v="-7.44"/>
    <x v="0"/>
    <x v="1"/>
    <x v="6"/>
    <x v="3"/>
    <x v="12"/>
    <x v="8"/>
  </r>
  <r>
    <d v="2013-05-23T00:00:00"/>
    <m/>
    <m/>
    <x v="89"/>
    <n v="24.17"/>
    <d v="2013-05-23T00:00:00"/>
    <n v="-24.17"/>
    <x v="0"/>
    <x v="0"/>
    <x v="3"/>
    <x v="2"/>
    <x v="13"/>
    <x v="8"/>
  </r>
  <r>
    <d v="2013-05-23T00:00:00"/>
    <m/>
    <m/>
    <x v="89"/>
    <n v="30"/>
    <d v="2013-05-23T00:00:00"/>
    <n v="-30"/>
    <x v="0"/>
    <x v="0"/>
    <x v="3"/>
    <x v="2"/>
    <x v="13"/>
    <x v="8"/>
  </r>
  <r>
    <d v="2013-05-23T00:00:00"/>
    <s v="130523-1027"/>
    <m/>
    <x v="89"/>
    <n v="100"/>
    <d v="2013-05-23T00:00:00"/>
    <n v="100"/>
    <x v="1"/>
    <x v="0"/>
    <x v="12"/>
    <x v="1"/>
    <x v="13"/>
    <x v="8"/>
  </r>
  <r>
    <d v="2013-05-23T00:00:00"/>
    <s v="130523-1400"/>
    <m/>
    <x v="89"/>
    <n v="400"/>
    <d v="2013-05-23T00:00:00"/>
    <n v="400"/>
    <x v="1"/>
    <x v="0"/>
    <x v="13"/>
    <x v="1"/>
    <x v="13"/>
    <x v="8"/>
  </r>
  <r>
    <d v="2013-05-24T00:00:00"/>
    <m/>
    <m/>
    <x v="90"/>
    <n v="11.2"/>
    <d v="2013-05-24T00:00:00"/>
    <n v="-11.2"/>
    <x v="0"/>
    <x v="0"/>
    <x v="3"/>
    <x v="2"/>
    <x v="14"/>
    <x v="8"/>
  </r>
  <r>
    <d v="2013-05-27T00:00:00"/>
    <m/>
    <m/>
    <x v="91"/>
    <n v="53.9"/>
    <d v="2013-05-27T00:00:00"/>
    <n v="-53.9"/>
    <x v="0"/>
    <x v="0"/>
    <x v="2"/>
    <x v="2"/>
    <x v="26"/>
    <x v="8"/>
  </r>
  <r>
    <d v="2013-05-27T00:00:00"/>
    <m/>
    <m/>
    <x v="91"/>
    <n v="19.170000000000002"/>
    <d v="2013-05-27T00:00:00"/>
    <n v="-19.170000000000002"/>
    <x v="0"/>
    <x v="0"/>
    <x v="3"/>
    <x v="2"/>
    <x v="26"/>
    <x v="8"/>
  </r>
  <r>
    <d v="2013-05-27T00:00:00"/>
    <m/>
    <m/>
    <x v="91"/>
    <n v="9.1300000000000008"/>
    <d v="2013-05-27T00:00:00"/>
    <n v="-9.1300000000000008"/>
    <x v="0"/>
    <x v="0"/>
    <x v="3"/>
    <x v="2"/>
    <x v="26"/>
    <x v="8"/>
  </r>
  <r>
    <d v="2013-05-27T00:00:00"/>
    <m/>
    <m/>
    <x v="91"/>
    <n v="8.98"/>
    <d v="2013-05-27T00:00:00"/>
    <n v="-8.98"/>
    <x v="0"/>
    <x v="0"/>
    <x v="3"/>
    <x v="2"/>
    <x v="26"/>
    <x v="8"/>
  </r>
  <r>
    <d v="2013-05-27T00:00:00"/>
    <m/>
    <m/>
    <x v="91"/>
    <n v="7.26"/>
    <d v="2013-05-27T00:00:00"/>
    <n v="-7.26"/>
    <x v="0"/>
    <x v="0"/>
    <x v="3"/>
    <x v="2"/>
    <x v="26"/>
    <x v="8"/>
  </r>
  <r>
    <d v="2013-05-29T00:00:00"/>
    <m/>
    <m/>
    <x v="92"/>
    <n v="7.61"/>
    <d v="2013-05-29T00:00:00"/>
    <n v="-7.61"/>
    <x v="0"/>
    <x v="0"/>
    <x v="3"/>
    <x v="2"/>
    <x v="27"/>
    <x v="8"/>
  </r>
  <r>
    <d v="2013-05-31T00:00:00"/>
    <m/>
    <m/>
    <x v="93"/>
    <n v="71.5"/>
    <d v="2013-05-31T00:00:00"/>
    <n v="-71.5"/>
    <x v="0"/>
    <x v="0"/>
    <x v="3"/>
    <x v="2"/>
    <x v="16"/>
    <x v="8"/>
  </r>
  <r>
    <d v="2013-05-31T00:00:00"/>
    <m/>
    <m/>
    <x v="78"/>
    <n v="65"/>
    <d v="2013-05-01T00:00:00"/>
    <n v="-65"/>
    <x v="0"/>
    <x v="0"/>
    <x v="7"/>
    <x v="2"/>
    <x v="17"/>
    <x v="8"/>
  </r>
  <r>
    <d v="2013-06-05T00:00:00"/>
    <m/>
    <m/>
    <x v="94"/>
    <n v="7.48"/>
    <d v="2013-06-05T00:00:00"/>
    <n v="-7.48"/>
    <x v="0"/>
    <x v="0"/>
    <x v="3"/>
    <x v="2"/>
    <x v="7"/>
    <x v="9"/>
  </r>
  <r>
    <d v="2013-06-05T00:00:00"/>
    <m/>
    <m/>
    <x v="94"/>
    <n v="28.11"/>
    <d v="2013-06-05T00:00:00"/>
    <n v="-28.11"/>
    <x v="0"/>
    <x v="0"/>
    <x v="2"/>
    <x v="2"/>
    <x v="7"/>
    <x v="9"/>
  </r>
  <r>
    <d v="2013-06-06T00:00:00"/>
    <m/>
    <m/>
    <x v="95"/>
    <n v="6.58"/>
    <d v="2013-06-06T00:00:00"/>
    <n v="-6.58"/>
    <x v="0"/>
    <x v="0"/>
    <x v="3"/>
    <x v="2"/>
    <x v="20"/>
    <x v="9"/>
  </r>
  <r>
    <d v="2013-06-06T00:00:00"/>
    <m/>
    <m/>
    <x v="95"/>
    <n v="3"/>
    <d v="2013-06-06T00:00:00"/>
    <n v="-3"/>
    <x v="0"/>
    <x v="0"/>
    <x v="3"/>
    <x v="2"/>
    <x v="20"/>
    <x v="9"/>
  </r>
  <r>
    <d v="2013-06-06T00:00:00"/>
    <m/>
    <m/>
    <x v="95"/>
    <n v="10.199999999999999"/>
    <d v="2013-06-06T00:00:00"/>
    <n v="-10.199999999999999"/>
    <x v="0"/>
    <x v="0"/>
    <x v="8"/>
    <x v="0"/>
    <x v="20"/>
    <x v="9"/>
  </r>
  <r>
    <d v="2013-06-06T00:00:00"/>
    <m/>
    <m/>
    <x v="95"/>
    <n v="1.65"/>
    <d v="2013-06-06T00:00:00"/>
    <n v="-1.65"/>
    <x v="0"/>
    <x v="0"/>
    <x v="8"/>
    <x v="0"/>
    <x v="20"/>
    <x v="9"/>
  </r>
  <r>
    <d v="2013-06-06T00:00:00"/>
    <m/>
    <m/>
    <x v="95"/>
    <n v="3"/>
    <d v="2013-06-06T00:00:00"/>
    <n v="-3"/>
    <x v="0"/>
    <x v="0"/>
    <x v="8"/>
    <x v="0"/>
    <x v="20"/>
    <x v="9"/>
  </r>
  <r>
    <d v="2013-06-08T00:00:00"/>
    <m/>
    <m/>
    <x v="96"/>
    <n v="27.7"/>
    <d v="2013-06-08T00:00:00"/>
    <n v="-27.7"/>
    <x v="0"/>
    <x v="0"/>
    <x v="3"/>
    <x v="2"/>
    <x v="3"/>
    <x v="9"/>
  </r>
  <r>
    <d v="2013-06-08T00:00:00"/>
    <m/>
    <m/>
    <x v="96"/>
    <n v="82.42"/>
    <d v="2013-06-08T00:00:00"/>
    <n v="-82.42"/>
    <x v="0"/>
    <x v="0"/>
    <x v="2"/>
    <x v="2"/>
    <x v="3"/>
    <x v="9"/>
  </r>
  <r>
    <d v="2013-06-09T00:00:00"/>
    <m/>
    <m/>
    <x v="97"/>
    <n v="48.25"/>
    <d v="2013-06-09T00:00:00"/>
    <n v="-48.25"/>
    <x v="0"/>
    <x v="0"/>
    <x v="3"/>
    <x v="2"/>
    <x v="2"/>
    <x v="9"/>
  </r>
  <r>
    <d v="2013-06-09T00:00:00"/>
    <m/>
    <m/>
    <x v="97"/>
    <n v="25.2"/>
    <d v="2013-06-09T00:00:00"/>
    <n v="-25.2"/>
    <x v="0"/>
    <x v="0"/>
    <x v="2"/>
    <x v="2"/>
    <x v="2"/>
    <x v="9"/>
  </r>
  <r>
    <d v="2013-06-09T00:00:00"/>
    <m/>
    <m/>
    <x v="97"/>
    <n v="4.75"/>
    <d v="2013-06-09T00:00:00"/>
    <n v="-4.75"/>
    <x v="0"/>
    <x v="1"/>
    <x v="5"/>
    <x v="4"/>
    <x v="2"/>
    <x v="9"/>
  </r>
  <r>
    <d v="2013-06-11T00:00:00"/>
    <m/>
    <m/>
    <x v="98"/>
    <n v="34.270000000000003"/>
    <d v="2013-06-11T00:00:00"/>
    <n v="-34.270000000000003"/>
    <x v="0"/>
    <x v="0"/>
    <x v="2"/>
    <x v="2"/>
    <x v="21"/>
    <x v="9"/>
  </r>
  <r>
    <d v="2013-06-12T00:00:00"/>
    <m/>
    <m/>
    <x v="99"/>
    <n v="70.849999999999994"/>
    <d v="2013-06-12T00:00:00"/>
    <n v="-70.849999999999994"/>
    <x v="0"/>
    <x v="0"/>
    <x v="2"/>
    <x v="2"/>
    <x v="22"/>
    <x v="9"/>
  </r>
  <r>
    <d v="2013-06-13T00:00:00"/>
    <m/>
    <m/>
    <x v="100"/>
    <n v="1.39"/>
    <d v="2013-06-13T00:00:00"/>
    <n v="-1.39"/>
    <x v="0"/>
    <x v="1"/>
    <x v="5"/>
    <x v="4"/>
    <x v="23"/>
    <x v="9"/>
  </r>
  <r>
    <d v="2013-06-14T00:00:00"/>
    <m/>
    <m/>
    <x v="101"/>
    <n v="54.9"/>
    <d v="2013-06-14T00:00:00"/>
    <n v="-54.9"/>
    <x v="0"/>
    <x v="0"/>
    <x v="2"/>
    <x v="2"/>
    <x v="0"/>
    <x v="9"/>
  </r>
  <r>
    <d v="2013-06-15T00:00:00"/>
    <m/>
    <m/>
    <x v="102"/>
    <n v="15.22"/>
    <d v="2013-06-15T00:00:00"/>
    <n v="-15.22"/>
    <x v="0"/>
    <x v="0"/>
    <x v="3"/>
    <x v="2"/>
    <x v="18"/>
    <x v="9"/>
  </r>
  <r>
    <d v="2013-06-15T00:00:00"/>
    <m/>
    <m/>
    <x v="102"/>
    <n v="23.44"/>
    <d v="2013-06-15T00:00:00"/>
    <n v="-23.44"/>
    <x v="0"/>
    <x v="0"/>
    <x v="3"/>
    <x v="2"/>
    <x v="18"/>
    <x v="9"/>
  </r>
  <r>
    <d v="2013-06-15T00:00:00"/>
    <m/>
    <m/>
    <x v="102"/>
    <n v="19.309999999999999"/>
    <d v="2013-06-15T00:00:00"/>
    <n v="-19.309999999999999"/>
    <x v="0"/>
    <x v="0"/>
    <x v="3"/>
    <x v="2"/>
    <x v="18"/>
    <x v="9"/>
  </r>
  <r>
    <d v="2013-06-15T00:00:00"/>
    <m/>
    <m/>
    <x v="102"/>
    <n v="37.26"/>
    <d v="2013-06-15T00:00:00"/>
    <n v="-37.26"/>
    <x v="0"/>
    <x v="1"/>
    <x v="5"/>
    <x v="4"/>
    <x v="18"/>
    <x v="9"/>
  </r>
  <r>
    <d v="2013-06-17T00:00:00"/>
    <m/>
    <m/>
    <x v="103"/>
    <n v="7"/>
    <d v="2013-06-17T00:00:00"/>
    <n v="-7"/>
    <x v="0"/>
    <x v="0"/>
    <x v="3"/>
    <x v="2"/>
    <x v="8"/>
    <x v="9"/>
  </r>
  <r>
    <d v="2013-06-17T00:00:00"/>
    <m/>
    <m/>
    <x v="103"/>
    <n v="7.5"/>
    <d v="2013-06-17T00:00:00"/>
    <n v="-7.5"/>
    <x v="0"/>
    <x v="0"/>
    <x v="3"/>
    <x v="2"/>
    <x v="8"/>
    <x v="9"/>
  </r>
  <r>
    <d v="2013-06-17T00:00:00"/>
    <m/>
    <m/>
    <x v="103"/>
    <n v="49.17"/>
    <d v="2013-06-17T00:00:00"/>
    <n v="-49.17"/>
    <x v="0"/>
    <x v="0"/>
    <x v="2"/>
    <x v="2"/>
    <x v="8"/>
    <x v="9"/>
  </r>
  <r>
    <d v="2013-06-17T00:00:00"/>
    <m/>
    <s v="MENS 05/13"/>
    <x v="104"/>
    <n v="19.5"/>
    <d v="2013-06-17T00:00:00"/>
    <n v="-19.5"/>
    <x v="0"/>
    <x v="1"/>
    <x v="4"/>
    <x v="3"/>
    <x v="1"/>
    <x v="9"/>
  </r>
  <r>
    <d v="2013-06-18T00:00:00"/>
    <m/>
    <m/>
    <x v="105"/>
    <n v="10.08"/>
    <d v="2013-06-18T00:00:00"/>
    <n v="-10.08"/>
    <x v="0"/>
    <x v="0"/>
    <x v="3"/>
    <x v="2"/>
    <x v="9"/>
    <x v="9"/>
  </r>
  <r>
    <d v="2013-06-18T00:00:00"/>
    <m/>
    <m/>
    <x v="105"/>
    <n v="8.57"/>
    <d v="2013-06-18T00:00:00"/>
    <n v="-8.57"/>
    <x v="0"/>
    <x v="0"/>
    <x v="2"/>
    <x v="2"/>
    <x v="9"/>
    <x v="9"/>
  </r>
  <r>
    <d v="2013-06-18T00:00:00"/>
    <m/>
    <m/>
    <x v="105"/>
    <n v="26.28"/>
    <d v="2013-06-18T00:00:00"/>
    <n v="-26.28"/>
    <x v="0"/>
    <x v="0"/>
    <x v="2"/>
    <x v="2"/>
    <x v="9"/>
    <x v="9"/>
  </r>
  <r>
    <d v="2013-06-19T00:00:00"/>
    <m/>
    <m/>
    <x v="106"/>
    <n v="2.5"/>
    <d v="2013-06-19T00:00:00"/>
    <n v="-2.5"/>
    <x v="0"/>
    <x v="0"/>
    <x v="3"/>
    <x v="2"/>
    <x v="30"/>
    <x v="9"/>
  </r>
  <r>
    <d v="2013-06-19T00:00:00"/>
    <m/>
    <m/>
    <x v="106"/>
    <n v="23.9"/>
    <d v="2013-06-19T00:00:00"/>
    <n v="-23.9"/>
    <x v="0"/>
    <x v="0"/>
    <x v="3"/>
    <x v="2"/>
    <x v="30"/>
    <x v="9"/>
  </r>
  <r>
    <d v="2013-06-20T00:00:00"/>
    <m/>
    <m/>
    <x v="107"/>
    <n v="3.2"/>
    <d v="2013-06-20T00:00:00"/>
    <n v="-3.2"/>
    <x v="0"/>
    <x v="0"/>
    <x v="3"/>
    <x v="2"/>
    <x v="10"/>
    <x v="9"/>
  </r>
  <r>
    <d v="2013-06-20T00:00:00"/>
    <m/>
    <m/>
    <x v="107"/>
    <n v="7.5"/>
    <d v="2013-06-20T00:00:00"/>
    <n v="-7.5"/>
    <x v="0"/>
    <x v="0"/>
    <x v="3"/>
    <x v="2"/>
    <x v="10"/>
    <x v="9"/>
  </r>
  <r>
    <d v="2013-06-20T00:00:00"/>
    <m/>
    <m/>
    <x v="107"/>
    <n v="19.05"/>
    <d v="2013-06-20T00:00:00"/>
    <n v="-19.05"/>
    <x v="0"/>
    <x v="0"/>
    <x v="3"/>
    <x v="2"/>
    <x v="10"/>
    <x v="9"/>
  </r>
  <r>
    <d v="2013-06-20T00:00:00"/>
    <m/>
    <s v="Corte de cabelo"/>
    <x v="107"/>
    <n v="20"/>
    <d v="2013-06-20T00:00:00"/>
    <n v="-20"/>
    <x v="0"/>
    <x v="1"/>
    <x v="11"/>
    <x v="4"/>
    <x v="10"/>
    <x v="9"/>
  </r>
  <r>
    <d v="2013-06-22T00:00:00"/>
    <m/>
    <m/>
    <x v="108"/>
    <n v="2"/>
    <d v="2013-06-22T00:00:00"/>
    <n v="-2"/>
    <x v="0"/>
    <x v="0"/>
    <x v="3"/>
    <x v="2"/>
    <x v="12"/>
    <x v="9"/>
  </r>
  <r>
    <d v="2013-06-23T00:00:00"/>
    <m/>
    <m/>
    <x v="109"/>
    <n v="2"/>
    <d v="2013-06-23T00:00:00"/>
    <n v="-2"/>
    <x v="0"/>
    <x v="0"/>
    <x v="3"/>
    <x v="2"/>
    <x v="13"/>
    <x v="9"/>
  </r>
  <r>
    <d v="2013-06-24T00:00:00"/>
    <m/>
    <m/>
    <x v="110"/>
    <n v="2"/>
    <d v="2013-06-24T00:00:00"/>
    <n v="-2"/>
    <x v="0"/>
    <x v="0"/>
    <x v="3"/>
    <x v="2"/>
    <x v="14"/>
    <x v="9"/>
  </r>
  <r>
    <d v="2013-06-24T00:00:00"/>
    <m/>
    <m/>
    <x v="110"/>
    <n v="11.48"/>
    <d v="2013-06-24T00:00:00"/>
    <n v="-11.48"/>
    <x v="0"/>
    <x v="0"/>
    <x v="3"/>
    <x v="2"/>
    <x v="14"/>
    <x v="9"/>
  </r>
  <r>
    <d v="2013-06-24T00:00:00"/>
    <m/>
    <m/>
    <x v="110"/>
    <n v="104.93"/>
    <d v="2013-06-24T00:00:00"/>
    <n v="-104.93"/>
    <x v="0"/>
    <x v="0"/>
    <x v="2"/>
    <x v="2"/>
    <x v="14"/>
    <x v="9"/>
  </r>
  <r>
    <d v="2013-06-26T00:00:00"/>
    <m/>
    <m/>
    <x v="111"/>
    <n v="2"/>
    <d v="2013-06-26T00:00:00"/>
    <n v="-2"/>
    <x v="0"/>
    <x v="0"/>
    <x v="3"/>
    <x v="2"/>
    <x v="19"/>
    <x v="9"/>
  </r>
  <r>
    <d v="2013-06-26T00:00:00"/>
    <m/>
    <m/>
    <x v="111"/>
    <n v="50.71"/>
    <d v="2013-06-26T00:00:00"/>
    <n v="-50.71"/>
    <x v="0"/>
    <x v="0"/>
    <x v="2"/>
    <x v="2"/>
    <x v="19"/>
    <x v="9"/>
  </r>
  <r>
    <d v="2013-06-28T00:00:00"/>
    <m/>
    <m/>
    <x v="112"/>
    <n v="12.49"/>
    <d v="2013-06-28T00:00:00"/>
    <n v="-12.49"/>
    <x v="0"/>
    <x v="0"/>
    <x v="3"/>
    <x v="2"/>
    <x v="15"/>
    <x v="9"/>
  </r>
  <r>
    <d v="2013-06-29T00:00:00"/>
    <m/>
    <m/>
    <x v="113"/>
    <n v="7.19"/>
    <d v="2013-06-29T00:00:00"/>
    <n v="-7.19"/>
    <x v="0"/>
    <x v="0"/>
    <x v="3"/>
    <x v="2"/>
    <x v="27"/>
    <x v="9"/>
  </r>
  <r>
    <d v="2013-06-29T00:00:00"/>
    <m/>
    <m/>
    <x v="113"/>
    <n v="11.77"/>
    <d v="2013-06-29T00:00:00"/>
    <n v="-11.77"/>
    <x v="0"/>
    <x v="0"/>
    <x v="2"/>
    <x v="2"/>
    <x v="27"/>
    <x v="9"/>
  </r>
  <r>
    <d v="2013-06-30T00:00:00"/>
    <m/>
    <m/>
    <x v="114"/>
    <n v="65"/>
    <d v="2013-06-01T00:00:00"/>
    <n v="-65"/>
    <x v="0"/>
    <x v="0"/>
    <x v="7"/>
    <x v="2"/>
    <x v="17"/>
    <x v="9"/>
  </r>
  <r>
    <d v="2013-07-01T00:00:00"/>
    <m/>
    <m/>
    <x v="115"/>
    <n v="5.5"/>
    <d v="2013-07-01T00:00:00"/>
    <n v="-5.5"/>
    <x v="0"/>
    <x v="0"/>
    <x v="3"/>
    <x v="2"/>
    <x v="17"/>
    <x v="10"/>
  </r>
  <r>
    <d v="2013-07-01T00:00:00"/>
    <m/>
    <m/>
    <x v="115"/>
    <n v="4.8"/>
    <d v="2013-07-01T00:00:00"/>
    <n v="-4.8"/>
    <x v="0"/>
    <x v="0"/>
    <x v="3"/>
    <x v="2"/>
    <x v="17"/>
    <x v="10"/>
  </r>
  <r>
    <d v="2013-07-02T00:00:00"/>
    <m/>
    <m/>
    <x v="116"/>
    <n v="2.8"/>
    <d v="2013-07-02T00:00:00"/>
    <n v="-2.8"/>
    <x v="0"/>
    <x v="0"/>
    <x v="3"/>
    <x v="2"/>
    <x v="4"/>
    <x v="10"/>
  </r>
  <r>
    <d v="2013-07-02T00:00:00"/>
    <m/>
    <m/>
    <x v="116"/>
    <n v="9.6"/>
    <d v="2013-07-02T00:00:00"/>
    <n v="-9.6"/>
    <x v="0"/>
    <x v="0"/>
    <x v="3"/>
    <x v="2"/>
    <x v="4"/>
    <x v="10"/>
  </r>
  <r>
    <d v="2013-07-10T00:00:00"/>
    <m/>
    <m/>
    <x v="117"/>
    <n v="250"/>
    <d v="2011-03-30T00:00:00"/>
    <n v="-250"/>
    <x v="0"/>
    <x v="2"/>
    <x v="14"/>
    <x v="5"/>
    <x v="28"/>
    <x v="11"/>
  </r>
  <r>
    <d v="2013-07-10T00:00:00"/>
    <m/>
    <m/>
    <x v="118"/>
    <n v="165"/>
    <d v="2012-05-15T00:00:00"/>
    <n v="-165"/>
    <x v="0"/>
    <x v="2"/>
    <x v="14"/>
    <x v="5"/>
    <x v="18"/>
    <x v="12"/>
  </r>
  <r>
    <d v="2013-07-10T00:00:00"/>
    <m/>
    <m/>
    <x v="119"/>
    <n v="20"/>
    <d v="2012-06-11T00:00:00"/>
    <n v="-20"/>
    <x v="0"/>
    <x v="1"/>
    <x v="15"/>
    <x v="6"/>
    <x v="1"/>
    <x v="13"/>
  </r>
  <r>
    <d v="2013-07-10T00:00:00"/>
    <m/>
    <m/>
    <x v="120"/>
    <n v="20"/>
    <d v="2012-07-10T00:00:00"/>
    <n v="-20"/>
    <x v="0"/>
    <x v="1"/>
    <x v="15"/>
    <x v="6"/>
    <x v="1"/>
    <x v="14"/>
  </r>
  <r>
    <d v="2013-07-10T00:00:00"/>
    <m/>
    <m/>
    <x v="120"/>
    <n v="108.66"/>
    <m/>
    <n v="-108.66"/>
    <x v="0"/>
    <x v="2"/>
    <x v="16"/>
    <x v="5"/>
    <x v="1"/>
    <x v="15"/>
  </r>
  <r>
    <d v="2013-07-10T00:00:00"/>
    <m/>
    <m/>
    <x v="121"/>
    <n v="150"/>
    <d v="2012-07-13T00:00:00"/>
    <n v="150"/>
    <x v="1"/>
    <x v="0"/>
    <x v="17"/>
    <x v="1"/>
    <x v="23"/>
    <x v="14"/>
  </r>
  <r>
    <d v="2013-07-10T00:00:00"/>
    <m/>
    <m/>
    <x v="122"/>
    <n v="87.49"/>
    <d v="2012-07-31T00:00:00"/>
    <n v="-87.49"/>
    <x v="0"/>
    <x v="0"/>
    <x v="18"/>
    <x v="0"/>
    <x v="16"/>
    <x v="14"/>
  </r>
  <r>
    <d v="2013-07-10T00:00:00"/>
    <m/>
    <m/>
    <x v="123"/>
    <n v="20"/>
    <d v="2012-08-10T00:00:00"/>
    <n v="-20"/>
    <x v="0"/>
    <x v="1"/>
    <x v="15"/>
    <x v="6"/>
    <x v="1"/>
    <x v="16"/>
  </r>
  <r>
    <d v="2013-07-10T00:00:00"/>
    <m/>
    <m/>
    <x v="124"/>
    <n v="20"/>
    <d v="2012-09-10T00:00:00"/>
    <n v="-20"/>
    <x v="0"/>
    <x v="1"/>
    <x v="15"/>
    <x v="6"/>
    <x v="1"/>
    <x v="17"/>
  </r>
  <r>
    <d v="2013-07-10T00:00:00"/>
    <m/>
    <m/>
    <x v="125"/>
    <n v="400"/>
    <d v="2012-09-26T00:00:00"/>
    <n v="400"/>
    <x v="1"/>
    <x v="0"/>
    <x v="19"/>
    <x v="1"/>
    <x v="19"/>
    <x v="17"/>
  </r>
  <r>
    <d v="2013-07-10T00:00:00"/>
    <m/>
    <m/>
    <x v="126"/>
    <n v="20"/>
    <d v="2012-10-10T00:00:00"/>
    <n v="-20"/>
    <x v="0"/>
    <x v="1"/>
    <x v="15"/>
    <x v="6"/>
    <x v="1"/>
    <x v="18"/>
  </r>
  <r>
    <d v="2013-07-10T00:00:00"/>
    <m/>
    <m/>
    <x v="127"/>
    <n v="20"/>
    <d v="2012-11-10T00:00:00"/>
    <n v="-20"/>
    <x v="0"/>
    <x v="1"/>
    <x v="15"/>
    <x v="6"/>
    <x v="1"/>
    <x v="3"/>
  </r>
  <r>
    <d v="2013-07-10T00:00:00"/>
    <m/>
    <m/>
    <x v="128"/>
    <n v="118"/>
    <d v="2012-11-15T00:00:00"/>
    <n v="-118"/>
    <x v="0"/>
    <x v="0"/>
    <x v="20"/>
    <x v="0"/>
    <x v="18"/>
    <x v="3"/>
  </r>
  <r>
    <d v="2013-07-10T00:00:00"/>
    <m/>
    <m/>
    <x v="128"/>
    <n v="82"/>
    <d v="2012-11-15T00:00:00"/>
    <n v="-82"/>
    <x v="0"/>
    <x v="0"/>
    <x v="20"/>
    <x v="0"/>
    <x v="18"/>
    <x v="3"/>
  </r>
  <r>
    <d v="2013-07-10T00:00:00"/>
    <m/>
    <m/>
    <x v="129"/>
    <n v="71"/>
    <d v="2012-11-19T00:00:00"/>
    <n v="-71"/>
    <x v="0"/>
    <x v="0"/>
    <x v="21"/>
    <x v="0"/>
    <x v="30"/>
    <x v="3"/>
  </r>
  <r>
    <d v="2013-07-10T00:00:00"/>
    <m/>
    <m/>
    <x v="129"/>
    <n v="150"/>
    <d v="2012-11-19T00:00:00"/>
    <n v="150"/>
    <x v="1"/>
    <x v="0"/>
    <x v="17"/>
    <x v="1"/>
    <x v="30"/>
    <x v="3"/>
  </r>
  <r>
    <d v="2013-07-10T00:00:00"/>
    <m/>
    <m/>
    <x v="130"/>
    <n v="100"/>
    <d v="2012-12-08T00:00:00"/>
    <n v="100"/>
    <x v="1"/>
    <x v="0"/>
    <x v="19"/>
    <x v="1"/>
    <x v="3"/>
    <x v="19"/>
  </r>
  <r>
    <d v="2013-07-10T00:00:00"/>
    <m/>
    <m/>
    <x v="131"/>
    <n v="20"/>
    <d v="2012-12-10T00:00:00"/>
    <n v="-20"/>
    <x v="0"/>
    <x v="1"/>
    <x v="15"/>
    <x v="6"/>
    <x v="1"/>
    <x v="19"/>
  </r>
  <r>
    <d v="2013-07-10T00:00:00"/>
    <m/>
    <s v="VISUAL BASIC 2010"/>
    <x v="20"/>
    <n v="106.4"/>
    <d v="2013-01-01T00:00:00"/>
    <n v="-106.4"/>
    <x v="0"/>
    <x v="0"/>
    <x v="18"/>
    <x v="0"/>
    <x v="17"/>
    <x v="4"/>
  </r>
  <r>
    <d v="2013-07-10T00:00:00"/>
    <m/>
    <m/>
    <x v="5"/>
    <n v="20"/>
    <d v="2013-01-10T00:00:00"/>
    <n v="-20"/>
    <x v="0"/>
    <x v="1"/>
    <x v="15"/>
    <x v="6"/>
    <x v="1"/>
    <x v="4"/>
  </r>
  <r>
    <d v="2013-07-10T00:00:00"/>
    <m/>
    <m/>
    <x v="5"/>
    <n v="966.62"/>
    <m/>
    <n v="-966.62"/>
    <x v="0"/>
    <x v="0"/>
    <x v="22"/>
    <x v="7"/>
    <x v="1"/>
    <x v="15"/>
  </r>
  <r>
    <d v="2013-07-10T00:00:00"/>
    <m/>
    <m/>
    <x v="132"/>
    <n v="82"/>
    <d v="2013-01-15T00:00:00"/>
    <n v="-82"/>
    <x v="0"/>
    <x v="0"/>
    <x v="20"/>
    <x v="0"/>
    <x v="18"/>
    <x v="4"/>
  </r>
  <r>
    <d v="2013-07-10T00:00:00"/>
    <s v="130120-0930"/>
    <s v="COMP. 01/2013"/>
    <x v="13"/>
    <n v="67.739999999999995"/>
    <d v="2013-01-20T00:00:00"/>
    <n v="67.739999999999995"/>
    <x v="1"/>
    <x v="0"/>
    <x v="23"/>
    <x v="1"/>
    <x v="10"/>
    <x v="4"/>
  </r>
  <r>
    <d v="2013-07-10T00:00:00"/>
    <s v="130120-0910"/>
    <s v="COMP. 01/2013"/>
    <x v="13"/>
    <n v="67.849999999999994"/>
    <d v="2013-01-20T00:00:00"/>
    <n v="67.849999999999994"/>
    <x v="1"/>
    <x v="0"/>
    <x v="24"/>
    <x v="1"/>
    <x v="10"/>
    <x v="4"/>
  </r>
  <r>
    <d v="2013-07-10T00:00:00"/>
    <s v="130120-0900"/>
    <m/>
    <x v="13"/>
    <n v="100"/>
    <d v="2013-01-20T00:00:00"/>
    <n v="100"/>
    <x v="1"/>
    <x v="0"/>
    <x v="25"/>
    <x v="1"/>
    <x v="10"/>
    <x v="4"/>
  </r>
  <r>
    <d v="2013-07-10T00:00:00"/>
    <m/>
    <m/>
    <x v="13"/>
    <n v="40"/>
    <d v="2013-01-20T00:00:00"/>
    <n v="40"/>
    <x v="1"/>
    <x v="0"/>
    <x v="26"/>
    <x v="1"/>
    <x v="10"/>
    <x v="4"/>
  </r>
  <r>
    <d v="2013-07-10T00:00:00"/>
    <m/>
    <m/>
    <x v="15"/>
    <n v="40"/>
    <d v="2013-01-22T00:00:00"/>
    <n v="40"/>
    <x v="1"/>
    <x v="0"/>
    <x v="17"/>
    <x v="1"/>
    <x v="12"/>
    <x v="4"/>
  </r>
  <r>
    <d v="2013-07-10T00:00:00"/>
    <m/>
    <s v="CD'S"/>
    <x v="15"/>
    <n v="195"/>
    <d v="2013-01-22T00:00:00"/>
    <n v="195"/>
    <x v="1"/>
    <x v="0"/>
    <x v="27"/>
    <x v="8"/>
    <x v="12"/>
    <x v="4"/>
  </r>
  <r>
    <d v="2013-07-10T00:00:00"/>
    <m/>
    <m/>
    <x v="133"/>
    <n v="59.9"/>
    <d v="2013-01-25T00:00:00"/>
    <n v="-59.9"/>
    <x v="0"/>
    <x v="1"/>
    <x v="28"/>
    <x v="9"/>
    <x v="25"/>
    <x v="4"/>
  </r>
  <r>
    <d v="2013-07-10T00:00:00"/>
    <m/>
    <m/>
    <x v="133"/>
    <n v="39.9"/>
    <d v="2013-01-25T00:00:00"/>
    <n v="-39.9"/>
    <x v="0"/>
    <x v="1"/>
    <x v="29"/>
    <x v="9"/>
    <x v="25"/>
    <x v="4"/>
  </r>
  <r>
    <d v="2013-07-10T00:00:00"/>
    <m/>
    <m/>
    <x v="133"/>
    <n v="50.81"/>
    <d v="2013-01-25T00:00:00"/>
    <n v="-50.81"/>
    <x v="0"/>
    <x v="1"/>
    <x v="30"/>
    <x v="9"/>
    <x v="25"/>
    <x v="4"/>
  </r>
  <r>
    <d v="2013-07-10T00:00:00"/>
    <m/>
    <m/>
    <x v="134"/>
    <n v="99"/>
    <d v="2013-01-29T00:00:00"/>
    <n v="-99"/>
    <x v="0"/>
    <x v="1"/>
    <x v="31"/>
    <x v="10"/>
    <x v="27"/>
    <x v="4"/>
  </r>
  <r>
    <d v="2013-07-10T00:00:00"/>
    <m/>
    <m/>
    <x v="134"/>
    <n v="82"/>
    <d v="2013-01-29T00:00:00"/>
    <n v="-82"/>
    <x v="0"/>
    <x v="0"/>
    <x v="20"/>
    <x v="0"/>
    <x v="27"/>
    <x v="4"/>
  </r>
  <r>
    <d v="2013-07-10T00:00:00"/>
    <m/>
    <m/>
    <x v="19"/>
    <n v="180.75"/>
    <d v="2013-01-31T00:00:00"/>
    <n v="-180.75"/>
    <x v="0"/>
    <x v="1"/>
    <x v="32"/>
    <x v="11"/>
    <x v="16"/>
    <x v="4"/>
  </r>
  <r>
    <d v="2013-07-10T00:00:00"/>
    <m/>
    <m/>
    <x v="19"/>
    <n v="275.42"/>
    <d v="2013-01-31T00:00:00"/>
    <n v="-275.42"/>
    <x v="0"/>
    <x v="1"/>
    <x v="32"/>
    <x v="11"/>
    <x v="16"/>
    <x v="4"/>
  </r>
  <r>
    <d v="2013-07-10T00:00:00"/>
    <m/>
    <s v="REF. 12/2012"/>
    <x v="19"/>
    <n v="71.05"/>
    <d v="2013-01-31T00:00:00"/>
    <n v="-71.05"/>
    <x v="0"/>
    <x v="1"/>
    <x v="33"/>
    <x v="11"/>
    <x v="16"/>
    <x v="4"/>
  </r>
  <r>
    <d v="2013-07-10T00:00:00"/>
    <m/>
    <m/>
    <x v="19"/>
    <n v="49.24"/>
    <d v="2013-01-31T00:00:00"/>
    <n v="-49.24"/>
    <x v="0"/>
    <x v="1"/>
    <x v="34"/>
    <x v="4"/>
    <x v="16"/>
    <x v="4"/>
  </r>
  <r>
    <d v="2013-07-10T00:00:00"/>
    <m/>
    <m/>
    <x v="19"/>
    <n v="44.76"/>
    <d v="2013-01-31T00:00:00"/>
    <n v="-44.76"/>
    <x v="0"/>
    <x v="1"/>
    <x v="34"/>
    <x v="4"/>
    <x v="16"/>
    <x v="4"/>
  </r>
  <r>
    <d v="2013-07-10T00:00:00"/>
    <m/>
    <m/>
    <x v="21"/>
    <n v="30"/>
    <d v="2013-02-01T00:00:00"/>
    <n v="-30"/>
    <x v="0"/>
    <x v="1"/>
    <x v="35"/>
    <x v="10"/>
    <x v="17"/>
    <x v="5"/>
  </r>
  <r>
    <d v="2013-07-10T00:00:00"/>
    <m/>
    <m/>
    <x v="25"/>
    <n v="100"/>
    <d v="2013-02-05T00:00:00"/>
    <n v="-100"/>
    <x v="0"/>
    <x v="0"/>
    <x v="36"/>
    <x v="11"/>
    <x v="7"/>
    <x v="5"/>
  </r>
  <r>
    <d v="2013-07-10T00:00:00"/>
    <m/>
    <s v="REF. 01/2013"/>
    <x v="135"/>
    <n v="92.56"/>
    <d v="2013-03-01T00:00:00"/>
    <n v="-92.56"/>
    <x v="0"/>
    <x v="1"/>
    <x v="33"/>
    <x v="11"/>
    <x v="3"/>
    <x v="5"/>
  </r>
  <r>
    <d v="2013-07-10T00:00:00"/>
    <m/>
    <m/>
    <x v="24"/>
    <n v="20.05"/>
    <d v="2013-02-20T00:00:00"/>
    <n v="-20.05"/>
    <x v="0"/>
    <x v="1"/>
    <x v="15"/>
    <x v="6"/>
    <x v="1"/>
    <x v="5"/>
  </r>
  <r>
    <d v="2013-07-10T00:00:00"/>
    <s v="130220-0930"/>
    <s v="COMP. 02/2013"/>
    <x v="28"/>
    <n v="67.739999999999995"/>
    <d v="2013-02-20T00:00:00"/>
    <n v="67.739999999999995"/>
    <x v="1"/>
    <x v="0"/>
    <x v="23"/>
    <x v="1"/>
    <x v="10"/>
    <x v="5"/>
  </r>
  <r>
    <d v="2013-07-10T00:00:00"/>
    <s v="130220-0910"/>
    <s v="COMP. 02/2013"/>
    <x v="28"/>
    <n v="67.849999999999994"/>
    <d v="2013-02-20T00:00:00"/>
    <n v="67.849999999999994"/>
    <x v="1"/>
    <x v="0"/>
    <x v="24"/>
    <x v="1"/>
    <x v="10"/>
    <x v="5"/>
  </r>
  <r>
    <d v="2013-07-10T00:00:00"/>
    <s v="130220-0900"/>
    <m/>
    <x v="28"/>
    <n v="100"/>
    <d v="2013-02-20T00:00:00"/>
    <n v="100"/>
    <x v="1"/>
    <x v="0"/>
    <x v="25"/>
    <x v="1"/>
    <x v="10"/>
    <x v="5"/>
  </r>
  <r>
    <d v="2013-07-10T00:00:00"/>
    <m/>
    <m/>
    <x v="28"/>
    <n v="40"/>
    <d v="2013-02-20T00:00:00"/>
    <n v="40"/>
    <x v="1"/>
    <x v="0"/>
    <x v="26"/>
    <x v="1"/>
    <x v="10"/>
    <x v="5"/>
  </r>
  <r>
    <d v="2013-07-10T00:00:00"/>
    <m/>
    <m/>
    <x v="28"/>
    <n v="175"/>
    <d v="2013-02-20T00:00:00"/>
    <n v="175"/>
    <x v="1"/>
    <x v="0"/>
    <x v="37"/>
    <x v="1"/>
    <x v="10"/>
    <x v="5"/>
  </r>
  <r>
    <d v="2013-07-10T00:00:00"/>
    <m/>
    <m/>
    <x v="136"/>
    <n v="59.9"/>
    <d v="2013-02-25T00:00:00"/>
    <n v="-59.9"/>
    <x v="0"/>
    <x v="1"/>
    <x v="28"/>
    <x v="9"/>
    <x v="25"/>
    <x v="5"/>
  </r>
  <r>
    <d v="2013-07-10T00:00:00"/>
    <m/>
    <m/>
    <x v="136"/>
    <n v="39.9"/>
    <d v="2013-02-25T00:00:00"/>
    <n v="-39.9"/>
    <x v="0"/>
    <x v="1"/>
    <x v="29"/>
    <x v="9"/>
    <x v="25"/>
    <x v="5"/>
  </r>
  <r>
    <d v="2013-07-10T00:00:00"/>
    <m/>
    <m/>
    <x v="136"/>
    <n v="75.36"/>
    <d v="2013-02-25T00:00:00"/>
    <n v="-75.36"/>
    <x v="0"/>
    <x v="1"/>
    <x v="30"/>
    <x v="9"/>
    <x v="25"/>
    <x v="5"/>
  </r>
  <r>
    <d v="2013-07-10T00:00:00"/>
    <m/>
    <m/>
    <x v="58"/>
    <n v="99.12"/>
    <d v="2013-03-01T00:00:00"/>
    <n v="-99.12"/>
    <x v="0"/>
    <x v="1"/>
    <x v="31"/>
    <x v="10"/>
    <x v="17"/>
    <x v="6"/>
  </r>
  <r>
    <d v="2013-07-10T00:00:00"/>
    <m/>
    <m/>
    <x v="58"/>
    <n v="44.76"/>
    <d v="2013-03-01T00:00:00"/>
    <n v="-44.76"/>
    <x v="0"/>
    <x v="1"/>
    <x v="34"/>
    <x v="4"/>
    <x v="17"/>
    <x v="6"/>
  </r>
  <r>
    <d v="2013-07-10T00:00:00"/>
    <m/>
    <m/>
    <x v="58"/>
    <n v="7.6"/>
    <d v="2013-03-01T00:00:00"/>
    <n v="-7.6"/>
    <x v="0"/>
    <x v="2"/>
    <x v="38"/>
    <x v="5"/>
    <x v="17"/>
    <x v="6"/>
  </r>
  <r>
    <d v="2013-07-10T00:00:00"/>
    <m/>
    <m/>
    <x v="58"/>
    <n v="380"/>
    <d v="2013-03-01T00:00:00"/>
    <n v="380"/>
    <x v="1"/>
    <x v="2"/>
    <x v="9"/>
    <x v="1"/>
    <x v="17"/>
    <x v="6"/>
  </r>
  <r>
    <d v="2013-07-10T00:00:00"/>
    <s v="130228-0800"/>
    <m/>
    <x v="39"/>
    <n v="1100"/>
    <d v="2013-03-08T00:00:00"/>
    <n v="1100"/>
    <x v="1"/>
    <x v="0"/>
    <x v="39"/>
    <x v="1"/>
    <x v="3"/>
    <x v="6"/>
  </r>
  <r>
    <d v="2013-07-10T00:00:00"/>
    <m/>
    <s v="MICRO SDHC"/>
    <x v="137"/>
    <n v="20.9"/>
    <d v="2013-03-09T00:00:00"/>
    <n v="-20.9"/>
    <x v="0"/>
    <x v="0"/>
    <x v="40"/>
    <x v="0"/>
    <x v="2"/>
    <x v="6"/>
  </r>
  <r>
    <d v="2013-07-10T00:00:00"/>
    <m/>
    <m/>
    <x v="36"/>
    <n v="20"/>
    <d v="2013-03-10T00:00:00"/>
    <n v="-20"/>
    <x v="0"/>
    <x v="1"/>
    <x v="15"/>
    <x v="6"/>
    <x v="1"/>
    <x v="6"/>
  </r>
  <r>
    <d v="2013-07-10T00:00:00"/>
    <m/>
    <s v="REF. 02/2013"/>
    <x v="40"/>
    <n v="74.77"/>
    <d v="2013-03-11T00:00:00"/>
    <n v="-74.77"/>
    <x v="0"/>
    <x v="1"/>
    <x v="33"/>
    <x v="11"/>
    <x v="21"/>
    <x v="6"/>
  </r>
  <r>
    <d v="2013-07-10T00:00:00"/>
    <m/>
    <m/>
    <x v="40"/>
    <n v="55"/>
    <d v="2013-03-11T00:00:00"/>
    <n v="-55"/>
    <x v="0"/>
    <x v="2"/>
    <x v="38"/>
    <x v="5"/>
    <x v="21"/>
    <x v="6"/>
  </r>
  <r>
    <d v="2013-07-10T00:00:00"/>
    <m/>
    <m/>
    <x v="40"/>
    <n v="24.9"/>
    <d v="2013-03-11T00:00:00"/>
    <n v="-24.9"/>
    <x v="0"/>
    <x v="0"/>
    <x v="36"/>
    <x v="11"/>
    <x v="21"/>
    <x v="6"/>
  </r>
  <r>
    <d v="2013-07-10T00:00:00"/>
    <m/>
    <m/>
    <x v="43"/>
    <n v="120"/>
    <d v="2013-03-14T00:00:00"/>
    <n v="120"/>
    <x v="1"/>
    <x v="0"/>
    <x v="41"/>
    <x v="1"/>
    <x v="0"/>
    <x v="6"/>
  </r>
  <r>
    <d v="2013-07-10T00:00:00"/>
    <s v="130320-0930"/>
    <s v="COMP. 03/2013"/>
    <x v="47"/>
    <n v="67.739999999999995"/>
    <d v="2013-03-20T00:00:00"/>
    <n v="67.739999999999995"/>
    <x v="1"/>
    <x v="0"/>
    <x v="23"/>
    <x v="1"/>
    <x v="10"/>
    <x v="6"/>
  </r>
  <r>
    <d v="2013-07-10T00:00:00"/>
    <s v="130320-0910"/>
    <s v="COMP. 03/2013"/>
    <x v="47"/>
    <n v="67.849999999999994"/>
    <d v="2013-03-20T00:00:00"/>
    <n v="67.849999999999994"/>
    <x v="1"/>
    <x v="0"/>
    <x v="24"/>
    <x v="1"/>
    <x v="10"/>
    <x v="6"/>
  </r>
  <r>
    <d v="2013-07-10T00:00:00"/>
    <s v="130320-0900"/>
    <m/>
    <x v="47"/>
    <n v="100"/>
    <d v="2013-03-20T00:00:00"/>
    <n v="100"/>
    <x v="1"/>
    <x v="0"/>
    <x v="25"/>
    <x v="1"/>
    <x v="10"/>
    <x v="6"/>
  </r>
  <r>
    <d v="2013-07-10T00:00:00"/>
    <m/>
    <m/>
    <x v="47"/>
    <n v="42"/>
    <d v="2013-03-20T00:00:00"/>
    <n v="42"/>
    <x v="1"/>
    <x v="0"/>
    <x v="26"/>
    <x v="1"/>
    <x v="10"/>
    <x v="6"/>
  </r>
  <r>
    <d v="2013-07-10T00:00:00"/>
    <m/>
    <m/>
    <x v="47"/>
    <n v="175"/>
    <d v="2013-03-20T00:00:00"/>
    <n v="175"/>
    <x v="1"/>
    <x v="0"/>
    <x v="37"/>
    <x v="1"/>
    <x v="10"/>
    <x v="6"/>
  </r>
  <r>
    <d v="2013-07-10T00:00:00"/>
    <m/>
    <m/>
    <x v="47"/>
    <n v="1160"/>
    <d v="2013-03-20T00:00:00"/>
    <n v="1160"/>
    <x v="1"/>
    <x v="2"/>
    <x v="9"/>
    <x v="1"/>
    <x v="10"/>
    <x v="6"/>
  </r>
  <r>
    <d v="2013-07-10T00:00:00"/>
    <m/>
    <m/>
    <x v="51"/>
    <n v="101.11"/>
    <d v="2013-03-25T00:00:00"/>
    <n v="-101.11"/>
    <x v="0"/>
    <x v="1"/>
    <x v="31"/>
    <x v="10"/>
    <x v="25"/>
    <x v="6"/>
  </r>
  <r>
    <d v="2013-07-10T00:00:00"/>
    <m/>
    <m/>
    <x v="51"/>
    <n v="59.9"/>
    <d v="2013-03-25T00:00:00"/>
    <n v="-59.9"/>
    <x v="0"/>
    <x v="1"/>
    <x v="28"/>
    <x v="9"/>
    <x v="25"/>
    <x v="6"/>
  </r>
  <r>
    <d v="2013-07-10T00:00:00"/>
    <m/>
    <m/>
    <x v="51"/>
    <n v="49.9"/>
    <d v="2013-03-25T00:00:00"/>
    <n v="-49.9"/>
    <x v="0"/>
    <x v="1"/>
    <x v="29"/>
    <x v="9"/>
    <x v="25"/>
    <x v="6"/>
  </r>
  <r>
    <d v="2013-07-10T00:00:00"/>
    <m/>
    <m/>
    <x v="51"/>
    <n v="283.72000000000003"/>
    <d v="2013-03-25T00:00:00"/>
    <n v="-283.72000000000003"/>
    <x v="0"/>
    <x v="1"/>
    <x v="30"/>
    <x v="9"/>
    <x v="25"/>
    <x v="6"/>
  </r>
  <r>
    <d v="2013-07-10T00:00:00"/>
    <m/>
    <m/>
    <x v="56"/>
    <n v="7"/>
    <d v="2013-03-30T00:00:00"/>
    <n v="-7"/>
    <x v="0"/>
    <x v="0"/>
    <x v="42"/>
    <x v="7"/>
    <x v="28"/>
    <x v="6"/>
  </r>
  <r>
    <d v="2013-07-10T00:00:00"/>
    <m/>
    <m/>
    <x v="56"/>
    <n v="3"/>
    <d v="2013-03-30T00:00:00"/>
    <n v="-3"/>
    <x v="0"/>
    <x v="0"/>
    <x v="42"/>
    <x v="7"/>
    <x v="28"/>
    <x v="6"/>
  </r>
  <r>
    <d v="2013-07-10T00:00:00"/>
    <m/>
    <m/>
    <x v="60"/>
    <n v="20"/>
    <d v="2013-04-10T00:00:00"/>
    <n v="-20"/>
    <x v="0"/>
    <x v="1"/>
    <x v="15"/>
    <x v="6"/>
    <x v="1"/>
    <x v="7"/>
  </r>
  <r>
    <d v="2013-07-10T00:00:00"/>
    <s v="130420-0930"/>
    <s v="COMP. 04/2013"/>
    <x v="138"/>
    <n v="67.739999999999995"/>
    <d v="2013-04-20T00:00:00"/>
    <n v="67.739999999999995"/>
    <x v="1"/>
    <x v="0"/>
    <x v="23"/>
    <x v="1"/>
    <x v="10"/>
    <x v="7"/>
  </r>
  <r>
    <d v="2013-07-10T00:00:00"/>
    <s v="130420-0910"/>
    <s v="COMP. 04/2013"/>
    <x v="138"/>
    <n v="67.849999999999994"/>
    <d v="2013-04-20T00:00:00"/>
    <n v="67.849999999999994"/>
    <x v="1"/>
    <x v="0"/>
    <x v="24"/>
    <x v="1"/>
    <x v="10"/>
    <x v="7"/>
  </r>
  <r>
    <d v="2013-07-10T00:00:00"/>
    <s v="130420-0900"/>
    <m/>
    <x v="138"/>
    <n v="100"/>
    <d v="2013-04-20T00:00:00"/>
    <n v="100"/>
    <x v="1"/>
    <x v="0"/>
    <x v="25"/>
    <x v="1"/>
    <x v="10"/>
    <x v="7"/>
  </r>
  <r>
    <d v="2013-07-10T00:00:00"/>
    <s v="130420-0000"/>
    <m/>
    <x v="138"/>
    <n v="40"/>
    <d v="2013-12-11T00:00:00"/>
    <n v="40"/>
    <x v="1"/>
    <x v="0"/>
    <x v="26"/>
    <x v="1"/>
    <x v="10"/>
    <x v="7"/>
  </r>
  <r>
    <d v="2013-07-10T00:00:00"/>
    <m/>
    <m/>
    <x v="139"/>
    <n v="59.9"/>
    <d v="2013-04-25T00:00:00"/>
    <n v="-59.9"/>
    <x v="0"/>
    <x v="1"/>
    <x v="28"/>
    <x v="9"/>
    <x v="25"/>
    <x v="7"/>
  </r>
  <r>
    <d v="2013-07-10T00:00:00"/>
    <m/>
    <m/>
    <x v="139"/>
    <n v="62.55"/>
    <d v="2013-04-25T00:00:00"/>
    <n v="-62.55"/>
    <x v="0"/>
    <x v="1"/>
    <x v="29"/>
    <x v="9"/>
    <x v="25"/>
    <x v="7"/>
  </r>
  <r>
    <d v="2013-07-10T00:00:00"/>
    <m/>
    <m/>
    <x v="139"/>
    <n v="395.37"/>
    <d v="2013-04-25T00:00:00"/>
    <n v="-395.37"/>
    <x v="0"/>
    <x v="1"/>
    <x v="30"/>
    <x v="9"/>
    <x v="25"/>
    <x v="7"/>
  </r>
  <r>
    <d v="2013-07-10T00:00:00"/>
    <m/>
    <m/>
    <x v="76"/>
    <n v="99"/>
    <d v="2013-04-30T00:00:00"/>
    <n v="-99"/>
    <x v="0"/>
    <x v="1"/>
    <x v="31"/>
    <x v="10"/>
    <x v="28"/>
    <x v="7"/>
  </r>
  <r>
    <d v="2013-07-10T00:00:00"/>
    <m/>
    <s v="REF. 03/2013"/>
    <x v="76"/>
    <n v="60.84"/>
    <d v="2013-04-30T00:00:00"/>
    <n v="-60.84"/>
    <x v="0"/>
    <x v="1"/>
    <x v="33"/>
    <x v="11"/>
    <x v="28"/>
    <x v="7"/>
  </r>
  <r>
    <d v="2013-07-10T00:00:00"/>
    <m/>
    <m/>
    <x v="76"/>
    <n v="528.01"/>
    <d v="2013-04-30T00:00:00"/>
    <n v="-528.01"/>
    <x v="0"/>
    <x v="0"/>
    <x v="43"/>
    <x v="11"/>
    <x v="28"/>
    <x v="7"/>
  </r>
  <r>
    <d v="2013-07-10T00:00:00"/>
    <m/>
    <m/>
    <x v="76"/>
    <n v="519.57000000000005"/>
    <d v="2013-04-30T00:00:00"/>
    <n v="-519.57000000000005"/>
    <x v="0"/>
    <x v="0"/>
    <x v="43"/>
    <x v="11"/>
    <x v="28"/>
    <x v="7"/>
  </r>
  <r>
    <d v="2013-07-10T00:00:00"/>
    <m/>
    <m/>
    <x v="76"/>
    <n v="511.66"/>
    <d v="2013-04-30T00:00:00"/>
    <n v="-511.66"/>
    <x v="0"/>
    <x v="0"/>
    <x v="43"/>
    <x v="11"/>
    <x v="28"/>
    <x v="7"/>
  </r>
  <r>
    <d v="2013-07-10T00:00:00"/>
    <m/>
    <m/>
    <x v="76"/>
    <n v="503.31"/>
    <d v="2013-04-30T00:00:00"/>
    <n v="-503.31"/>
    <x v="0"/>
    <x v="0"/>
    <x v="43"/>
    <x v="11"/>
    <x v="28"/>
    <x v="7"/>
  </r>
  <r>
    <d v="2013-07-10T00:00:00"/>
    <m/>
    <m/>
    <x v="76"/>
    <n v="45.05"/>
    <d v="2013-04-30T00:00:00"/>
    <n v="-45.05"/>
    <x v="0"/>
    <x v="1"/>
    <x v="34"/>
    <x v="4"/>
    <x v="28"/>
    <x v="7"/>
  </r>
  <r>
    <d v="2013-07-10T00:00:00"/>
    <m/>
    <m/>
    <x v="79"/>
    <n v="44.76"/>
    <d v="2013-05-02T00:00:00"/>
    <n v="-44.76"/>
    <x v="0"/>
    <x v="1"/>
    <x v="34"/>
    <x v="4"/>
    <x v="4"/>
    <x v="8"/>
  </r>
  <r>
    <d v="2013-07-10T00:00:00"/>
    <m/>
    <m/>
    <x v="79"/>
    <n v="13"/>
    <d v="2013-05-02T00:00:00"/>
    <n v="-13"/>
    <x v="0"/>
    <x v="0"/>
    <x v="42"/>
    <x v="7"/>
    <x v="4"/>
    <x v="8"/>
  </r>
  <r>
    <d v="2013-07-10T00:00:00"/>
    <m/>
    <m/>
    <x v="140"/>
    <n v="165"/>
    <d v="2013-05-04T00:00:00"/>
    <n v="-165"/>
    <x v="0"/>
    <x v="2"/>
    <x v="14"/>
    <x v="5"/>
    <x v="6"/>
    <x v="8"/>
  </r>
  <r>
    <d v="2013-07-10T00:00:00"/>
    <m/>
    <m/>
    <x v="82"/>
    <n v="18"/>
    <d v="2013-05-06T00:00:00"/>
    <n v="-18"/>
    <x v="0"/>
    <x v="0"/>
    <x v="42"/>
    <x v="7"/>
    <x v="20"/>
    <x v="8"/>
  </r>
  <r>
    <d v="2013-07-10T00:00:00"/>
    <m/>
    <m/>
    <x v="82"/>
    <n v="2100"/>
    <d v="2013-05-06T00:00:00"/>
    <n v="2100"/>
    <x v="1"/>
    <x v="2"/>
    <x v="9"/>
    <x v="1"/>
    <x v="20"/>
    <x v="8"/>
  </r>
  <r>
    <d v="2013-07-10T00:00:00"/>
    <m/>
    <m/>
    <x v="141"/>
    <n v="243"/>
    <d v="2013-05-07T00:00:00"/>
    <n v="-243"/>
    <x v="0"/>
    <x v="0"/>
    <x v="20"/>
    <x v="0"/>
    <x v="29"/>
    <x v="8"/>
  </r>
  <r>
    <d v="2013-07-10T00:00:00"/>
    <m/>
    <m/>
    <x v="81"/>
    <n v="20"/>
    <d v="2013-05-10T00:00:00"/>
    <n v="-20"/>
    <x v="0"/>
    <x v="1"/>
    <x v="15"/>
    <x v="6"/>
    <x v="1"/>
    <x v="8"/>
  </r>
  <r>
    <d v="2013-07-10T00:00:00"/>
    <m/>
    <m/>
    <x v="81"/>
    <n v="239.9"/>
    <d v="2013-05-10T00:00:00"/>
    <n v="-239.9"/>
    <x v="0"/>
    <x v="0"/>
    <x v="21"/>
    <x v="0"/>
    <x v="1"/>
    <x v="8"/>
  </r>
  <r>
    <d v="2013-07-10T00:00:00"/>
    <m/>
    <m/>
    <x v="81"/>
    <n v="150"/>
    <d v="2013-05-10T00:00:00"/>
    <n v="-150"/>
    <x v="0"/>
    <x v="0"/>
    <x v="21"/>
    <x v="0"/>
    <x v="1"/>
    <x v="8"/>
  </r>
  <r>
    <d v="2013-07-10T00:00:00"/>
    <s v="130520-0930"/>
    <s v="COMP. 05/2013"/>
    <x v="142"/>
    <n v="67.739999999999995"/>
    <d v="2013-05-20T00:00:00"/>
    <n v="67.739999999999995"/>
    <x v="1"/>
    <x v="0"/>
    <x v="23"/>
    <x v="1"/>
    <x v="10"/>
    <x v="8"/>
  </r>
  <r>
    <d v="2013-07-10T00:00:00"/>
    <s v="130520-0910"/>
    <s v="COMP. 05/2013"/>
    <x v="142"/>
    <n v="67.849999999999994"/>
    <d v="2013-05-20T00:00:00"/>
    <n v="67.849999999999994"/>
    <x v="1"/>
    <x v="0"/>
    <x v="24"/>
    <x v="1"/>
    <x v="10"/>
    <x v="8"/>
  </r>
  <r>
    <d v="2013-07-10T00:00:00"/>
    <s v="130520-0900"/>
    <m/>
    <x v="142"/>
    <n v="100"/>
    <d v="2013-05-20T00:00:00"/>
    <n v="100"/>
    <x v="1"/>
    <x v="0"/>
    <x v="25"/>
    <x v="1"/>
    <x v="10"/>
    <x v="8"/>
  </r>
  <r>
    <d v="2013-07-10T00:00:00"/>
    <s v="130520-0000"/>
    <m/>
    <x v="142"/>
    <n v="40"/>
    <d v="2013-12-11T00:00:00"/>
    <n v="40"/>
    <x v="1"/>
    <x v="0"/>
    <x v="26"/>
    <x v="1"/>
    <x v="10"/>
    <x v="8"/>
  </r>
  <r>
    <d v="2013-07-10T00:00:00"/>
    <m/>
    <m/>
    <x v="89"/>
    <n v="18"/>
    <d v="2013-05-23T00:00:00"/>
    <n v="-18"/>
    <x v="0"/>
    <x v="0"/>
    <x v="42"/>
    <x v="7"/>
    <x v="13"/>
    <x v="8"/>
  </r>
  <r>
    <d v="2013-07-10T00:00:00"/>
    <m/>
    <m/>
    <x v="143"/>
    <n v="59.9"/>
    <d v="2013-05-25T00:00:00"/>
    <n v="-59.9"/>
    <x v="0"/>
    <x v="1"/>
    <x v="28"/>
    <x v="9"/>
    <x v="25"/>
    <x v="8"/>
  </r>
  <r>
    <d v="2013-07-10T00:00:00"/>
    <m/>
    <m/>
    <x v="143"/>
    <n v="82.05"/>
    <d v="2013-05-25T00:00:00"/>
    <n v="-82.05"/>
    <x v="0"/>
    <x v="1"/>
    <x v="29"/>
    <x v="9"/>
    <x v="25"/>
    <x v="8"/>
  </r>
  <r>
    <d v="2013-07-10T00:00:00"/>
    <m/>
    <m/>
    <x v="143"/>
    <n v="214.1"/>
    <d v="2013-07-01T00:00:00"/>
    <n v="-197.71"/>
    <x v="0"/>
    <x v="1"/>
    <x v="30"/>
    <x v="9"/>
    <x v="25"/>
    <x v="8"/>
  </r>
  <r>
    <d v="2013-07-10T00:00:00"/>
    <m/>
    <m/>
    <x v="144"/>
    <n v="101.14"/>
    <d v="2013-05-28T00:00:00"/>
    <n v="-101.14"/>
    <x v="0"/>
    <x v="1"/>
    <x v="31"/>
    <x v="10"/>
    <x v="15"/>
    <x v="8"/>
  </r>
  <r>
    <d v="2013-07-10T00:00:00"/>
    <m/>
    <s v="REF. 04/2013"/>
    <x v="92"/>
    <n v="74.7"/>
    <d v="2013-05-29T00:00:00"/>
    <n v="-74.7"/>
    <x v="0"/>
    <x v="1"/>
    <x v="33"/>
    <x v="11"/>
    <x v="27"/>
    <x v="8"/>
  </r>
  <r>
    <d v="2013-07-10T00:00:00"/>
    <s v="130506-1300"/>
    <m/>
    <x v="92"/>
    <n v="2000"/>
    <d v="2013-05-29T00:00:00"/>
    <n v="2000"/>
    <x v="1"/>
    <x v="0"/>
    <x v="44"/>
    <x v="1"/>
    <x v="27"/>
    <x v="8"/>
  </r>
  <r>
    <d v="2013-07-10T00:00:00"/>
    <s v="130506-1300"/>
    <m/>
    <x v="92"/>
    <n v="300"/>
    <d v="2013-05-29T00:00:00"/>
    <n v="-300"/>
    <x v="0"/>
    <x v="0"/>
    <x v="45"/>
    <x v="12"/>
    <x v="27"/>
    <x v="8"/>
  </r>
  <r>
    <d v="2013-07-10T00:00:00"/>
    <m/>
    <m/>
    <x v="145"/>
    <n v="213.55"/>
    <d v="2013-05-30T00:00:00"/>
    <n v="-213.55"/>
    <x v="0"/>
    <x v="1"/>
    <x v="32"/>
    <x v="11"/>
    <x v="28"/>
    <x v="8"/>
  </r>
  <r>
    <d v="2013-07-10T00:00:00"/>
    <m/>
    <m/>
    <x v="114"/>
    <n v="44.76"/>
    <d v="2013-05-29T00:00:00"/>
    <n v="-44.76"/>
    <x v="0"/>
    <x v="1"/>
    <x v="34"/>
    <x v="4"/>
    <x v="17"/>
    <x v="9"/>
  </r>
  <r>
    <d v="2013-07-10T00:00:00"/>
    <s v="130610-0900"/>
    <m/>
    <x v="104"/>
    <n v="350"/>
    <d v="2013-06-10T00:00:00"/>
    <n v="350"/>
    <x v="1"/>
    <x v="0"/>
    <x v="12"/>
    <x v="1"/>
    <x v="1"/>
    <x v="9"/>
  </r>
  <r>
    <d v="2013-07-10T00:00:00"/>
    <m/>
    <s v="REF. 05/2013"/>
    <x v="104"/>
    <n v="54.76"/>
    <d v="2013-07-18T00:00:00"/>
    <n v="-54.76"/>
    <x v="0"/>
    <x v="1"/>
    <x v="33"/>
    <x v="11"/>
    <x v="1"/>
    <x v="9"/>
  </r>
  <r>
    <d v="2013-07-10T00:00:00"/>
    <m/>
    <m/>
    <x v="104"/>
    <n v="20"/>
    <d v="2013-06-10T00:00:00"/>
    <n v="-20"/>
    <x v="0"/>
    <x v="1"/>
    <x v="15"/>
    <x v="6"/>
    <x v="1"/>
    <x v="9"/>
  </r>
  <r>
    <d v="2013-07-10T00:00:00"/>
    <m/>
    <m/>
    <x v="103"/>
    <n v="29.9"/>
    <d v="2013-06-17T00:00:00"/>
    <n v="-29.9"/>
    <x v="0"/>
    <x v="0"/>
    <x v="36"/>
    <x v="11"/>
    <x v="8"/>
    <x v="9"/>
  </r>
  <r>
    <d v="2013-07-10T00:00:00"/>
    <m/>
    <m/>
    <x v="103"/>
    <n v="14.4"/>
    <d v="2013-06-17T00:00:00"/>
    <n v="-14.4"/>
    <x v="0"/>
    <x v="0"/>
    <x v="36"/>
    <x v="11"/>
    <x v="8"/>
    <x v="9"/>
  </r>
  <r>
    <d v="2013-07-10T00:00:00"/>
    <m/>
    <m/>
    <x v="105"/>
    <n v="23.87"/>
    <d v="2013-06-18T00:00:00"/>
    <n v="-23.87"/>
    <x v="0"/>
    <x v="0"/>
    <x v="46"/>
    <x v="0"/>
    <x v="9"/>
    <x v="9"/>
  </r>
  <r>
    <d v="2013-07-10T00:00:00"/>
    <m/>
    <m/>
    <x v="106"/>
    <n v="13"/>
    <d v="2013-06-19T00:00:00"/>
    <n v="-13"/>
    <x v="0"/>
    <x v="0"/>
    <x v="42"/>
    <x v="7"/>
    <x v="30"/>
    <x v="9"/>
  </r>
  <r>
    <d v="2013-07-10T00:00:00"/>
    <s v="130620-0900"/>
    <m/>
    <x v="107"/>
    <n v="100"/>
    <d v="2013-06-20T00:00:00"/>
    <n v="100"/>
    <x v="1"/>
    <x v="0"/>
    <x v="25"/>
    <x v="1"/>
    <x v="10"/>
    <x v="9"/>
  </r>
  <r>
    <d v="2013-07-10T00:00:00"/>
    <s v="130620-0910"/>
    <s v="COMP. 06/2013"/>
    <x v="107"/>
    <n v="67.849999999999994"/>
    <d v="2013-06-20T00:00:00"/>
    <n v="67.849999999999994"/>
    <x v="1"/>
    <x v="0"/>
    <x v="24"/>
    <x v="1"/>
    <x v="10"/>
    <x v="9"/>
  </r>
  <r>
    <d v="2013-07-10T00:00:00"/>
    <s v="130620-0930"/>
    <s v="COMP. 06/2013"/>
    <x v="107"/>
    <n v="67.739999999999995"/>
    <d v="2013-06-20T00:00:00"/>
    <n v="67.739999999999995"/>
    <x v="1"/>
    <x v="0"/>
    <x v="23"/>
    <x v="1"/>
    <x v="10"/>
    <x v="9"/>
  </r>
  <r>
    <d v="2013-07-10T00:00:00"/>
    <s v="130620-0000"/>
    <m/>
    <x v="107"/>
    <n v="40"/>
    <d v="2013-12-11T00:00:00"/>
    <n v="40"/>
    <x v="1"/>
    <x v="0"/>
    <x v="26"/>
    <x v="1"/>
    <x v="10"/>
    <x v="9"/>
  </r>
  <r>
    <d v="2013-07-10T00:00:00"/>
    <s v="130720-0000"/>
    <m/>
    <x v="146"/>
    <n v="10"/>
    <d v="2014-03-06T00:00:00"/>
    <n v="10"/>
    <x v="1"/>
    <x v="0"/>
    <x v="26"/>
    <x v="1"/>
    <x v="10"/>
    <x v="10"/>
  </r>
  <r>
    <d v="2013-07-10T00:00:00"/>
    <m/>
    <m/>
    <x v="147"/>
    <n v="246.99"/>
    <d v="2013-08-02T00:00:00"/>
    <n v="-246.99"/>
    <x v="0"/>
    <x v="1"/>
    <x v="30"/>
    <x v="9"/>
    <x v="25"/>
    <x v="9"/>
  </r>
  <r>
    <d v="2013-07-10T00:00:00"/>
    <m/>
    <m/>
    <x v="147"/>
    <n v="59.9"/>
    <d v="2013-08-02T00:00:00"/>
    <n v="-59.9"/>
    <x v="0"/>
    <x v="1"/>
    <x v="28"/>
    <x v="9"/>
    <x v="25"/>
    <x v="9"/>
  </r>
  <r>
    <d v="2013-07-10T00:00:00"/>
    <m/>
    <m/>
    <x v="147"/>
    <n v="99"/>
    <d v="2013-07-03T00:00:00"/>
    <n v="-101.05"/>
    <x v="0"/>
    <x v="1"/>
    <x v="31"/>
    <x v="10"/>
    <x v="25"/>
    <x v="9"/>
  </r>
  <r>
    <d v="2013-07-10T00:00:00"/>
    <m/>
    <m/>
    <x v="147"/>
    <n v="82.05"/>
    <d v="2013-08-02T00:00:00"/>
    <n v="-82.05"/>
    <x v="0"/>
    <x v="1"/>
    <x v="29"/>
    <x v="9"/>
    <x v="25"/>
    <x v="9"/>
  </r>
  <r>
    <d v="2013-07-10T00:00:00"/>
    <s v="130628-1800"/>
    <m/>
    <x v="112"/>
    <n v="400"/>
    <d v="2013-06-28T00:00:00"/>
    <n v="400"/>
    <x v="1"/>
    <x v="0"/>
    <x v="47"/>
    <x v="1"/>
    <x v="15"/>
    <x v="9"/>
  </r>
  <r>
    <d v="2013-07-10T00:00:00"/>
    <m/>
    <m/>
    <x v="113"/>
    <n v="10"/>
    <d v="2013-06-29T00:00:00"/>
    <n v="10"/>
    <x v="1"/>
    <x v="0"/>
    <x v="37"/>
    <x v="1"/>
    <x v="27"/>
    <x v="9"/>
  </r>
  <r>
    <d v="2013-07-10T00:00:00"/>
    <m/>
    <m/>
    <x v="113"/>
    <n v="10"/>
    <d v="2013-06-29T00:00:00"/>
    <n v="10"/>
    <x v="1"/>
    <x v="0"/>
    <x v="37"/>
    <x v="1"/>
    <x v="27"/>
    <x v="9"/>
  </r>
  <r>
    <d v="2013-07-10T00:00:00"/>
    <m/>
    <m/>
    <x v="113"/>
    <n v="10"/>
    <d v="2013-06-29T00:00:00"/>
    <n v="10"/>
    <x v="1"/>
    <x v="0"/>
    <x v="37"/>
    <x v="1"/>
    <x v="27"/>
    <x v="9"/>
  </r>
  <r>
    <d v="2013-07-10T00:00:00"/>
    <m/>
    <m/>
    <x v="113"/>
    <n v="10"/>
    <d v="2013-06-29T00:00:00"/>
    <n v="10"/>
    <x v="1"/>
    <x v="0"/>
    <x v="37"/>
    <x v="1"/>
    <x v="27"/>
    <x v="9"/>
  </r>
  <r>
    <d v="2013-07-10T00:00:00"/>
    <m/>
    <m/>
    <x v="113"/>
    <n v="10"/>
    <d v="2013-06-29T00:00:00"/>
    <n v="10"/>
    <x v="1"/>
    <x v="0"/>
    <x v="37"/>
    <x v="1"/>
    <x v="27"/>
    <x v="9"/>
  </r>
  <r>
    <d v="2013-07-10T00:00:00"/>
    <m/>
    <m/>
    <x v="113"/>
    <n v="10"/>
    <d v="2013-06-29T00:00:00"/>
    <n v="10"/>
    <x v="1"/>
    <x v="0"/>
    <x v="37"/>
    <x v="1"/>
    <x v="27"/>
    <x v="9"/>
  </r>
  <r>
    <d v="2013-07-10T00:00:00"/>
    <s v="130506-1300"/>
    <m/>
    <x v="148"/>
    <n v="2000"/>
    <d v="2013-09-14T00:00:00"/>
    <n v="2000"/>
    <x v="1"/>
    <x v="0"/>
    <x v="44"/>
    <x v="1"/>
    <x v="0"/>
    <x v="20"/>
  </r>
  <r>
    <d v="2013-07-10T00:00:00"/>
    <m/>
    <m/>
    <x v="115"/>
    <n v="51.08"/>
    <d v="2013-07-18T00:00:00"/>
    <n v="-51.42"/>
    <x v="0"/>
    <x v="1"/>
    <x v="34"/>
    <x v="4"/>
    <x v="17"/>
    <x v="10"/>
  </r>
  <r>
    <d v="2013-07-10T00:00:00"/>
    <m/>
    <m/>
    <x v="149"/>
    <n v="49.9"/>
    <d v="2013-07-04T00:00:00"/>
    <n v="-49.9"/>
    <x v="0"/>
    <x v="1"/>
    <x v="48"/>
    <x v="10"/>
    <x v="6"/>
    <x v="10"/>
  </r>
  <r>
    <d v="2013-07-10T00:00:00"/>
    <m/>
    <m/>
    <x v="150"/>
    <n v="10.17"/>
    <d v="2013-07-05T00:00:00"/>
    <n v="-10.17"/>
    <x v="0"/>
    <x v="0"/>
    <x v="2"/>
    <x v="2"/>
    <x v="7"/>
    <x v="10"/>
  </r>
  <r>
    <d v="2013-07-10T00:00:00"/>
    <m/>
    <m/>
    <x v="151"/>
    <n v="108.66"/>
    <m/>
    <n v="-108.66"/>
    <x v="0"/>
    <x v="2"/>
    <x v="16"/>
    <x v="5"/>
    <x v="1"/>
    <x v="15"/>
  </r>
  <r>
    <d v="2013-07-10T00:00:00"/>
    <m/>
    <s v="REF. 06/2013"/>
    <x v="151"/>
    <n v="45.52"/>
    <d v="2013-07-18T00:00:00"/>
    <n v="-45.52"/>
    <x v="0"/>
    <x v="1"/>
    <x v="33"/>
    <x v="11"/>
    <x v="1"/>
    <x v="10"/>
  </r>
  <r>
    <d v="2013-07-10T00:00:00"/>
    <m/>
    <m/>
    <x v="151"/>
    <n v="20"/>
    <d v="2013-07-17T00:00:00"/>
    <n v="-21.45"/>
    <x v="0"/>
    <x v="1"/>
    <x v="15"/>
    <x v="6"/>
    <x v="1"/>
    <x v="10"/>
  </r>
  <r>
    <d v="2013-07-10T00:00:00"/>
    <m/>
    <m/>
    <x v="152"/>
    <n v="240"/>
    <d v="2013-07-18T00:00:00"/>
    <n v="-240"/>
    <x v="0"/>
    <x v="0"/>
    <x v="2"/>
    <x v="2"/>
    <x v="18"/>
    <x v="10"/>
  </r>
  <r>
    <d v="2013-07-10T00:00:00"/>
    <s v="130701-0900"/>
    <m/>
    <x v="153"/>
    <n v="180"/>
    <d v="2013-07-17T00:00:00"/>
    <n v="180"/>
    <x v="1"/>
    <x v="2"/>
    <x v="9"/>
    <x v="1"/>
    <x v="8"/>
    <x v="10"/>
  </r>
  <r>
    <d v="2013-07-10T00:00:00"/>
    <s v="130704-1300"/>
    <m/>
    <x v="153"/>
    <n v="650"/>
    <d v="2013-07-17T00:00:00"/>
    <n v="650"/>
    <x v="1"/>
    <x v="2"/>
    <x v="9"/>
    <x v="1"/>
    <x v="8"/>
    <x v="10"/>
  </r>
  <r>
    <d v="2013-07-10T00:00:00"/>
    <s v="130720-0900"/>
    <m/>
    <x v="146"/>
    <n v="100"/>
    <d v="2013-07-24T00:00:00"/>
    <n v="100"/>
    <x v="1"/>
    <x v="0"/>
    <x v="25"/>
    <x v="1"/>
    <x v="10"/>
    <x v="10"/>
  </r>
  <r>
    <d v="2013-07-10T00:00:00"/>
    <s v="130720-0910"/>
    <s v="COMP. 07/2013"/>
    <x v="146"/>
    <n v="67.849999999999994"/>
    <d v="2013-07-20T00:00:00"/>
    <n v="67.849999999999994"/>
    <x v="1"/>
    <x v="0"/>
    <x v="24"/>
    <x v="1"/>
    <x v="10"/>
    <x v="10"/>
  </r>
  <r>
    <d v="2013-07-10T00:00:00"/>
    <s v="130720-0930"/>
    <s v="COMP. 07/2013"/>
    <x v="146"/>
    <n v="67.739999999999995"/>
    <d v="2013-07-20T00:00:00"/>
    <n v="67.739999999999995"/>
    <x v="1"/>
    <x v="0"/>
    <x v="23"/>
    <x v="1"/>
    <x v="10"/>
    <x v="10"/>
  </r>
  <r>
    <d v="2013-07-10T00:00:00"/>
    <m/>
    <m/>
    <x v="154"/>
    <n v="0"/>
    <d v="2013-10-16T00:00:00"/>
    <n v="0"/>
    <x v="0"/>
    <x v="1"/>
    <x v="28"/>
    <x v="9"/>
    <x v="25"/>
    <x v="10"/>
  </r>
  <r>
    <d v="2013-07-10T00:00:00"/>
    <m/>
    <m/>
    <x v="154"/>
    <n v="0"/>
    <d v="2013-10-16T00:00:00"/>
    <n v="0"/>
    <x v="0"/>
    <x v="1"/>
    <x v="29"/>
    <x v="9"/>
    <x v="25"/>
    <x v="10"/>
  </r>
  <r>
    <d v="2013-07-10T00:00:00"/>
    <m/>
    <m/>
    <x v="154"/>
    <n v="119.6"/>
    <d v="2013-10-16T00:00:00"/>
    <n v="-119.6"/>
    <x v="0"/>
    <x v="1"/>
    <x v="30"/>
    <x v="9"/>
    <x v="25"/>
    <x v="10"/>
  </r>
  <r>
    <d v="2013-07-10T00:00:00"/>
    <m/>
    <m/>
    <x v="154"/>
    <n v="99"/>
    <d v="2013-07-25T00:00:00"/>
    <n v="-101.13"/>
    <x v="0"/>
    <x v="1"/>
    <x v="31"/>
    <x v="10"/>
    <x v="25"/>
    <x v="10"/>
  </r>
  <r>
    <d v="2013-07-10T00:00:00"/>
    <s v="130506-1300"/>
    <m/>
    <x v="155"/>
    <n v="2000"/>
    <m/>
    <n v="0"/>
    <x v="1"/>
    <x v="0"/>
    <x v="44"/>
    <x v="1"/>
    <x v="10"/>
    <x v="15"/>
  </r>
  <r>
    <d v="2013-07-10T00:00:00"/>
    <s v="130506-1300"/>
    <m/>
    <x v="155"/>
    <n v="660"/>
    <m/>
    <n v="-1700"/>
    <x v="0"/>
    <x v="0"/>
    <x v="45"/>
    <x v="12"/>
    <x v="10"/>
    <x v="15"/>
  </r>
  <r>
    <d v="2013-07-10T00:00:00"/>
    <m/>
    <m/>
    <x v="156"/>
    <n v="51.08"/>
    <d v="2013-08-02T00:00:00"/>
    <n v="-51.1"/>
    <x v="0"/>
    <x v="1"/>
    <x v="34"/>
    <x v="4"/>
    <x v="17"/>
    <x v="21"/>
  </r>
  <r>
    <d v="2013-07-10T00:00:00"/>
    <m/>
    <m/>
    <x v="156"/>
    <n v="49.9"/>
    <d v="2013-08-02T00:00:00"/>
    <n v="-49.9"/>
    <x v="0"/>
    <x v="1"/>
    <x v="48"/>
    <x v="10"/>
    <x v="17"/>
    <x v="21"/>
  </r>
  <r>
    <d v="2013-07-10T00:00:00"/>
    <m/>
    <s v="REF. 07/2013"/>
    <x v="157"/>
    <n v="61.66"/>
    <d v="2013-08-02T00:00:00"/>
    <n v="-61.66"/>
    <x v="0"/>
    <x v="1"/>
    <x v="33"/>
    <x v="11"/>
    <x v="1"/>
    <x v="21"/>
  </r>
  <r>
    <d v="2013-07-10T00:00:00"/>
    <m/>
    <s v="15/60"/>
    <x v="157"/>
    <n v="20"/>
    <d v="2013-08-19T00:00:00"/>
    <n v="-21.45"/>
    <x v="0"/>
    <x v="1"/>
    <x v="15"/>
    <x v="6"/>
    <x v="1"/>
    <x v="21"/>
  </r>
  <r>
    <d v="2013-07-10T00:00:00"/>
    <s v="130820-0000"/>
    <m/>
    <x v="158"/>
    <n v="10"/>
    <d v="2014-03-06T00:00:00"/>
    <n v="10"/>
    <x v="1"/>
    <x v="0"/>
    <x v="26"/>
    <x v="1"/>
    <x v="10"/>
    <x v="21"/>
  </r>
  <r>
    <d v="2013-07-10T00:00:00"/>
    <s v="130820-0900"/>
    <m/>
    <x v="158"/>
    <n v="100"/>
    <d v="2013-08-22T00:00:00"/>
    <n v="100"/>
    <x v="1"/>
    <x v="0"/>
    <x v="25"/>
    <x v="1"/>
    <x v="10"/>
    <x v="21"/>
  </r>
  <r>
    <d v="2013-07-10T00:00:00"/>
    <s v="130820-0910"/>
    <s v="COMP. 08/2013"/>
    <x v="158"/>
    <n v="67.849999999999994"/>
    <d v="2013-08-22T00:00:00"/>
    <n v="67.849999999999994"/>
    <x v="1"/>
    <x v="0"/>
    <x v="24"/>
    <x v="1"/>
    <x v="10"/>
    <x v="21"/>
  </r>
  <r>
    <d v="2013-07-10T00:00:00"/>
    <s v="130820-0930"/>
    <s v="COMP. 08/2013"/>
    <x v="158"/>
    <n v="67.739999999999995"/>
    <d v="2013-08-22T00:00:00"/>
    <n v="67.739999999999995"/>
    <x v="1"/>
    <x v="0"/>
    <x v="23"/>
    <x v="1"/>
    <x v="10"/>
    <x v="21"/>
  </r>
  <r>
    <d v="2013-07-10T00:00:00"/>
    <m/>
    <m/>
    <x v="159"/>
    <n v="154.71"/>
    <d v="2013-09-14T00:00:00"/>
    <n v="-154.71"/>
    <x v="0"/>
    <x v="1"/>
    <x v="30"/>
    <x v="9"/>
    <x v="25"/>
    <x v="21"/>
  </r>
  <r>
    <d v="2013-07-10T00:00:00"/>
    <m/>
    <m/>
    <x v="159"/>
    <n v="59.89"/>
    <d v="2013-09-14T00:00:00"/>
    <n v="-59.89"/>
    <x v="0"/>
    <x v="1"/>
    <x v="28"/>
    <x v="9"/>
    <x v="25"/>
    <x v="21"/>
  </r>
  <r>
    <d v="2013-07-10T00:00:00"/>
    <m/>
    <m/>
    <x v="159"/>
    <n v="82.05"/>
    <d v="2013-09-14T00:00:00"/>
    <n v="-82.05"/>
    <x v="0"/>
    <x v="1"/>
    <x v="29"/>
    <x v="9"/>
    <x v="25"/>
    <x v="21"/>
  </r>
  <r>
    <d v="2013-07-10T00:00:00"/>
    <m/>
    <m/>
    <x v="160"/>
    <n v="2500"/>
    <m/>
    <n v="-2500"/>
    <x v="0"/>
    <x v="0"/>
    <x v="49"/>
    <x v="13"/>
    <x v="17"/>
    <x v="15"/>
  </r>
  <r>
    <d v="2013-07-10T00:00:00"/>
    <s v="VANESSA"/>
    <m/>
    <x v="160"/>
    <n v="1000"/>
    <m/>
    <n v="-1000"/>
    <x v="0"/>
    <x v="0"/>
    <x v="50"/>
    <x v="13"/>
    <x v="17"/>
    <x v="15"/>
  </r>
  <r>
    <d v="2013-07-10T00:00:00"/>
    <m/>
    <m/>
    <x v="161"/>
    <n v="49.9"/>
    <d v="2013-08-24T00:00:00"/>
    <n v="-50.92"/>
    <x v="0"/>
    <x v="1"/>
    <x v="48"/>
    <x v="10"/>
    <x v="17"/>
    <x v="20"/>
  </r>
  <r>
    <d v="2013-07-10T00:00:00"/>
    <m/>
    <m/>
    <x v="161"/>
    <n v="51.08"/>
    <d v="2013-08-24T00:00:00"/>
    <n v="-51.08"/>
    <x v="0"/>
    <x v="1"/>
    <x v="34"/>
    <x v="4"/>
    <x v="17"/>
    <x v="20"/>
  </r>
  <r>
    <d v="2013-07-10T00:00:00"/>
    <m/>
    <s v="16/60"/>
    <x v="162"/>
    <n v="20"/>
    <d v="2013-09-16T00:00:00"/>
    <n v="-21.49"/>
    <x v="0"/>
    <x v="1"/>
    <x v="15"/>
    <x v="6"/>
    <x v="1"/>
    <x v="20"/>
  </r>
  <r>
    <d v="2013-07-10T00:00:00"/>
    <m/>
    <s v="REF. 08/2013"/>
    <x v="162"/>
    <n v="78.67"/>
    <d v="2013-09-14T00:00:00"/>
    <n v="-78.67"/>
    <x v="0"/>
    <x v="1"/>
    <x v="33"/>
    <x v="11"/>
    <x v="1"/>
    <x v="20"/>
  </r>
  <r>
    <d v="2013-07-10T00:00:00"/>
    <s v="130920-0930"/>
    <s v="COMP. 09/2013"/>
    <x v="163"/>
    <n v="67.739999999999995"/>
    <d v="2013-09-20T00:00:00"/>
    <n v="67.739999999999995"/>
    <x v="1"/>
    <x v="0"/>
    <x v="23"/>
    <x v="1"/>
    <x v="10"/>
    <x v="20"/>
  </r>
  <r>
    <d v="2013-07-10T00:00:00"/>
    <s v="130920-0910"/>
    <s v="COMP. 09/2013"/>
    <x v="163"/>
    <n v="67.849999999999994"/>
    <d v="2013-09-20T00:00:00"/>
    <n v="67.849999999999994"/>
    <x v="1"/>
    <x v="0"/>
    <x v="24"/>
    <x v="1"/>
    <x v="10"/>
    <x v="20"/>
  </r>
  <r>
    <d v="2013-07-10T00:00:00"/>
    <s v="130920-0900"/>
    <m/>
    <x v="163"/>
    <n v="100"/>
    <d v="2013-08-22T00:00:00"/>
    <n v="100"/>
    <x v="1"/>
    <x v="0"/>
    <x v="25"/>
    <x v="1"/>
    <x v="10"/>
    <x v="20"/>
  </r>
  <r>
    <d v="2013-07-10T00:00:00"/>
    <s v="130920-0000"/>
    <m/>
    <x v="163"/>
    <n v="10"/>
    <d v="2014-03-06T00:00:00"/>
    <n v="10"/>
    <x v="1"/>
    <x v="0"/>
    <x v="26"/>
    <x v="1"/>
    <x v="10"/>
    <x v="20"/>
  </r>
  <r>
    <d v="2013-07-10T00:00:00"/>
    <m/>
    <m/>
    <x v="164"/>
    <n v="59.9"/>
    <d v="2013-10-16T00:00:00"/>
    <n v="-59.9"/>
    <x v="0"/>
    <x v="1"/>
    <x v="28"/>
    <x v="9"/>
    <x v="25"/>
    <x v="20"/>
  </r>
  <r>
    <d v="2013-07-10T00:00:00"/>
    <m/>
    <m/>
    <x v="164"/>
    <n v="64.180000000000007"/>
    <d v="2013-10-16T00:00:00"/>
    <n v="-64.180000000000007"/>
    <x v="0"/>
    <x v="1"/>
    <x v="29"/>
    <x v="9"/>
    <x v="25"/>
    <x v="20"/>
  </r>
  <r>
    <d v="2013-07-10T00:00:00"/>
    <m/>
    <m/>
    <x v="164"/>
    <n v="245.69"/>
    <d v="2013-10-16T00:00:00"/>
    <n v="-245.69"/>
    <x v="0"/>
    <x v="1"/>
    <x v="30"/>
    <x v="9"/>
    <x v="25"/>
    <x v="20"/>
  </r>
  <r>
    <d v="2013-07-10T00:00:00"/>
    <s v="VANESSA"/>
    <m/>
    <x v="160"/>
    <n v="1000"/>
    <m/>
    <n v="-1000"/>
    <x v="0"/>
    <x v="0"/>
    <x v="50"/>
    <x v="13"/>
    <x v="17"/>
    <x v="15"/>
  </r>
  <r>
    <d v="2013-07-10T00:00:00"/>
    <m/>
    <m/>
    <x v="165"/>
    <n v="49.9"/>
    <d v="2013-09-25T00:00:00"/>
    <n v="-49.9"/>
    <x v="0"/>
    <x v="1"/>
    <x v="48"/>
    <x v="10"/>
    <x v="17"/>
    <x v="22"/>
  </r>
  <r>
    <d v="2013-07-10T00:00:00"/>
    <m/>
    <m/>
    <x v="165"/>
    <n v="51.08"/>
    <d v="2013-10-01T00:00:00"/>
    <n v="-51.08"/>
    <x v="0"/>
    <x v="1"/>
    <x v="34"/>
    <x v="4"/>
    <x v="17"/>
    <x v="22"/>
  </r>
  <r>
    <d v="2013-07-10T00:00:00"/>
    <m/>
    <s v="17/60"/>
    <x v="166"/>
    <n v="20"/>
    <d v="2013-10-10T00:00:00"/>
    <n v="-21.45"/>
    <x v="0"/>
    <x v="1"/>
    <x v="15"/>
    <x v="6"/>
    <x v="1"/>
    <x v="22"/>
  </r>
  <r>
    <d v="2013-07-10T00:00:00"/>
    <m/>
    <s v="REF. 09/2013"/>
    <x v="166"/>
    <n v="79.540000000000006"/>
    <d v="2013-10-10T00:00:00"/>
    <n v="-79.540000000000006"/>
    <x v="0"/>
    <x v="1"/>
    <x v="33"/>
    <x v="11"/>
    <x v="1"/>
    <x v="22"/>
  </r>
  <r>
    <d v="2013-07-10T00:00:00"/>
    <m/>
    <m/>
    <x v="166"/>
    <n v="511.44"/>
    <d v="2013-10-31T00:00:00"/>
    <n v="-511.44"/>
    <x v="0"/>
    <x v="0"/>
    <x v="43"/>
    <x v="11"/>
    <x v="1"/>
    <x v="22"/>
  </r>
  <r>
    <d v="2013-07-10T00:00:00"/>
    <s v="131020-0930"/>
    <s v="COMP. 10/2013"/>
    <x v="167"/>
    <n v="67.739999999999995"/>
    <d v="2013-11-05T00:00:00"/>
    <n v="71.069999999999993"/>
    <x v="1"/>
    <x v="0"/>
    <x v="23"/>
    <x v="1"/>
    <x v="7"/>
    <x v="23"/>
  </r>
  <r>
    <d v="2013-07-10T00:00:00"/>
    <s v="131020-0910 "/>
    <s v="COMP. 10/2013"/>
    <x v="168"/>
    <n v="67.849999999999994"/>
    <d v="2013-10-20T00:00:00"/>
    <n v="67.849999999999994"/>
    <x v="1"/>
    <x v="0"/>
    <x v="24"/>
    <x v="1"/>
    <x v="10"/>
    <x v="22"/>
  </r>
  <r>
    <d v="2013-07-10T00:00:00"/>
    <s v="131020-0900"/>
    <m/>
    <x v="168"/>
    <n v="100"/>
    <d v="2013-10-20T00:00:00"/>
    <n v="100"/>
    <x v="1"/>
    <x v="0"/>
    <x v="25"/>
    <x v="1"/>
    <x v="10"/>
    <x v="22"/>
  </r>
  <r>
    <d v="2013-07-10T00:00:00"/>
    <s v="131020-0000"/>
    <m/>
    <x v="168"/>
    <n v="10"/>
    <d v="2014-03-06T00:00:00"/>
    <n v="10"/>
    <x v="1"/>
    <x v="0"/>
    <x v="26"/>
    <x v="1"/>
    <x v="10"/>
    <x v="22"/>
  </r>
  <r>
    <d v="2013-07-10T00:00:00"/>
    <m/>
    <m/>
    <x v="169"/>
    <n v="59.9"/>
    <d v="2013-10-25T00:00:00"/>
    <n v="-59.9"/>
    <x v="0"/>
    <x v="1"/>
    <x v="28"/>
    <x v="9"/>
    <x v="25"/>
    <x v="22"/>
  </r>
  <r>
    <d v="2013-07-10T00:00:00"/>
    <m/>
    <m/>
    <x v="169"/>
    <n v="82.05"/>
    <d v="2013-10-25T00:00:00"/>
    <n v="-82.05"/>
    <x v="0"/>
    <x v="1"/>
    <x v="29"/>
    <x v="9"/>
    <x v="25"/>
    <x v="22"/>
  </r>
  <r>
    <d v="2013-07-10T00:00:00"/>
    <m/>
    <m/>
    <x v="169"/>
    <n v="215"/>
    <d v="2013-10-25T00:00:00"/>
    <n v="-215"/>
    <x v="0"/>
    <x v="1"/>
    <x v="30"/>
    <x v="9"/>
    <x v="25"/>
    <x v="22"/>
  </r>
  <r>
    <d v="2013-07-10T00:00:00"/>
    <s v="VANESSA"/>
    <m/>
    <x v="160"/>
    <n v="1000"/>
    <m/>
    <n v="-1000"/>
    <x v="0"/>
    <x v="0"/>
    <x v="50"/>
    <x v="13"/>
    <x v="17"/>
    <x v="15"/>
  </r>
  <r>
    <d v="2013-07-10T00:00:00"/>
    <m/>
    <m/>
    <x v="170"/>
    <n v="49.9"/>
    <d v="2013-10-31T00:00:00"/>
    <n v="-49.9"/>
    <x v="0"/>
    <x v="1"/>
    <x v="48"/>
    <x v="10"/>
    <x v="17"/>
    <x v="23"/>
  </r>
  <r>
    <d v="2013-07-10T00:00:00"/>
    <m/>
    <m/>
    <x v="170"/>
    <n v="51.08"/>
    <d v="2013-11-06T00:00:00"/>
    <n v="-56.19"/>
    <x v="0"/>
    <x v="1"/>
    <x v="34"/>
    <x v="4"/>
    <x v="17"/>
    <x v="23"/>
  </r>
  <r>
    <d v="2013-07-10T00:00:00"/>
    <m/>
    <s v="18/60"/>
    <x v="171"/>
    <n v="20"/>
    <d v="2013-11-11T00:00:00"/>
    <n v="-21.45"/>
    <x v="0"/>
    <x v="1"/>
    <x v="15"/>
    <x v="6"/>
    <x v="1"/>
    <x v="23"/>
  </r>
  <r>
    <d v="2013-07-10T00:00:00"/>
    <m/>
    <s v="REF. 10/2013"/>
    <x v="171"/>
    <n v="79.98"/>
    <d v="2013-12-19T00:00:00"/>
    <n v="-79.98"/>
    <x v="0"/>
    <x v="1"/>
    <x v="33"/>
    <x v="11"/>
    <x v="1"/>
    <x v="23"/>
  </r>
  <r>
    <d v="2013-07-10T00:00:00"/>
    <s v="131120-0930"/>
    <s v="COMP. 11/2013"/>
    <x v="155"/>
    <n v="87.14"/>
    <d v="2013-11-20T00:00:00"/>
    <n v="87.14"/>
    <x v="1"/>
    <x v="0"/>
    <x v="23"/>
    <x v="1"/>
    <x v="10"/>
    <x v="23"/>
  </r>
  <r>
    <d v="2013-07-10T00:00:00"/>
    <s v="131120-0910"/>
    <s v="COMP. 11/2013"/>
    <x v="155"/>
    <n v="67.849999999999994"/>
    <d v="2013-11-20T00:00:00"/>
    <n v="67.849999999999994"/>
    <x v="1"/>
    <x v="0"/>
    <x v="24"/>
    <x v="1"/>
    <x v="10"/>
    <x v="23"/>
  </r>
  <r>
    <d v="2013-07-10T00:00:00"/>
    <s v="131120-0900"/>
    <m/>
    <x v="155"/>
    <n v="100"/>
    <d v="2013-11-20T00:00:00"/>
    <n v="100"/>
    <x v="1"/>
    <x v="0"/>
    <x v="25"/>
    <x v="1"/>
    <x v="10"/>
    <x v="23"/>
  </r>
  <r>
    <d v="2013-07-10T00:00:00"/>
    <s v="131120-0000"/>
    <m/>
    <x v="155"/>
    <n v="10"/>
    <d v="2014-03-06T00:00:00"/>
    <n v="10"/>
    <x v="1"/>
    <x v="0"/>
    <x v="26"/>
    <x v="1"/>
    <x v="10"/>
    <x v="23"/>
  </r>
  <r>
    <d v="2013-07-10T00:00:00"/>
    <m/>
    <m/>
    <x v="172"/>
    <n v="64.900000000000006"/>
    <d v="2013-12-16T00:00:00"/>
    <n v="-64.900000000000006"/>
    <x v="0"/>
    <x v="1"/>
    <x v="28"/>
    <x v="9"/>
    <x v="25"/>
    <x v="23"/>
  </r>
  <r>
    <d v="2013-07-10T00:00:00"/>
    <m/>
    <m/>
    <x v="172"/>
    <n v="63.9"/>
    <d v="2013-12-16T00:00:00"/>
    <n v="-63.9"/>
    <x v="0"/>
    <x v="1"/>
    <x v="29"/>
    <x v="9"/>
    <x v="25"/>
    <x v="23"/>
  </r>
  <r>
    <d v="2013-07-10T00:00:00"/>
    <m/>
    <m/>
    <x v="172"/>
    <n v="246.33"/>
    <d v="2013-12-16T00:00:00"/>
    <n v="-246.33"/>
    <x v="0"/>
    <x v="1"/>
    <x v="30"/>
    <x v="9"/>
    <x v="25"/>
    <x v="23"/>
  </r>
  <r>
    <d v="2013-07-10T00:00:00"/>
    <s v="VANESSA"/>
    <m/>
    <x v="160"/>
    <n v="1000"/>
    <m/>
    <n v="-1000"/>
    <x v="0"/>
    <x v="0"/>
    <x v="50"/>
    <x v="13"/>
    <x v="17"/>
    <x v="15"/>
  </r>
  <r>
    <d v="2013-07-10T00:00:00"/>
    <m/>
    <m/>
    <x v="173"/>
    <n v="49.9"/>
    <d v="2013-12-02T00:00:00"/>
    <n v="-49.9"/>
    <x v="0"/>
    <x v="1"/>
    <x v="48"/>
    <x v="10"/>
    <x v="17"/>
    <x v="24"/>
  </r>
  <r>
    <d v="2013-07-10T00:00:00"/>
    <m/>
    <s v="REF. 12/2013"/>
    <x v="173"/>
    <n v="51.08"/>
    <d v="2013-12-20T00:00:00"/>
    <n v="-51.46"/>
    <x v="0"/>
    <x v="1"/>
    <x v="34"/>
    <x v="4"/>
    <x v="17"/>
    <x v="24"/>
  </r>
  <r>
    <d v="2013-07-10T00:00:00"/>
    <m/>
    <m/>
    <x v="174"/>
    <n v="7.44"/>
    <d v="2013-12-11T00:00:00"/>
    <n v="-7.44"/>
    <x v="0"/>
    <x v="1"/>
    <x v="51"/>
    <x v="3"/>
    <x v="1"/>
    <x v="24"/>
  </r>
  <r>
    <d v="2013-07-10T00:00:00"/>
    <m/>
    <s v="19/60"/>
    <x v="174"/>
    <n v="21.46"/>
    <d v="2013-12-11T00:00:00"/>
    <n v="-21.46"/>
    <x v="0"/>
    <x v="1"/>
    <x v="15"/>
    <x v="6"/>
    <x v="1"/>
    <x v="24"/>
  </r>
  <r>
    <d v="2013-07-10T00:00:00"/>
    <m/>
    <m/>
    <x v="175"/>
    <n v="55.38"/>
    <m/>
    <n v="-55.38"/>
    <x v="0"/>
    <x v="1"/>
    <x v="29"/>
    <x v="9"/>
    <x v="1"/>
    <x v="15"/>
  </r>
  <r>
    <d v="2013-07-10T00:00:00"/>
    <m/>
    <m/>
    <x v="175"/>
    <n v="155.28"/>
    <m/>
    <n v="-155.28"/>
    <x v="0"/>
    <x v="1"/>
    <x v="30"/>
    <x v="9"/>
    <x v="1"/>
    <x v="15"/>
  </r>
  <r>
    <d v="2013-07-10T00:00:00"/>
    <s v="VANESSA"/>
    <m/>
    <x v="160"/>
    <n v="1000"/>
    <m/>
    <n v="-1000"/>
    <x v="0"/>
    <x v="0"/>
    <x v="50"/>
    <x v="13"/>
    <x v="17"/>
    <x v="15"/>
  </r>
  <r>
    <d v="2013-07-10T00:00:00"/>
    <m/>
    <s v="20/60"/>
    <x v="175"/>
    <n v="20"/>
    <d v="2014-01-10T00:00:00"/>
    <n v="-21.46"/>
    <x v="0"/>
    <x v="1"/>
    <x v="15"/>
    <x v="6"/>
    <x v="1"/>
    <x v="25"/>
  </r>
  <r>
    <d v="2013-07-10T00:00:00"/>
    <m/>
    <m/>
    <x v="176"/>
    <n v="30"/>
    <d v="2014-02-10T00:00:00"/>
    <n v="-30"/>
    <x v="0"/>
    <x v="1"/>
    <x v="35"/>
    <x v="10"/>
    <x v="17"/>
    <x v="26"/>
  </r>
  <r>
    <d v="2013-07-10T00:00:00"/>
    <m/>
    <s v="21/60"/>
    <x v="177"/>
    <n v="20"/>
    <d v="2014-02-10T00:00:00"/>
    <n v="-21.46"/>
    <x v="0"/>
    <x v="1"/>
    <x v="15"/>
    <x v="6"/>
    <x v="1"/>
    <x v="26"/>
  </r>
  <r>
    <d v="2013-07-10T00:00:00"/>
    <m/>
    <m/>
    <x v="178"/>
    <n v="20"/>
    <m/>
    <n v="-21.46"/>
    <x v="0"/>
    <x v="1"/>
    <x v="15"/>
    <x v="6"/>
    <x v="1"/>
    <x v="15"/>
  </r>
  <r>
    <d v="2013-07-10T00:00:00"/>
    <m/>
    <m/>
    <x v="179"/>
    <n v="20"/>
    <m/>
    <n v="-21.46"/>
    <x v="0"/>
    <x v="1"/>
    <x v="15"/>
    <x v="6"/>
    <x v="1"/>
    <x v="15"/>
  </r>
  <r>
    <d v="2013-07-10T00:00:00"/>
    <m/>
    <m/>
    <x v="180"/>
    <n v="20"/>
    <m/>
    <n v="-21.46"/>
    <x v="0"/>
    <x v="1"/>
    <x v="15"/>
    <x v="6"/>
    <x v="1"/>
    <x v="15"/>
  </r>
  <r>
    <d v="2013-07-10T00:00:00"/>
    <m/>
    <m/>
    <x v="181"/>
    <n v="20"/>
    <m/>
    <n v="-21.46"/>
    <x v="0"/>
    <x v="1"/>
    <x v="15"/>
    <x v="6"/>
    <x v="1"/>
    <x v="15"/>
  </r>
  <r>
    <d v="2013-07-10T00:00:00"/>
    <m/>
    <m/>
    <x v="182"/>
    <n v="20"/>
    <m/>
    <n v="-21.46"/>
    <x v="0"/>
    <x v="1"/>
    <x v="15"/>
    <x v="6"/>
    <x v="1"/>
    <x v="15"/>
  </r>
  <r>
    <d v="2013-07-10T00:00:00"/>
    <m/>
    <m/>
    <x v="183"/>
    <n v="20"/>
    <m/>
    <n v="-21.46"/>
    <x v="0"/>
    <x v="1"/>
    <x v="15"/>
    <x v="6"/>
    <x v="1"/>
    <x v="15"/>
  </r>
  <r>
    <d v="2013-07-10T00:00:00"/>
    <m/>
    <m/>
    <x v="184"/>
    <n v="20"/>
    <m/>
    <n v="-21.46"/>
    <x v="0"/>
    <x v="1"/>
    <x v="15"/>
    <x v="6"/>
    <x v="1"/>
    <x v="15"/>
  </r>
  <r>
    <d v="2013-07-10T00:00:00"/>
    <m/>
    <m/>
    <x v="185"/>
    <n v="20"/>
    <m/>
    <n v="-21.46"/>
    <x v="0"/>
    <x v="1"/>
    <x v="15"/>
    <x v="6"/>
    <x v="1"/>
    <x v="15"/>
  </r>
  <r>
    <d v="2013-07-10T00:00:00"/>
    <m/>
    <m/>
    <x v="186"/>
    <n v="20"/>
    <m/>
    <n v="-21.46"/>
    <x v="0"/>
    <x v="1"/>
    <x v="15"/>
    <x v="6"/>
    <x v="1"/>
    <x v="15"/>
  </r>
  <r>
    <d v="2013-07-10T00:00:00"/>
    <m/>
    <m/>
    <x v="187"/>
    <n v="20"/>
    <m/>
    <n v="-21.46"/>
    <x v="0"/>
    <x v="1"/>
    <x v="15"/>
    <x v="6"/>
    <x v="1"/>
    <x v="15"/>
  </r>
  <r>
    <d v="2013-07-10T00:00:00"/>
    <m/>
    <m/>
    <x v="188"/>
    <n v="20"/>
    <m/>
    <n v="-21.46"/>
    <x v="0"/>
    <x v="1"/>
    <x v="15"/>
    <x v="6"/>
    <x v="1"/>
    <x v="15"/>
  </r>
  <r>
    <d v="2013-07-10T00:00:00"/>
    <m/>
    <m/>
    <x v="189"/>
    <n v="20"/>
    <m/>
    <n v="-21.46"/>
    <x v="0"/>
    <x v="1"/>
    <x v="15"/>
    <x v="6"/>
    <x v="1"/>
    <x v="15"/>
  </r>
  <r>
    <d v="2013-07-10T00:00:00"/>
    <m/>
    <m/>
    <x v="190"/>
    <n v="20"/>
    <m/>
    <n v="-21.46"/>
    <x v="0"/>
    <x v="1"/>
    <x v="15"/>
    <x v="6"/>
    <x v="1"/>
    <x v="15"/>
  </r>
  <r>
    <d v="2013-07-10T00:00:00"/>
    <m/>
    <m/>
    <x v="191"/>
    <n v="20"/>
    <m/>
    <n v="-21.46"/>
    <x v="0"/>
    <x v="1"/>
    <x v="15"/>
    <x v="6"/>
    <x v="1"/>
    <x v="15"/>
  </r>
  <r>
    <d v="2013-07-10T00:00:00"/>
    <m/>
    <m/>
    <x v="192"/>
    <n v="20"/>
    <m/>
    <n v="-21.46"/>
    <x v="0"/>
    <x v="1"/>
    <x v="15"/>
    <x v="6"/>
    <x v="1"/>
    <x v="15"/>
  </r>
  <r>
    <d v="2013-07-10T00:00:00"/>
    <m/>
    <m/>
    <x v="193"/>
    <n v="20"/>
    <m/>
    <n v="-21.46"/>
    <x v="0"/>
    <x v="1"/>
    <x v="15"/>
    <x v="6"/>
    <x v="1"/>
    <x v="15"/>
  </r>
  <r>
    <d v="2013-07-10T00:00:00"/>
    <m/>
    <m/>
    <x v="194"/>
    <n v="20"/>
    <m/>
    <n v="-21.46"/>
    <x v="0"/>
    <x v="1"/>
    <x v="15"/>
    <x v="6"/>
    <x v="1"/>
    <x v="15"/>
  </r>
  <r>
    <d v="2013-07-10T00:00:00"/>
    <m/>
    <m/>
    <x v="195"/>
    <n v="20"/>
    <m/>
    <n v="-21.46"/>
    <x v="0"/>
    <x v="1"/>
    <x v="15"/>
    <x v="6"/>
    <x v="1"/>
    <x v="27"/>
  </r>
  <r>
    <d v="2013-07-10T00:00:00"/>
    <m/>
    <m/>
    <x v="196"/>
    <n v="20"/>
    <m/>
    <n v="-21.46"/>
    <x v="0"/>
    <x v="1"/>
    <x v="15"/>
    <x v="6"/>
    <x v="1"/>
    <x v="28"/>
  </r>
  <r>
    <d v="2013-07-10T00:00:00"/>
    <m/>
    <m/>
    <x v="197"/>
    <n v="20"/>
    <m/>
    <n v="-21.46"/>
    <x v="0"/>
    <x v="1"/>
    <x v="15"/>
    <x v="6"/>
    <x v="1"/>
    <x v="29"/>
  </r>
  <r>
    <d v="2013-07-10T00:00:00"/>
    <m/>
    <m/>
    <x v="198"/>
    <n v="20"/>
    <m/>
    <n v="-21.46"/>
    <x v="0"/>
    <x v="1"/>
    <x v="15"/>
    <x v="6"/>
    <x v="1"/>
    <x v="30"/>
  </r>
  <r>
    <d v="2013-07-10T00:00:00"/>
    <m/>
    <m/>
    <x v="199"/>
    <n v="20"/>
    <m/>
    <n v="-21.46"/>
    <x v="0"/>
    <x v="1"/>
    <x v="15"/>
    <x v="6"/>
    <x v="1"/>
    <x v="31"/>
  </r>
  <r>
    <d v="2013-07-10T00:00:00"/>
    <m/>
    <m/>
    <x v="200"/>
    <n v="20"/>
    <m/>
    <n v="-21.46"/>
    <x v="0"/>
    <x v="1"/>
    <x v="15"/>
    <x v="6"/>
    <x v="1"/>
    <x v="32"/>
  </r>
  <r>
    <d v="2013-07-10T00:00:00"/>
    <m/>
    <m/>
    <x v="201"/>
    <n v="20"/>
    <m/>
    <n v="-21.46"/>
    <x v="0"/>
    <x v="1"/>
    <x v="15"/>
    <x v="6"/>
    <x v="1"/>
    <x v="33"/>
  </r>
  <r>
    <d v="2013-07-10T00:00:00"/>
    <m/>
    <m/>
    <x v="202"/>
    <n v="20"/>
    <m/>
    <n v="-21.46"/>
    <x v="0"/>
    <x v="1"/>
    <x v="15"/>
    <x v="6"/>
    <x v="1"/>
    <x v="34"/>
  </r>
  <r>
    <d v="2013-07-10T00:00:00"/>
    <m/>
    <m/>
    <x v="203"/>
    <n v="20"/>
    <m/>
    <n v="-21.46"/>
    <x v="0"/>
    <x v="1"/>
    <x v="15"/>
    <x v="6"/>
    <x v="1"/>
    <x v="35"/>
  </r>
  <r>
    <d v="2013-07-10T00:00:00"/>
    <m/>
    <m/>
    <x v="204"/>
    <n v="20"/>
    <m/>
    <n v="-21.46"/>
    <x v="0"/>
    <x v="1"/>
    <x v="15"/>
    <x v="6"/>
    <x v="1"/>
    <x v="36"/>
  </r>
  <r>
    <d v="2013-07-10T00:00:00"/>
    <m/>
    <m/>
    <x v="205"/>
    <n v="20"/>
    <m/>
    <n v="-21.46"/>
    <x v="0"/>
    <x v="1"/>
    <x v="15"/>
    <x v="6"/>
    <x v="1"/>
    <x v="37"/>
  </r>
  <r>
    <d v="2013-07-10T00:00:00"/>
    <m/>
    <m/>
    <x v="206"/>
    <n v="20"/>
    <m/>
    <n v="-21.46"/>
    <x v="0"/>
    <x v="1"/>
    <x v="15"/>
    <x v="6"/>
    <x v="1"/>
    <x v="38"/>
  </r>
  <r>
    <d v="2013-07-10T00:00:00"/>
    <m/>
    <m/>
    <x v="207"/>
    <n v="20"/>
    <m/>
    <n v="-21.46"/>
    <x v="0"/>
    <x v="1"/>
    <x v="15"/>
    <x v="6"/>
    <x v="1"/>
    <x v="39"/>
  </r>
  <r>
    <d v="2013-07-10T00:00:00"/>
    <m/>
    <m/>
    <x v="208"/>
    <n v="20"/>
    <m/>
    <n v="-21.46"/>
    <x v="0"/>
    <x v="1"/>
    <x v="15"/>
    <x v="6"/>
    <x v="1"/>
    <x v="40"/>
  </r>
  <r>
    <d v="2013-07-10T00:00:00"/>
    <m/>
    <m/>
    <x v="209"/>
    <n v="20"/>
    <m/>
    <n v="-21.46"/>
    <x v="0"/>
    <x v="1"/>
    <x v="15"/>
    <x v="6"/>
    <x v="1"/>
    <x v="41"/>
  </r>
  <r>
    <d v="2013-07-10T00:00:00"/>
    <m/>
    <m/>
    <x v="210"/>
    <n v="20"/>
    <m/>
    <n v="-21.46"/>
    <x v="0"/>
    <x v="1"/>
    <x v="15"/>
    <x v="6"/>
    <x v="1"/>
    <x v="42"/>
  </r>
  <r>
    <d v="2013-07-10T00:00:00"/>
    <m/>
    <m/>
    <x v="211"/>
    <n v="20"/>
    <m/>
    <n v="-21.46"/>
    <x v="0"/>
    <x v="1"/>
    <x v="15"/>
    <x v="6"/>
    <x v="1"/>
    <x v="43"/>
  </r>
  <r>
    <d v="2013-07-10T00:00:00"/>
    <m/>
    <m/>
    <x v="212"/>
    <n v="20"/>
    <m/>
    <n v="-21.46"/>
    <x v="0"/>
    <x v="1"/>
    <x v="15"/>
    <x v="6"/>
    <x v="1"/>
    <x v="44"/>
  </r>
  <r>
    <d v="2013-07-10T00:00:00"/>
    <m/>
    <m/>
    <x v="213"/>
    <n v="20"/>
    <m/>
    <n v="-21.46"/>
    <x v="0"/>
    <x v="1"/>
    <x v="15"/>
    <x v="6"/>
    <x v="1"/>
    <x v="45"/>
  </r>
  <r>
    <d v="2013-07-10T00:00:00"/>
    <m/>
    <m/>
    <x v="214"/>
    <n v="20"/>
    <m/>
    <n v="-21.46"/>
    <x v="0"/>
    <x v="1"/>
    <x v="15"/>
    <x v="6"/>
    <x v="1"/>
    <x v="46"/>
  </r>
  <r>
    <d v="2013-07-10T00:00:00"/>
    <m/>
    <m/>
    <x v="215"/>
    <n v="20"/>
    <m/>
    <n v="-21.46"/>
    <x v="0"/>
    <x v="1"/>
    <x v="15"/>
    <x v="6"/>
    <x v="1"/>
    <x v="47"/>
  </r>
  <r>
    <d v="2013-07-10T00:00:00"/>
    <m/>
    <m/>
    <x v="216"/>
    <n v="20"/>
    <m/>
    <n v="-21.46"/>
    <x v="0"/>
    <x v="1"/>
    <x v="15"/>
    <x v="6"/>
    <x v="1"/>
    <x v="48"/>
  </r>
  <r>
    <d v="2013-07-12T00:00:00"/>
    <s v="130704-1300"/>
    <m/>
    <x v="146"/>
    <n v="13"/>
    <d v="2013-07-18T00:00:00"/>
    <n v="-13"/>
    <x v="0"/>
    <x v="2"/>
    <x v="38"/>
    <x v="5"/>
    <x v="10"/>
    <x v="10"/>
  </r>
  <r>
    <d v="2013-07-12T00:00:00"/>
    <s v="130701-0900"/>
    <m/>
    <x v="146"/>
    <n v="3.6"/>
    <d v="2013-07-18T00:00:00"/>
    <n v="-3.6"/>
    <x v="0"/>
    <x v="2"/>
    <x v="38"/>
    <x v="5"/>
    <x v="10"/>
    <x v="10"/>
  </r>
  <r>
    <d v="2013-07-13T00:00:00"/>
    <m/>
    <m/>
    <x v="146"/>
    <n v="50"/>
    <d v="2013-07-18T00:00:00"/>
    <n v="-50"/>
    <x v="0"/>
    <x v="0"/>
    <x v="8"/>
    <x v="0"/>
    <x v="10"/>
    <x v="10"/>
  </r>
  <r>
    <d v="2013-07-17T00:00:00"/>
    <s v="130717-1643"/>
    <m/>
    <x v="153"/>
    <n v="150"/>
    <d v="2013-07-17T00:00:00"/>
    <n v="150"/>
    <x v="1"/>
    <x v="2"/>
    <x v="9"/>
    <x v="1"/>
    <x v="8"/>
    <x v="10"/>
  </r>
  <r>
    <d v="2013-07-17T00:00:00"/>
    <m/>
    <m/>
    <x v="153"/>
    <n v="32.200000000000003"/>
    <d v="2013-07-17T00:00:00"/>
    <n v="-32.200000000000003"/>
    <x v="0"/>
    <x v="0"/>
    <x v="2"/>
    <x v="2"/>
    <x v="8"/>
    <x v="10"/>
  </r>
  <r>
    <d v="2013-07-17T00:00:00"/>
    <s v="130717-1643"/>
    <m/>
    <x v="146"/>
    <n v="3.6"/>
    <d v="2013-07-18T00:00:00"/>
    <n v="-3"/>
    <x v="0"/>
    <x v="2"/>
    <x v="38"/>
    <x v="5"/>
    <x v="10"/>
    <x v="10"/>
  </r>
  <r>
    <d v="2013-07-18T00:00:00"/>
    <m/>
    <m/>
    <x v="151"/>
    <n v="4.3"/>
    <d v="2013-07-10T00:00:00"/>
    <n v="-4.3"/>
    <x v="0"/>
    <x v="1"/>
    <x v="51"/>
    <x v="3"/>
    <x v="1"/>
    <x v="10"/>
  </r>
  <r>
    <d v="2013-07-18T00:00:00"/>
    <m/>
    <m/>
    <x v="151"/>
    <n v="4.5"/>
    <d v="2013-07-10T00:00:00"/>
    <n v="-4.5"/>
    <x v="0"/>
    <x v="1"/>
    <x v="51"/>
    <x v="3"/>
    <x v="1"/>
    <x v="10"/>
  </r>
  <r>
    <d v="2013-07-18T00:00:00"/>
    <m/>
    <s v="MENS 06/13"/>
    <x v="151"/>
    <n v="19.5"/>
    <d v="2013-07-17T00:00:00"/>
    <n v="-19.5"/>
    <x v="0"/>
    <x v="1"/>
    <x v="4"/>
    <x v="3"/>
    <x v="1"/>
    <x v="10"/>
  </r>
  <r>
    <d v="2013-07-18T00:00:00"/>
    <m/>
    <m/>
    <x v="217"/>
    <n v="18"/>
    <d v="2013-07-18T00:00:00"/>
    <n v="-18"/>
    <x v="0"/>
    <x v="0"/>
    <x v="42"/>
    <x v="7"/>
    <x v="9"/>
    <x v="10"/>
  </r>
  <r>
    <d v="2013-07-18T00:00:00"/>
    <s v="130718-0900"/>
    <m/>
    <x v="218"/>
    <n v="250"/>
    <d v="2013-08-08T00:00:00"/>
    <n v="250"/>
    <x v="1"/>
    <x v="0"/>
    <x v="52"/>
    <x v="1"/>
    <x v="3"/>
    <x v="21"/>
  </r>
  <r>
    <d v="2013-07-18T00:00:00"/>
    <s v="130718-0900"/>
    <m/>
    <x v="219"/>
    <n v="250"/>
    <d v="2013-08-19T00:00:00"/>
    <n v="250"/>
    <x v="1"/>
    <x v="0"/>
    <x v="52"/>
    <x v="1"/>
    <x v="30"/>
    <x v="21"/>
  </r>
  <r>
    <d v="2013-07-18T00:00:00"/>
    <s v="130718-0900"/>
    <m/>
    <x v="163"/>
    <n v="200"/>
    <d v="2013-10-01T00:00:00"/>
    <n v="200"/>
    <x v="1"/>
    <x v="0"/>
    <x v="52"/>
    <x v="1"/>
    <x v="10"/>
    <x v="20"/>
  </r>
  <r>
    <d v="2013-07-19T00:00:00"/>
    <m/>
    <m/>
    <x v="220"/>
    <n v="13.45"/>
    <d v="2013-07-19T00:00:00"/>
    <n v="-13.45"/>
    <x v="0"/>
    <x v="0"/>
    <x v="3"/>
    <x v="2"/>
    <x v="30"/>
    <x v="10"/>
  </r>
  <r>
    <d v="2013-07-19T00:00:00"/>
    <m/>
    <m/>
    <x v="220"/>
    <n v="121.14"/>
    <d v="2013-07-19T00:00:00"/>
    <n v="-121.14"/>
    <x v="0"/>
    <x v="0"/>
    <x v="2"/>
    <x v="2"/>
    <x v="30"/>
    <x v="10"/>
  </r>
  <r>
    <d v="2013-07-20T00:00:00"/>
    <m/>
    <m/>
    <x v="146"/>
    <n v="6.15"/>
    <d v="2013-07-20T00:00:00"/>
    <n v="-6.15"/>
    <x v="0"/>
    <x v="0"/>
    <x v="3"/>
    <x v="2"/>
    <x v="10"/>
    <x v="10"/>
  </r>
  <r>
    <d v="2013-07-20T00:00:00"/>
    <m/>
    <m/>
    <x v="146"/>
    <n v="75.83"/>
    <d v="2013-07-20T00:00:00"/>
    <n v="-75.83"/>
    <x v="0"/>
    <x v="0"/>
    <x v="2"/>
    <x v="2"/>
    <x v="10"/>
    <x v="10"/>
  </r>
  <r>
    <d v="2013-07-20T00:00:00"/>
    <m/>
    <m/>
    <x v="146"/>
    <n v="11.99"/>
    <d v="2013-07-20T00:00:00"/>
    <n v="-11.99"/>
    <x v="0"/>
    <x v="0"/>
    <x v="2"/>
    <x v="2"/>
    <x v="10"/>
    <x v="10"/>
  </r>
  <r>
    <d v="2013-07-20T00:00:00"/>
    <m/>
    <m/>
    <x v="146"/>
    <n v="10"/>
    <d v="2013-07-20T00:00:00"/>
    <n v="-10"/>
    <x v="0"/>
    <x v="0"/>
    <x v="8"/>
    <x v="0"/>
    <x v="10"/>
    <x v="10"/>
  </r>
  <r>
    <d v="2013-07-21T00:00:00"/>
    <m/>
    <m/>
    <x v="221"/>
    <n v="11.82"/>
    <d v="2013-07-21T00:00:00"/>
    <n v="-11.82"/>
    <x v="0"/>
    <x v="0"/>
    <x v="3"/>
    <x v="2"/>
    <x v="11"/>
    <x v="10"/>
  </r>
  <r>
    <d v="2013-07-21T00:00:00"/>
    <m/>
    <m/>
    <x v="221"/>
    <n v="27.5"/>
    <d v="2013-07-21T00:00:00"/>
    <n v="-27.5"/>
    <x v="0"/>
    <x v="0"/>
    <x v="3"/>
    <x v="2"/>
    <x v="11"/>
    <x v="10"/>
  </r>
  <r>
    <d v="2013-07-21T00:00:00"/>
    <m/>
    <m/>
    <x v="221"/>
    <n v="11.82"/>
    <d v="2013-07-21T00:00:00"/>
    <n v="-11.82"/>
    <x v="0"/>
    <x v="0"/>
    <x v="2"/>
    <x v="2"/>
    <x v="11"/>
    <x v="10"/>
  </r>
  <r>
    <d v="2013-07-23T00:00:00"/>
    <m/>
    <m/>
    <x v="222"/>
    <n v="5.2"/>
    <d v="2013-07-23T00:00:00"/>
    <n v="-5.2"/>
    <x v="0"/>
    <x v="0"/>
    <x v="7"/>
    <x v="2"/>
    <x v="13"/>
    <x v="10"/>
  </r>
  <r>
    <d v="2013-07-23T00:00:00"/>
    <m/>
    <m/>
    <x v="222"/>
    <n v="10.17"/>
    <d v="2013-07-23T00:00:00"/>
    <n v="-10.17"/>
    <x v="0"/>
    <x v="0"/>
    <x v="7"/>
    <x v="2"/>
    <x v="13"/>
    <x v="10"/>
  </r>
  <r>
    <d v="2013-07-23T00:00:00"/>
    <m/>
    <m/>
    <x v="222"/>
    <n v="10.17"/>
    <d v="2013-07-23T00:00:00"/>
    <n v="-10.17"/>
    <x v="0"/>
    <x v="0"/>
    <x v="2"/>
    <x v="2"/>
    <x v="13"/>
    <x v="10"/>
  </r>
  <r>
    <d v="2013-07-24T00:00:00"/>
    <s v="130724-0958"/>
    <m/>
    <x v="223"/>
    <n v="100"/>
    <d v="2013-07-25T00:00:00"/>
    <n v="100"/>
    <x v="1"/>
    <x v="0"/>
    <x v="12"/>
    <x v="1"/>
    <x v="14"/>
    <x v="10"/>
  </r>
  <r>
    <d v="2013-07-24T00:00:00"/>
    <m/>
    <m/>
    <x v="223"/>
    <n v="7.44"/>
    <d v="2013-07-24T00:00:00"/>
    <n v="-7.44"/>
    <x v="0"/>
    <x v="1"/>
    <x v="51"/>
    <x v="3"/>
    <x v="14"/>
    <x v="10"/>
  </r>
  <r>
    <d v="2013-07-25T00:00:00"/>
    <m/>
    <m/>
    <x v="154"/>
    <n v="15.04"/>
    <d v="2013-07-25T00:00:00"/>
    <n v="-15.04"/>
    <x v="0"/>
    <x v="0"/>
    <x v="2"/>
    <x v="2"/>
    <x v="25"/>
    <x v="10"/>
  </r>
  <r>
    <d v="2013-07-26T00:00:00"/>
    <m/>
    <m/>
    <x v="224"/>
    <n v="65.33"/>
    <d v="2013-07-26T00:00:00"/>
    <n v="-65.33"/>
    <x v="0"/>
    <x v="0"/>
    <x v="2"/>
    <x v="2"/>
    <x v="19"/>
    <x v="10"/>
  </r>
  <r>
    <d v="2013-07-27T00:00:00"/>
    <m/>
    <m/>
    <x v="225"/>
    <n v="12.8"/>
    <d v="2013-07-27T00:00:00"/>
    <n v="-12.8"/>
    <x v="0"/>
    <x v="0"/>
    <x v="46"/>
    <x v="0"/>
    <x v="26"/>
    <x v="10"/>
  </r>
  <r>
    <d v="2013-07-27T00:00:00"/>
    <m/>
    <m/>
    <x v="225"/>
    <n v="10.9"/>
    <d v="2013-07-27T00:00:00"/>
    <n v="-10.9"/>
    <x v="0"/>
    <x v="0"/>
    <x v="18"/>
    <x v="0"/>
    <x v="26"/>
    <x v="10"/>
  </r>
  <r>
    <d v="2013-07-28T00:00:00"/>
    <m/>
    <m/>
    <x v="226"/>
    <n v="22"/>
    <d v="2013-07-28T00:00:00"/>
    <n v="-22"/>
    <x v="0"/>
    <x v="0"/>
    <x v="3"/>
    <x v="2"/>
    <x v="15"/>
    <x v="10"/>
  </r>
  <r>
    <d v="2013-07-28T00:00:00"/>
    <m/>
    <m/>
    <x v="226"/>
    <n v="3"/>
    <d v="2013-07-28T00:00:00"/>
    <n v="-3"/>
    <x v="0"/>
    <x v="0"/>
    <x v="3"/>
    <x v="2"/>
    <x v="15"/>
    <x v="10"/>
  </r>
  <r>
    <d v="2013-07-28T00:00:00"/>
    <m/>
    <m/>
    <x v="226"/>
    <n v="22.62"/>
    <d v="2013-07-28T00:00:00"/>
    <n v="-22.62"/>
    <x v="0"/>
    <x v="0"/>
    <x v="2"/>
    <x v="2"/>
    <x v="15"/>
    <x v="10"/>
  </r>
  <r>
    <d v="2013-07-28T00:00:00"/>
    <m/>
    <m/>
    <x v="226"/>
    <n v="26.43"/>
    <d v="2013-07-28T00:00:00"/>
    <n v="-26.43"/>
    <x v="0"/>
    <x v="0"/>
    <x v="2"/>
    <x v="2"/>
    <x v="15"/>
    <x v="10"/>
  </r>
  <r>
    <d v="2013-07-28T00:00:00"/>
    <m/>
    <m/>
    <x v="226"/>
    <n v="21.9"/>
    <d v="2013-07-28T00:00:00"/>
    <n v="-21.9"/>
    <x v="0"/>
    <x v="0"/>
    <x v="53"/>
    <x v="0"/>
    <x v="15"/>
    <x v="10"/>
  </r>
  <r>
    <d v="2013-07-28T00:00:00"/>
    <m/>
    <m/>
    <x v="226"/>
    <n v="22"/>
    <d v="2013-07-28T00:00:00"/>
    <n v="-22"/>
    <x v="0"/>
    <x v="0"/>
    <x v="8"/>
    <x v="0"/>
    <x v="15"/>
    <x v="10"/>
  </r>
  <r>
    <d v="2013-07-29T00:00:00"/>
    <m/>
    <m/>
    <x v="227"/>
    <n v="5.0999999999999996"/>
    <d v="2013-07-29T00:00:00"/>
    <n v="-5.0999999999999996"/>
    <x v="0"/>
    <x v="0"/>
    <x v="46"/>
    <x v="0"/>
    <x v="27"/>
    <x v="10"/>
  </r>
  <r>
    <d v="2013-07-29T00:00:00"/>
    <m/>
    <m/>
    <x v="227"/>
    <n v="12"/>
    <d v="2013-07-29T00:00:00"/>
    <n v="-12"/>
    <x v="0"/>
    <x v="0"/>
    <x v="3"/>
    <x v="2"/>
    <x v="27"/>
    <x v="10"/>
  </r>
  <r>
    <d v="2013-07-29T00:00:00"/>
    <m/>
    <m/>
    <x v="227"/>
    <n v="5.17"/>
    <d v="2013-07-29T00:00:00"/>
    <n v="-5.17"/>
    <x v="0"/>
    <x v="0"/>
    <x v="2"/>
    <x v="2"/>
    <x v="27"/>
    <x v="10"/>
  </r>
  <r>
    <d v="2013-07-29T00:00:00"/>
    <m/>
    <s v="ADPTADOR USB"/>
    <x v="227"/>
    <n v="10"/>
    <d v="2013-07-29T00:00:00"/>
    <n v="-10"/>
    <x v="0"/>
    <x v="0"/>
    <x v="40"/>
    <x v="0"/>
    <x v="27"/>
    <x v="10"/>
  </r>
  <r>
    <d v="2013-07-30T00:00:00"/>
    <m/>
    <m/>
    <x v="228"/>
    <n v="24.61"/>
    <d v="2013-07-30T00:00:00"/>
    <n v="-24.61"/>
    <x v="0"/>
    <x v="0"/>
    <x v="2"/>
    <x v="2"/>
    <x v="28"/>
    <x v="10"/>
  </r>
  <r>
    <d v="2013-07-30T00:00:00"/>
    <m/>
    <m/>
    <x v="228"/>
    <n v="9.61"/>
    <d v="2013-07-30T00:00:00"/>
    <n v="-9.61"/>
    <x v="0"/>
    <x v="0"/>
    <x v="2"/>
    <x v="2"/>
    <x v="28"/>
    <x v="10"/>
  </r>
  <r>
    <d v="2013-07-31T00:00:00"/>
    <s v="130731-1500"/>
    <m/>
    <x v="229"/>
    <n v="650"/>
    <d v="2013-08-02T00:00:00"/>
    <n v="650"/>
    <x v="1"/>
    <x v="0"/>
    <x v="12"/>
    <x v="1"/>
    <x v="16"/>
    <x v="10"/>
  </r>
  <r>
    <d v="2013-07-31T00:00:00"/>
    <m/>
    <m/>
    <x v="115"/>
    <n v="65"/>
    <d v="2013-07-01T00:00:00"/>
    <n v="-65"/>
    <x v="0"/>
    <x v="0"/>
    <x v="7"/>
    <x v="2"/>
    <x v="17"/>
    <x v="10"/>
  </r>
  <r>
    <d v="2013-08-02T00:00:00"/>
    <m/>
    <m/>
    <x v="230"/>
    <n v="57.6"/>
    <d v="2013-08-02T00:00:00"/>
    <n v="-57.6"/>
    <x v="0"/>
    <x v="0"/>
    <x v="2"/>
    <x v="2"/>
    <x v="4"/>
    <x v="21"/>
  </r>
  <r>
    <d v="2013-08-02T00:00:00"/>
    <m/>
    <s v="MENS 07/13"/>
    <x v="157"/>
    <n v="19.5"/>
    <d v="2013-08-02T00:00:00"/>
    <n v="-19.5"/>
    <x v="0"/>
    <x v="1"/>
    <x v="4"/>
    <x v="3"/>
    <x v="1"/>
    <x v="21"/>
  </r>
  <r>
    <d v="2013-08-02T00:00:00"/>
    <m/>
    <s v="MENS 08/13"/>
    <x v="162"/>
    <n v="19.5"/>
    <d v="2013-09-03T00:00:00"/>
    <n v="-19.5"/>
    <x v="0"/>
    <x v="1"/>
    <x v="4"/>
    <x v="3"/>
    <x v="1"/>
    <x v="20"/>
  </r>
  <r>
    <d v="2013-08-02T00:00:00"/>
    <m/>
    <s v="MENS 09/13"/>
    <x v="166"/>
    <n v="19.5"/>
    <d v="2013-10-02T00:00:00"/>
    <n v="-19.5"/>
    <x v="0"/>
    <x v="1"/>
    <x v="4"/>
    <x v="3"/>
    <x v="1"/>
    <x v="22"/>
  </r>
  <r>
    <d v="2013-08-02T00:00:00"/>
    <m/>
    <s v="MENS 10/13"/>
    <x v="171"/>
    <n v="19.5"/>
    <d v="2013-11-05T00:00:00"/>
    <n v="-19.5"/>
    <x v="0"/>
    <x v="1"/>
    <x v="4"/>
    <x v="3"/>
    <x v="1"/>
    <x v="23"/>
  </r>
  <r>
    <d v="2013-08-02T00:00:00"/>
    <m/>
    <s v="MENS 11/13"/>
    <x v="174"/>
    <n v="19.5"/>
    <d v="2013-12-02T00:00:00"/>
    <n v="-19.5"/>
    <x v="0"/>
    <x v="1"/>
    <x v="4"/>
    <x v="3"/>
    <x v="1"/>
    <x v="24"/>
  </r>
  <r>
    <d v="2013-08-02T00:00:00"/>
    <m/>
    <s v="MENS 12/13"/>
    <x v="175"/>
    <n v="19.5"/>
    <d v="2014-01-02T00:00:00"/>
    <n v="-19.5"/>
    <x v="0"/>
    <x v="1"/>
    <x v="4"/>
    <x v="3"/>
    <x v="1"/>
    <x v="25"/>
  </r>
  <r>
    <d v="2013-08-03T00:00:00"/>
    <m/>
    <m/>
    <x v="231"/>
    <n v="8.6999999999999993"/>
    <d v="2013-08-03T00:00:00"/>
    <n v="-8.6999999999999993"/>
    <x v="0"/>
    <x v="0"/>
    <x v="2"/>
    <x v="2"/>
    <x v="5"/>
    <x v="21"/>
  </r>
  <r>
    <d v="2013-08-06T00:00:00"/>
    <m/>
    <m/>
    <x v="222"/>
    <n v="5.2"/>
    <d v="2013-07-23T00:00:00"/>
    <n v="-5.2"/>
    <x v="0"/>
    <x v="0"/>
    <x v="3"/>
    <x v="2"/>
    <x v="13"/>
    <x v="10"/>
  </r>
  <r>
    <d v="2013-08-06T00:00:00"/>
    <m/>
    <m/>
    <x v="156"/>
    <n v="0.03"/>
    <d v="2013-08-01T00:00:00"/>
    <n v="-0.03"/>
    <x v="0"/>
    <x v="1"/>
    <x v="54"/>
    <x v="3"/>
    <x v="17"/>
    <x v="21"/>
  </r>
  <r>
    <d v="2013-08-06T00:00:00"/>
    <m/>
    <m/>
    <x v="232"/>
    <n v="13.9"/>
    <d v="2013-08-06T00:00:00"/>
    <n v="-13.9"/>
    <x v="0"/>
    <x v="0"/>
    <x v="3"/>
    <x v="2"/>
    <x v="20"/>
    <x v="21"/>
  </r>
  <r>
    <d v="2013-08-06T00:00:00"/>
    <m/>
    <m/>
    <x v="232"/>
    <n v="3.72"/>
    <d v="2013-08-06T00:00:00"/>
    <n v="-3.72"/>
    <x v="0"/>
    <x v="1"/>
    <x v="51"/>
    <x v="3"/>
    <x v="20"/>
    <x v="21"/>
  </r>
  <r>
    <d v="2013-08-06T00:00:00"/>
    <m/>
    <s v="MERCADO"/>
    <x v="233"/>
    <n v="187.33"/>
    <d v="2013-08-14T00:00:00"/>
    <n v="-187.33"/>
    <x v="0"/>
    <x v="0"/>
    <x v="2"/>
    <x v="2"/>
    <x v="22"/>
    <x v="21"/>
  </r>
  <r>
    <d v="2013-08-06T00:00:00"/>
    <m/>
    <s v="ANIV. VANESSA"/>
    <x v="233"/>
    <n v="99.57"/>
    <d v="2013-08-14T00:00:00"/>
    <n v="-99.57"/>
    <x v="0"/>
    <x v="0"/>
    <x v="53"/>
    <x v="0"/>
    <x v="22"/>
    <x v="21"/>
  </r>
  <r>
    <d v="2013-08-06T00:00:00"/>
    <m/>
    <s v="MERCADO"/>
    <x v="234"/>
    <n v="149.79"/>
    <d v="2013-09-12T00:00:00"/>
    <n v="-36.69"/>
    <x v="0"/>
    <x v="0"/>
    <x v="2"/>
    <x v="2"/>
    <x v="22"/>
    <x v="20"/>
  </r>
  <r>
    <d v="2013-08-08T00:00:00"/>
    <m/>
    <m/>
    <x v="218"/>
    <n v="58.4"/>
    <d v="2013-08-08T00:00:00"/>
    <n v="-58.4"/>
    <x v="0"/>
    <x v="0"/>
    <x v="3"/>
    <x v="2"/>
    <x v="3"/>
    <x v="21"/>
  </r>
  <r>
    <d v="2013-08-09T00:00:00"/>
    <m/>
    <m/>
    <x v="235"/>
    <n v="80.37"/>
    <d v="2013-08-09T00:00:00"/>
    <n v="-80.37"/>
    <x v="0"/>
    <x v="0"/>
    <x v="3"/>
    <x v="2"/>
    <x v="2"/>
    <x v="21"/>
  </r>
  <r>
    <d v="2013-08-09T00:00:00"/>
    <m/>
    <m/>
    <x v="235"/>
    <n v="10.199999999999999"/>
    <d v="2013-08-09T00:00:00"/>
    <n v="-10.199999999999999"/>
    <x v="0"/>
    <x v="0"/>
    <x v="3"/>
    <x v="2"/>
    <x v="2"/>
    <x v="21"/>
  </r>
  <r>
    <d v="2013-08-10T00:00:00"/>
    <s v="130810-1730"/>
    <m/>
    <x v="157"/>
    <n v="400"/>
    <d v="2013-08-10T00:00:00"/>
    <n v="400"/>
    <x v="1"/>
    <x v="0"/>
    <x v="47"/>
    <x v="1"/>
    <x v="1"/>
    <x v="21"/>
  </r>
  <r>
    <d v="2013-08-10T00:00:00"/>
    <m/>
    <m/>
    <x v="157"/>
    <n v="6"/>
    <d v="2013-08-10T00:00:00"/>
    <n v="-6"/>
    <x v="0"/>
    <x v="0"/>
    <x v="3"/>
    <x v="2"/>
    <x v="1"/>
    <x v="21"/>
  </r>
  <r>
    <d v="2013-08-11T00:00:00"/>
    <m/>
    <m/>
    <x v="236"/>
    <n v="7.8"/>
    <d v="2013-08-11T00:00:00"/>
    <n v="-7.8"/>
    <x v="0"/>
    <x v="0"/>
    <x v="7"/>
    <x v="2"/>
    <x v="21"/>
    <x v="21"/>
  </r>
  <r>
    <d v="2013-08-11T00:00:00"/>
    <m/>
    <m/>
    <x v="236"/>
    <n v="49.9"/>
    <d v="2013-08-11T00:00:00"/>
    <n v="-49.9"/>
    <x v="0"/>
    <x v="0"/>
    <x v="2"/>
    <x v="2"/>
    <x v="21"/>
    <x v="21"/>
  </r>
  <r>
    <d v="2013-08-12T00:00:00"/>
    <m/>
    <m/>
    <x v="233"/>
    <n v="13.28"/>
    <d v="2013-08-12T00:00:00"/>
    <n v="-13.28"/>
    <x v="0"/>
    <x v="0"/>
    <x v="3"/>
    <x v="2"/>
    <x v="22"/>
    <x v="21"/>
  </r>
  <r>
    <d v="2013-08-13T00:00:00"/>
    <m/>
    <s v="LANCHES/LAZER"/>
    <x v="234"/>
    <n v="41"/>
    <d v="2013-09-12T00:00:00"/>
    <n v="-41"/>
    <x v="0"/>
    <x v="0"/>
    <x v="3"/>
    <x v="2"/>
    <x v="22"/>
    <x v="20"/>
  </r>
  <r>
    <d v="2013-08-15T00:00:00"/>
    <m/>
    <s v="RODRIGO"/>
    <x v="159"/>
    <n v="180"/>
    <d v="2013-08-20T00:00:00"/>
    <n v="-180"/>
    <x v="0"/>
    <x v="1"/>
    <x v="55"/>
    <x v="4"/>
    <x v="25"/>
    <x v="21"/>
  </r>
  <r>
    <d v="2013-08-15T00:00:00"/>
    <s v="RODRIGO"/>
    <s v="COMP. 09/2013"/>
    <x v="237"/>
    <n v="160.69999999999999"/>
    <d v="2013-09-19T00:00:00"/>
    <n v="-160.69999999999999"/>
    <x v="0"/>
    <x v="1"/>
    <x v="55"/>
    <x v="4"/>
    <x v="5"/>
    <x v="22"/>
  </r>
  <r>
    <d v="2013-08-15T00:00:00"/>
    <s v="RODRIGO"/>
    <s v="COMP. 10/2013"/>
    <x v="169"/>
    <n v="160.69999999999999"/>
    <d v="2013-10-31T00:00:00"/>
    <n v="-164.21"/>
    <x v="0"/>
    <x v="1"/>
    <x v="55"/>
    <x v="4"/>
    <x v="25"/>
    <x v="22"/>
  </r>
  <r>
    <d v="2013-08-15T00:00:00"/>
    <s v="RODRIGO"/>
    <s v="COMP. 11/2013"/>
    <x v="172"/>
    <n v="160.69999999999999"/>
    <d v="2013-12-02T00:00:00"/>
    <n v="-164.26"/>
    <x v="0"/>
    <x v="1"/>
    <x v="55"/>
    <x v="4"/>
    <x v="25"/>
    <x v="23"/>
  </r>
  <r>
    <d v="2013-08-15T00:00:00"/>
    <s v="RODRIGO"/>
    <s v="COMP. 12/2013"/>
    <x v="238"/>
    <n v="160.69999999999999"/>
    <d v="2014-01-30T00:00:00"/>
    <n v="-164.26"/>
    <x v="0"/>
    <x v="1"/>
    <x v="56"/>
    <x v="14"/>
    <x v="10"/>
    <x v="25"/>
  </r>
  <r>
    <d v="2013-08-16T00:00:00"/>
    <s v="130816-1400"/>
    <s v="NF.68"/>
    <x v="239"/>
    <n v="400"/>
    <d v="2013-08-21T00:00:00"/>
    <n v="400"/>
    <x v="1"/>
    <x v="2"/>
    <x v="9"/>
    <x v="1"/>
    <x v="24"/>
    <x v="21"/>
  </r>
  <r>
    <d v="2013-08-16T00:00:00"/>
    <s v="130816-1400"/>
    <s v="NF.68"/>
    <x v="239"/>
    <n v="8"/>
    <d v="2013-08-24T00:00:00"/>
    <n v="-8"/>
    <x v="0"/>
    <x v="2"/>
    <x v="38"/>
    <x v="5"/>
    <x v="24"/>
    <x v="21"/>
  </r>
  <r>
    <d v="2013-08-16T00:00:00"/>
    <m/>
    <s v="MERCADO"/>
    <x v="239"/>
    <n v="131.66"/>
    <d v="2013-08-16T00:00:00"/>
    <n v="-131.66"/>
    <x v="0"/>
    <x v="0"/>
    <x v="2"/>
    <x v="2"/>
    <x v="24"/>
    <x v="21"/>
  </r>
  <r>
    <d v="2013-08-17T00:00:00"/>
    <m/>
    <s v="VANESSA"/>
    <x v="240"/>
    <n v="10"/>
    <d v="2013-08-17T00:00:00"/>
    <n v="-10"/>
    <x v="0"/>
    <x v="0"/>
    <x v="8"/>
    <x v="0"/>
    <x v="8"/>
    <x v="21"/>
  </r>
  <r>
    <d v="2013-08-17T00:00:00"/>
    <m/>
    <m/>
    <x v="240"/>
    <n v="20.86"/>
    <d v="2013-08-17T00:00:00"/>
    <n v="-20.86"/>
    <x v="0"/>
    <x v="0"/>
    <x v="2"/>
    <x v="2"/>
    <x v="8"/>
    <x v="21"/>
  </r>
  <r>
    <d v="2013-08-20T00:00:00"/>
    <m/>
    <s v="LANCHES/LAZER"/>
    <x v="158"/>
    <n v="71.349999999999994"/>
    <d v="2013-08-20T00:00:00"/>
    <n v="-71.349999999999994"/>
    <x v="0"/>
    <x v="0"/>
    <x v="3"/>
    <x v="2"/>
    <x v="10"/>
    <x v="21"/>
  </r>
  <r>
    <d v="2013-08-20T00:00:00"/>
    <m/>
    <m/>
    <x v="158"/>
    <n v="3.72"/>
    <d v="2013-08-20T00:00:00"/>
    <n v="-3.72"/>
    <x v="0"/>
    <x v="1"/>
    <x v="51"/>
    <x v="3"/>
    <x v="10"/>
    <x v="21"/>
  </r>
  <r>
    <d v="2013-08-21T00:00:00"/>
    <m/>
    <m/>
    <x v="241"/>
    <n v="254.02"/>
    <d v="2013-08-21T00:00:00"/>
    <n v="-254.02"/>
    <x v="0"/>
    <x v="0"/>
    <x v="2"/>
    <x v="2"/>
    <x v="11"/>
    <x v="21"/>
  </r>
  <r>
    <d v="2013-08-21T00:00:00"/>
    <m/>
    <s v="TAXI - EXTRA X AP"/>
    <x v="241"/>
    <n v="13"/>
    <d v="2013-08-21T00:00:00"/>
    <n v="-13"/>
    <x v="0"/>
    <x v="0"/>
    <x v="8"/>
    <x v="0"/>
    <x v="11"/>
    <x v="21"/>
  </r>
  <r>
    <d v="2013-08-22T00:00:00"/>
    <m/>
    <s v="VENDA - NOTEBOOK [FERNANDO]"/>
    <x v="242"/>
    <n v="50"/>
    <d v="2013-08-22T00:00:00"/>
    <n v="50"/>
    <x v="1"/>
    <x v="0"/>
    <x v="27"/>
    <x v="8"/>
    <x v="12"/>
    <x v="21"/>
  </r>
  <r>
    <d v="2013-08-22T00:00:00"/>
    <m/>
    <s v="Corte de cabelo"/>
    <x v="242"/>
    <n v="20"/>
    <d v="2013-08-22T00:00:00"/>
    <n v="-20"/>
    <x v="0"/>
    <x v="1"/>
    <x v="11"/>
    <x v="4"/>
    <x v="12"/>
    <x v="21"/>
  </r>
  <r>
    <d v="2013-08-22T00:00:00"/>
    <m/>
    <s v="usb/micro"/>
    <x v="242"/>
    <n v="14"/>
    <d v="2013-08-22T00:00:00"/>
    <n v="-14"/>
    <x v="0"/>
    <x v="0"/>
    <x v="40"/>
    <x v="0"/>
    <x v="12"/>
    <x v="21"/>
  </r>
  <r>
    <d v="2013-08-22T00:00:00"/>
    <m/>
    <s v="usb/sata"/>
    <x v="242"/>
    <n v="30"/>
    <d v="2013-08-22T00:00:00"/>
    <n v="-30"/>
    <x v="0"/>
    <x v="0"/>
    <x v="40"/>
    <x v="0"/>
    <x v="12"/>
    <x v="21"/>
  </r>
  <r>
    <d v="2013-08-22T00:00:00"/>
    <m/>
    <s v="usb/som"/>
    <x v="242"/>
    <n v="20"/>
    <d v="2013-08-22T00:00:00"/>
    <n v="-20"/>
    <x v="0"/>
    <x v="0"/>
    <x v="40"/>
    <x v="0"/>
    <x v="12"/>
    <x v="21"/>
  </r>
  <r>
    <d v="2013-08-22T00:00:00"/>
    <m/>
    <s v="onibus"/>
    <x v="242"/>
    <n v="20"/>
    <d v="2013-08-22T00:00:00"/>
    <n v="-20"/>
    <x v="0"/>
    <x v="0"/>
    <x v="8"/>
    <x v="0"/>
    <x v="12"/>
    <x v="21"/>
  </r>
  <r>
    <d v="2013-08-22T00:00:00"/>
    <m/>
    <s v="Revista W"/>
    <x v="242"/>
    <n v="15.9"/>
    <d v="2013-08-22T00:00:00"/>
    <n v="-15.9"/>
    <x v="0"/>
    <x v="0"/>
    <x v="18"/>
    <x v="0"/>
    <x v="12"/>
    <x v="21"/>
  </r>
  <r>
    <d v="2013-08-22T00:00:00"/>
    <m/>
    <m/>
    <x v="242"/>
    <n v="17.2"/>
    <d v="2013-08-22T00:00:00"/>
    <n v="-17.2"/>
    <x v="0"/>
    <x v="0"/>
    <x v="3"/>
    <x v="2"/>
    <x v="12"/>
    <x v="21"/>
  </r>
  <r>
    <d v="2013-08-22T00:00:00"/>
    <m/>
    <m/>
    <x v="242"/>
    <n v="3.82"/>
    <d v="2013-08-22T00:00:00"/>
    <n v="-3.82"/>
    <x v="0"/>
    <x v="0"/>
    <x v="3"/>
    <x v="2"/>
    <x v="12"/>
    <x v="21"/>
  </r>
  <r>
    <d v="2013-08-22T00:00:00"/>
    <m/>
    <m/>
    <x v="242"/>
    <n v="16.170000000000002"/>
    <d v="2013-08-22T00:00:00"/>
    <n v="-16.170000000000002"/>
    <x v="0"/>
    <x v="0"/>
    <x v="3"/>
    <x v="2"/>
    <x v="12"/>
    <x v="21"/>
  </r>
  <r>
    <d v="2013-08-22T00:00:00"/>
    <m/>
    <m/>
    <x v="242"/>
    <n v="7.44"/>
    <d v="2013-08-22T00:00:00"/>
    <n v="-7.44"/>
    <x v="0"/>
    <x v="1"/>
    <x v="51"/>
    <x v="3"/>
    <x v="12"/>
    <x v="21"/>
  </r>
  <r>
    <d v="2013-08-23T00:00:00"/>
    <m/>
    <m/>
    <x v="243"/>
    <n v="45.64"/>
    <d v="2013-08-23T00:00:00"/>
    <n v="-45.64"/>
    <x v="0"/>
    <x v="0"/>
    <x v="2"/>
    <x v="2"/>
    <x v="13"/>
    <x v="21"/>
  </r>
  <r>
    <d v="2013-08-24T00:00:00"/>
    <m/>
    <s v="MERCADO"/>
    <x v="244"/>
    <n v="39.340000000000003"/>
    <d v="2013-08-24T00:00:00"/>
    <n v="-39.340000000000003"/>
    <x v="0"/>
    <x v="0"/>
    <x v="2"/>
    <x v="2"/>
    <x v="14"/>
    <x v="21"/>
  </r>
  <r>
    <d v="2013-08-24T00:00:00"/>
    <m/>
    <m/>
    <x v="244"/>
    <n v="9"/>
    <d v="2013-08-24T00:00:00"/>
    <n v="-9"/>
    <x v="0"/>
    <x v="0"/>
    <x v="8"/>
    <x v="0"/>
    <x v="14"/>
    <x v="21"/>
  </r>
  <r>
    <d v="2013-08-24T00:00:00"/>
    <m/>
    <s v="LANCHES/LAZER"/>
    <x v="244"/>
    <n v="160.6"/>
    <d v="2013-08-24T00:00:00"/>
    <n v="-160.6"/>
    <x v="0"/>
    <x v="0"/>
    <x v="2"/>
    <x v="2"/>
    <x v="14"/>
    <x v="21"/>
  </r>
  <r>
    <d v="2013-08-25T00:00:00"/>
    <m/>
    <m/>
    <x v="159"/>
    <n v="46.97"/>
    <d v="2013-08-25T00:00:00"/>
    <n v="-46.97"/>
    <x v="0"/>
    <x v="0"/>
    <x v="2"/>
    <x v="2"/>
    <x v="25"/>
    <x v="21"/>
  </r>
  <r>
    <d v="2013-08-25T00:00:00"/>
    <m/>
    <m/>
    <x v="159"/>
    <n v="36.380000000000003"/>
    <d v="2013-08-25T00:00:00"/>
    <n v="-36.380000000000003"/>
    <x v="0"/>
    <x v="0"/>
    <x v="2"/>
    <x v="2"/>
    <x v="25"/>
    <x v="21"/>
  </r>
  <r>
    <d v="2013-08-25T00:00:00"/>
    <m/>
    <s v="VANESSA"/>
    <x v="159"/>
    <n v="18"/>
    <d v="2013-08-25T00:00:00"/>
    <n v="-18"/>
    <x v="0"/>
    <x v="0"/>
    <x v="57"/>
    <x v="7"/>
    <x v="25"/>
    <x v="21"/>
  </r>
  <r>
    <d v="2013-08-26T00:00:00"/>
    <m/>
    <m/>
    <x v="245"/>
    <n v="17.27"/>
    <d v="2013-08-26T00:00:00"/>
    <n v="-17.27"/>
    <x v="0"/>
    <x v="0"/>
    <x v="2"/>
    <x v="2"/>
    <x v="19"/>
    <x v="21"/>
  </r>
  <r>
    <d v="2013-08-27T00:00:00"/>
    <m/>
    <m/>
    <x v="246"/>
    <n v="55.48"/>
    <d v="2013-08-27T00:00:00"/>
    <n v="-55.48"/>
    <x v="0"/>
    <x v="0"/>
    <x v="2"/>
    <x v="2"/>
    <x v="26"/>
    <x v="21"/>
  </r>
  <r>
    <d v="2013-08-28T00:00:00"/>
    <m/>
    <m/>
    <x v="247"/>
    <n v="19.59"/>
    <d v="2013-08-28T00:00:00"/>
    <n v="-19.59"/>
    <x v="0"/>
    <x v="0"/>
    <x v="2"/>
    <x v="2"/>
    <x v="15"/>
    <x v="21"/>
  </r>
  <r>
    <d v="2013-08-29T00:00:00"/>
    <s v="130829-1000"/>
    <m/>
    <x v="248"/>
    <n v="200"/>
    <d v="2013-08-30T00:00:00"/>
    <n v="200"/>
    <x v="1"/>
    <x v="0"/>
    <x v="13"/>
    <x v="1"/>
    <x v="27"/>
    <x v="21"/>
  </r>
  <r>
    <d v="2013-08-29T00:00:00"/>
    <s v="130829-1000"/>
    <m/>
    <x v="248"/>
    <n v="6"/>
    <d v="2013-08-29T00:00:00"/>
    <n v="-6"/>
    <x v="0"/>
    <x v="0"/>
    <x v="8"/>
    <x v="0"/>
    <x v="27"/>
    <x v="21"/>
  </r>
  <r>
    <d v="2013-08-29T00:00:00"/>
    <s v="130829-1000"/>
    <m/>
    <x v="248"/>
    <n v="11"/>
    <d v="2013-08-29T00:00:00"/>
    <n v="-11"/>
    <x v="0"/>
    <x v="0"/>
    <x v="3"/>
    <x v="2"/>
    <x v="27"/>
    <x v="21"/>
  </r>
  <r>
    <d v="2013-08-29T00:00:00"/>
    <s v="130829-1000"/>
    <m/>
    <x v="248"/>
    <n v="2.2999999999999998"/>
    <d v="2013-08-29T00:00:00"/>
    <n v="-2.2999999999999998"/>
    <x v="0"/>
    <x v="0"/>
    <x v="3"/>
    <x v="2"/>
    <x v="27"/>
    <x v="21"/>
  </r>
  <r>
    <d v="2013-08-30T00:00:00"/>
    <m/>
    <m/>
    <x v="249"/>
    <n v="29.41"/>
    <d v="2013-08-30T00:00:00"/>
    <n v="-29.41"/>
    <x v="0"/>
    <x v="0"/>
    <x v="2"/>
    <x v="2"/>
    <x v="28"/>
    <x v="21"/>
  </r>
  <r>
    <d v="2013-08-31T00:00:00"/>
    <m/>
    <m/>
    <x v="250"/>
    <n v="20"/>
    <d v="2013-08-31T00:00:00"/>
    <n v="-20"/>
    <x v="0"/>
    <x v="0"/>
    <x v="8"/>
    <x v="0"/>
    <x v="16"/>
    <x v="21"/>
  </r>
  <r>
    <d v="2013-08-31T00:00:00"/>
    <m/>
    <s v="PASTA C/ FURO"/>
    <x v="250"/>
    <n v="2.1"/>
    <d v="2013-08-31T00:00:00"/>
    <n v="-2.1"/>
    <x v="0"/>
    <x v="0"/>
    <x v="46"/>
    <x v="0"/>
    <x v="16"/>
    <x v="21"/>
  </r>
  <r>
    <d v="2013-08-31T00:00:00"/>
    <m/>
    <m/>
    <x v="250"/>
    <n v="2.7"/>
    <d v="2013-08-31T00:00:00"/>
    <n v="-2.7"/>
    <x v="0"/>
    <x v="0"/>
    <x v="3"/>
    <x v="2"/>
    <x v="16"/>
    <x v="21"/>
  </r>
  <r>
    <d v="2013-08-31T00:00:00"/>
    <m/>
    <m/>
    <x v="156"/>
    <n v="65"/>
    <d v="2013-08-01T00:00:00"/>
    <n v="-65"/>
    <x v="0"/>
    <x v="0"/>
    <x v="7"/>
    <x v="2"/>
    <x v="17"/>
    <x v="21"/>
  </r>
  <r>
    <d v="2013-09-03T00:00:00"/>
    <m/>
    <m/>
    <x v="251"/>
    <n v="60.05"/>
    <d v="2013-09-03T00:00:00"/>
    <n v="-60.05"/>
    <x v="0"/>
    <x v="0"/>
    <x v="2"/>
    <x v="2"/>
    <x v="5"/>
    <x v="20"/>
  </r>
  <r>
    <d v="2013-09-05T00:00:00"/>
    <m/>
    <m/>
    <x v="252"/>
    <n v="18"/>
    <d v="2013-09-05T00:00:00"/>
    <n v="-18"/>
    <x v="0"/>
    <x v="0"/>
    <x v="42"/>
    <x v="7"/>
    <x v="7"/>
    <x v="20"/>
  </r>
  <r>
    <d v="2013-09-05T00:00:00"/>
    <m/>
    <m/>
    <x v="252"/>
    <n v="55.69"/>
    <d v="2013-09-05T00:00:00"/>
    <n v="-55.69"/>
    <x v="0"/>
    <x v="0"/>
    <x v="2"/>
    <x v="2"/>
    <x v="7"/>
    <x v="20"/>
  </r>
  <r>
    <d v="2013-09-07T00:00:00"/>
    <m/>
    <m/>
    <x v="253"/>
    <n v="46.44"/>
    <d v="2013-09-07T00:00:00"/>
    <n v="-46.44"/>
    <x v="0"/>
    <x v="0"/>
    <x v="2"/>
    <x v="2"/>
    <x v="29"/>
    <x v="20"/>
  </r>
  <r>
    <d v="2013-09-12T00:00:00"/>
    <s v="130912-0900"/>
    <m/>
    <x v="234"/>
    <n v="200"/>
    <d v="2013-09-25T00:00:00"/>
    <n v="200"/>
    <x v="1"/>
    <x v="0"/>
    <x v="12"/>
    <x v="1"/>
    <x v="22"/>
    <x v="20"/>
  </r>
  <r>
    <d v="2013-09-15T00:00:00"/>
    <m/>
    <m/>
    <x v="254"/>
    <n v="602.11"/>
    <d v="2013-09-15T00:00:00"/>
    <n v="-602.11"/>
    <x v="0"/>
    <x v="0"/>
    <x v="2"/>
    <x v="2"/>
    <x v="18"/>
    <x v="20"/>
  </r>
  <r>
    <d v="2013-09-15T00:00:00"/>
    <m/>
    <m/>
    <x v="254"/>
    <n v="8"/>
    <d v="2013-09-15T00:00:00"/>
    <n v="-8"/>
    <x v="0"/>
    <x v="0"/>
    <x v="3"/>
    <x v="2"/>
    <x v="18"/>
    <x v="20"/>
  </r>
  <r>
    <d v="2013-09-15T00:00:00"/>
    <m/>
    <m/>
    <x v="254"/>
    <n v="20"/>
    <d v="2013-09-15T00:00:00"/>
    <n v="-20"/>
    <x v="0"/>
    <x v="0"/>
    <x v="8"/>
    <x v="0"/>
    <x v="18"/>
    <x v="20"/>
  </r>
  <r>
    <d v="2013-09-17T00:00:00"/>
    <m/>
    <m/>
    <x v="255"/>
    <n v="37.5"/>
    <d v="2013-09-17T00:00:00"/>
    <n v="-37.5"/>
    <x v="0"/>
    <x v="0"/>
    <x v="3"/>
    <x v="2"/>
    <x v="8"/>
    <x v="20"/>
  </r>
  <r>
    <d v="2013-09-17T00:00:00"/>
    <m/>
    <m/>
    <x v="255"/>
    <n v="41.12"/>
    <d v="2013-09-17T00:00:00"/>
    <n v="-41.12"/>
    <x v="0"/>
    <x v="0"/>
    <x v="3"/>
    <x v="2"/>
    <x v="8"/>
    <x v="20"/>
  </r>
  <r>
    <d v="2013-09-17T00:00:00"/>
    <m/>
    <s v="COMPRA DO CHIP"/>
    <x v="255"/>
    <n v="10"/>
    <d v="2013-09-17T00:00:00"/>
    <n v="-10"/>
    <x v="0"/>
    <x v="0"/>
    <x v="58"/>
    <x v="7"/>
    <x v="8"/>
    <x v="20"/>
  </r>
  <r>
    <d v="2013-09-18T00:00:00"/>
    <m/>
    <m/>
    <x v="256"/>
    <n v="7.4"/>
    <d v="2013-09-18T00:00:00"/>
    <n v="-7.4"/>
    <x v="0"/>
    <x v="1"/>
    <x v="59"/>
    <x v="3"/>
    <x v="9"/>
    <x v="20"/>
  </r>
  <r>
    <d v="2013-09-19T00:00:00"/>
    <s v="130919-1400"/>
    <m/>
    <x v="165"/>
    <n v="300"/>
    <d v="2013-10-01T00:00:00"/>
    <n v="300"/>
    <x v="1"/>
    <x v="0"/>
    <x v="13"/>
    <x v="1"/>
    <x v="17"/>
    <x v="22"/>
  </r>
  <r>
    <d v="2013-09-19T00:00:00"/>
    <s v="130919-1400"/>
    <m/>
    <x v="165"/>
    <n v="350"/>
    <d v="2013-10-10T00:00:00"/>
    <n v="350"/>
    <x v="1"/>
    <x v="0"/>
    <x v="13"/>
    <x v="1"/>
    <x v="17"/>
    <x v="22"/>
  </r>
  <r>
    <d v="2013-09-19T00:00:00"/>
    <m/>
    <m/>
    <x v="257"/>
    <n v="29.2"/>
    <d v="2013-09-19T00:00:00"/>
    <n v="-29.2"/>
    <x v="0"/>
    <x v="0"/>
    <x v="2"/>
    <x v="2"/>
    <x v="30"/>
    <x v="20"/>
  </r>
  <r>
    <d v="2013-09-19T00:00:00"/>
    <m/>
    <m/>
    <x v="257"/>
    <n v="3.78"/>
    <d v="2013-09-19T00:00:00"/>
    <n v="-3.78"/>
    <x v="0"/>
    <x v="0"/>
    <x v="3"/>
    <x v="2"/>
    <x v="30"/>
    <x v="20"/>
  </r>
  <r>
    <d v="2013-09-19T00:00:00"/>
    <m/>
    <m/>
    <x v="257"/>
    <n v="15.5"/>
    <d v="2013-09-19T00:00:00"/>
    <n v="-15.5"/>
    <x v="0"/>
    <x v="0"/>
    <x v="3"/>
    <x v="2"/>
    <x v="30"/>
    <x v="20"/>
  </r>
  <r>
    <d v="2013-09-19T00:00:00"/>
    <m/>
    <m/>
    <x v="257"/>
    <n v="20"/>
    <d v="2013-09-19T00:00:00"/>
    <n v="-20"/>
    <x v="0"/>
    <x v="0"/>
    <x v="8"/>
    <x v="0"/>
    <x v="30"/>
    <x v="20"/>
  </r>
  <r>
    <d v="2013-09-20T00:00:00"/>
    <m/>
    <s v="ALBUM - RODRIGO"/>
    <x v="171"/>
    <n v="100"/>
    <d v="2013-10-31T00:00:00"/>
    <n v="-100"/>
    <x v="0"/>
    <x v="0"/>
    <x v="53"/>
    <x v="0"/>
    <x v="1"/>
    <x v="23"/>
  </r>
  <r>
    <d v="2013-09-21T00:00:00"/>
    <m/>
    <m/>
    <x v="258"/>
    <n v="8.4499999999999993"/>
    <d v="2013-09-21T00:00:00"/>
    <n v="-8.4499999999999993"/>
    <x v="0"/>
    <x v="0"/>
    <x v="3"/>
    <x v="2"/>
    <x v="11"/>
    <x v="20"/>
  </r>
  <r>
    <d v="2013-09-21T00:00:00"/>
    <m/>
    <m/>
    <x v="258"/>
    <n v="16"/>
    <d v="2013-09-21T00:00:00"/>
    <n v="-16"/>
    <x v="0"/>
    <x v="0"/>
    <x v="3"/>
    <x v="2"/>
    <x v="11"/>
    <x v="20"/>
  </r>
  <r>
    <d v="2013-09-21T00:00:00"/>
    <m/>
    <m/>
    <x v="258"/>
    <n v="12.35"/>
    <d v="2013-09-21T00:00:00"/>
    <n v="-12.35"/>
    <x v="0"/>
    <x v="0"/>
    <x v="3"/>
    <x v="2"/>
    <x v="11"/>
    <x v="20"/>
  </r>
  <r>
    <d v="2013-09-21T00:00:00"/>
    <m/>
    <m/>
    <x v="258"/>
    <n v="36.11"/>
    <d v="2013-09-21T00:00:00"/>
    <n v="-36.11"/>
    <x v="0"/>
    <x v="0"/>
    <x v="3"/>
    <x v="2"/>
    <x v="11"/>
    <x v="20"/>
  </r>
  <r>
    <d v="2013-09-21T00:00:00"/>
    <m/>
    <m/>
    <x v="258"/>
    <n v="3.35"/>
    <d v="2013-09-21T00:00:00"/>
    <n v="-3.35"/>
    <x v="0"/>
    <x v="0"/>
    <x v="2"/>
    <x v="2"/>
    <x v="11"/>
    <x v="20"/>
  </r>
  <r>
    <d v="2013-09-21T00:00:00"/>
    <m/>
    <m/>
    <x v="258"/>
    <n v="6"/>
    <d v="2013-09-21T00:00:00"/>
    <n v="-6"/>
    <x v="0"/>
    <x v="0"/>
    <x v="2"/>
    <x v="2"/>
    <x v="11"/>
    <x v="20"/>
  </r>
  <r>
    <d v="2013-09-21T00:00:00"/>
    <m/>
    <s v="CARRINHOS"/>
    <x v="258"/>
    <n v="13.5"/>
    <d v="2013-09-21T00:00:00"/>
    <n v="-13.5"/>
    <x v="0"/>
    <x v="0"/>
    <x v="53"/>
    <x v="0"/>
    <x v="11"/>
    <x v="20"/>
  </r>
  <r>
    <d v="2013-09-24T00:00:00"/>
    <m/>
    <m/>
    <x v="259"/>
    <n v="23.63"/>
    <d v="2013-09-24T00:00:00"/>
    <n v="-23.63"/>
    <x v="0"/>
    <x v="0"/>
    <x v="2"/>
    <x v="2"/>
    <x v="14"/>
    <x v="20"/>
  </r>
  <r>
    <d v="2013-09-25T00:00:00"/>
    <m/>
    <m/>
    <x v="164"/>
    <n v="15"/>
    <d v="2013-09-25T00:00:00"/>
    <n v="-15"/>
    <x v="0"/>
    <x v="0"/>
    <x v="58"/>
    <x v="7"/>
    <x v="25"/>
    <x v="20"/>
  </r>
  <r>
    <d v="2013-09-25T00:00:00"/>
    <m/>
    <m/>
    <x v="164"/>
    <n v="13"/>
    <d v="2013-09-25T00:00:00"/>
    <n v="-13"/>
    <x v="0"/>
    <x v="0"/>
    <x v="42"/>
    <x v="7"/>
    <x v="25"/>
    <x v="20"/>
  </r>
  <r>
    <d v="2013-09-26T00:00:00"/>
    <s v="130926-1010"/>
    <m/>
    <x v="260"/>
    <n v="150"/>
    <d v="2013-10-01T00:00:00"/>
    <n v="150"/>
    <x v="1"/>
    <x v="0"/>
    <x v="10"/>
    <x v="1"/>
    <x v="19"/>
    <x v="20"/>
  </r>
  <r>
    <d v="2013-09-26T00:00:00"/>
    <m/>
    <m/>
    <x v="260"/>
    <n v="57.35"/>
    <d v="2013-09-26T00:00:00"/>
    <n v="-57.35"/>
    <x v="0"/>
    <x v="0"/>
    <x v="2"/>
    <x v="2"/>
    <x v="19"/>
    <x v="20"/>
  </r>
  <r>
    <d v="2013-09-28T00:00:00"/>
    <m/>
    <m/>
    <x v="261"/>
    <n v="25.51"/>
    <d v="2013-09-28T00:00:00"/>
    <n v="-25.51"/>
    <x v="0"/>
    <x v="0"/>
    <x v="3"/>
    <x v="2"/>
    <x v="15"/>
    <x v="20"/>
  </r>
  <r>
    <d v="2013-09-28T00:00:00"/>
    <m/>
    <m/>
    <x v="261"/>
    <n v="35"/>
    <d v="2013-09-28T00:00:00"/>
    <n v="-35"/>
    <x v="0"/>
    <x v="0"/>
    <x v="3"/>
    <x v="2"/>
    <x v="15"/>
    <x v="20"/>
  </r>
  <r>
    <d v="2013-09-28T00:00:00"/>
    <m/>
    <m/>
    <x v="261"/>
    <n v="18"/>
    <d v="2013-09-28T00:00:00"/>
    <n v="-18"/>
    <x v="0"/>
    <x v="0"/>
    <x v="3"/>
    <x v="2"/>
    <x v="15"/>
    <x v="20"/>
  </r>
  <r>
    <d v="2013-09-28T00:00:00"/>
    <m/>
    <m/>
    <x v="261"/>
    <n v="6"/>
    <d v="2013-09-28T00:00:00"/>
    <n v="-6"/>
    <x v="0"/>
    <x v="0"/>
    <x v="8"/>
    <x v="0"/>
    <x v="15"/>
    <x v="20"/>
  </r>
  <r>
    <d v="2013-09-29T00:00:00"/>
    <m/>
    <m/>
    <x v="262"/>
    <n v="38.340000000000003"/>
    <d v="2013-09-29T00:00:00"/>
    <n v="-38.340000000000003"/>
    <x v="0"/>
    <x v="0"/>
    <x v="2"/>
    <x v="2"/>
    <x v="27"/>
    <x v="20"/>
  </r>
  <r>
    <d v="2013-09-30T00:00:00"/>
    <s v="130930-1031"/>
    <m/>
    <x v="263"/>
    <n v="20"/>
    <d v="2013-09-30T00:00:00"/>
    <n v="-20"/>
    <x v="0"/>
    <x v="0"/>
    <x v="8"/>
    <x v="0"/>
    <x v="28"/>
    <x v="20"/>
  </r>
  <r>
    <d v="2013-09-30T00:00:00"/>
    <s v="130930-1031"/>
    <m/>
    <x v="263"/>
    <n v="8.9"/>
    <d v="2013-09-30T00:00:00"/>
    <n v="-8.9"/>
    <x v="0"/>
    <x v="0"/>
    <x v="3"/>
    <x v="2"/>
    <x v="28"/>
    <x v="20"/>
  </r>
  <r>
    <d v="2013-09-30T00:00:00"/>
    <s v="130930-1031"/>
    <m/>
    <x v="263"/>
    <n v="9.33"/>
    <d v="2013-09-30T00:00:00"/>
    <n v="-9.33"/>
    <x v="0"/>
    <x v="0"/>
    <x v="3"/>
    <x v="2"/>
    <x v="28"/>
    <x v="20"/>
  </r>
  <r>
    <d v="2013-09-30T00:00:00"/>
    <m/>
    <m/>
    <x v="161"/>
    <n v="65"/>
    <d v="2013-09-01T00:00:00"/>
    <n v="-65"/>
    <x v="0"/>
    <x v="0"/>
    <x v="7"/>
    <x v="2"/>
    <x v="17"/>
    <x v="20"/>
  </r>
  <r>
    <d v="2013-09-30T00:00:00"/>
    <m/>
    <m/>
    <x v="263"/>
    <n v="44"/>
    <d v="2013-09-30T00:00:00"/>
    <n v="-44"/>
    <x v="0"/>
    <x v="1"/>
    <x v="60"/>
    <x v="3"/>
    <x v="28"/>
    <x v="20"/>
  </r>
  <r>
    <d v="2013-10-01T00:00:00"/>
    <m/>
    <m/>
    <x v="165"/>
    <n v="38.15"/>
    <d v="2013-10-01T00:00:00"/>
    <n v="-38.15"/>
    <x v="0"/>
    <x v="0"/>
    <x v="2"/>
    <x v="2"/>
    <x v="17"/>
    <x v="22"/>
  </r>
  <r>
    <d v="2013-10-01T00:00:00"/>
    <s v="130930-1031"/>
    <m/>
    <x v="264"/>
    <n v="450"/>
    <d v="2013-10-04T00:00:00"/>
    <n v="450"/>
    <x v="1"/>
    <x v="0"/>
    <x v="24"/>
    <x v="1"/>
    <x v="4"/>
    <x v="22"/>
  </r>
  <r>
    <d v="2013-10-02T00:00:00"/>
    <m/>
    <m/>
    <x v="264"/>
    <n v="116.75"/>
    <d v="2013-10-02T00:00:00"/>
    <n v="-116.75"/>
    <x v="0"/>
    <x v="0"/>
    <x v="2"/>
    <x v="2"/>
    <x v="4"/>
    <x v="22"/>
  </r>
  <r>
    <d v="2013-10-02T00:00:00"/>
    <m/>
    <m/>
    <x v="264"/>
    <n v="20"/>
    <d v="2013-10-02T00:00:00"/>
    <n v="-20"/>
    <x v="0"/>
    <x v="0"/>
    <x v="61"/>
    <x v="0"/>
    <x v="4"/>
    <x v="22"/>
  </r>
  <r>
    <d v="2013-10-03T00:00:00"/>
    <s v="130919-1400"/>
    <m/>
    <x v="237"/>
    <n v="6"/>
    <d v="2013-10-03T00:00:00"/>
    <n v="-6"/>
    <x v="0"/>
    <x v="0"/>
    <x v="8"/>
    <x v="0"/>
    <x v="5"/>
    <x v="22"/>
  </r>
  <r>
    <d v="2013-10-03T00:00:00"/>
    <m/>
    <m/>
    <x v="237"/>
    <n v="27.77"/>
    <d v="2013-10-03T00:00:00"/>
    <n v="-27.77"/>
    <x v="0"/>
    <x v="0"/>
    <x v="2"/>
    <x v="2"/>
    <x v="5"/>
    <x v="22"/>
  </r>
  <r>
    <d v="2013-10-05T00:00:00"/>
    <m/>
    <m/>
    <x v="265"/>
    <n v="5.34"/>
    <d v="2013-10-05T00:00:00"/>
    <n v="-5.34"/>
    <x v="0"/>
    <x v="0"/>
    <x v="3"/>
    <x v="2"/>
    <x v="7"/>
    <x v="22"/>
  </r>
  <r>
    <d v="2013-10-05T00:00:00"/>
    <m/>
    <m/>
    <x v="265"/>
    <n v="7.65"/>
    <d v="2013-10-05T00:00:00"/>
    <n v="-7.65"/>
    <x v="0"/>
    <x v="0"/>
    <x v="8"/>
    <x v="0"/>
    <x v="7"/>
    <x v="22"/>
  </r>
  <r>
    <d v="2013-10-05T00:00:00"/>
    <m/>
    <m/>
    <x v="265"/>
    <n v="9.24"/>
    <d v="2013-10-05T00:00:00"/>
    <n v="-9.24"/>
    <x v="0"/>
    <x v="0"/>
    <x v="2"/>
    <x v="2"/>
    <x v="7"/>
    <x v="22"/>
  </r>
  <r>
    <d v="2013-10-06T00:00:00"/>
    <m/>
    <m/>
    <x v="266"/>
    <n v="51.51"/>
    <d v="2013-10-06T00:00:00"/>
    <n v="-51.51"/>
    <x v="0"/>
    <x v="0"/>
    <x v="2"/>
    <x v="2"/>
    <x v="20"/>
    <x v="22"/>
  </r>
  <r>
    <d v="2013-10-06T00:00:00"/>
    <m/>
    <m/>
    <x v="266"/>
    <n v="30"/>
    <d v="2013-10-06T00:00:00"/>
    <n v="-30"/>
    <x v="0"/>
    <x v="0"/>
    <x v="8"/>
    <x v="0"/>
    <x v="20"/>
    <x v="22"/>
  </r>
  <r>
    <d v="2013-10-06T00:00:00"/>
    <m/>
    <m/>
    <x v="266"/>
    <n v="26.28"/>
    <d v="2013-10-06T00:00:00"/>
    <n v="-26.28"/>
    <x v="0"/>
    <x v="0"/>
    <x v="2"/>
    <x v="2"/>
    <x v="20"/>
    <x v="22"/>
  </r>
  <r>
    <d v="2013-10-06T00:00:00"/>
    <m/>
    <m/>
    <x v="266"/>
    <n v="20.39"/>
    <d v="2013-10-06T00:00:00"/>
    <n v="-20.39"/>
    <x v="0"/>
    <x v="0"/>
    <x v="2"/>
    <x v="2"/>
    <x v="20"/>
    <x v="22"/>
  </r>
  <r>
    <d v="2013-10-06T00:00:00"/>
    <m/>
    <m/>
    <x v="266"/>
    <n v="14"/>
    <d v="2013-10-06T00:00:00"/>
    <n v="-14"/>
    <x v="0"/>
    <x v="0"/>
    <x v="2"/>
    <x v="2"/>
    <x v="20"/>
    <x v="22"/>
  </r>
  <r>
    <d v="2013-10-06T00:00:00"/>
    <m/>
    <s v="TAXI - Giovanni Gronchi"/>
    <x v="266"/>
    <n v="23"/>
    <d v="2013-10-06T00:00:00"/>
    <n v="-23"/>
    <x v="0"/>
    <x v="0"/>
    <x v="8"/>
    <x v="0"/>
    <x v="20"/>
    <x v="22"/>
  </r>
  <r>
    <d v="2013-10-06T00:00:00"/>
    <m/>
    <m/>
    <x v="266"/>
    <n v="28.59"/>
    <d v="2013-10-06T00:00:00"/>
    <n v="-28.59"/>
    <x v="0"/>
    <x v="0"/>
    <x v="2"/>
    <x v="2"/>
    <x v="20"/>
    <x v="22"/>
  </r>
  <r>
    <d v="2013-10-08T00:00:00"/>
    <m/>
    <m/>
    <x v="267"/>
    <n v="35.880000000000003"/>
    <d v="2013-10-08T00:00:00"/>
    <n v="-35.880000000000003"/>
    <x v="0"/>
    <x v="0"/>
    <x v="2"/>
    <x v="2"/>
    <x v="3"/>
    <x v="22"/>
  </r>
  <r>
    <d v="2013-10-09T00:00:00"/>
    <m/>
    <m/>
    <x v="268"/>
    <n v="41"/>
    <d v="2013-10-09T00:00:00"/>
    <n v="-41"/>
    <x v="0"/>
    <x v="0"/>
    <x v="3"/>
    <x v="2"/>
    <x v="2"/>
    <x v="22"/>
  </r>
  <r>
    <d v="2013-10-09T00:00:00"/>
    <s v="131009-0900"/>
    <m/>
    <x v="268"/>
    <n v="100"/>
    <d v="2013-10-09T00:00:00"/>
    <n v="100"/>
    <x v="1"/>
    <x v="0"/>
    <x v="12"/>
    <x v="1"/>
    <x v="2"/>
    <x v="22"/>
  </r>
  <r>
    <d v="2013-10-09T00:00:00"/>
    <s v="131015-0900"/>
    <m/>
    <x v="269"/>
    <n v="350"/>
    <d v="2013-10-15T00:00:00"/>
    <n v="350"/>
    <x v="1"/>
    <x v="0"/>
    <x v="62"/>
    <x v="1"/>
    <x v="18"/>
    <x v="22"/>
  </r>
  <r>
    <d v="2013-10-09T00:00:00"/>
    <s v="131015-0900"/>
    <s v="COMISSÃO - AVIRA"/>
    <x v="269"/>
    <n v="7.68"/>
    <d v="2013-10-15T00:00:00"/>
    <n v="7.68"/>
    <x v="1"/>
    <x v="0"/>
    <x v="62"/>
    <x v="1"/>
    <x v="18"/>
    <x v="22"/>
  </r>
  <r>
    <d v="2013-10-10T00:00:00"/>
    <m/>
    <m/>
    <x v="166"/>
    <n v="31.7"/>
    <d v="2013-10-10T00:00:00"/>
    <n v="-31.7"/>
    <x v="0"/>
    <x v="0"/>
    <x v="18"/>
    <x v="0"/>
    <x v="1"/>
    <x v="22"/>
  </r>
  <r>
    <d v="2013-10-10T00:00:00"/>
    <m/>
    <m/>
    <x v="166"/>
    <n v="23.96"/>
    <d v="2013-10-10T00:00:00"/>
    <n v="-23.96"/>
    <x v="0"/>
    <x v="0"/>
    <x v="2"/>
    <x v="2"/>
    <x v="1"/>
    <x v="22"/>
  </r>
  <r>
    <d v="2013-10-10T00:00:00"/>
    <m/>
    <m/>
    <x v="166"/>
    <n v="39.450000000000003"/>
    <d v="2013-10-10T00:00:00"/>
    <n v="-39.450000000000003"/>
    <x v="0"/>
    <x v="0"/>
    <x v="2"/>
    <x v="2"/>
    <x v="1"/>
    <x v="22"/>
  </r>
  <r>
    <d v="2013-10-10T00:00:00"/>
    <m/>
    <m/>
    <x v="166"/>
    <n v="7.44"/>
    <d v="2013-10-10T00:00:00"/>
    <n v="-7.44"/>
    <x v="0"/>
    <x v="1"/>
    <x v="51"/>
    <x v="3"/>
    <x v="1"/>
    <x v="22"/>
  </r>
  <r>
    <d v="2013-10-12T00:00:00"/>
    <m/>
    <m/>
    <x v="270"/>
    <n v="70.900000000000006"/>
    <d v="2013-10-12T00:00:00"/>
    <n v="-70.900000000000006"/>
    <x v="0"/>
    <x v="0"/>
    <x v="2"/>
    <x v="2"/>
    <x v="22"/>
    <x v="22"/>
  </r>
  <r>
    <d v="2013-10-12T00:00:00"/>
    <m/>
    <s v="RODRIGO"/>
    <x v="270"/>
    <n v="15"/>
    <d v="2013-10-12T00:00:00"/>
    <n v="-15"/>
    <x v="0"/>
    <x v="0"/>
    <x v="53"/>
    <x v="0"/>
    <x v="22"/>
    <x v="22"/>
  </r>
  <r>
    <d v="2013-10-12T00:00:00"/>
    <m/>
    <m/>
    <x v="270"/>
    <n v="10.9"/>
    <d v="2013-10-12T00:00:00"/>
    <n v="-10.9"/>
    <x v="0"/>
    <x v="0"/>
    <x v="3"/>
    <x v="2"/>
    <x v="22"/>
    <x v="22"/>
  </r>
  <r>
    <d v="2013-10-12T00:00:00"/>
    <m/>
    <m/>
    <x v="270"/>
    <n v="34"/>
    <d v="2013-10-12T00:00:00"/>
    <n v="-34"/>
    <x v="0"/>
    <x v="0"/>
    <x v="3"/>
    <x v="2"/>
    <x v="22"/>
    <x v="22"/>
  </r>
  <r>
    <d v="2013-10-12T00:00:00"/>
    <m/>
    <s v="TAXI - SH.TABOAO"/>
    <x v="270"/>
    <n v="27"/>
    <d v="2013-10-12T00:00:00"/>
    <n v="-27"/>
    <x v="0"/>
    <x v="0"/>
    <x v="8"/>
    <x v="0"/>
    <x v="22"/>
    <x v="22"/>
  </r>
  <r>
    <d v="2013-10-13T00:00:00"/>
    <m/>
    <m/>
    <x v="271"/>
    <n v="11.3"/>
    <d v="2013-10-13T00:00:00"/>
    <n v="-11.3"/>
    <x v="0"/>
    <x v="0"/>
    <x v="3"/>
    <x v="2"/>
    <x v="23"/>
    <x v="22"/>
  </r>
  <r>
    <d v="2013-10-13T00:00:00"/>
    <m/>
    <m/>
    <x v="271"/>
    <n v="32.1"/>
    <d v="2013-10-13T00:00:00"/>
    <n v="-32.1"/>
    <x v="0"/>
    <x v="0"/>
    <x v="2"/>
    <x v="2"/>
    <x v="23"/>
    <x v="22"/>
  </r>
  <r>
    <d v="2013-10-14T00:00:00"/>
    <s v="131014-0900"/>
    <s v="NOVO LAYOUT SITE"/>
    <x v="272"/>
    <n v="200"/>
    <d v="2013-12-02T00:00:00"/>
    <n v="200"/>
    <x v="1"/>
    <x v="0"/>
    <x v="37"/>
    <x v="1"/>
    <x v="0"/>
    <x v="22"/>
  </r>
  <r>
    <d v="2013-10-15T00:00:00"/>
    <m/>
    <m/>
    <x v="269"/>
    <n v="31.9"/>
    <d v="2013-10-15T00:00:00"/>
    <n v="-31.9"/>
    <x v="0"/>
    <x v="0"/>
    <x v="3"/>
    <x v="2"/>
    <x v="18"/>
    <x v="22"/>
  </r>
  <r>
    <d v="2013-10-15T00:00:00"/>
    <m/>
    <m/>
    <x v="269"/>
    <n v="28.7"/>
    <d v="2013-10-15T00:00:00"/>
    <n v="-28.7"/>
    <x v="0"/>
    <x v="0"/>
    <x v="3"/>
    <x v="2"/>
    <x v="18"/>
    <x v="22"/>
  </r>
  <r>
    <d v="2013-10-15T00:00:00"/>
    <m/>
    <m/>
    <x v="269"/>
    <n v="20.75"/>
    <d v="2013-10-15T00:00:00"/>
    <n v="-20.75"/>
    <x v="0"/>
    <x v="0"/>
    <x v="3"/>
    <x v="2"/>
    <x v="18"/>
    <x v="22"/>
  </r>
  <r>
    <d v="2013-10-15T00:00:00"/>
    <m/>
    <m/>
    <x v="269"/>
    <n v="6.25"/>
    <d v="2013-10-15T00:00:00"/>
    <n v="-6.25"/>
    <x v="0"/>
    <x v="0"/>
    <x v="3"/>
    <x v="2"/>
    <x v="18"/>
    <x v="22"/>
  </r>
  <r>
    <d v="2013-10-15T00:00:00"/>
    <m/>
    <m/>
    <x v="269"/>
    <n v="29.5"/>
    <d v="2013-10-15T00:00:00"/>
    <n v="-29.5"/>
    <x v="0"/>
    <x v="0"/>
    <x v="3"/>
    <x v="2"/>
    <x v="18"/>
    <x v="22"/>
  </r>
  <r>
    <d v="2013-10-17T00:00:00"/>
    <m/>
    <m/>
    <x v="273"/>
    <n v="13.53"/>
    <d v="2013-10-17T00:00:00"/>
    <n v="-13.53"/>
    <x v="0"/>
    <x v="0"/>
    <x v="3"/>
    <x v="2"/>
    <x v="8"/>
    <x v="22"/>
  </r>
  <r>
    <d v="2013-10-19T00:00:00"/>
    <m/>
    <m/>
    <x v="274"/>
    <n v="72.41"/>
    <d v="2013-10-19T00:00:00"/>
    <n v="-72.41"/>
    <x v="0"/>
    <x v="0"/>
    <x v="2"/>
    <x v="2"/>
    <x v="30"/>
    <x v="22"/>
  </r>
  <r>
    <d v="2013-10-19T00:00:00"/>
    <m/>
    <m/>
    <x v="274"/>
    <n v="2.4900000000000002"/>
    <d v="2013-10-19T00:00:00"/>
    <n v="-2.4900000000000002"/>
    <x v="0"/>
    <x v="0"/>
    <x v="2"/>
    <x v="2"/>
    <x v="30"/>
    <x v="22"/>
  </r>
  <r>
    <d v="2013-10-19T00:00:00"/>
    <m/>
    <m/>
    <x v="274"/>
    <n v="22.17"/>
    <d v="2013-10-19T00:00:00"/>
    <n v="-22.17"/>
    <x v="0"/>
    <x v="0"/>
    <x v="2"/>
    <x v="2"/>
    <x v="30"/>
    <x v="22"/>
  </r>
  <r>
    <d v="2013-10-22T00:00:00"/>
    <m/>
    <m/>
    <x v="275"/>
    <n v="13"/>
    <d v="2013-10-22T00:00:00"/>
    <n v="-13"/>
    <x v="0"/>
    <x v="0"/>
    <x v="3"/>
    <x v="2"/>
    <x v="12"/>
    <x v="22"/>
  </r>
  <r>
    <d v="2013-10-23T00:00:00"/>
    <m/>
    <m/>
    <x v="276"/>
    <n v="20.49"/>
    <d v="2013-10-23T00:00:00"/>
    <n v="-20.49"/>
    <x v="0"/>
    <x v="0"/>
    <x v="2"/>
    <x v="2"/>
    <x v="13"/>
    <x v="22"/>
  </r>
  <r>
    <d v="2013-10-26T00:00:00"/>
    <m/>
    <m/>
    <x v="277"/>
    <n v="20"/>
    <d v="2013-10-26T00:00:00"/>
    <n v="-20"/>
    <x v="0"/>
    <x v="0"/>
    <x v="8"/>
    <x v="0"/>
    <x v="19"/>
    <x v="22"/>
  </r>
  <r>
    <d v="2013-10-26T00:00:00"/>
    <m/>
    <m/>
    <x v="277"/>
    <n v="6"/>
    <d v="2013-10-26T00:00:00"/>
    <n v="-6"/>
    <x v="0"/>
    <x v="0"/>
    <x v="3"/>
    <x v="2"/>
    <x v="19"/>
    <x v="22"/>
  </r>
  <r>
    <d v="2013-10-26T00:00:00"/>
    <m/>
    <m/>
    <x v="277"/>
    <n v="58.8"/>
    <d v="2013-10-26T00:00:00"/>
    <n v="-58.8"/>
    <x v="0"/>
    <x v="0"/>
    <x v="3"/>
    <x v="2"/>
    <x v="19"/>
    <x v="22"/>
  </r>
  <r>
    <d v="2013-10-27T00:00:00"/>
    <m/>
    <m/>
    <x v="278"/>
    <n v="4.5"/>
    <d v="2013-10-27T00:00:00"/>
    <n v="-4.5"/>
    <x v="0"/>
    <x v="0"/>
    <x v="3"/>
    <x v="2"/>
    <x v="26"/>
    <x v="22"/>
  </r>
  <r>
    <d v="2013-10-27T00:00:00"/>
    <m/>
    <m/>
    <x v="278"/>
    <n v="22.04"/>
    <d v="2013-10-27T00:00:00"/>
    <n v="-22.04"/>
    <x v="0"/>
    <x v="0"/>
    <x v="2"/>
    <x v="2"/>
    <x v="26"/>
    <x v="22"/>
  </r>
  <r>
    <d v="2013-10-28T00:00:00"/>
    <s v="131028-1600"/>
    <m/>
    <x v="279"/>
    <n v="100"/>
    <d v="2013-10-28T00:00:00"/>
    <n v="100"/>
    <x v="1"/>
    <x v="0"/>
    <x v="13"/>
    <x v="1"/>
    <x v="15"/>
    <x v="22"/>
  </r>
  <r>
    <d v="2013-10-28T00:00:00"/>
    <s v="131028-0900"/>
    <m/>
    <x v="280"/>
    <n v="170"/>
    <d v="2013-10-31T00:00:00"/>
    <n v="170"/>
    <x v="1"/>
    <x v="0"/>
    <x v="62"/>
    <x v="1"/>
    <x v="16"/>
    <x v="22"/>
  </r>
  <r>
    <d v="2013-10-29T00:00:00"/>
    <s v="131029-1000"/>
    <m/>
    <x v="281"/>
    <n v="300"/>
    <d v="2013-10-29T00:00:00"/>
    <n v="300"/>
    <x v="1"/>
    <x v="0"/>
    <x v="10"/>
    <x v="1"/>
    <x v="27"/>
    <x v="22"/>
  </r>
  <r>
    <d v="2013-10-29T00:00:00"/>
    <m/>
    <m/>
    <x v="281"/>
    <n v="10"/>
    <d v="2013-10-29T00:00:00"/>
    <n v="-10"/>
    <x v="0"/>
    <x v="0"/>
    <x v="8"/>
    <x v="0"/>
    <x v="27"/>
    <x v="22"/>
  </r>
  <r>
    <d v="2013-10-29T00:00:00"/>
    <m/>
    <m/>
    <x v="281"/>
    <n v="11.27"/>
    <d v="2013-10-29T00:00:00"/>
    <n v="-11.27"/>
    <x v="0"/>
    <x v="0"/>
    <x v="3"/>
    <x v="2"/>
    <x v="27"/>
    <x v="22"/>
  </r>
  <r>
    <d v="2013-10-29T00:00:00"/>
    <m/>
    <m/>
    <x v="281"/>
    <n v="18.260000000000002"/>
    <d v="2013-10-29T00:00:00"/>
    <n v="-18.260000000000002"/>
    <x v="0"/>
    <x v="0"/>
    <x v="3"/>
    <x v="2"/>
    <x v="27"/>
    <x v="22"/>
  </r>
  <r>
    <d v="2013-10-29T00:00:00"/>
    <s v="131029-0900"/>
    <s v="COMISSÃO - ROUTER"/>
    <x v="281"/>
    <n v="30.1"/>
    <d v="2013-10-29T00:00:00"/>
    <n v="30.1"/>
    <x v="1"/>
    <x v="0"/>
    <x v="12"/>
    <x v="1"/>
    <x v="27"/>
    <x v="22"/>
  </r>
  <r>
    <d v="2013-10-30T00:00:00"/>
    <s v="131030-0900"/>
    <m/>
    <x v="282"/>
    <n v="500"/>
    <d v="2013-10-30T00:00:00"/>
    <n v="500"/>
    <x v="1"/>
    <x v="0"/>
    <x v="12"/>
    <x v="1"/>
    <x v="28"/>
    <x v="22"/>
  </r>
  <r>
    <d v="2013-10-30T00:00:00"/>
    <s v="131030-0900"/>
    <m/>
    <x v="282"/>
    <n v="19.899999999999999"/>
    <d v="2013-10-30T00:00:00"/>
    <n v="-19.899999999999999"/>
    <x v="0"/>
    <x v="0"/>
    <x v="3"/>
    <x v="2"/>
    <x v="28"/>
    <x v="22"/>
  </r>
  <r>
    <d v="2013-10-30T00:00:00"/>
    <s v="131030-0900"/>
    <m/>
    <x v="282"/>
    <n v="19.899999999999999"/>
    <d v="2013-10-30T00:00:00"/>
    <n v="-15.8"/>
    <x v="0"/>
    <x v="0"/>
    <x v="8"/>
    <x v="0"/>
    <x v="28"/>
    <x v="22"/>
  </r>
  <r>
    <d v="2013-10-30T00:00:00"/>
    <s v="131030-0900"/>
    <m/>
    <x v="282"/>
    <n v="6"/>
    <d v="2013-10-30T00:00:00"/>
    <n v="-6"/>
    <x v="0"/>
    <x v="0"/>
    <x v="3"/>
    <x v="2"/>
    <x v="28"/>
    <x v="22"/>
  </r>
  <r>
    <d v="2013-10-30T00:00:00"/>
    <s v="130930-1030"/>
    <s v="RESTAURAÇÃO TOTAL"/>
    <x v="174"/>
    <n v="323.92"/>
    <d v="2013-12-18T00:00:00"/>
    <n v="323.92"/>
    <x v="1"/>
    <x v="0"/>
    <x v="63"/>
    <x v="1"/>
    <x v="1"/>
    <x v="24"/>
  </r>
  <r>
    <d v="2013-10-30T00:00:00"/>
    <s v="130930-1030"/>
    <s v="Taxa de parcelamento de cartão de crédito"/>
    <x v="174"/>
    <n v="13.51"/>
    <d v="2013-12-18T00:00:00"/>
    <n v="-13.51"/>
    <x v="0"/>
    <x v="2"/>
    <x v="64"/>
    <x v="15"/>
    <x v="1"/>
    <x v="24"/>
  </r>
  <r>
    <d v="2013-10-30T00:00:00"/>
    <s v="130930-1030"/>
    <s v="Taxa de intermediação"/>
    <x v="174"/>
    <n v="12.57"/>
    <d v="2013-12-18T00:00:00"/>
    <n v="-12.57"/>
    <x v="0"/>
    <x v="2"/>
    <x v="64"/>
    <x v="15"/>
    <x v="1"/>
    <x v="24"/>
  </r>
  <r>
    <d v="2013-10-30T00:00:00"/>
    <s v="130930-1030"/>
    <s v="AVIRA PROFESSIONAL SECURITY (3 ANOS) "/>
    <x v="167"/>
    <n v="18.46"/>
    <d v="2013-11-05T00:00:00"/>
    <n v="18.46"/>
    <x v="1"/>
    <x v="0"/>
    <x v="63"/>
    <x v="1"/>
    <x v="7"/>
    <x v="23"/>
  </r>
  <r>
    <d v="2013-10-31T00:00:00"/>
    <m/>
    <m/>
    <x v="280"/>
    <n v="20"/>
    <d v="2013-10-31T00:00:00"/>
    <n v="-20"/>
    <x v="0"/>
    <x v="0"/>
    <x v="8"/>
    <x v="0"/>
    <x v="16"/>
    <x v="22"/>
  </r>
  <r>
    <d v="2013-10-31T00:00:00"/>
    <m/>
    <m/>
    <x v="280"/>
    <n v="13"/>
    <d v="2013-10-31T00:00:00"/>
    <n v="-13"/>
    <x v="0"/>
    <x v="0"/>
    <x v="42"/>
    <x v="7"/>
    <x v="16"/>
    <x v="22"/>
  </r>
  <r>
    <d v="2013-10-31T00:00:00"/>
    <m/>
    <m/>
    <x v="280"/>
    <n v="11.9"/>
    <d v="2013-10-31T00:00:00"/>
    <n v="-11.9"/>
    <x v="0"/>
    <x v="0"/>
    <x v="18"/>
    <x v="0"/>
    <x v="16"/>
    <x v="22"/>
  </r>
  <r>
    <d v="2013-10-31T00:00:00"/>
    <m/>
    <m/>
    <x v="165"/>
    <n v="65"/>
    <d v="2013-10-01T00:00:00"/>
    <n v="-65"/>
    <x v="0"/>
    <x v="0"/>
    <x v="7"/>
    <x v="2"/>
    <x v="17"/>
    <x v="22"/>
  </r>
  <r>
    <d v="2013-11-02T00:00:00"/>
    <m/>
    <m/>
    <x v="283"/>
    <n v="41.69"/>
    <d v="2013-11-02T00:00:00"/>
    <n v="-41.69"/>
    <x v="0"/>
    <x v="0"/>
    <x v="2"/>
    <x v="2"/>
    <x v="4"/>
    <x v="23"/>
  </r>
  <r>
    <d v="2013-11-03T00:00:00"/>
    <m/>
    <m/>
    <x v="284"/>
    <n v="32.630000000000003"/>
    <d v="2013-11-03T00:00:00"/>
    <n v="-32.630000000000003"/>
    <x v="0"/>
    <x v="0"/>
    <x v="2"/>
    <x v="2"/>
    <x v="5"/>
    <x v="23"/>
  </r>
  <r>
    <d v="2013-11-05T00:00:00"/>
    <s v="131105-1000"/>
    <s v="NF.69"/>
    <x v="167"/>
    <n v="24"/>
    <d v="2013-11-05T00:00:00"/>
    <n v="-24"/>
    <x v="0"/>
    <x v="2"/>
    <x v="38"/>
    <x v="5"/>
    <x v="7"/>
    <x v="23"/>
  </r>
  <r>
    <d v="2013-11-05T00:00:00"/>
    <s v="131105-1000"/>
    <s v="DESENVOLVIMENTO"/>
    <x v="167"/>
    <n v="7.5"/>
    <d v="2013-11-05T00:00:00"/>
    <n v="-7.5"/>
    <x v="0"/>
    <x v="0"/>
    <x v="3"/>
    <x v="2"/>
    <x v="7"/>
    <x v="23"/>
  </r>
  <r>
    <d v="2013-11-05T00:00:00"/>
    <s v="131105-1000"/>
    <s v="TAXI - PORTAL/AP"/>
    <x v="167"/>
    <n v="7"/>
    <d v="2013-11-05T00:00:00"/>
    <n v="-7"/>
    <x v="0"/>
    <x v="0"/>
    <x v="8"/>
    <x v="0"/>
    <x v="7"/>
    <x v="23"/>
  </r>
  <r>
    <d v="2013-11-05T00:00:00"/>
    <s v="131105-1000"/>
    <s v="DESENVOLVIMENTO"/>
    <x v="167"/>
    <n v="6"/>
    <d v="2013-11-05T00:00:00"/>
    <n v="-6"/>
    <x v="0"/>
    <x v="0"/>
    <x v="3"/>
    <x v="2"/>
    <x v="7"/>
    <x v="23"/>
  </r>
  <r>
    <d v="2013-11-05T00:00:00"/>
    <m/>
    <m/>
    <x v="167"/>
    <n v="36.75"/>
    <d v="2013-11-05T00:00:00"/>
    <n v="-36.75"/>
    <x v="0"/>
    <x v="0"/>
    <x v="3"/>
    <x v="2"/>
    <x v="7"/>
    <x v="23"/>
  </r>
  <r>
    <d v="2013-11-06T00:00:00"/>
    <m/>
    <m/>
    <x v="285"/>
    <n v="4.9000000000000004"/>
    <d v="2013-11-06T00:00:00"/>
    <n v="-4.9000000000000004"/>
    <x v="0"/>
    <x v="0"/>
    <x v="2"/>
    <x v="2"/>
    <x v="20"/>
    <x v="23"/>
  </r>
  <r>
    <d v="2013-11-06T00:00:00"/>
    <m/>
    <s v="MERCADO"/>
    <x v="285"/>
    <n v="74.77"/>
    <d v="2013-11-06T00:00:00"/>
    <n v="-74.77"/>
    <x v="0"/>
    <x v="0"/>
    <x v="2"/>
    <x v="2"/>
    <x v="20"/>
    <x v="23"/>
  </r>
  <r>
    <d v="2013-11-06T00:00:00"/>
    <m/>
    <s v="LANCHES/LAZER"/>
    <x v="285"/>
    <n v="19.899999999999999"/>
    <d v="2013-11-06T00:00:00"/>
    <n v="-19.899999999999999"/>
    <x v="0"/>
    <x v="0"/>
    <x v="3"/>
    <x v="2"/>
    <x v="20"/>
    <x v="23"/>
  </r>
  <r>
    <d v="2013-11-06T00:00:00"/>
    <m/>
    <s v="LANCHES/LAZER"/>
    <x v="285"/>
    <n v="25"/>
    <d v="2013-11-06T00:00:00"/>
    <n v="-25"/>
    <x v="0"/>
    <x v="0"/>
    <x v="3"/>
    <x v="2"/>
    <x v="20"/>
    <x v="23"/>
  </r>
  <r>
    <d v="2013-11-06T00:00:00"/>
    <m/>
    <s v="RODRIGO - ROUPAS"/>
    <x v="285"/>
    <n v="31.95"/>
    <d v="2013-11-06T00:00:00"/>
    <n v="-31.95"/>
    <x v="0"/>
    <x v="0"/>
    <x v="3"/>
    <x v="2"/>
    <x v="20"/>
    <x v="23"/>
  </r>
  <r>
    <d v="2013-11-06T00:00:00"/>
    <m/>
    <s v="RODRIGO - ROUPAS"/>
    <x v="285"/>
    <n v="29.82"/>
    <d v="2013-11-06T00:00:00"/>
    <n v="-29.82"/>
    <x v="0"/>
    <x v="0"/>
    <x v="53"/>
    <x v="0"/>
    <x v="20"/>
    <x v="23"/>
  </r>
  <r>
    <d v="2013-11-06T00:00:00"/>
    <m/>
    <s v="PIZZA"/>
    <x v="285"/>
    <n v="40.799999999999997"/>
    <d v="2013-11-06T00:00:00"/>
    <n v="-40.799999999999997"/>
    <x v="0"/>
    <x v="0"/>
    <x v="3"/>
    <x v="2"/>
    <x v="20"/>
    <x v="23"/>
  </r>
  <r>
    <d v="2013-11-06T00:00:00"/>
    <m/>
    <s v="AVIRA"/>
    <x v="285"/>
    <n v="84.626666666666665"/>
    <d v="2013-11-06T00:00:00"/>
    <n v="-84.626666666666694"/>
    <x v="0"/>
    <x v="0"/>
    <x v="65"/>
    <x v="0"/>
    <x v="20"/>
    <x v="23"/>
  </r>
  <r>
    <d v="2013-11-06T00:00:00"/>
    <s v="131105-1000"/>
    <s v="DESENVOLVIMENTO"/>
    <x v="285"/>
    <n v="1200"/>
    <d v="2013-11-06T00:00:00"/>
    <n v="1200"/>
    <x v="1"/>
    <x v="2"/>
    <x v="9"/>
    <x v="1"/>
    <x v="20"/>
    <x v="23"/>
  </r>
  <r>
    <d v="2013-11-06T00:00:00"/>
    <m/>
    <m/>
    <x v="285"/>
    <n v="15"/>
    <d v="2013-11-06T00:00:00"/>
    <n v="-15"/>
    <x v="0"/>
    <x v="0"/>
    <x v="58"/>
    <x v="7"/>
    <x v="20"/>
    <x v="23"/>
  </r>
  <r>
    <d v="2013-11-07T00:00:00"/>
    <m/>
    <m/>
    <x v="286"/>
    <n v="59.8"/>
    <d v="2013-12-13T00:00:00"/>
    <n v="-59.8"/>
    <x v="0"/>
    <x v="0"/>
    <x v="3"/>
    <x v="2"/>
    <x v="29"/>
    <x v="23"/>
  </r>
  <r>
    <d v="2013-11-08T00:00:00"/>
    <m/>
    <m/>
    <x v="287"/>
    <n v="163.69999999999999"/>
    <d v="2013-11-08T00:00:00"/>
    <n v="-163.69999999999999"/>
    <x v="0"/>
    <x v="0"/>
    <x v="2"/>
    <x v="2"/>
    <x v="3"/>
    <x v="23"/>
  </r>
  <r>
    <d v="2013-11-08T00:00:00"/>
    <m/>
    <s v="Taxi - Taboão/AP"/>
    <x v="287"/>
    <n v="12"/>
    <d v="2013-11-08T00:00:00"/>
    <n v="-12"/>
    <x v="0"/>
    <x v="0"/>
    <x v="8"/>
    <x v="0"/>
    <x v="3"/>
    <x v="23"/>
  </r>
  <r>
    <d v="2013-11-08T00:00:00"/>
    <m/>
    <m/>
    <x v="287"/>
    <n v="10"/>
    <d v="2013-11-08T00:00:00"/>
    <n v="-10"/>
    <x v="0"/>
    <x v="0"/>
    <x v="8"/>
    <x v="0"/>
    <x v="3"/>
    <x v="23"/>
  </r>
  <r>
    <d v="2013-11-08T00:00:00"/>
    <s v="131108-1500"/>
    <s v="COMISSÃO - MONITOR"/>
    <x v="287"/>
    <n v="20"/>
    <d v="2013-11-08T00:00:00"/>
    <n v="20"/>
    <x v="1"/>
    <x v="0"/>
    <x v="63"/>
    <x v="1"/>
    <x v="3"/>
    <x v="23"/>
  </r>
  <r>
    <d v="2013-11-08T00:00:00"/>
    <s v="131108-1100"/>
    <m/>
    <x v="287"/>
    <n v="200"/>
    <d v="2013-11-14T00:00:00"/>
    <n v="200"/>
    <x v="1"/>
    <x v="0"/>
    <x v="12"/>
    <x v="1"/>
    <x v="3"/>
    <x v="23"/>
  </r>
  <r>
    <d v="2013-11-08T00:00:00"/>
    <s v="131108-1100"/>
    <m/>
    <x v="287"/>
    <n v="10"/>
    <d v="2013-11-08T00:00:00"/>
    <n v="-10"/>
    <x v="0"/>
    <x v="0"/>
    <x v="3"/>
    <x v="2"/>
    <x v="3"/>
    <x v="23"/>
  </r>
  <r>
    <d v="2013-11-09T00:00:00"/>
    <m/>
    <s v="Hortfruiti"/>
    <x v="288"/>
    <n v="42.77"/>
    <d v="2013-11-09T00:00:00"/>
    <n v="-42.77"/>
    <x v="0"/>
    <x v="0"/>
    <x v="2"/>
    <x v="2"/>
    <x v="2"/>
    <x v="23"/>
  </r>
  <r>
    <d v="2013-11-09T00:00:00"/>
    <m/>
    <m/>
    <x v="288"/>
    <n v="100"/>
    <d v="2013-12-13T00:00:00"/>
    <n v="-100"/>
    <x v="0"/>
    <x v="0"/>
    <x v="2"/>
    <x v="2"/>
    <x v="2"/>
    <x v="23"/>
  </r>
  <r>
    <d v="2013-11-09T00:00:00"/>
    <m/>
    <s v="OUTBACK"/>
    <x v="288"/>
    <n v="142.28"/>
    <d v="2013-12-13T00:00:00"/>
    <n v="-142.28"/>
    <x v="0"/>
    <x v="0"/>
    <x v="3"/>
    <x v="2"/>
    <x v="2"/>
    <x v="23"/>
  </r>
  <r>
    <d v="2013-11-10T00:00:00"/>
    <m/>
    <s v="REF. 11/2013"/>
    <x v="174"/>
    <n v="79.86"/>
    <d v="2014-02-07T00:00:00"/>
    <n v="-79.86"/>
    <x v="0"/>
    <x v="1"/>
    <x v="33"/>
    <x v="11"/>
    <x v="1"/>
    <x v="24"/>
  </r>
  <r>
    <d v="2013-11-10T00:00:00"/>
    <m/>
    <s v="REF. 12/2013"/>
    <x v="175"/>
    <n v="700"/>
    <m/>
    <n v="-700"/>
    <x v="0"/>
    <x v="1"/>
    <x v="43"/>
    <x v="11"/>
    <x v="1"/>
    <x v="15"/>
  </r>
  <r>
    <d v="2013-11-11T00:00:00"/>
    <m/>
    <m/>
    <x v="289"/>
    <n v="7.44"/>
    <d v="2013-11-11T00:00:00"/>
    <n v="-7.44"/>
    <x v="0"/>
    <x v="1"/>
    <x v="51"/>
    <x v="3"/>
    <x v="21"/>
    <x v="23"/>
  </r>
  <r>
    <d v="2013-11-11T00:00:00"/>
    <m/>
    <s v="VANESSA"/>
    <x v="289"/>
    <n v="18"/>
    <d v="2013-11-11T00:00:00"/>
    <n v="-18"/>
    <x v="0"/>
    <x v="0"/>
    <x v="57"/>
    <x v="7"/>
    <x v="21"/>
    <x v="23"/>
  </r>
  <r>
    <d v="2013-11-12T00:00:00"/>
    <m/>
    <m/>
    <x v="290"/>
    <n v="20"/>
    <d v="2013-11-12T00:00:00"/>
    <n v="-20"/>
    <x v="0"/>
    <x v="0"/>
    <x v="8"/>
    <x v="0"/>
    <x v="22"/>
    <x v="23"/>
  </r>
  <r>
    <d v="2013-11-12T00:00:00"/>
    <m/>
    <m/>
    <x v="290"/>
    <n v="56.51"/>
    <d v="2013-11-12T00:00:00"/>
    <n v="-56.51"/>
    <x v="0"/>
    <x v="0"/>
    <x v="2"/>
    <x v="2"/>
    <x v="22"/>
    <x v="23"/>
  </r>
  <r>
    <d v="2013-11-12T00:00:00"/>
    <m/>
    <m/>
    <x v="290"/>
    <n v="11"/>
    <d v="2013-11-12T00:00:00"/>
    <n v="-11"/>
    <x v="0"/>
    <x v="0"/>
    <x v="2"/>
    <x v="2"/>
    <x v="22"/>
    <x v="23"/>
  </r>
  <r>
    <d v="2013-11-14T00:00:00"/>
    <m/>
    <m/>
    <x v="291"/>
    <n v="69.88"/>
    <d v="2013-11-14T00:00:00"/>
    <n v="-69.88"/>
    <x v="0"/>
    <x v="0"/>
    <x v="2"/>
    <x v="2"/>
    <x v="0"/>
    <x v="23"/>
  </r>
  <r>
    <d v="2013-11-14T00:00:00"/>
    <m/>
    <s v="Taxi - Taboão/AP"/>
    <x v="291"/>
    <n v="12"/>
    <d v="2013-11-14T00:00:00"/>
    <n v="-12"/>
    <x v="0"/>
    <x v="0"/>
    <x v="8"/>
    <x v="0"/>
    <x v="0"/>
    <x v="23"/>
  </r>
  <r>
    <d v="2013-11-14T00:00:00"/>
    <m/>
    <m/>
    <x v="291"/>
    <n v="18.5"/>
    <d v="2013-11-14T00:00:00"/>
    <n v="-18.5"/>
    <x v="0"/>
    <x v="0"/>
    <x v="3"/>
    <x v="2"/>
    <x v="0"/>
    <x v="23"/>
  </r>
  <r>
    <d v="2013-11-16T00:00:00"/>
    <m/>
    <m/>
    <x v="292"/>
    <n v="25.66"/>
    <d v="2013-11-16T00:00:00"/>
    <n v="-25.66"/>
    <x v="0"/>
    <x v="0"/>
    <x v="2"/>
    <x v="2"/>
    <x v="24"/>
    <x v="23"/>
  </r>
  <r>
    <d v="2013-11-16T00:00:00"/>
    <m/>
    <s v="Taxi - Taboão/AP"/>
    <x v="292"/>
    <n v="12"/>
    <d v="2013-11-16T00:00:00"/>
    <n v="-12"/>
    <x v="0"/>
    <x v="0"/>
    <x v="8"/>
    <x v="0"/>
    <x v="24"/>
    <x v="23"/>
  </r>
  <r>
    <d v="2013-11-18T00:00:00"/>
    <m/>
    <m/>
    <x v="293"/>
    <n v="24"/>
    <d v="2013-11-18T00:00:00"/>
    <n v="-24"/>
    <x v="0"/>
    <x v="0"/>
    <x v="3"/>
    <x v="2"/>
    <x v="9"/>
    <x v="23"/>
  </r>
  <r>
    <d v="2013-11-19T00:00:00"/>
    <m/>
    <m/>
    <x v="294"/>
    <n v="10"/>
    <d v="2013-11-19T00:00:00"/>
    <n v="-10"/>
    <x v="0"/>
    <x v="0"/>
    <x v="8"/>
    <x v="0"/>
    <x v="30"/>
    <x v="23"/>
  </r>
  <r>
    <d v="2013-11-19T00:00:00"/>
    <m/>
    <m/>
    <x v="294"/>
    <n v="115.32"/>
    <d v="2013-12-13T00:00:00"/>
    <n v="-115.32"/>
    <x v="0"/>
    <x v="0"/>
    <x v="2"/>
    <x v="2"/>
    <x v="30"/>
    <x v="23"/>
  </r>
  <r>
    <d v="2013-11-19T00:00:00"/>
    <m/>
    <m/>
    <x v="294"/>
    <n v="20"/>
    <d v="2013-12-13T00:00:00"/>
    <n v="-20"/>
    <x v="0"/>
    <x v="0"/>
    <x v="3"/>
    <x v="2"/>
    <x v="30"/>
    <x v="23"/>
  </r>
  <r>
    <d v="2013-11-19T00:00:00"/>
    <m/>
    <s v="Taxi - Taboão/AP"/>
    <x v="294"/>
    <n v="12"/>
    <d v="2013-11-19T00:00:00"/>
    <n v="-12"/>
    <x v="0"/>
    <x v="0"/>
    <x v="8"/>
    <x v="0"/>
    <x v="30"/>
    <x v="23"/>
  </r>
  <r>
    <d v="2013-11-20T00:00:00"/>
    <m/>
    <s v="Corte de cabelo"/>
    <x v="155"/>
    <n v="25"/>
    <d v="2013-11-20T00:00:00"/>
    <n v="-25"/>
    <x v="0"/>
    <x v="1"/>
    <x v="11"/>
    <x v="4"/>
    <x v="10"/>
    <x v="23"/>
  </r>
  <r>
    <d v="2013-11-20T00:00:00"/>
    <m/>
    <m/>
    <x v="155"/>
    <n v="10"/>
    <d v="2013-11-20T00:00:00"/>
    <n v="-10"/>
    <x v="0"/>
    <x v="0"/>
    <x v="2"/>
    <x v="2"/>
    <x v="10"/>
    <x v="23"/>
  </r>
  <r>
    <d v="2013-11-23T00:00:00"/>
    <m/>
    <s v="GASOLINA - AP/FAMILIA/AP"/>
    <x v="295"/>
    <n v="30"/>
    <d v="2013-11-23T00:00:00"/>
    <n v="-30"/>
    <x v="0"/>
    <x v="0"/>
    <x v="8"/>
    <x v="0"/>
    <x v="13"/>
    <x v="23"/>
  </r>
  <r>
    <d v="2013-11-23T00:00:00"/>
    <m/>
    <m/>
    <x v="295"/>
    <n v="36.729999999999997"/>
    <d v="2013-11-23T00:00:00"/>
    <n v="-36.729999999999997"/>
    <x v="0"/>
    <x v="0"/>
    <x v="2"/>
    <x v="2"/>
    <x v="13"/>
    <x v="23"/>
  </r>
  <r>
    <d v="2013-11-24T00:00:00"/>
    <m/>
    <m/>
    <x v="296"/>
    <n v="17.059999999999999"/>
    <d v="2013-11-24T00:00:00"/>
    <n v="-17.059999999999999"/>
    <x v="0"/>
    <x v="0"/>
    <x v="2"/>
    <x v="2"/>
    <x v="14"/>
    <x v="23"/>
  </r>
  <r>
    <d v="2013-11-24T00:00:00"/>
    <m/>
    <m/>
    <x v="296"/>
    <n v="10.91"/>
    <d v="2013-11-24T00:00:00"/>
    <n v="-10.91"/>
    <x v="0"/>
    <x v="0"/>
    <x v="2"/>
    <x v="2"/>
    <x v="14"/>
    <x v="23"/>
  </r>
  <r>
    <d v="2013-11-26T00:00:00"/>
    <m/>
    <m/>
    <x v="297"/>
    <n v="22.33"/>
    <d v="2013-11-26T00:00:00"/>
    <n v="-22.33"/>
    <x v="0"/>
    <x v="0"/>
    <x v="2"/>
    <x v="2"/>
    <x v="19"/>
    <x v="23"/>
  </r>
  <r>
    <d v="2013-11-26T00:00:00"/>
    <m/>
    <m/>
    <x v="297"/>
    <n v="25.23"/>
    <d v="2013-11-26T00:00:00"/>
    <n v="-25.23"/>
    <x v="0"/>
    <x v="0"/>
    <x v="2"/>
    <x v="2"/>
    <x v="19"/>
    <x v="23"/>
  </r>
  <r>
    <d v="2013-11-26T00:00:00"/>
    <m/>
    <m/>
    <x v="297"/>
    <n v="58.69"/>
    <d v="2013-11-26T00:00:00"/>
    <n v="-58.69"/>
    <x v="0"/>
    <x v="0"/>
    <x v="2"/>
    <x v="2"/>
    <x v="19"/>
    <x v="23"/>
  </r>
  <r>
    <d v="2013-11-28T00:00:00"/>
    <s v="131128-1300"/>
    <m/>
    <x v="298"/>
    <n v="100"/>
    <d v="2013-11-28T00:00:00"/>
    <n v="100"/>
    <x v="1"/>
    <x v="0"/>
    <x v="12"/>
    <x v="1"/>
    <x v="15"/>
    <x v="23"/>
  </r>
  <r>
    <d v="2013-11-29T00:00:00"/>
    <m/>
    <s v="PIZZA"/>
    <x v="299"/>
    <n v="20.5"/>
    <d v="2013-12-13T00:00:00"/>
    <n v="-20.5"/>
    <x v="0"/>
    <x v="0"/>
    <x v="3"/>
    <x v="2"/>
    <x v="27"/>
    <x v="23"/>
  </r>
  <r>
    <d v="2013-11-30T00:00:00"/>
    <m/>
    <m/>
    <x v="170"/>
    <n v="65"/>
    <d v="2013-11-01T00:00:00"/>
    <n v="-65"/>
    <x v="0"/>
    <x v="0"/>
    <x v="7"/>
    <x v="2"/>
    <x v="17"/>
    <x v="23"/>
  </r>
  <r>
    <d v="2013-12-02T00:00:00"/>
    <m/>
    <m/>
    <x v="300"/>
    <n v="15.67"/>
    <d v="2013-12-02T00:00:00"/>
    <n v="-15.67"/>
    <x v="0"/>
    <x v="0"/>
    <x v="2"/>
    <x v="2"/>
    <x v="4"/>
    <x v="24"/>
  </r>
  <r>
    <d v="2013-12-03T00:00:00"/>
    <m/>
    <m/>
    <x v="301"/>
    <n v="16.2"/>
    <d v="2013-12-03T00:00:00"/>
    <n v="-16.2"/>
    <x v="0"/>
    <x v="0"/>
    <x v="3"/>
    <x v="2"/>
    <x v="5"/>
    <x v="24"/>
  </r>
  <r>
    <d v="2013-12-03T00:00:00"/>
    <m/>
    <m/>
    <x v="301"/>
    <n v="63.21"/>
    <d v="2013-12-03T00:00:00"/>
    <n v="-63.21"/>
    <x v="0"/>
    <x v="0"/>
    <x v="2"/>
    <x v="2"/>
    <x v="5"/>
    <x v="24"/>
  </r>
  <r>
    <d v="2013-12-05T00:00:00"/>
    <m/>
    <m/>
    <x v="302"/>
    <n v="3.62"/>
    <d v="2013-12-05T00:00:00"/>
    <n v="-3.62"/>
    <x v="0"/>
    <x v="0"/>
    <x v="2"/>
    <x v="2"/>
    <x v="7"/>
    <x v="24"/>
  </r>
  <r>
    <d v="2013-12-06T00:00:00"/>
    <m/>
    <s v="RODRIGO - ROUPAS"/>
    <x v="303"/>
    <n v="29.82"/>
    <d v="2013-12-13T00:00:00"/>
    <n v="-29.82"/>
    <x v="0"/>
    <x v="0"/>
    <x v="53"/>
    <x v="0"/>
    <x v="20"/>
    <x v="24"/>
  </r>
  <r>
    <d v="2013-12-06T00:00:00"/>
    <s v="VANESSA"/>
    <s v="RODRIGO - ROUPAS"/>
    <x v="174"/>
    <n v="29.82"/>
    <m/>
    <n v="-29.82"/>
    <x v="0"/>
    <x v="0"/>
    <x v="53"/>
    <x v="0"/>
    <x v="1"/>
    <x v="15"/>
  </r>
  <r>
    <d v="2013-12-06T00:00:00"/>
    <s v="VANESSA"/>
    <s v="RODRIGO - ROUPAS"/>
    <x v="174"/>
    <n v="29.82"/>
    <m/>
    <n v="-29.82"/>
    <x v="0"/>
    <x v="0"/>
    <x v="53"/>
    <x v="0"/>
    <x v="1"/>
    <x v="15"/>
  </r>
  <r>
    <d v="2013-12-06T00:00:00"/>
    <s v="VANESSA"/>
    <s v="RODRIGO - ROUPAS"/>
    <x v="174"/>
    <n v="29.82"/>
    <m/>
    <n v="-29.82"/>
    <x v="0"/>
    <x v="0"/>
    <x v="53"/>
    <x v="0"/>
    <x v="1"/>
    <x v="15"/>
  </r>
  <r>
    <d v="2013-12-06T00:00:00"/>
    <m/>
    <m/>
    <x v="303"/>
    <n v="8.84"/>
    <d v="2013-12-06T00:00:00"/>
    <n v="-8.84"/>
    <x v="0"/>
    <x v="0"/>
    <x v="2"/>
    <x v="2"/>
    <x v="20"/>
    <x v="24"/>
  </r>
  <r>
    <d v="2013-12-08T00:00:00"/>
    <m/>
    <m/>
    <x v="304"/>
    <n v="27.81"/>
    <d v="2013-12-08T00:00:00"/>
    <n v="-27.81"/>
    <x v="0"/>
    <x v="0"/>
    <x v="2"/>
    <x v="2"/>
    <x v="3"/>
    <x v="24"/>
  </r>
  <r>
    <d v="2013-12-08T00:00:00"/>
    <m/>
    <m/>
    <x v="304"/>
    <n v="20"/>
    <d v="2013-12-08T00:00:00"/>
    <n v="-20"/>
    <x v="0"/>
    <x v="0"/>
    <x v="2"/>
    <x v="2"/>
    <x v="3"/>
    <x v="24"/>
  </r>
  <r>
    <d v="2013-12-10T00:00:00"/>
    <s v="131220-0930"/>
    <s v="COMP. 12/2013"/>
    <x v="305"/>
    <n v="87.14"/>
    <d v="2013-12-23T00:00:00"/>
    <n v="87.14"/>
    <x v="1"/>
    <x v="0"/>
    <x v="23"/>
    <x v="1"/>
    <x v="10"/>
    <x v="24"/>
  </r>
  <r>
    <d v="2013-12-10T00:00:00"/>
    <s v="131220-0910"/>
    <s v="COMP. 12/2013"/>
    <x v="305"/>
    <n v="67.849999999999994"/>
    <d v="2013-12-20T00:00:00"/>
    <n v="67.849999999999994"/>
    <x v="1"/>
    <x v="0"/>
    <x v="24"/>
    <x v="1"/>
    <x v="10"/>
    <x v="24"/>
  </r>
  <r>
    <d v="2013-12-10T00:00:00"/>
    <s v="131220-1000"/>
    <s v="SEMESTRAL"/>
    <x v="305"/>
    <n v="60"/>
    <d v="2013-12-20T00:00:00"/>
    <n v="60"/>
    <x v="1"/>
    <x v="0"/>
    <x v="37"/>
    <x v="1"/>
    <x v="10"/>
    <x v="24"/>
  </r>
  <r>
    <d v="2013-12-10T00:00:00"/>
    <s v="131210-1030"/>
    <m/>
    <x v="174"/>
    <n v="100"/>
    <d v="2013-12-10T00:00:00"/>
    <n v="100"/>
    <x v="1"/>
    <x v="0"/>
    <x v="10"/>
    <x v="1"/>
    <x v="1"/>
    <x v="24"/>
  </r>
  <r>
    <d v="2013-12-11T00:00:00"/>
    <m/>
    <m/>
    <x v="306"/>
    <n v="19.32"/>
    <d v="2013-12-11T00:00:00"/>
    <n v="-19.32"/>
    <x v="0"/>
    <x v="0"/>
    <x v="2"/>
    <x v="2"/>
    <x v="21"/>
    <x v="24"/>
  </r>
  <r>
    <d v="2013-12-12T00:00:00"/>
    <s v="131212-1000 "/>
    <s v="NF.70"/>
    <x v="307"/>
    <n v="11"/>
    <d v="2013-12-18T00:00:00"/>
    <n v="-11"/>
    <x v="0"/>
    <x v="2"/>
    <x v="38"/>
    <x v="5"/>
    <x v="9"/>
    <x v="24"/>
  </r>
  <r>
    <d v="2013-12-12T00:00:00"/>
    <m/>
    <m/>
    <x v="308"/>
    <n v="9"/>
    <d v="2013-12-12T00:00:00"/>
    <n v="-9"/>
    <x v="0"/>
    <x v="0"/>
    <x v="8"/>
    <x v="0"/>
    <x v="22"/>
    <x v="24"/>
  </r>
  <r>
    <d v="2013-12-12T00:00:00"/>
    <s v="131212-1000"/>
    <m/>
    <x v="308"/>
    <n v="550"/>
    <d v="2013-12-13T00:00:00"/>
    <n v="550"/>
    <x v="1"/>
    <x v="2"/>
    <x v="9"/>
    <x v="1"/>
    <x v="22"/>
    <x v="24"/>
  </r>
  <r>
    <d v="2013-12-12T00:00:00"/>
    <m/>
    <m/>
    <x v="308"/>
    <n v="11"/>
    <d v="2013-12-12T00:00:00"/>
    <n v="-11"/>
    <x v="0"/>
    <x v="0"/>
    <x v="3"/>
    <x v="2"/>
    <x v="22"/>
    <x v="24"/>
  </r>
  <r>
    <d v="2013-12-12T00:00:00"/>
    <m/>
    <m/>
    <x v="308"/>
    <n v="17.11"/>
    <d v="2013-12-12T00:00:00"/>
    <n v="-17.11"/>
    <x v="0"/>
    <x v="0"/>
    <x v="2"/>
    <x v="2"/>
    <x v="22"/>
    <x v="24"/>
  </r>
  <r>
    <d v="2013-12-12T00:00:00"/>
    <m/>
    <s v="Hortfruiti"/>
    <x v="308"/>
    <n v="8.15"/>
    <d v="2013-12-12T00:00:00"/>
    <n v="-8.15"/>
    <x v="0"/>
    <x v="0"/>
    <x v="2"/>
    <x v="2"/>
    <x v="22"/>
    <x v="24"/>
  </r>
  <r>
    <d v="2013-12-13T00:00:00"/>
    <m/>
    <m/>
    <x v="309"/>
    <n v="36.71"/>
    <d v="2013-12-13T00:00:00"/>
    <n v="-36.71"/>
    <x v="0"/>
    <x v="0"/>
    <x v="3"/>
    <x v="2"/>
    <x v="23"/>
    <x v="24"/>
  </r>
  <r>
    <d v="2013-12-13T00:00:00"/>
    <m/>
    <m/>
    <x v="309"/>
    <n v="10.66"/>
    <d v="2013-12-13T00:00:00"/>
    <n v="-10.66"/>
    <x v="0"/>
    <x v="0"/>
    <x v="3"/>
    <x v="2"/>
    <x v="23"/>
    <x v="24"/>
  </r>
  <r>
    <d v="2013-12-13T00:00:00"/>
    <m/>
    <m/>
    <x v="309"/>
    <n v="10"/>
    <d v="2013-12-13T00:00:00"/>
    <n v="-10"/>
    <x v="0"/>
    <x v="0"/>
    <x v="3"/>
    <x v="2"/>
    <x v="23"/>
    <x v="24"/>
  </r>
  <r>
    <d v="2013-12-14T00:00:00"/>
    <m/>
    <m/>
    <x v="238"/>
    <n v="250"/>
    <m/>
    <n v="-250"/>
    <x v="0"/>
    <x v="0"/>
    <x v="66"/>
    <x v="6"/>
    <x v="10"/>
    <x v="15"/>
  </r>
  <r>
    <d v="2013-12-14T00:00:00"/>
    <m/>
    <m/>
    <x v="310"/>
    <n v="250"/>
    <m/>
    <n v="-250"/>
    <x v="0"/>
    <x v="0"/>
    <x v="66"/>
    <x v="6"/>
    <x v="10"/>
    <x v="15"/>
  </r>
  <r>
    <d v="2013-12-14T00:00:00"/>
    <m/>
    <m/>
    <x v="311"/>
    <n v="250"/>
    <m/>
    <n v="-250"/>
    <x v="0"/>
    <x v="0"/>
    <x v="66"/>
    <x v="6"/>
    <x v="10"/>
    <x v="15"/>
  </r>
  <r>
    <d v="2013-12-14T00:00:00"/>
    <m/>
    <m/>
    <x v="312"/>
    <n v="250"/>
    <m/>
    <n v="-250"/>
    <x v="0"/>
    <x v="0"/>
    <x v="66"/>
    <x v="6"/>
    <x v="10"/>
    <x v="15"/>
  </r>
  <r>
    <d v="2013-12-14T00:00:00"/>
    <m/>
    <m/>
    <x v="313"/>
    <n v="250"/>
    <m/>
    <n v="-250"/>
    <x v="0"/>
    <x v="0"/>
    <x v="66"/>
    <x v="6"/>
    <x v="10"/>
    <x v="15"/>
  </r>
  <r>
    <d v="2013-12-14T00:00:00"/>
    <m/>
    <m/>
    <x v="314"/>
    <n v="250"/>
    <m/>
    <n v="-250"/>
    <x v="0"/>
    <x v="0"/>
    <x v="66"/>
    <x v="6"/>
    <x v="10"/>
    <x v="15"/>
  </r>
  <r>
    <d v="2013-12-14T00:00:00"/>
    <m/>
    <m/>
    <x v="315"/>
    <n v="250"/>
    <m/>
    <n v="-250"/>
    <x v="0"/>
    <x v="0"/>
    <x v="66"/>
    <x v="6"/>
    <x v="10"/>
    <x v="15"/>
  </r>
  <r>
    <d v="2013-12-14T00:00:00"/>
    <m/>
    <m/>
    <x v="316"/>
    <n v="250"/>
    <m/>
    <n v="-250"/>
    <x v="0"/>
    <x v="0"/>
    <x v="66"/>
    <x v="6"/>
    <x v="10"/>
    <x v="15"/>
  </r>
  <r>
    <d v="2013-12-14T00:00:00"/>
    <m/>
    <m/>
    <x v="317"/>
    <n v="250"/>
    <m/>
    <n v="-250"/>
    <x v="0"/>
    <x v="0"/>
    <x v="66"/>
    <x v="6"/>
    <x v="10"/>
    <x v="15"/>
  </r>
  <r>
    <d v="2013-12-14T00:00:00"/>
    <m/>
    <m/>
    <x v="318"/>
    <n v="250"/>
    <m/>
    <n v="-250"/>
    <x v="0"/>
    <x v="0"/>
    <x v="66"/>
    <x v="6"/>
    <x v="10"/>
    <x v="15"/>
  </r>
  <r>
    <d v="2013-12-14T00:00:00"/>
    <m/>
    <m/>
    <x v="319"/>
    <n v="250"/>
    <m/>
    <n v="-250"/>
    <x v="0"/>
    <x v="0"/>
    <x v="66"/>
    <x v="6"/>
    <x v="10"/>
    <x v="15"/>
  </r>
  <r>
    <d v="2013-12-14T00:00:00"/>
    <m/>
    <m/>
    <x v="320"/>
    <n v="250"/>
    <m/>
    <n v="-250"/>
    <x v="0"/>
    <x v="0"/>
    <x v="66"/>
    <x v="6"/>
    <x v="10"/>
    <x v="15"/>
  </r>
  <r>
    <d v="2013-12-14T00:00:00"/>
    <m/>
    <s v="DESPESAS PESSOAIS"/>
    <x v="238"/>
    <n v="100"/>
    <d v="2014-01-31T00:00:00"/>
    <n v="-271.5"/>
    <x v="0"/>
    <x v="0"/>
    <x v="67"/>
    <x v="6"/>
    <x v="10"/>
    <x v="25"/>
  </r>
  <r>
    <d v="2013-12-14T00:00:00"/>
    <m/>
    <s v="DESPESAS PESSOAIS"/>
    <x v="310"/>
    <n v="100"/>
    <d v="2014-02-28T00:00:00"/>
    <n v="-731.86"/>
    <x v="0"/>
    <x v="0"/>
    <x v="67"/>
    <x v="6"/>
    <x v="10"/>
    <x v="26"/>
  </r>
  <r>
    <d v="2013-12-14T00:00:00"/>
    <m/>
    <s v="DESPESAS PESSOAIS"/>
    <x v="311"/>
    <n v="100"/>
    <m/>
    <n v="-100"/>
    <x v="0"/>
    <x v="0"/>
    <x v="67"/>
    <x v="6"/>
    <x v="10"/>
    <x v="15"/>
  </r>
  <r>
    <d v="2013-12-14T00:00:00"/>
    <m/>
    <s v="DESPESAS PESSOAIS"/>
    <x v="312"/>
    <n v="100"/>
    <m/>
    <n v="-100"/>
    <x v="0"/>
    <x v="0"/>
    <x v="67"/>
    <x v="6"/>
    <x v="10"/>
    <x v="15"/>
  </r>
  <r>
    <d v="2013-12-14T00:00:00"/>
    <m/>
    <s v="DESPESAS PESSOAIS"/>
    <x v="313"/>
    <n v="100"/>
    <m/>
    <n v="-100"/>
    <x v="0"/>
    <x v="0"/>
    <x v="67"/>
    <x v="6"/>
    <x v="10"/>
    <x v="15"/>
  </r>
  <r>
    <d v="2013-12-14T00:00:00"/>
    <m/>
    <s v="DESPESAS PESSOAIS"/>
    <x v="314"/>
    <n v="100"/>
    <m/>
    <n v="-100"/>
    <x v="0"/>
    <x v="0"/>
    <x v="67"/>
    <x v="6"/>
    <x v="10"/>
    <x v="15"/>
  </r>
  <r>
    <d v="2013-12-14T00:00:00"/>
    <m/>
    <s v="DESPESAS PESSOAIS"/>
    <x v="315"/>
    <n v="100"/>
    <m/>
    <n v="-100"/>
    <x v="0"/>
    <x v="0"/>
    <x v="67"/>
    <x v="6"/>
    <x v="10"/>
    <x v="15"/>
  </r>
  <r>
    <d v="2013-12-14T00:00:00"/>
    <m/>
    <s v="DESPESAS PESSOAIS"/>
    <x v="316"/>
    <n v="100"/>
    <m/>
    <n v="-100"/>
    <x v="0"/>
    <x v="0"/>
    <x v="67"/>
    <x v="6"/>
    <x v="10"/>
    <x v="15"/>
  </r>
  <r>
    <d v="2013-12-14T00:00:00"/>
    <m/>
    <s v="DESPESAS PESSOAIS"/>
    <x v="317"/>
    <n v="100"/>
    <m/>
    <n v="-100"/>
    <x v="0"/>
    <x v="0"/>
    <x v="67"/>
    <x v="6"/>
    <x v="10"/>
    <x v="15"/>
  </r>
  <r>
    <d v="2013-12-14T00:00:00"/>
    <m/>
    <s v="DESPESAS PESSOAIS"/>
    <x v="318"/>
    <n v="100"/>
    <m/>
    <n v="-100"/>
    <x v="0"/>
    <x v="0"/>
    <x v="67"/>
    <x v="6"/>
    <x v="10"/>
    <x v="15"/>
  </r>
  <r>
    <d v="2013-12-14T00:00:00"/>
    <m/>
    <s v="DESPESAS PESSOAIS"/>
    <x v="319"/>
    <n v="100"/>
    <m/>
    <n v="-100"/>
    <x v="0"/>
    <x v="0"/>
    <x v="67"/>
    <x v="6"/>
    <x v="10"/>
    <x v="15"/>
  </r>
  <r>
    <d v="2013-12-14T00:00:00"/>
    <m/>
    <s v="DESPESAS PESSOAIS"/>
    <x v="320"/>
    <n v="100"/>
    <m/>
    <n v="-100"/>
    <x v="0"/>
    <x v="0"/>
    <x v="67"/>
    <x v="6"/>
    <x v="10"/>
    <x v="15"/>
  </r>
  <r>
    <d v="2013-12-14T00:00:00"/>
    <m/>
    <s v="URGENCIAS"/>
    <x v="238"/>
    <n v="200"/>
    <m/>
    <n v="-200"/>
    <x v="0"/>
    <x v="0"/>
    <x v="68"/>
    <x v="6"/>
    <x v="10"/>
    <x v="15"/>
  </r>
  <r>
    <d v="2013-12-14T00:00:00"/>
    <m/>
    <s v="URGENCIAS"/>
    <x v="310"/>
    <n v="200"/>
    <m/>
    <n v="-200"/>
    <x v="0"/>
    <x v="0"/>
    <x v="68"/>
    <x v="6"/>
    <x v="10"/>
    <x v="15"/>
  </r>
  <r>
    <d v="2013-12-14T00:00:00"/>
    <m/>
    <s v="URGENCIAS"/>
    <x v="311"/>
    <n v="200"/>
    <m/>
    <n v="-200"/>
    <x v="0"/>
    <x v="0"/>
    <x v="68"/>
    <x v="6"/>
    <x v="10"/>
    <x v="15"/>
  </r>
  <r>
    <d v="2013-12-14T00:00:00"/>
    <m/>
    <s v="URGENCIAS"/>
    <x v="312"/>
    <n v="200"/>
    <m/>
    <n v="-200"/>
    <x v="0"/>
    <x v="0"/>
    <x v="68"/>
    <x v="6"/>
    <x v="10"/>
    <x v="15"/>
  </r>
  <r>
    <d v="2013-12-14T00:00:00"/>
    <m/>
    <s v="URGENCIAS"/>
    <x v="313"/>
    <n v="200"/>
    <m/>
    <n v="-200"/>
    <x v="0"/>
    <x v="0"/>
    <x v="68"/>
    <x v="6"/>
    <x v="10"/>
    <x v="15"/>
  </r>
  <r>
    <d v="2013-12-14T00:00:00"/>
    <m/>
    <s v="URGENCIAS"/>
    <x v="314"/>
    <n v="200"/>
    <m/>
    <n v="-200"/>
    <x v="0"/>
    <x v="0"/>
    <x v="68"/>
    <x v="6"/>
    <x v="10"/>
    <x v="15"/>
  </r>
  <r>
    <d v="2013-12-14T00:00:00"/>
    <m/>
    <s v="URGENCIAS"/>
    <x v="315"/>
    <n v="200"/>
    <m/>
    <n v="-200"/>
    <x v="0"/>
    <x v="0"/>
    <x v="68"/>
    <x v="6"/>
    <x v="10"/>
    <x v="15"/>
  </r>
  <r>
    <d v="2013-12-14T00:00:00"/>
    <m/>
    <s v="URGENCIAS"/>
    <x v="316"/>
    <n v="200"/>
    <m/>
    <n v="-200"/>
    <x v="0"/>
    <x v="0"/>
    <x v="68"/>
    <x v="6"/>
    <x v="10"/>
    <x v="15"/>
  </r>
  <r>
    <d v="2013-12-14T00:00:00"/>
    <m/>
    <s v="URGENCIAS"/>
    <x v="317"/>
    <n v="200"/>
    <m/>
    <n v="-200"/>
    <x v="0"/>
    <x v="0"/>
    <x v="68"/>
    <x v="6"/>
    <x v="10"/>
    <x v="15"/>
  </r>
  <r>
    <d v="2013-12-14T00:00:00"/>
    <m/>
    <s v="URGENCIAS"/>
    <x v="318"/>
    <n v="200"/>
    <m/>
    <n v="-200"/>
    <x v="0"/>
    <x v="0"/>
    <x v="68"/>
    <x v="6"/>
    <x v="10"/>
    <x v="15"/>
  </r>
  <r>
    <d v="2013-12-14T00:00:00"/>
    <m/>
    <s v="URGENCIAS"/>
    <x v="319"/>
    <n v="200"/>
    <m/>
    <n v="-200"/>
    <x v="0"/>
    <x v="0"/>
    <x v="68"/>
    <x v="6"/>
    <x v="10"/>
    <x v="15"/>
  </r>
  <r>
    <d v="2013-12-14T00:00:00"/>
    <m/>
    <s v="URGENCIAS"/>
    <x v="320"/>
    <n v="200"/>
    <m/>
    <n v="-200"/>
    <x v="0"/>
    <x v="0"/>
    <x v="68"/>
    <x v="6"/>
    <x v="10"/>
    <x v="15"/>
  </r>
  <r>
    <d v="2013-12-14T00:00:00"/>
    <m/>
    <s v="PORTO SEGURO"/>
    <x v="238"/>
    <n v="400"/>
    <m/>
    <n v="-400"/>
    <x v="0"/>
    <x v="0"/>
    <x v="69"/>
    <x v="6"/>
    <x v="10"/>
    <x v="15"/>
  </r>
  <r>
    <d v="2013-12-14T00:00:00"/>
    <m/>
    <s v="PORTO SEGURO"/>
    <x v="310"/>
    <n v="400"/>
    <m/>
    <n v="-400"/>
    <x v="0"/>
    <x v="0"/>
    <x v="69"/>
    <x v="6"/>
    <x v="10"/>
    <x v="15"/>
  </r>
  <r>
    <d v="2013-12-14T00:00:00"/>
    <m/>
    <s v="PORTO SEGURO"/>
    <x v="311"/>
    <n v="400"/>
    <m/>
    <n v="-400"/>
    <x v="0"/>
    <x v="0"/>
    <x v="69"/>
    <x v="6"/>
    <x v="10"/>
    <x v="15"/>
  </r>
  <r>
    <d v="2013-12-14T00:00:00"/>
    <m/>
    <s v="PORTO SEGURO"/>
    <x v="312"/>
    <n v="400"/>
    <m/>
    <n v="-400"/>
    <x v="0"/>
    <x v="0"/>
    <x v="69"/>
    <x v="6"/>
    <x v="10"/>
    <x v="15"/>
  </r>
  <r>
    <d v="2013-12-14T00:00:00"/>
    <m/>
    <s v="PORTO SEGURO"/>
    <x v="313"/>
    <n v="400"/>
    <m/>
    <n v="-400"/>
    <x v="0"/>
    <x v="0"/>
    <x v="69"/>
    <x v="6"/>
    <x v="10"/>
    <x v="15"/>
  </r>
  <r>
    <d v="2013-12-14T00:00:00"/>
    <m/>
    <s v="PORTO SEGURO"/>
    <x v="314"/>
    <n v="400"/>
    <m/>
    <n v="-400"/>
    <x v="0"/>
    <x v="0"/>
    <x v="69"/>
    <x v="6"/>
    <x v="10"/>
    <x v="15"/>
  </r>
  <r>
    <d v="2013-12-14T00:00:00"/>
    <m/>
    <s v="PORTO SEGURO"/>
    <x v="315"/>
    <n v="400"/>
    <m/>
    <n v="-400"/>
    <x v="0"/>
    <x v="0"/>
    <x v="69"/>
    <x v="6"/>
    <x v="10"/>
    <x v="15"/>
  </r>
  <r>
    <d v="2013-12-14T00:00:00"/>
    <m/>
    <s v="PORTO SEGURO"/>
    <x v="316"/>
    <n v="400"/>
    <m/>
    <n v="-400"/>
    <x v="0"/>
    <x v="0"/>
    <x v="69"/>
    <x v="6"/>
    <x v="10"/>
    <x v="15"/>
  </r>
  <r>
    <d v="2013-12-14T00:00:00"/>
    <m/>
    <s v="PORTO SEGURO"/>
    <x v="317"/>
    <n v="400"/>
    <m/>
    <n v="-400"/>
    <x v="0"/>
    <x v="0"/>
    <x v="69"/>
    <x v="6"/>
    <x v="10"/>
    <x v="15"/>
  </r>
  <r>
    <d v="2013-12-14T00:00:00"/>
    <m/>
    <s v="PORTO SEGURO"/>
    <x v="318"/>
    <n v="400"/>
    <m/>
    <n v="-400"/>
    <x v="0"/>
    <x v="0"/>
    <x v="69"/>
    <x v="6"/>
    <x v="10"/>
    <x v="15"/>
  </r>
  <r>
    <d v="2013-12-14T00:00:00"/>
    <m/>
    <s v="PORTO SEGURO"/>
    <x v="319"/>
    <n v="400"/>
    <m/>
    <n v="-400"/>
    <x v="0"/>
    <x v="0"/>
    <x v="69"/>
    <x v="6"/>
    <x v="10"/>
    <x v="15"/>
  </r>
  <r>
    <d v="2013-12-14T00:00:00"/>
    <m/>
    <s v="PORTO SEGURO"/>
    <x v="320"/>
    <n v="400"/>
    <m/>
    <n v="-400"/>
    <x v="0"/>
    <x v="0"/>
    <x v="69"/>
    <x v="6"/>
    <x v="10"/>
    <x v="15"/>
  </r>
  <r>
    <d v="2013-12-14T00:00:00"/>
    <m/>
    <s v="DOMINIO, ANTIVIRUS, CERTIFICADO DIGITAL"/>
    <x v="238"/>
    <n v="100"/>
    <m/>
    <n v="-100"/>
    <x v="0"/>
    <x v="0"/>
    <x v="70"/>
    <x v="6"/>
    <x v="10"/>
    <x v="15"/>
  </r>
  <r>
    <d v="2013-12-14T00:00:00"/>
    <m/>
    <s v="DOMINIO, ANTIVIRUS, CERTIFICADO DIGITAL"/>
    <x v="310"/>
    <n v="100"/>
    <m/>
    <n v="-100"/>
    <x v="0"/>
    <x v="0"/>
    <x v="70"/>
    <x v="6"/>
    <x v="10"/>
    <x v="15"/>
  </r>
  <r>
    <d v="2013-12-14T00:00:00"/>
    <m/>
    <s v="DOMINIO, ANTIVIRUS, CERTIFICADO DIGITAL"/>
    <x v="311"/>
    <n v="100"/>
    <m/>
    <n v="-100"/>
    <x v="0"/>
    <x v="0"/>
    <x v="70"/>
    <x v="6"/>
    <x v="10"/>
    <x v="15"/>
  </r>
  <r>
    <d v="2013-12-14T00:00:00"/>
    <m/>
    <s v="DOMINIO, ANTIVIRUS, CERTIFICADO DIGITAL"/>
    <x v="312"/>
    <n v="100"/>
    <m/>
    <n v="-100"/>
    <x v="0"/>
    <x v="0"/>
    <x v="70"/>
    <x v="6"/>
    <x v="10"/>
    <x v="15"/>
  </r>
  <r>
    <d v="2013-12-14T00:00:00"/>
    <m/>
    <s v="DOMINIO, ANTIVIRUS, CERTIFICADO DIGITAL"/>
    <x v="313"/>
    <n v="100"/>
    <m/>
    <n v="-100"/>
    <x v="0"/>
    <x v="0"/>
    <x v="70"/>
    <x v="6"/>
    <x v="10"/>
    <x v="15"/>
  </r>
  <r>
    <d v="2013-12-14T00:00:00"/>
    <m/>
    <s v="DOMINIO, ANTIVIRUS, CERTIFICADO DIGITAL"/>
    <x v="314"/>
    <n v="100"/>
    <m/>
    <n v="-100"/>
    <x v="0"/>
    <x v="0"/>
    <x v="70"/>
    <x v="6"/>
    <x v="10"/>
    <x v="15"/>
  </r>
  <r>
    <d v="2013-12-14T00:00:00"/>
    <m/>
    <s v="DOMINIO, ANTIVIRUS, CERTIFICADO DIGITAL"/>
    <x v="315"/>
    <n v="100"/>
    <m/>
    <n v="-100"/>
    <x v="0"/>
    <x v="0"/>
    <x v="70"/>
    <x v="6"/>
    <x v="10"/>
    <x v="15"/>
  </r>
  <r>
    <d v="2013-12-14T00:00:00"/>
    <m/>
    <s v="DOMINIO, ANTIVIRUS, CERTIFICADO DIGITAL"/>
    <x v="316"/>
    <n v="100"/>
    <m/>
    <n v="-100"/>
    <x v="0"/>
    <x v="0"/>
    <x v="70"/>
    <x v="6"/>
    <x v="10"/>
    <x v="15"/>
  </r>
  <r>
    <d v="2013-12-14T00:00:00"/>
    <m/>
    <s v="DOMINIO, ANTIVIRUS, CERTIFICADO DIGITAL"/>
    <x v="317"/>
    <n v="100"/>
    <m/>
    <n v="-100"/>
    <x v="0"/>
    <x v="0"/>
    <x v="70"/>
    <x v="6"/>
    <x v="10"/>
    <x v="15"/>
  </r>
  <r>
    <d v="2013-12-14T00:00:00"/>
    <m/>
    <s v="DOMINIO, ANTIVIRUS, CERTIFICADO DIGITAL"/>
    <x v="318"/>
    <n v="100"/>
    <m/>
    <n v="-100"/>
    <x v="0"/>
    <x v="0"/>
    <x v="70"/>
    <x v="6"/>
    <x v="10"/>
    <x v="15"/>
  </r>
  <r>
    <d v="2013-12-14T00:00:00"/>
    <m/>
    <s v="DOMINIO, ANTIVIRUS, CERTIFICADO DIGITAL"/>
    <x v="319"/>
    <n v="100"/>
    <m/>
    <n v="-100"/>
    <x v="0"/>
    <x v="0"/>
    <x v="70"/>
    <x v="6"/>
    <x v="10"/>
    <x v="15"/>
  </r>
  <r>
    <d v="2013-12-14T00:00:00"/>
    <m/>
    <s v="DOMINIO, ANTIVIRUS, CERTIFICADO DIGITAL"/>
    <x v="320"/>
    <n v="100"/>
    <m/>
    <n v="-100"/>
    <x v="0"/>
    <x v="0"/>
    <x v="70"/>
    <x v="6"/>
    <x v="10"/>
    <x v="15"/>
  </r>
  <r>
    <d v="2013-12-14T00:00:00"/>
    <m/>
    <s v="PLANO DE SAUDE ( VANESSA + AILTON )"/>
    <x v="238"/>
    <n v="600"/>
    <m/>
    <n v="-600"/>
    <x v="0"/>
    <x v="0"/>
    <x v="71"/>
    <x v="6"/>
    <x v="10"/>
    <x v="15"/>
  </r>
  <r>
    <d v="2013-12-14T00:00:00"/>
    <m/>
    <s v="PLANO DE SAUDE ( VANESSA + AILTON )"/>
    <x v="310"/>
    <n v="600"/>
    <m/>
    <n v="-600"/>
    <x v="0"/>
    <x v="0"/>
    <x v="71"/>
    <x v="6"/>
    <x v="10"/>
    <x v="15"/>
  </r>
  <r>
    <d v="2013-12-14T00:00:00"/>
    <m/>
    <s v="PLANO DE SAUDE ( VANESSA + AILTON )"/>
    <x v="311"/>
    <n v="600"/>
    <m/>
    <n v="-600"/>
    <x v="0"/>
    <x v="0"/>
    <x v="71"/>
    <x v="6"/>
    <x v="10"/>
    <x v="15"/>
  </r>
  <r>
    <d v="2013-12-14T00:00:00"/>
    <m/>
    <s v="PLANO DE SAUDE ( VANESSA + AILTON )"/>
    <x v="312"/>
    <n v="600"/>
    <m/>
    <n v="-600"/>
    <x v="0"/>
    <x v="0"/>
    <x v="71"/>
    <x v="6"/>
    <x v="10"/>
    <x v="15"/>
  </r>
  <r>
    <d v="2013-12-14T00:00:00"/>
    <m/>
    <s v="PLANO DE SAUDE ( VANESSA + AILTON )"/>
    <x v="313"/>
    <n v="600"/>
    <m/>
    <n v="-600"/>
    <x v="0"/>
    <x v="0"/>
    <x v="71"/>
    <x v="6"/>
    <x v="10"/>
    <x v="15"/>
  </r>
  <r>
    <d v="2013-12-14T00:00:00"/>
    <m/>
    <s v="PLANO DE SAUDE ( VANESSA + AILTON )"/>
    <x v="314"/>
    <n v="600"/>
    <m/>
    <n v="-600"/>
    <x v="0"/>
    <x v="0"/>
    <x v="71"/>
    <x v="6"/>
    <x v="10"/>
    <x v="15"/>
  </r>
  <r>
    <d v="2013-12-14T00:00:00"/>
    <m/>
    <s v="PLANO DE SAUDE ( VANESSA + AILTON )"/>
    <x v="315"/>
    <n v="600"/>
    <m/>
    <n v="-600"/>
    <x v="0"/>
    <x v="0"/>
    <x v="71"/>
    <x v="6"/>
    <x v="10"/>
    <x v="15"/>
  </r>
  <r>
    <d v="2013-12-14T00:00:00"/>
    <m/>
    <s v="PLANO DE SAUDE ( VANESSA + AILTON )"/>
    <x v="316"/>
    <n v="600"/>
    <m/>
    <n v="-600"/>
    <x v="0"/>
    <x v="0"/>
    <x v="71"/>
    <x v="6"/>
    <x v="10"/>
    <x v="15"/>
  </r>
  <r>
    <d v="2013-12-14T00:00:00"/>
    <m/>
    <s v="PLANO DE SAUDE ( VANESSA + AILTON )"/>
    <x v="317"/>
    <n v="600"/>
    <m/>
    <n v="-600"/>
    <x v="0"/>
    <x v="0"/>
    <x v="71"/>
    <x v="6"/>
    <x v="10"/>
    <x v="15"/>
  </r>
  <r>
    <d v="2013-12-14T00:00:00"/>
    <m/>
    <s v="PLANO DE SAUDE ( VANESSA + AILTON )"/>
    <x v="318"/>
    <n v="600"/>
    <m/>
    <n v="-600"/>
    <x v="0"/>
    <x v="0"/>
    <x v="71"/>
    <x v="6"/>
    <x v="10"/>
    <x v="15"/>
  </r>
  <r>
    <d v="2013-12-14T00:00:00"/>
    <m/>
    <s v="PLANO DE SAUDE ( VANESSA + AILTON )"/>
    <x v="319"/>
    <n v="600"/>
    <m/>
    <n v="-600"/>
    <x v="0"/>
    <x v="0"/>
    <x v="71"/>
    <x v="6"/>
    <x v="10"/>
    <x v="15"/>
  </r>
  <r>
    <d v="2013-12-14T00:00:00"/>
    <m/>
    <s v="PLANO DE SAUDE ( VANESSA + AILTON )"/>
    <x v="320"/>
    <n v="600"/>
    <m/>
    <n v="-600"/>
    <x v="0"/>
    <x v="0"/>
    <x v="71"/>
    <x v="6"/>
    <x v="10"/>
    <x v="15"/>
  </r>
  <r>
    <d v="2013-12-14T00:00:00"/>
    <m/>
    <m/>
    <x v="321"/>
    <n v="36.020000000000003"/>
    <d v="2013-12-14T00:00:00"/>
    <n v="-36.020000000000003"/>
    <x v="0"/>
    <x v="0"/>
    <x v="3"/>
    <x v="2"/>
    <x v="0"/>
    <x v="24"/>
  </r>
  <r>
    <d v="2013-12-14T00:00:00"/>
    <m/>
    <m/>
    <x v="321"/>
    <n v="8.5"/>
    <d v="2013-12-14T00:00:00"/>
    <n v="-8.5"/>
    <x v="0"/>
    <x v="0"/>
    <x v="3"/>
    <x v="2"/>
    <x v="0"/>
    <x v="24"/>
  </r>
  <r>
    <d v="2013-12-14T00:00:00"/>
    <s v="VANESSA"/>
    <m/>
    <x v="321"/>
    <n v="761"/>
    <d v="2013-12-14T00:00:00"/>
    <n v="-761"/>
    <x v="0"/>
    <x v="0"/>
    <x v="2"/>
    <x v="2"/>
    <x v="0"/>
    <x v="24"/>
  </r>
  <r>
    <d v="2013-12-16T00:00:00"/>
    <m/>
    <m/>
    <x v="322"/>
    <n v="13"/>
    <d v="2013-12-16T00:00:00"/>
    <n v="-13"/>
    <x v="0"/>
    <x v="0"/>
    <x v="42"/>
    <x v="7"/>
    <x v="24"/>
    <x v="24"/>
  </r>
  <r>
    <d v="2013-12-17T00:00:00"/>
    <m/>
    <s v="SALDO DEVEDOR EM 10/12/13"/>
    <x v="323"/>
    <n v="44"/>
    <d v="2013-12-17T00:00:00"/>
    <n v="-44"/>
    <x v="0"/>
    <x v="1"/>
    <x v="60"/>
    <x v="3"/>
    <x v="8"/>
    <x v="24"/>
  </r>
  <r>
    <d v="2013-12-17T00:00:00"/>
    <s v="VANESSA"/>
    <m/>
    <x v="323"/>
    <n v="48.18"/>
    <d v="2013-12-17T00:00:00"/>
    <n v="-48.18"/>
    <x v="0"/>
    <x v="0"/>
    <x v="3"/>
    <x v="2"/>
    <x v="8"/>
    <x v="24"/>
  </r>
  <r>
    <d v="2013-12-17T00:00:00"/>
    <s v="131217-0900"/>
    <m/>
    <x v="323"/>
    <n v="350"/>
    <d v="2013-12-17T00:00:00"/>
    <n v="350"/>
    <x v="1"/>
    <x v="0"/>
    <x v="72"/>
    <x v="1"/>
    <x v="8"/>
    <x v="24"/>
  </r>
  <r>
    <d v="2013-12-18T00:00:00"/>
    <s v="131217-0900"/>
    <m/>
    <x v="305"/>
    <n v="200"/>
    <d v="2013-12-18T00:00:00"/>
    <n v="-200"/>
    <x v="0"/>
    <x v="0"/>
    <x v="73"/>
    <x v="12"/>
    <x v="10"/>
    <x v="24"/>
  </r>
  <r>
    <d v="2013-12-18T00:00:00"/>
    <s v="131218-0900"/>
    <m/>
    <x v="307"/>
    <n v="350"/>
    <d v="2013-12-19T00:00:00"/>
    <n v="350"/>
    <x v="1"/>
    <x v="0"/>
    <x v="72"/>
    <x v="1"/>
    <x v="9"/>
    <x v="24"/>
  </r>
  <r>
    <d v="2013-12-18T00:00:00"/>
    <s v="131218-0900"/>
    <m/>
    <x v="305"/>
    <n v="200"/>
    <d v="2013-12-18T00:00:00"/>
    <n v="-200"/>
    <x v="0"/>
    <x v="0"/>
    <x v="73"/>
    <x v="12"/>
    <x v="10"/>
    <x v="24"/>
  </r>
  <r>
    <d v="2013-12-18T00:00:00"/>
    <m/>
    <s v="REF. 12/2013"/>
    <x v="307"/>
    <n v="16.899999999999999"/>
    <d v="2013-12-18T00:00:00"/>
    <n v="-16.899999999999999"/>
    <x v="0"/>
    <x v="0"/>
    <x v="74"/>
    <x v="0"/>
    <x v="9"/>
    <x v="24"/>
  </r>
  <r>
    <d v="2013-12-19T00:00:00"/>
    <m/>
    <m/>
    <x v="324"/>
    <n v="4.5599999999999996"/>
    <d v="2013-12-19T00:00:00"/>
    <n v="-4.5599999999999996"/>
    <x v="0"/>
    <x v="0"/>
    <x v="3"/>
    <x v="2"/>
    <x v="30"/>
    <x v="24"/>
  </r>
  <r>
    <d v="2013-12-19T00:00:00"/>
    <m/>
    <m/>
    <x v="305"/>
    <n v="20"/>
    <d v="2013-12-19T00:00:00"/>
    <n v="-20"/>
    <x v="0"/>
    <x v="0"/>
    <x v="75"/>
    <x v="6"/>
    <x v="10"/>
    <x v="24"/>
  </r>
  <r>
    <d v="2013-12-20T00:00:00"/>
    <m/>
    <s v="PIZZA"/>
    <x v="320"/>
    <n v="24.8"/>
    <d v="2014-12-20T00:00:00"/>
    <n v="-24.8"/>
    <x v="0"/>
    <x v="0"/>
    <x v="3"/>
    <x v="2"/>
    <x v="10"/>
    <x v="49"/>
  </r>
  <r>
    <d v="2013-12-20T00:00:00"/>
    <m/>
    <s v="Hortfruiti"/>
    <x v="320"/>
    <n v="8.26"/>
    <d v="2014-12-20T00:00:00"/>
    <n v="-8.26"/>
    <x v="0"/>
    <x v="0"/>
    <x v="2"/>
    <x v="2"/>
    <x v="10"/>
    <x v="49"/>
  </r>
  <r>
    <d v="2013-12-21T00:00:00"/>
    <m/>
    <m/>
    <x v="325"/>
    <n v="27.88"/>
    <d v="2013-12-21T00:00:00"/>
    <n v="-27.88"/>
    <x v="0"/>
    <x v="0"/>
    <x v="2"/>
    <x v="2"/>
    <x v="11"/>
    <x v="24"/>
  </r>
  <r>
    <d v="2013-12-21T00:00:00"/>
    <m/>
    <m/>
    <x v="325"/>
    <n v="17.12"/>
    <d v="2013-12-21T00:00:00"/>
    <n v="-17.12"/>
    <x v="0"/>
    <x v="0"/>
    <x v="2"/>
    <x v="2"/>
    <x v="11"/>
    <x v="24"/>
  </r>
  <r>
    <d v="2013-12-21T00:00:00"/>
    <m/>
    <m/>
    <x v="325"/>
    <n v="16.079999999999998"/>
    <d v="2013-12-21T00:00:00"/>
    <n v="-16.079999999999998"/>
    <x v="0"/>
    <x v="0"/>
    <x v="3"/>
    <x v="2"/>
    <x v="11"/>
    <x v="24"/>
  </r>
  <r>
    <d v="2013-12-23T00:00:00"/>
    <m/>
    <m/>
    <x v="326"/>
    <n v="30.64"/>
    <d v="2013-12-23T00:00:00"/>
    <n v="-30.64"/>
    <x v="0"/>
    <x v="0"/>
    <x v="2"/>
    <x v="2"/>
    <x v="13"/>
    <x v="24"/>
  </r>
  <r>
    <d v="2013-12-23T00:00:00"/>
    <s v="131223-1200"/>
    <m/>
    <x v="326"/>
    <n v="50"/>
    <d v="2014-01-09T00:00:00"/>
    <n v="50"/>
    <x v="1"/>
    <x v="0"/>
    <x v="72"/>
    <x v="1"/>
    <x v="13"/>
    <x v="24"/>
  </r>
  <r>
    <d v="2013-12-24T00:00:00"/>
    <m/>
    <m/>
    <x v="305"/>
    <n v="20"/>
    <d v="2013-12-24T00:00:00"/>
    <n v="-20"/>
    <x v="0"/>
    <x v="0"/>
    <x v="75"/>
    <x v="6"/>
    <x v="10"/>
    <x v="24"/>
  </r>
  <r>
    <d v="2013-12-24T00:00:00"/>
    <m/>
    <m/>
    <x v="305"/>
    <n v="20"/>
    <d v="2013-12-24T00:00:00"/>
    <n v="-20"/>
    <x v="0"/>
    <x v="0"/>
    <x v="75"/>
    <x v="6"/>
    <x v="10"/>
    <x v="24"/>
  </r>
  <r>
    <d v="2013-12-25T00:00:00"/>
    <m/>
    <m/>
    <x v="327"/>
    <n v="2.4900000000000002"/>
    <d v="2013-12-25T00:00:00"/>
    <n v="-2.4900000000000002"/>
    <x v="0"/>
    <x v="0"/>
    <x v="2"/>
    <x v="2"/>
    <x v="25"/>
    <x v="24"/>
  </r>
  <r>
    <d v="2013-12-25T00:00:00"/>
    <m/>
    <m/>
    <x v="327"/>
    <n v="44.51"/>
    <d v="2013-12-25T00:00:00"/>
    <n v="-44.51"/>
    <x v="0"/>
    <x v="0"/>
    <x v="2"/>
    <x v="2"/>
    <x v="25"/>
    <x v="24"/>
  </r>
  <r>
    <d v="2013-12-26T00:00:00"/>
    <m/>
    <m/>
    <x v="328"/>
    <n v="9"/>
    <d v="2013-12-26T00:00:00"/>
    <n v="-9"/>
    <x v="0"/>
    <x v="0"/>
    <x v="3"/>
    <x v="2"/>
    <x v="19"/>
    <x v="24"/>
  </r>
  <r>
    <d v="2013-12-26T00:00:00"/>
    <m/>
    <m/>
    <x v="328"/>
    <n v="24.6"/>
    <d v="2013-12-26T00:00:00"/>
    <n v="-24.6"/>
    <x v="0"/>
    <x v="0"/>
    <x v="3"/>
    <x v="2"/>
    <x v="19"/>
    <x v="24"/>
  </r>
  <r>
    <d v="2013-12-26T00:00:00"/>
    <m/>
    <s v="TAXI - Giovanni Gronchi"/>
    <x v="305"/>
    <n v="18"/>
    <d v="2013-12-26T00:00:00"/>
    <n v="-18"/>
    <x v="0"/>
    <x v="0"/>
    <x v="75"/>
    <x v="6"/>
    <x v="10"/>
    <x v="24"/>
  </r>
  <r>
    <d v="2013-12-26T00:00:00"/>
    <m/>
    <m/>
    <x v="328"/>
    <n v="39.840000000000003"/>
    <d v="2013-12-26T00:00:00"/>
    <n v="-39.840000000000003"/>
    <x v="0"/>
    <x v="0"/>
    <x v="2"/>
    <x v="2"/>
    <x v="19"/>
    <x v="24"/>
  </r>
  <r>
    <d v="2013-12-26T00:00:00"/>
    <m/>
    <s v="ESTACIONAMENTO - SP MARKET"/>
    <x v="305"/>
    <n v="6"/>
    <d v="2013-12-26T00:00:00"/>
    <n v="-6"/>
    <x v="0"/>
    <x v="0"/>
    <x v="75"/>
    <x v="6"/>
    <x v="10"/>
    <x v="24"/>
  </r>
  <r>
    <d v="2013-12-27T00:00:00"/>
    <m/>
    <m/>
    <x v="329"/>
    <n v="31.29"/>
    <d v="2013-12-27T00:00:00"/>
    <n v="-31.29"/>
    <x v="0"/>
    <x v="0"/>
    <x v="2"/>
    <x v="2"/>
    <x v="26"/>
    <x v="24"/>
  </r>
  <r>
    <d v="2013-12-28T00:00:00"/>
    <m/>
    <s v="Hortfruiti"/>
    <x v="330"/>
    <n v="29.42"/>
    <d v="2013-12-28T00:00:00"/>
    <n v="-29.42"/>
    <x v="0"/>
    <x v="0"/>
    <x v="2"/>
    <x v="2"/>
    <x v="15"/>
    <x v="24"/>
  </r>
  <r>
    <d v="2013-12-28T00:00:00"/>
    <m/>
    <m/>
    <x v="330"/>
    <n v="9.98"/>
    <d v="2013-12-28T00:00:00"/>
    <n v="-9.98"/>
    <x v="0"/>
    <x v="0"/>
    <x v="2"/>
    <x v="2"/>
    <x v="15"/>
    <x v="24"/>
  </r>
  <r>
    <d v="2013-12-30T00:00:00"/>
    <m/>
    <m/>
    <x v="331"/>
    <n v="16.940000000000001"/>
    <d v="2013-12-30T00:00:00"/>
    <n v="-16.940000000000001"/>
    <x v="0"/>
    <x v="0"/>
    <x v="2"/>
    <x v="2"/>
    <x v="28"/>
    <x v="24"/>
  </r>
  <r>
    <d v="2013-12-30T00:00:00"/>
    <s v="131230-0900"/>
    <m/>
    <x v="331"/>
    <n v="450"/>
    <d v="2014-01-09T00:00:00"/>
    <n v="450"/>
    <x v="1"/>
    <x v="0"/>
    <x v="72"/>
    <x v="1"/>
    <x v="28"/>
    <x v="24"/>
  </r>
  <r>
    <d v="2013-12-30T00:00:00"/>
    <s v="131230-0900"/>
    <m/>
    <x v="305"/>
    <n v="300"/>
    <d v="2014-01-21T00:00:00"/>
    <n v="-300"/>
    <x v="0"/>
    <x v="0"/>
    <x v="76"/>
    <x v="12"/>
    <x v="10"/>
    <x v="24"/>
  </r>
  <r>
    <d v="2013-12-30T00:00:00"/>
    <s v="131230-1800"/>
    <m/>
    <x v="331"/>
    <n v="200"/>
    <m/>
    <n v="0"/>
    <x v="1"/>
    <x v="0"/>
    <x v="72"/>
    <x v="1"/>
    <x v="28"/>
    <x v="15"/>
  </r>
  <r>
    <d v="2013-12-30T00:00:00"/>
    <s v="131230-1800"/>
    <m/>
    <x v="305"/>
    <n v="100"/>
    <m/>
    <n v="-100"/>
    <x v="0"/>
    <x v="0"/>
    <x v="76"/>
    <x v="12"/>
    <x v="10"/>
    <x v="15"/>
  </r>
  <r>
    <d v="2013-12-31T00:00:00"/>
    <m/>
    <m/>
    <x v="173"/>
    <n v="65"/>
    <d v="2013-12-01T00:00:00"/>
    <n v="-65"/>
    <x v="0"/>
    <x v="0"/>
    <x v="7"/>
    <x v="2"/>
    <x v="17"/>
    <x v="24"/>
  </r>
  <r>
    <d v="2014-01-03T00:00:00"/>
    <m/>
    <m/>
    <x v="332"/>
    <n v="165"/>
    <m/>
    <n v="-165"/>
    <x v="0"/>
    <x v="1"/>
    <x v="14"/>
    <x v="5"/>
    <x v="17"/>
    <x v="15"/>
  </r>
  <r>
    <d v="2014-01-03T00:00:00"/>
    <m/>
    <s v="REF. 01/2014"/>
    <x v="238"/>
    <n v="46.27"/>
    <d v="2014-01-30T00:00:00"/>
    <n v="-46.27"/>
    <x v="0"/>
    <x v="0"/>
    <x v="2"/>
    <x v="2"/>
    <x v="10"/>
    <x v="25"/>
  </r>
  <r>
    <d v="2014-01-03T00:00:00"/>
    <m/>
    <s v="REF. 02/2014"/>
    <x v="310"/>
    <n v="171.26"/>
    <d v="2014-02-28T00:00:00"/>
    <n v="-171.26"/>
    <x v="0"/>
    <x v="0"/>
    <x v="2"/>
    <x v="2"/>
    <x v="10"/>
    <x v="26"/>
  </r>
  <r>
    <d v="2014-01-03T00:00:00"/>
    <m/>
    <s v="REF. 03/2014"/>
    <x v="311"/>
    <n v="900"/>
    <m/>
    <n v="-900"/>
    <x v="0"/>
    <x v="0"/>
    <x v="2"/>
    <x v="2"/>
    <x v="10"/>
    <x v="15"/>
  </r>
  <r>
    <d v="2014-01-03T00:00:00"/>
    <m/>
    <s v="REF. 04/2014"/>
    <x v="312"/>
    <n v="900"/>
    <m/>
    <n v="-900"/>
    <x v="0"/>
    <x v="0"/>
    <x v="2"/>
    <x v="2"/>
    <x v="10"/>
    <x v="15"/>
  </r>
  <r>
    <d v="2014-01-03T00:00:00"/>
    <m/>
    <s v="REF. 05/2014"/>
    <x v="313"/>
    <n v="900"/>
    <m/>
    <n v="-900"/>
    <x v="0"/>
    <x v="0"/>
    <x v="2"/>
    <x v="2"/>
    <x v="10"/>
    <x v="15"/>
  </r>
  <r>
    <d v="2014-01-03T00:00:00"/>
    <m/>
    <s v="REF. 06/2014"/>
    <x v="314"/>
    <n v="900"/>
    <m/>
    <n v="-900"/>
    <x v="0"/>
    <x v="0"/>
    <x v="2"/>
    <x v="2"/>
    <x v="10"/>
    <x v="15"/>
  </r>
  <r>
    <d v="2014-01-03T00:00:00"/>
    <m/>
    <s v="REF. 07/2014"/>
    <x v="315"/>
    <n v="900"/>
    <m/>
    <n v="-900"/>
    <x v="0"/>
    <x v="0"/>
    <x v="2"/>
    <x v="2"/>
    <x v="10"/>
    <x v="15"/>
  </r>
  <r>
    <d v="2014-01-03T00:00:00"/>
    <m/>
    <s v="REF. 08/2014"/>
    <x v="316"/>
    <n v="900"/>
    <m/>
    <n v="-900"/>
    <x v="0"/>
    <x v="0"/>
    <x v="2"/>
    <x v="2"/>
    <x v="10"/>
    <x v="15"/>
  </r>
  <r>
    <d v="2014-01-03T00:00:00"/>
    <m/>
    <s v="REF. 09/2014"/>
    <x v="317"/>
    <n v="900"/>
    <m/>
    <n v="-900"/>
    <x v="0"/>
    <x v="0"/>
    <x v="2"/>
    <x v="2"/>
    <x v="10"/>
    <x v="15"/>
  </r>
  <r>
    <d v="2014-01-03T00:00:00"/>
    <m/>
    <s v="REF. 10/2014"/>
    <x v="318"/>
    <n v="900"/>
    <m/>
    <n v="-900"/>
    <x v="0"/>
    <x v="0"/>
    <x v="2"/>
    <x v="2"/>
    <x v="10"/>
    <x v="15"/>
  </r>
  <r>
    <d v="2014-01-03T00:00:00"/>
    <m/>
    <s v="REF. 11/2014"/>
    <x v="319"/>
    <n v="900"/>
    <m/>
    <n v="-900"/>
    <x v="0"/>
    <x v="0"/>
    <x v="2"/>
    <x v="2"/>
    <x v="10"/>
    <x v="15"/>
  </r>
  <r>
    <d v="2014-01-03T00:00:00"/>
    <m/>
    <s v="REF. 12/2014"/>
    <x v="320"/>
    <n v="900"/>
    <m/>
    <n v="-900"/>
    <x v="0"/>
    <x v="0"/>
    <x v="2"/>
    <x v="2"/>
    <x v="10"/>
    <x v="15"/>
  </r>
  <r>
    <d v="2014-01-03T00:00:00"/>
    <m/>
    <s v="REF. 03/2014"/>
    <x v="311"/>
    <n v="150"/>
    <m/>
    <n v="-150"/>
    <x v="0"/>
    <x v="0"/>
    <x v="3"/>
    <x v="2"/>
    <x v="10"/>
    <x v="15"/>
  </r>
  <r>
    <d v="2014-01-03T00:00:00"/>
    <m/>
    <s v="REF. 04/2014"/>
    <x v="312"/>
    <n v="150"/>
    <m/>
    <n v="-150"/>
    <x v="0"/>
    <x v="0"/>
    <x v="3"/>
    <x v="2"/>
    <x v="10"/>
    <x v="15"/>
  </r>
  <r>
    <d v="2014-01-03T00:00:00"/>
    <m/>
    <s v="REF. 05/2014"/>
    <x v="313"/>
    <n v="150"/>
    <m/>
    <n v="-150"/>
    <x v="0"/>
    <x v="0"/>
    <x v="3"/>
    <x v="2"/>
    <x v="10"/>
    <x v="15"/>
  </r>
  <r>
    <d v="2014-01-03T00:00:00"/>
    <m/>
    <s v="REF. 06/2014"/>
    <x v="314"/>
    <n v="150"/>
    <m/>
    <n v="-150"/>
    <x v="0"/>
    <x v="0"/>
    <x v="3"/>
    <x v="2"/>
    <x v="10"/>
    <x v="15"/>
  </r>
  <r>
    <d v="2014-01-03T00:00:00"/>
    <m/>
    <s v="REF. 07/2014"/>
    <x v="315"/>
    <n v="150"/>
    <m/>
    <n v="-150"/>
    <x v="0"/>
    <x v="0"/>
    <x v="3"/>
    <x v="2"/>
    <x v="10"/>
    <x v="15"/>
  </r>
  <r>
    <d v="2014-01-03T00:00:00"/>
    <m/>
    <s v="REF. 08/2014"/>
    <x v="316"/>
    <n v="150"/>
    <m/>
    <n v="-150"/>
    <x v="0"/>
    <x v="0"/>
    <x v="3"/>
    <x v="2"/>
    <x v="10"/>
    <x v="15"/>
  </r>
  <r>
    <d v="2014-01-03T00:00:00"/>
    <m/>
    <s v="REF. 09/2014"/>
    <x v="317"/>
    <n v="150"/>
    <m/>
    <n v="-150"/>
    <x v="0"/>
    <x v="0"/>
    <x v="3"/>
    <x v="2"/>
    <x v="10"/>
    <x v="15"/>
  </r>
  <r>
    <d v="2014-01-03T00:00:00"/>
    <m/>
    <s v="REF. 10/2014"/>
    <x v="318"/>
    <n v="150"/>
    <m/>
    <n v="-150"/>
    <x v="0"/>
    <x v="0"/>
    <x v="3"/>
    <x v="2"/>
    <x v="10"/>
    <x v="15"/>
  </r>
  <r>
    <d v="2014-01-03T00:00:00"/>
    <m/>
    <s v="REF. 11/2014"/>
    <x v="319"/>
    <n v="150"/>
    <m/>
    <n v="-150"/>
    <x v="0"/>
    <x v="0"/>
    <x v="3"/>
    <x v="2"/>
    <x v="10"/>
    <x v="15"/>
  </r>
  <r>
    <d v="2014-01-03T00:00:00"/>
    <m/>
    <s v="REF. 12/2014"/>
    <x v="320"/>
    <n v="150"/>
    <m/>
    <n v="-150"/>
    <x v="0"/>
    <x v="0"/>
    <x v="3"/>
    <x v="2"/>
    <x v="10"/>
    <x v="15"/>
  </r>
  <r>
    <d v="2014-01-03T00:00:00"/>
    <m/>
    <s v="REF. 01/2014"/>
    <x v="238"/>
    <n v="65"/>
    <m/>
    <n v="-65"/>
    <x v="0"/>
    <x v="0"/>
    <x v="7"/>
    <x v="2"/>
    <x v="10"/>
    <x v="15"/>
  </r>
  <r>
    <d v="2014-01-03T00:00:00"/>
    <m/>
    <s v="REF. 02/2014"/>
    <x v="310"/>
    <n v="65"/>
    <m/>
    <n v="-65"/>
    <x v="0"/>
    <x v="0"/>
    <x v="7"/>
    <x v="2"/>
    <x v="10"/>
    <x v="15"/>
  </r>
  <r>
    <d v="2014-01-03T00:00:00"/>
    <m/>
    <s v="REF. 03/2014"/>
    <x v="311"/>
    <n v="65"/>
    <m/>
    <n v="-65"/>
    <x v="0"/>
    <x v="0"/>
    <x v="7"/>
    <x v="2"/>
    <x v="10"/>
    <x v="15"/>
  </r>
  <r>
    <d v="2014-01-03T00:00:00"/>
    <m/>
    <s v="REF. 04/2014"/>
    <x v="312"/>
    <n v="65"/>
    <m/>
    <n v="-65"/>
    <x v="0"/>
    <x v="0"/>
    <x v="7"/>
    <x v="2"/>
    <x v="10"/>
    <x v="15"/>
  </r>
  <r>
    <d v="2014-01-03T00:00:00"/>
    <m/>
    <s v="REF. 05/2014"/>
    <x v="313"/>
    <n v="65"/>
    <m/>
    <n v="-65"/>
    <x v="0"/>
    <x v="0"/>
    <x v="7"/>
    <x v="2"/>
    <x v="10"/>
    <x v="15"/>
  </r>
  <r>
    <d v="2014-01-03T00:00:00"/>
    <m/>
    <s v="REF. 06/2014"/>
    <x v="314"/>
    <n v="65"/>
    <m/>
    <n v="-65"/>
    <x v="0"/>
    <x v="0"/>
    <x v="7"/>
    <x v="2"/>
    <x v="10"/>
    <x v="15"/>
  </r>
  <r>
    <d v="2014-01-03T00:00:00"/>
    <m/>
    <s v="REF. 07/2014"/>
    <x v="315"/>
    <n v="65"/>
    <m/>
    <n v="-65"/>
    <x v="0"/>
    <x v="0"/>
    <x v="7"/>
    <x v="2"/>
    <x v="10"/>
    <x v="15"/>
  </r>
  <r>
    <d v="2014-01-03T00:00:00"/>
    <m/>
    <s v="REF. 08/2014"/>
    <x v="316"/>
    <n v="65"/>
    <m/>
    <n v="-65"/>
    <x v="0"/>
    <x v="0"/>
    <x v="7"/>
    <x v="2"/>
    <x v="10"/>
    <x v="15"/>
  </r>
  <r>
    <d v="2014-01-03T00:00:00"/>
    <m/>
    <s v="REF. 09/2014"/>
    <x v="317"/>
    <n v="65"/>
    <m/>
    <n v="-65"/>
    <x v="0"/>
    <x v="0"/>
    <x v="7"/>
    <x v="2"/>
    <x v="10"/>
    <x v="15"/>
  </r>
  <r>
    <d v="2014-01-03T00:00:00"/>
    <m/>
    <s v="REF. 10/2014"/>
    <x v="318"/>
    <n v="65"/>
    <m/>
    <n v="-65"/>
    <x v="0"/>
    <x v="0"/>
    <x v="7"/>
    <x v="2"/>
    <x v="10"/>
    <x v="15"/>
  </r>
  <r>
    <d v="2014-01-03T00:00:00"/>
    <m/>
    <s v="REF. 11/2014"/>
    <x v="319"/>
    <n v="65"/>
    <m/>
    <n v="-65"/>
    <x v="0"/>
    <x v="0"/>
    <x v="7"/>
    <x v="2"/>
    <x v="10"/>
    <x v="15"/>
  </r>
  <r>
    <d v="2014-01-03T00:00:00"/>
    <m/>
    <s v="REF. 12/2014"/>
    <x v="320"/>
    <n v="65"/>
    <m/>
    <n v="-65"/>
    <x v="0"/>
    <x v="0"/>
    <x v="7"/>
    <x v="2"/>
    <x v="10"/>
    <x v="15"/>
  </r>
  <r>
    <d v="2014-01-03T00:00:00"/>
    <m/>
    <s v="REF. 01/2014"/>
    <x v="175"/>
    <n v="600"/>
    <m/>
    <n v="-600"/>
    <x v="0"/>
    <x v="1"/>
    <x v="43"/>
    <x v="11"/>
    <x v="1"/>
    <x v="15"/>
  </r>
  <r>
    <d v="2014-01-03T00:00:00"/>
    <m/>
    <s v="REF. 02/2014"/>
    <x v="177"/>
    <n v="600"/>
    <m/>
    <n v="-600"/>
    <x v="0"/>
    <x v="1"/>
    <x v="43"/>
    <x v="11"/>
    <x v="1"/>
    <x v="15"/>
  </r>
  <r>
    <d v="2014-01-03T00:00:00"/>
    <m/>
    <s v="REF. 03/2014"/>
    <x v="178"/>
    <n v="600"/>
    <m/>
    <n v="-600"/>
    <x v="0"/>
    <x v="1"/>
    <x v="43"/>
    <x v="11"/>
    <x v="1"/>
    <x v="15"/>
  </r>
  <r>
    <d v="2014-01-03T00:00:00"/>
    <m/>
    <s v="REF. 04/2014"/>
    <x v="179"/>
    <n v="600"/>
    <m/>
    <n v="-600"/>
    <x v="0"/>
    <x v="1"/>
    <x v="43"/>
    <x v="11"/>
    <x v="1"/>
    <x v="15"/>
  </r>
  <r>
    <d v="2014-01-03T00:00:00"/>
    <m/>
    <s v="REF. 05/2014"/>
    <x v="180"/>
    <n v="600"/>
    <m/>
    <n v="-600"/>
    <x v="0"/>
    <x v="1"/>
    <x v="43"/>
    <x v="11"/>
    <x v="1"/>
    <x v="15"/>
  </r>
  <r>
    <d v="2014-01-03T00:00:00"/>
    <m/>
    <s v="REF. 06/2014"/>
    <x v="181"/>
    <n v="600"/>
    <m/>
    <n v="-600"/>
    <x v="0"/>
    <x v="1"/>
    <x v="43"/>
    <x v="11"/>
    <x v="1"/>
    <x v="15"/>
  </r>
  <r>
    <d v="2014-01-03T00:00:00"/>
    <m/>
    <s v="REF. 07/2014"/>
    <x v="182"/>
    <n v="600"/>
    <m/>
    <n v="-600"/>
    <x v="0"/>
    <x v="1"/>
    <x v="43"/>
    <x v="11"/>
    <x v="1"/>
    <x v="15"/>
  </r>
  <r>
    <d v="2014-01-03T00:00:00"/>
    <m/>
    <s v="REF. 08/2014"/>
    <x v="183"/>
    <n v="600"/>
    <m/>
    <n v="-600"/>
    <x v="0"/>
    <x v="1"/>
    <x v="43"/>
    <x v="11"/>
    <x v="1"/>
    <x v="15"/>
  </r>
  <r>
    <d v="2014-01-03T00:00:00"/>
    <m/>
    <s v="REF. 09/2014"/>
    <x v="184"/>
    <n v="600"/>
    <m/>
    <n v="-600"/>
    <x v="0"/>
    <x v="1"/>
    <x v="43"/>
    <x v="11"/>
    <x v="1"/>
    <x v="15"/>
  </r>
  <r>
    <d v="2014-01-03T00:00:00"/>
    <m/>
    <s v="REF. 10/2014"/>
    <x v="185"/>
    <n v="600"/>
    <m/>
    <n v="-600"/>
    <x v="0"/>
    <x v="1"/>
    <x v="43"/>
    <x v="11"/>
    <x v="1"/>
    <x v="15"/>
  </r>
  <r>
    <d v="2014-01-03T00:00:00"/>
    <m/>
    <s v="REF. 11/2014"/>
    <x v="186"/>
    <n v="600"/>
    <m/>
    <n v="-600"/>
    <x v="0"/>
    <x v="1"/>
    <x v="43"/>
    <x v="11"/>
    <x v="1"/>
    <x v="15"/>
  </r>
  <r>
    <d v="2014-01-03T00:00:00"/>
    <m/>
    <s v="REF. 12/2014"/>
    <x v="187"/>
    <n v="600"/>
    <m/>
    <n v="-600"/>
    <x v="0"/>
    <x v="1"/>
    <x v="43"/>
    <x v="11"/>
    <x v="1"/>
    <x v="15"/>
  </r>
  <r>
    <d v="2014-01-03T00:00:00"/>
    <m/>
    <s v="REF. 01/2014"/>
    <x v="175"/>
    <n v="210"/>
    <m/>
    <n v="-210"/>
    <x v="0"/>
    <x v="1"/>
    <x v="32"/>
    <x v="11"/>
    <x v="1"/>
    <x v="15"/>
  </r>
  <r>
    <d v="2014-01-03T00:00:00"/>
    <m/>
    <s v="REF. 02/2014"/>
    <x v="177"/>
    <n v="210"/>
    <m/>
    <n v="-210"/>
    <x v="0"/>
    <x v="1"/>
    <x v="32"/>
    <x v="11"/>
    <x v="1"/>
    <x v="15"/>
  </r>
  <r>
    <d v="2014-01-03T00:00:00"/>
    <m/>
    <s v="REF. 03/2014"/>
    <x v="178"/>
    <n v="210"/>
    <m/>
    <n v="-210"/>
    <x v="0"/>
    <x v="1"/>
    <x v="32"/>
    <x v="11"/>
    <x v="1"/>
    <x v="15"/>
  </r>
  <r>
    <d v="2014-01-03T00:00:00"/>
    <m/>
    <s v="REF. 04/2014"/>
    <x v="179"/>
    <n v="210"/>
    <m/>
    <n v="-210"/>
    <x v="0"/>
    <x v="1"/>
    <x v="32"/>
    <x v="11"/>
    <x v="1"/>
    <x v="15"/>
  </r>
  <r>
    <d v="2014-01-03T00:00:00"/>
    <m/>
    <s v="REF. 05/2014"/>
    <x v="180"/>
    <n v="210"/>
    <m/>
    <n v="-210"/>
    <x v="0"/>
    <x v="1"/>
    <x v="32"/>
    <x v="11"/>
    <x v="1"/>
    <x v="15"/>
  </r>
  <r>
    <d v="2014-01-03T00:00:00"/>
    <m/>
    <s v="REF. 06/2014"/>
    <x v="181"/>
    <n v="210"/>
    <m/>
    <n v="-210"/>
    <x v="0"/>
    <x v="1"/>
    <x v="32"/>
    <x v="11"/>
    <x v="1"/>
    <x v="15"/>
  </r>
  <r>
    <d v="2014-01-03T00:00:00"/>
    <m/>
    <s v="REF. 07/2014"/>
    <x v="182"/>
    <n v="210"/>
    <m/>
    <n v="-210"/>
    <x v="0"/>
    <x v="1"/>
    <x v="32"/>
    <x v="11"/>
    <x v="1"/>
    <x v="15"/>
  </r>
  <r>
    <d v="2014-01-03T00:00:00"/>
    <m/>
    <s v="REF. 08/2014"/>
    <x v="183"/>
    <n v="210"/>
    <m/>
    <n v="-210"/>
    <x v="0"/>
    <x v="1"/>
    <x v="32"/>
    <x v="11"/>
    <x v="1"/>
    <x v="15"/>
  </r>
  <r>
    <d v="2014-01-03T00:00:00"/>
    <m/>
    <s v="REF. 09/2014"/>
    <x v="184"/>
    <n v="210"/>
    <m/>
    <n v="-210"/>
    <x v="0"/>
    <x v="1"/>
    <x v="32"/>
    <x v="11"/>
    <x v="1"/>
    <x v="15"/>
  </r>
  <r>
    <d v="2014-01-03T00:00:00"/>
    <m/>
    <s v="REF. 10/2014"/>
    <x v="185"/>
    <n v="210"/>
    <m/>
    <n v="-210"/>
    <x v="0"/>
    <x v="1"/>
    <x v="32"/>
    <x v="11"/>
    <x v="1"/>
    <x v="15"/>
  </r>
  <r>
    <d v="2014-01-03T00:00:00"/>
    <m/>
    <s v="REF. 11/2014"/>
    <x v="186"/>
    <n v="210"/>
    <m/>
    <n v="-210"/>
    <x v="0"/>
    <x v="1"/>
    <x v="32"/>
    <x v="11"/>
    <x v="1"/>
    <x v="15"/>
  </r>
  <r>
    <d v="2014-01-03T00:00:00"/>
    <m/>
    <s v="REF. 12/2014"/>
    <x v="187"/>
    <n v="210"/>
    <m/>
    <n v="-210"/>
    <x v="0"/>
    <x v="1"/>
    <x v="32"/>
    <x v="11"/>
    <x v="1"/>
    <x v="15"/>
  </r>
  <r>
    <d v="2014-01-03T00:00:00"/>
    <m/>
    <s v="REF. 12/2013"/>
    <x v="175"/>
    <n v="80"/>
    <d v="2014-02-24T00:00:00"/>
    <n v="-78.39"/>
    <x v="0"/>
    <x v="1"/>
    <x v="33"/>
    <x v="11"/>
    <x v="1"/>
    <x v="25"/>
  </r>
  <r>
    <d v="2014-01-03T00:00:00"/>
    <m/>
    <s v="REF. 01/2014"/>
    <x v="177"/>
    <n v="80"/>
    <d v="2014-02-24T00:00:00"/>
    <n v="-87.62"/>
    <x v="0"/>
    <x v="1"/>
    <x v="33"/>
    <x v="11"/>
    <x v="1"/>
    <x v="26"/>
  </r>
  <r>
    <d v="2014-01-03T00:00:00"/>
    <m/>
    <s v="REF. 02/2014"/>
    <x v="178"/>
    <n v="80"/>
    <m/>
    <n v="-80"/>
    <x v="0"/>
    <x v="1"/>
    <x v="33"/>
    <x v="11"/>
    <x v="1"/>
    <x v="15"/>
  </r>
  <r>
    <d v="2014-01-03T00:00:00"/>
    <m/>
    <s v="REF. 03/2014"/>
    <x v="179"/>
    <n v="80"/>
    <m/>
    <n v="-80"/>
    <x v="0"/>
    <x v="1"/>
    <x v="33"/>
    <x v="11"/>
    <x v="1"/>
    <x v="15"/>
  </r>
  <r>
    <d v="2014-01-03T00:00:00"/>
    <m/>
    <s v="REF. 04/2014"/>
    <x v="180"/>
    <n v="80"/>
    <m/>
    <n v="-80"/>
    <x v="0"/>
    <x v="1"/>
    <x v="33"/>
    <x v="11"/>
    <x v="1"/>
    <x v="15"/>
  </r>
  <r>
    <d v="2014-01-03T00:00:00"/>
    <m/>
    <s v="REF. 05/2014"/>
    <x v="181"/>
    <n v="80"/>
    <m/>
    <n v="-80"/>
    <x v="0"/>
    <x v="1"/>
    <x v="33"/>
    <x v="11"/>
    <x v="1"/>
    <x v="15"/>
  </r>
  <r>
    <d v="2014-01-03T00:00:00"/>
    <m/>
    <s v="REF. 06/2014"/>
    <x v="182"/>
    <n v="80"/>
    <m/>
    <n v="-80"/>
    <x v="0"/>
    <x v="1"/>
    <x v="33"/>
    <x v="11"/>
    <x v="1"/>
    <x v="15"/>
  </r>
  <r>
    <d v="2014-01-03T00:00:00"/>
    <m/>
    <s v="REF. 07/2014"/>
    <x v="183"/>
    <n v="80"/>
    <m/>
    <n v="-80"/>
    <x v="0"/>
    <x v="1"/>
    <x v="33"/>
    <x v="11"/>
    <x v="1"/>
    <x v="15"/>
  </r>
  <r>
    <d v="2014-01-03T00:00:00"/>
    <m/>
    <s v="REF. 08/2014"/>
    <x v="184"/>
    <n v="80"/>
    <m/>
    <n v="-80"/>
    <x v="0"/>
    <x v="1"/>
    <x v="33"/>
    <x v="11"/>
    <x v="1"/>
    <x v="15"/>
  </r>
  <r>
    <d v="2014-01-03T00:00:00"/>
    <m/>
    <s v="REF. 09/2014"/>
    <x v="185"/>
    <n v="80"/>
    <m/>
    <n v="-80"/>
    <x v="0"/>
    <x v="1"/>
    <x v="33"/>
    <x v="11"/>
    <x v="1"/>
    <x v="15"/>
  </r>
  <r>
    <d v="2014-01-03T00:00:00"/>
    <m/>
    <s v="REF. 10/2014"/>
    <x v="186"/>
    <n v="80"/>
    <m/>
    <n v="-80"/>
    <x v="0"/>
    <x v="1"/>
    <x v="33"/>
    <x v="11"/>
    <x v="1"/>
    <x v="15"/>
  </r>
  <r>
    <d v="2014-01-03T00:00:00"/>
    <m/>
    <s v="REF. 11/2014"/>
    <x v="187"/>
    <n v="80"/>
    <m/>
    <n v="-80"/>
    <x v="0"/>
    <x v="1"/>
    <x v="33"/>
    <x v="11"/>
    <x v="1"/>
    <x v="15"/>
  </r>
  <r>
    <d v="2014-01-03T00:00:00"/>
    <m/>
    <s v="REF. 01/2014"/>
    <x v="175"/>
    <n v="100"/>
    <m/>
    <n v="-100"/>
    <x v="0"/>
    <x v="1"/>
    <x v="30"/>
    <x v="9"/>
    <x v="1"/>
    <x v="15"/>
  </r>
  <r>
    <d v="2014-01-03T00:00:00"/>
    <m/>
    <s v="REF. 02/2014"/>
    <x v="177"/>
    <n v="100"/>
    <m/>
    <n v="-100"/>
    <x v="0"/>
    <x v="1"/>
    <x v="30"/>
    <x v="9"/>
    <x v="1"/>
    <x v="15"/>
  </r>
  <r>
    <d v="2014-01-03T00:00:00"/>
    <m/>
    <s v="REF. 03/2014"/>
    <x v="178"/>
    <n v="100"/>
    <m/>
    <n v="-100"/>
    <x v="0"/>
    <x v="1"/>
    <x v="30"/>
    <x v="9"/>
    <x v="1"/>
    <x v="15"/>
  </r>
  <r>
    <d v="2014-01-03T00:00:00"/>
    <m/>
    <s v="REF. 04/2014"/>
    <x v="179"/>
    <n v="100"/>
    <m/>
    <n v="-100"/>
    <x v="0"/>
    <x v="1"/>
    <x v="30"/>
    <x v="9"/>
    <x v="1"/>
    <x v="15"/>
  </r>
  <r>
    <d v="2014-01-03T00:00:00"/>
    <m/>
    <s v="REF. 05/2014"/>
    <x v="180"/>
    <n v="100"/>
    <m/>
    <n v="-100"/>
    <x v="0"/>
    <x v="1"/>
    <x v="30"/>
    <x v="9"/>
    <x v="1"/>
    <x v="15"/>
  </r>
  <r>
    <d v="2014-01-03T00:00:00"/>
    <m/>
    <s v="REF. 06/2014"/>
    <x v="181"/>
    <n v="100"/>
    <m/>
    <n v="-100"/>
    <x v="0"/>
    <x v="1"/>
    <x v="30"/>
    <x v="9"/>
    <x v="1"/>
    <x v="15"/>
  </r>
  <r>
    <d v="2014-01-03T00:00:00"/>
    <m/>
    <s v="REF. 07/2014"/>
    <x v="182"/>
    <n v="100"/>
    <m/>
    <n v="-100"/>
    <x v="0"/>
    <x v="1"/>
    <x v="30"/>
    <x v="9"/>
    <x v="1"/>
    <x v="15"/>
  </r>
  <r>
    <d v="2014-01-03T00:00:00"/>
    <m/>
    <s v="REF. 08/2014"/>
    <x v="183"/>
    <n v="100"/>
    <m/>
    <n v="-100"/>
    <x v="0"/>
    <x v="1"/>
    <x v="30"/>
    <x v="9"/>
    <x v="1"/>
    <x v="15"/>
  </r>
  <r>
    <d v="2014-01-03T00:00:00"/>
    <m/>
    <s v="REF. 09/2014"/>
    <x v="184"/>
    <n v="100"/>
    <m/>
    <n v="-100"/>
    <x v="0"/>
    <x v="1"/>
    <x v="30"/>
    <x v="9"/>
    <x v="1"/>
    <x v="15"/>
  </r>
  <r>
    <d v="2014-01-03T00:00:00"/>
    <m/>
    <s v="REF. 10/2014"/>
    <x v="185"/>
    <n v="100"/>
    <m/>
    <n v="-100"/>
    <x v="0"/>
    <x v="1"/>
    <x v="30"/>
    <x v="9"/>
    <x v="1"/>
    <x v="15"/>
  </r>
  <r>
    <d v="2014-01-03T00:00:00"/>
    <m/>
    <s v="REF. 11/2014"/>
    <x v="186"/>
    <n v="100"/>
    <m/>
    <n v="-100"/>
    <x v="0"/>
    <x v="1"/>
    <x v="30"/>
    <x v="9"/>
    <x v="1"/>
    <x v="15"/>
  </r>
  <r>
    <d v="2014-01-03T00:00:00"/>
    <m/>
    <s v="REF. 12/2014"/>
    <x v="187"/>
    <n v="100"/>
    <m/>
    <n v="-100"/>
    <x v="0"/>
    <x v="1"/>
    <x v="30"/>
    <x v="9"/>
    <x v="1"/>
    <x v="15"/>
  </r>
  <r>
    <d v="2014-01-03T00:00:00"/>
    <m/>
    <s v="REF. 01/2014"/>
    <x v="175"/>
    <n v="60"/>
    <m/>
    <n v="-60"/>
    <x v="0"/>
    <x v="1"/>
    <x v="28"/>
    <x v="9"/>
    <x v="1"/>
    <x v="15"/>
  </r>
  <r>
    <d v="2014-01-03T00:00:00"/>
    <m/>
    <s v="REF. 02/2014"/>
    <x v="177"/>
    <n v="60"/>
    <m/>
    <n v="-60"/>
    <x v="0"/>
    <x v="1"/>
    <x v="28"/>
    <x v="9"/>
    <x v="1"/>
    <x v="15"/>
  </r>
  <r>
    <d v="2014-01-03T00:00:00"/>
    <m/>
    <s v="REF. 03/2014"/>
    <x v="178"/>
    <n v="60"/>
    <m/>
    <n v="-60"/>
    <x v="0"/>
    <x v="1"/>
    <x v="28"/>
    <x v="9"/>
    <x v="1"/>
    <x v="15"/>
  </r>
  <r>
    <d v="2014-01-03T00:00:00"/>
    <m/>
    <s v="REF. 04/2014"/>
    <x v="179"/>
    <n v="60"/>
    <m/>
    <n v="-60"/>
    <x v="0"/>
    <x v="1"/>
    <x v="28"/>
    <x v="9"/>
    <x v="1"/>
    <x v="15"/>
  </r>
  <r>
    <d v="2014-01-03T00:00:00"/>
    <m/>
    <s v="REF. 05/2014"/>
    <x v="180"/>
    <n v="60"/>
    <m/>
    <n v="-60"/>
    <x v="0"/>
    <x v="1"/>
    <x v="28"/>
    <x v="9"/>
    <x v="1"/>
    <x v="15"/>
  </r>
  <r>
    <d v="2014-01-03T00:00:00"/>
    <m/>
    <s v="REF. 06/2014"/>
    <x v="181"/>
    <n v="60"/>
    <m/>
    <n v="-60"/>
    <x v="0"/>
    <x v="1"/>
    <x v="28"/>
    <x v="9"/>
    <x v="1"/>
    <x v="15"/>
  </r>
  <r>
    <d v="2014-01-03T00:00:00"/>
    <m/>
    <s v="REF. 07/2014"/>
    <x v="182"/>
    <n v="60"/>
    <m/>
    <n v="-60"/>
    <x v="0"/>
    <x v="1"/>
    <x v="28"/>
    <x v="9"/>
    <x v="1"/>
    <x v="15"/>
  </r>
  <r>
    <d v="2014-01-03T00:00:00"/>
    <m/>
    <s v="REF. 08/2014"/>
    <x v="183"/>
    <n v="60"/>
    <m/>
    <n v="-60"/>
    <x v="0"/>
    <x v="1"/>
    <x v="28"/>
    <x v="9"/>
    <x v="1"/>
    <x v="15"/>
  </r>
  <r>
    <d v="2014-01-03T00:00:00"/>
    <m/>
    <s v="REF. 09/2014"/>
    <x v="184"/>
    <n v="60"/>
    <m/>
    <n v="-60"/>
    <x v="0"/>
    <x v="1"/>
    <x v="28"/>
    <x v="9"/>
    <x v="1"/>
    <x v="15"/>
  </r>
  <r>
    <d v="2014-01-03T00:00:00"/>
    <m/>
    <s v="REF. 10/2014"/>
    <x v="185"/>
    <n v="60"/>
    <m/>
    <n v="-60"/>
    <x v="0"/>
    <x v="1"/>
    <x v="28"/>
    <x v="9"/>
    <x v="1"/>
    <x v="15"/>
  </r>
  <r>
    <d v="2014-01-03T00:00:00"/>
    <m/>
    <s v="REF. 11/2014"/>
    <x v="186"/>
    <n v="60"/>
    <m/>
    <n v="-60"/>
    <x v="0"/>
    <x v="1"/>
    <x v="28"/>
    <x v="9"/>
    <x v="1"/>
    <x v="15"/>
  </r>
  <r>
    <d v="2014-01-03T00:00:00"/>
    <m/>
    <s v="REF. 12/2014"/>
    <x v="187"/>
    <n v="60"/>
    <m/>
    <n v="-60"/>
    <x v="0"/>
    <x v="1"/>
    <x v="28"/>
    <x v="9"/>
    <x v="1"/>
    <x v="15"/>
  </r>
  <r>
    <d v="2014-01-03T00:00:00"/>
    <m/>
    <s v="REF. 01/2014"/>
    <x v="175"/>
    <n v="60"/>
    <m/>
    <n v="-60"/>
    <x v="0"/>
    <x v="1"/>
    <x v="29"/>
    <x v="9"/>
    <x v="1"/>
    <x v="15"/>
  </r>
  <r>
    <d v="2014-01-03T00:00:00"/>
    <m/>
    <s v="REF. 02/2014"/>
    <x v="177"/>
    <n v="60"/>
    <m/>
    <n v="-60"/>
    <x v="0"/>
    <x v="1"/>
    <x v="29"/>
    <x v="9"/>
    <x v="1"/>
    <x v="15"/>
  </r>
  <r>
    <d v="2014-01-03T00:00:00"/>
    <m/>
    <s v="REF. 03/2014"/>
    <x v="178"/>
    <n v="60"/>
    <m/>
    <n v="-60"/>
    <x v="0"/>
    <x v="1"/>
    <x v="29"/>
    <x v="9"/>
    <x v="1"/>
    <x v="15"/>
  </r>
  <r>
    <d v="2014-01-03T00:00:00"/>
    <m/>
    <s v="REF. 04/2014"/>
    <x v="179"/>
    <n v="60"/>
    <m/>
    <n v="-60"/>
    <x v="0"/>
    <x v="1"/>
    <x v="29"/>
    <x v="9"/>
    <x v="1"/>
    <x v="15"/>
  </r>
  <r>
    <d v="2014-01-03T00:00:00"/>
    <m/>
    <s v="REF. 05/2014"/>
    <x v="180"/>
    <n v="60"/>
    <m/>
    <n v="-60"/>
    <x v="0"/>
    <x v="1"/>
    <x v="29"/>
    <x v="9"/>
    <x v="1"/>
    <x v="15"/>
  </r>
  <r>
    <d v="2014-01-03T00:00:00"/>
    <m/>
    <s v="REF. 06/2014"/>
    <x v="181"/>
    <n v="60"/>
    <m/>
    <n v="-60"/>
    <x v="0"/>
    <x v="1"/>
    <x v="29"/>
    <x v="9"/>
    <x v="1"/>
    <x v="15"/>
  </r>
  <r>
    <d v="2014-01-03T00:00:00"/>
    <m/>
    <s v="REF. 07/2014"/>
    <x v="182"/>
    <n v="60"/>
    <m/>
    <n v="-60"/>
    <x v="0"/>
    <x v="1"/>
    <x v="29"/>
    <x v="9"/>
    <x v="1"/>
    <x v="15"/>
  </r>
  <r>
    <d v="2014-01-03T00:00:00"/>
    <m/>
    <s v="REF. 08/2014"/>
    <x v="183"/>
    <n v="60"/>
    <m/>
    <n v="-60"/>
    <x v="0"/>
    <x v="1"/>
    <x v="29"/>
    <x v="9"/>
    <x v="1"/>
    <x v="15"/>
  </r>
  <r>
    <d v="2014-01-03T00:00:00"/>
    <m/>
    <s v="REF. 09/2014"/>
    <x v="184"/>
    <n v="60"/>
    <m/>
    <n v="-60"/>
    <x v="0"/>
    <x v="1"/>
    <x v="29"/>
    <x v="9"/>
    <x v="1"/>
    <x v="15"/>
  </r>
  <r>
    <d v="2014-01-03T00:00:00"/>
    <m/>
    <s v="REF. 10/2014"/>
    <x v="185"/>
    <n v="60"/>
    <m/>
    <n v="-60"/>
    <x v="0"/>
    <x v="1"/>
    <x v="29"/>
    <x v="9"/>
    <x v="1"/>
    <x v="15"/>
  </r>
  <r>
    <d v="2014-01-03T00:00:00"/>
    <m/>
    <s v="REF. 11/2014"/>
    <x v="186"/>
    <n v="60"/>
    <m/>
    <n v="-60"/>
    <x v="0"/>
    <x v="1"/>
    <x v="29"/>
    <x v="9"/>
    <x v="1"/>
    <x v="15"/>
  </r>
  <r>
    <d v="2014-01-03T00:00:00"/>
    <m/>
    <s v="REF. 12/2014"/>
    <x v="187"/>
    <n v="60"/>
    <m/>
    <n v="-60"/>
    <x v="0"/>
    <x v="1"/>
    <x v="29"/>
    <x v="9"/>
    <x v="1"/>
    <x v="15"/>
  </r>
  <r>
    <d v="2014-01-03T00:00:00"/>
    <m/>
    <s v="REF. 01/2014"/>
    <x v="160"/>
    <n v="51.46"/>
    <d v="2013-12-20T00:00:00"/>
    <n v="-51.46"/>
    <x v="0"/>
    <x v="1"/>
    <x v="34"/>
    <x v="4"/>
    <x v="17"/>
    <x v="25"/>
  </r>
  <r>
    <d v="2014-01-03T00:00:00"/>
    <m/>
    <s v="REF. 02/2014"/>
    <x v="176"/>
    <n v="51.54"/>
    <d v="2014-02-24T00:00:00"/>
    <n v="-51.54"/>
    <x v="0"/>
    <x v="1"/>
    <x v="34"/>
    <x v="4"/>
    <x v="17"/>
    <x v="26"/>
  </r>
  <r>
    <d v="2014-01-03T00:00:00"/>
    <m/>
    <s v="REF. 03/2014"/>
    <x v="333"/>
    <n v="51.08"/>
    <d v="2014-02-24T00:00:00"/>
    <n v="-51.08"/>
    <x v="0"/>
    <x v="1"/>
    <x v="34"/>
    <x v="4"/>
    <x v="17"/>
    <x v="50"/>
  </r>
  <r>
    <d v="2014-01-03T00:00:00"/>
    <m/>
    <s v="REF. 04/2014"/>
    <x v="332"/>
    <n v="55"/>
    <m/>
    <n v="-55"/>
    <x v="0"/>
    <x v="1"/>
    <x v="34"/>
    <x v="4"/>
    <x v="17"/>
    <x v="15"/>
  </r>
  <r>
    <d v="2014-01-03T00:00:00"/>
    <m/>
    <s v="REF. 05/2014"/>
    <x v="334"/>
    <n v="55"/>
    <m/>
    <n v="-55"/>
    <x v="0"/>
    <x v="1"/>
    <x v="34"/>
    <x v="4"/>
    <x v="17"/>
    <x v="15"/>
  </r>
  <r>
    <d v="2014-01-03T00:00:00"/>
    <m/>
    <s v="REF. 06/2014"/>
    <x v="335"/>
    <n v="55"/>
    <m/>
    <n v="-55"/>
    <x v="0"/>
    <x v="1"/>
    <x v="34"/>
    <x v="4"/>
    <x v="17"/>
    <x v="15"/>
  </r>
  <r>
    <d v="2014-01-03T00:00:00"/>
    <m/>
    <s v="REF. 07/2014"/>
    <x v="336"/>
    <n v="55"/>
    <m/>
    <n v="-55"/>
    <x v="0"/>
    <x v="1"/>
    <x v="34"/>
    <x v="4"/>
    <x v="17"/>
    <x v="15"/>
  </r>
  <r>
    <d v="2014-01-03T00:00:00"/>
    <m/>
    <s v="REF. 08/2014"/>
    <x v="337"/>
    <n v="55"/>
    <m/>
    <n v="-55"/>
    <x v="0"/>
    <x v="1"/>
    <x v="34"/>
    <x v="4"/>
    <x v="17"/>
    <x v="15"/>
  </r>
  <r>
    <d v="2014-01-03T00:00:00"/>
    <m/>
    <s v="REF. 09/2014"/>
    <x v="338"/>
    <n v="55"/>
    <m/>
    <n v="-55"/>
    <x v="0"/>
    <x v="1"/>
    <x v="34"/>
    <x v="4"/>
    <x v="17"/>
    <x v="15"/>
  </r>
  <r>
    <d v="2014-01-03T00:00:00"/>
    <m/>
    <s v="REF. 10/2014"/>
    <x v="339"/>
    <n v="55"/>
    <m/>
    <n v="-55"/>
    <x v="0"/>
    <x v="1"/>
    <x v="34"/>
    <x v="4"/>
    <x v="17"/>
    <x v="15"/>
  </r>
  <r>
    <d v="2014-01-03T00:00:00"/>
    <m/>
    <s v="REF. 11/2014"/>
    <x v="340"/>
    <n v="55"/>
    <m/>
    <n v="-55"/>
    <x v="0"/>
    <x v="1"/>
    <x v="34"/>
    <x v="4"/>
    <x v="17"/>
    <x v="15"/>
  </r>
  <r>
    <d v="2014-01-03T00:00:00"/>
    <m/>
    <s v="REF. 12/2014"/>
    <x v="341"/>
    <n v="55"/>
    <m/>
    <n v="-55"/>
    <x v="0"/>
    <x v="1"/>
    <x v="34"/>
    <x v="4"/>
    <x v="17"/>
    <x v="15"/>
  </r>
  <r>
    <d v="2014-01-03T00:00:00"/>
    <m/>
    <s v="REF. 01/2014"/>
    <x v="238"/>
    <n v="200"/>
    <m/>
    <n v="-200"/>
    <x v="0"/>
    <x v="1"/>
    <x v="77"/>
    <x v="14"/>
    <x v="10"/>
    <x v="15"/>
  </r>
  <r>
    <d v="2014-01-03T00:00:00"/>
    <m/>
    <s v="REF. 01/2014"/>
    <x v="238"/>
    <n v="170"/>
    <d v="2014-02-24T00:00:00"/>
    <n v="-165.41"/>
    <x v="0"/>
    <x v="1"/>
    <x v="56"/>
    <x v="14"/>
    <x v="10"/>
    <x v="25"/>
  </r>
  <r>
    <d v="2014-01-03T00:00:00"/>
    <m/>
    <s v="REF. 02/2014"/>
    <x v="310"/>
    <n v="170"/>
    <d v="2014-02-24T00:00:00"/>
    <n v="-160.69999999999999"/>
    <x v="0"/>
    <x v="1"/>
    <x v="56"/>
    <x v="14"/>
    <x v="10"/>
    <x v="26"/>
  </r>
  <r>
    <d v="2014-01-03T00:00:00"/>
    <m/>
    <s v="REF. 03/2014"/>
    <x v="311"/>
    <n v="170"/>
    <m/>
    <n v="-170"/>
    <x v="0"/>
    <x v="1"/>
    <x v="56"/>
    <x v="14"/>
    <x v="10"/>
    <x v="15"/>
  </r>
  <r>
    <d v="2014-01-03T00:00:00"/>
    <m/>
    <s v="REF. 04/2014"/>
    <x v="312"/>
    <n v="170"/>
    <m/>
    <n v="-170"/>
    <x v="0"/>
    <x v="1"/>
    <x v="56"/>
    <x v="14"/>
    <x v="10"/>
    <x v="15"/>
  </r>
  <r>
    <d v="2014-01-03T00:00:00"/>
    <m/>
    <s v="REF. 05/2014"/>
    <x v="313"/>
    <n v="170"/>
    <m/>
    <n v="-170"/>
    <x v="0"/>
    <x v="1"/>
    <x v="56"/>
    <x v="14"/>
    <x v="10"/>
    <x v="15"/>
  </r>
  <r>
    <d v="2014-01-03T00:00:00"/>
    <m/>
    <s v="REF. 06/2014"/>
    <x v="314"/>
    <n v="170"/>
    <m/>
    <n v="-170"/>
    <x v="0"/>
    <x v="1"/>
    <x v="56"/>
    <x v="14"/>
    <x v="10"/>
    <x v="15"/>
  </r>
  <r>
    <d v="2014-01-03T00:00:00"/>
    <m/>
    <s v="REF. 07/2014"/>
    <x v="315"/>
    <n v="170"/>
    <m/>
    <n v="-170"/>
    <x v="0"/>
    <x v="1"/>
    <x v="56"/>
    <x v="14"/>
    <x v="10"/>
    <x v="15"/>
  </r>
  <r>
    <d v="2014-01-03T00:00:00"/>
    <m/>
    <s v="REF. 08/2014"/>
    <x v="316"/>
    <n v="170"/>
    <m/>
    <n v="-170"/>
    <x v="0"/>
    <x v="1"/>
    <x v="56"/>
    <x v="14"/>
    <x v="10"/>
    <x v="15"/>
  </r>
  <r>
    <d v="2014-01-03T00:00:00"/>
    <m/>
    <s v="REF. 09/2014"/>
    <x v="317"/>
    <n v="170"/>
    <m/>
    <n v="-170"/>
    <x v="0"/>
    <x v="1"/>
    <x v="56"/>
    <x v="14"/>
    <x v="10"/>
    <x v="15"/>
  </r>
  <r>
    <d v="2014-01-03T00:00:00"/>
    <m/>
    <s v="REF. 10/2014"/>
    <x v="318"/>
    <n v="170"/>
    <m/>
    <n v="-170"/>
    <x v="0"/>
    <x v="1"/>
    <x v="56"/>
    <x v="14"/>
    <x v="10"/>
    <x v="15"/>
  </r>
  <r>
    <d v="2014-01-03T00:00:00"/>
    <m/>
    <s v="REF. 11/2014"/>
    <x v="319"/>
    <n v="170"/>
    <m/>
    <n v="-170"/>
    <x v="0"/>
    <x v="1"/>
    <x v="56"/>
    <x v="14"/>
    <x v="10"/>
    <x v="15"/>
  </r>
  <r>
    <d v="2014-01-03T00:00:00"/>
    <m/>
    <s v="REF. 12/2014"/>
    <x v="320"/>
    <n v="170"/>
    <m/>
    <n v="-170"/>
    <x v="0"/>
    <x v="1"/>
    <x v="56"/>
    <x v="14"/>
    <x v="10"/>
    <x v="15"/>
  </r>
  <r>
    <d v="2014-01-03T00:00:00"/>
    <m/>
    <s v="REF. 01/2014"/>
    <x v="175"/>
    <n v="16.899999999999999"/>
    <d v="2014-01-10T00:00:00"/>
    <n v="-16.899999999999999"/>
    <x v="0"/>
    <x v="0"/>
    <x v="74"/>
    <x v="0"/>
    <x v="1"/>
    <x v="25"/>
  </r>
  <r>
    <d v="2014-01-03T00:00:00"/>
    <m/>
    <s v="REF. 02/2014"/>
    <x v="177"/>
    <n v="16.899999999999999"/>
    <d v="2014-02-10T00:00:00"/>
    <n v="-16.899999999999999"/>
    <x v="0"/>
    <x v="0"/>
    <x v="74"/>
    <x v="0"/>
    <x v="1"/>
    <x v="26"/>
  </r>
  <r>
    <d v="2014-01-03T00:00:00"/>
    <m/>
    <s v="REF. 03/2014"/>
    <x v="178"/>
    <n v="16.899999999999999"/>
    <m/>
    <n v="-16.899999999999999"/>
    <x v="0"/>
    <x v="0"/>
    <x v="74"/>
    <x v="0"/>
    <x v="1"/>
    <x v="15"/>
  </r>
  <r>
    <d v="2014-01-03T00:00:00"/>
    <m/>
    <s v="REF. 04/2014"/>
    <x v="179"/>
    <n v="16.899999999999999"/>
    <m/>
    <n v="-16.899999999999999"/>
    <x v="0"/>
    <x v="0"/>
    <x v="74"/>
    <x v="0"/>
    <x v="1"/>
    <x v="15"/>
  </r>
  <r>
    <d v="2014-01-03T00:00:00"/>
    <m/>
    <s v="REF. 05/2014"/>
    <x v="180"/>
    <n v="16.899999999999999"/>
    <m/>
    <n v="-16.899999999999999"/>
    <x v="0"/>
    <x v="0"/>
    <x v="74"/>
    <x v="0"/>
    <x v="1"/>
    <x v="15"/>
  </r>
  <r>
    <d v="2014-01-03T00:00:00"/>
    <m/>
    <s v="REF. 06/2014"/>
    <x v="181"/>
    <n v="16.899999999999999"/>
    <m/>
    <n v="-16.899999999999999"/>
    <x v="0"/>
    <x v="0"/>
    <x v="74"/>
    <x v="0"/>
    <x v="1"/>
    <x v="15"/>
  </r>
  <r>
    <d v="2014-01-03T00:00:00"/>
    <m/>
    <s v="REF. 07/2014"/>
    <x v="182"/>
    <n v="16.899999999999999"/>
    <m/>
    <n v="-16.899999999999999"/>
    <x v="0"/>
    <x v="0"/>
    <x v="74"/>
    <x v="0"/>
    <x v="1"/>
    <x v="15"/>
  </r>
  <r>
    <d v="2014-01-03T00:00:00"/>
    <m/>
    <s v="REF. 08/2014"/>
    <x v="183"/>
    <n v="16.899999999999999"/>
    <m/>
    <n v="-16.899999999999999"/>
    <x v="0"/>
    <x v="0"/>
    <x v="74"/>
    <x v="0"/>
    <x v="1"/>
    <x v="15"/>
  </r>
  <r>
    <d v="2014-01-03T00:00:00"/>
    <m/>
    <s v="REF. 09/2014"/>
    <x v="184"/>
    <n v="16.899999999999999"/>
    <m/>
    <n v="-16.899999999999999"/>
    <x v="0"/>
    <x v="0"/>
    <x v="74"/>
    <x v="0"/>
    <x v="1"/>
    <x v="15"/>
  </r>
  <r>
    <d v="2014-01-03T00:00:00"/>
    <m/>
    <s v="REF. 10/2014"/>
    <x v="185"/>
    <n v="16.899999999999999"/>
    <m/>
    <n v="-16.899999999999999"/>
    <x v="0"/>
    <x v="0"/>
    <x v="74"/>
    <x v="0"/>
    <x v="1"/>
    <x v="15"/>
  </r>
  <r>
    <d v="2014-01-03T00:00:00"/>
    <m/>
    <s v="REF. 11/2014"/>
    <x v="186"/>
    <n v="16.899999999999999"/>
    <m/>
    <n v="-16.899999999999999"/>
    <x v="0"/>
    <x v="0"/>
    <x v="74"/>
    <x v="0"/>
    <x v="1"/>
    <x v="15"/>
  </r>
  <r>
    <d v="2014-01-03T00:00:00"/>
    <m/>
    <s v="REF. 12/2014"/>
    <x v="187"/>
    <n v="16.899999999999999"/>
    <m/>
    <n v="-16.899999999999999"/>
    <x v="0"/>
    <x v="0"/>
    <x v="74"/>
    <x v="0"/>
    <x v="1"/>
    <x v="15"/>
  </r>
  <r>
    <d v="2014-01-03T00:00:00"/>
    <m/>
    <s v="REF. 01/2014"/>
    <x v="160"/>
    <n v="49.9"/>
    <d v="2014-01-09T00:00:00"/>
    <n v="-49.9"/>
    <x v="0"/>
    <x v="1"/>
    <x v="48"/>
    <x v="10"/>
    <x v="17"/>
    <x v="25"/>
  </r>
  <r>
    <d v="2014-01-03T00:00:00"/>
    <m/>
    <s v="REF. 02/2014"/>
    <x v="176"/>
    <n v="49.9"/>
    <d v="2014-01-24T00:00:00"/>
    <n v="-51.02"/>
    <x v="0"/>
    <x v="1"/>
    <x v="48"/>
    <x v="10"/>
    <x v="17"/>
    <x v="26"/>
  </r>
  <r>
    <d v="2014-01-03T00:00:00"/>
    <m/>
    <s v="REF. 03/2014"/>
    <x v="333"/>
    <n v="49.9"/>
    <d v="2014-03-01T00:00:00"/>
    <n v="-51.02"/>
    <x v="0"/>
    <x v="1"/>
    <x v="48"/>
    <x v="10"/>
    <x v="17"/>
    <x v="50"/>
  </r>
  <r>
    <d v="2014-01-03T00:00:00"/>
    <m/>
    <s v="REF. 04/2014"/>
    <x v="332"/>
    <n v="49.9"/>
    <m/>
    <n v="-49.9"/>
    <x v="0"/>
    <x v="1"/>
    <x v="48"/>
    <x v="10"/>
    <x v="17"/>
    <x v="15"/>
  </r>
  <r>
    <d v="2014-01-03T00:00:00"/>
    <m/>
    <s v="REF. 05/2014"/>
    <x v="334"/>
    <n v="49.9"/>
    <m/>
    <n v="-49.9"/>
    <x v="0"/>
    <x v="1"/>
    <x v="48"/>
    <x v="10"/>
    <x v="17"/>
    <x v="15"/>
  </r>
  <r>
    <d v="2014-01-03T00:00:00"/>
    <m/>
    <s v="REF. 06/2014"/>
    <x v="335"/>
    <n v="49.9"/>
    <m/>
    <n v="-49.9"/>
    <x v="0"/>
    <x v="1"/>
    <x v="48"/>
    <x v="10"/>
    <x v="17"/>
    <x v="15"/>
  </r>
  <r>
    <d v="2014-01-03T00:00:00"/>
    <m/>
    <s v="REF. 07/2014"/>
    <x v="336"/>
    <n v="49.9"/>
    <m/>
    <n v="-49.9"/>
    <x v="0"/>
    <x v="1"/>
    <x v="48"/>
    <x v="10"/>
    <x v="17"/>
    <x v="15"/>
  </r>
  <r>
    <d v="2014-01-03T00:00:00"/>
    <m/>
    <s v="REF. 08/2014"/>
    <x v="337"/>
    <n v="49.9"/>
    <m/>
    <n v="-49.9"/>
    <x v="0"/>
    <x v="1"/>
    <x v="48"/>
    <x v="10"/>
    <x v="17"/>
    <x v="15"/>
  </r>
  <r>
    <d v="2014-01-03T00:00:00"/>
    <m/>
    <s v="REF. 09/2014"/>
    <x v="338"/>
    <n v="49.9"/>
    <m/>
    <n v="-49.9"/>
    <x v="0"/>
    <x v="1"/>
    <x v="48"/>
    <x v="10"/>
    <x v="17"/>
    <x v="15"/>
  </r>
  <r>
    <d v="2014-01-03T00:00:00"/>
    <m/>
    <s v="REF. 10/2014"/>
    <x v="339"/>
    <n v="49.9"/>
    <m/>
    <n v="-49.9"/>
    <x v="0"/>
    <x v="1"/>
    <x v="48"/>
    <x v="10"/>
    <x v="17"/>
    <x v="15"/>
  </r>
  <r>
    <d v="2014-01-03T00:00:00"/>
    <m/>
    <s v="REF. 11/2014"/>
    <x v="340"/>
    <n v="49.9"/>
    <m/>
    <n v="-49.9"/>
    <x v="0"/>
    <x v="1"/>
    <x v="48"/>
    <x v="10"/>
    <x v="17"/>
    <x v="15"/>
  </r>
  <r>
    <d v="2014-01-03T00:00:00"/>
    <m/>
    <s v="REF. 12/2014"/>
    <x v="341"/>
    <n v="49.9"/>
    <m/>
    <n v="-49.9"/>
    <x v="0"/>
    <x v="1"/>
    <x v="48"/>
    <x v="10"/>
    <x v="17"/>
    <x v="15"/>
  </r>
  <r>
    <d v="2014-01-03T00:00:00"/>
    <m/>
    <s v="MENS 01/14"/>
    <x v="177"/>
    <n v="19.5"/>
    <d v="2014-02-10T00:00:00"/>
    <n v="-19.5"/>
    <x v="0"/>
    <x v="1"/>
    <x v="4"/>
    <x v="3"/>
    <x v="1"/>
    <x v="26"/>
  </r>
  <r>
    <d v="2014-01-03T00:00:00"/>
    <m/>
    <s v="MENS 02/14"/>
    <x v="178"/>
    <n v="19.5"/>
    <m/>
    <n v="-19.5"/>
    <x v="0"/>
    <x v="1"/>
    <x v="4"/>
    <x v="3"/>
    <x v="1"/>
    <x v="15"/>
  </r>
  <r>
    <d v="2014-01-03T00:00:00"/>
    <m/>
    <s v="MENS 03/14"/>
    <x v="179"/>
    <n v="19.5"/>
    <m/>
    <n v="-19.5"/>
    <x v="0"/>
    <x v="1"/>
    <x v="4"/>
    <x v="3"/>
    <x v="1"/>
    <x v="15"/>
  </r>
  <r>
    <d v="2014-01-03T00:00:00"/>
    <m/>
    <s v="MENS 04/14"/>
    <x v="180"/>
    <n v="19.5"/>
    <m/>
    <n v="-19.5"/>
    <x v="0"/>
    <x v="1"/>
    <x v="4"/>
    <x v="3"/>
    <x v="1"/>
    <x v="15"/>
  </r>
  <r>
    <d v="2014-01-03T00:00:00"/>
    <m/>
    <s v="MENS 05/14"/>
    <x v="181"/>
    <n v="19.5"/>
    <m/>
    <n v="-19.5"/>
    <x v="0"/>
    <x v="1"/>
    <x v="4"/>
    <x v="3"/>
    <x v="1"/>
    <x v="15"/>
  </r>
  <r>
    <d v="2014-01-03T00:00:00"/>
    <m/>
    <s v="MENS 06/14"/>
    <x v="182"/>
    <n v="19.5"/>
    <m/>
    <n v="-19.5"/>
    <x v="0"/>
    <x v="1"/>
    <x v="4"/>
    <x v="3"/>
    <x v="1"/>
    <x v="15"/>
  </r>
  <r>
    <d v="2014-01-03T00:00:00"/>
    <m/>
    <s v="MENS 07/14"/>
    <x v="183"/>
    <n v="19.5"/>
    <m/>
    <n v="-19.5"/>
    <x v="0"/>
    <x v="1"/>
    <x v="4"/>
    <x v="3"/>
    <x v="1"/>
    <x v="15"/>
  </r>
  <r>
    <d v="2014-01-03T00:00:00"/>
    <m/>
    <s v="MENS 08/14"/>
    <x v="184"/>
    <n v="19.5"/>
    <m/>
    <n v="-19.5"/>
    <x v="0"/>
    <x v="1"/>
    <x v="4"/>
    <x v="3"/>
    <x v="1"/>
    <x v="15"/>
  </r>
  <r>
    <d v="2014-01-03T00:00:00"/>
    <m/>
    <s v="MENS 09/14"/>
    <x v="185"/>
    <n v="19.5"/>
    <m/>
    <n v="-19.5"/>
    <x v="0"/>
    <x v="1"/>
    <x v="4"/>
    <x v="3"/>
    <x v="1"/>
    <x v="15"/>
  </r>
  <r>
    <d v="2014-01-03T00:00:00"/>
    <m/>
    <s v="MENS 10/14"/>
    <x v="186"/>
    <n v="19.5"/>
    <m/>
    <n v="-19.5"/>
    <x v="0"/>
    <x v="1"/>
    <x v="4"/>
    <x v="3"/>
    <x v="1"/>
    <x v="15"/>
  </r>
  <r>
    <d v="2014-01-03T00:00:00"/>
    <m/>
    <s v="MENS 11/14"/>
    <x v="187"/>
    <n v="19.5"/>
    <m/>
    <n v="-19.5"/>
    <x v="0"/>
    <x v="1"/>
    <x v="4"/>
    <x v="3"/>
    <x v="1"/>
    <x v="15"/>
  </r>
  <r>
    <d v="2014-01-03T00:00:00"/>
    <m/>
    <s v="REF. 02/2014"/>
    <x v="177"/>
    <n v="1310"/>
    <m/>
    <n v="-1310"/>
    <x v="0"/>
    <x v="1"/>
    <x v="78"/>
    <x v="14"/>
    <x v="1"/>
    <x v="15"/>
  </r>
  <r>
    <d v="2014-01-03T00:00:00"/>
    <m/>
    <s v="REF. 03/2014"/>
    <x v="178"/>
    <n v="505"/>
    <m/>
    <n v="-505"/>
    <x v="0"/>
    <x v="1"/>
    <x v="78"/>
    <x v="14"/>
    <x v="1"/>
    <x v="15"/>
  </r>
  <r>
    <d v="2014-01-03T00:00:00"/>
    <m/>
    <s v="REF. 04/2014"/>
    <x v="179"/>
    <n v="505"/>
    <m/>
    <n v="-505"/>
    <x v="0"/>
    <x v="1"/>
    <x v="78"/>
    <x v="14"/>
    <x v="1"/>
    <x v="15"/>
  </r>
  <r>
    <d v="2014-01-03T00:00:00"/>
    <m/>
    <s v="REF. 05/2014"/>
    <x v="180"/>
    <n v="505"/>
    <m/>
    <n v="-505"/>
    <x v="0"/>
    <x v="1"/>
    <x v="78"/>
    <x v="14"/>
    <x v="1"/>
    <x v="15"/>
  </r>
  <r>
    <d v="2014-01-03T00:00:00"/>
    <m/>
    <s v="REF. 06/2014"/>
    <x v="181"/>
    <n v="505"/>
    <m/>
    <n v="-505"/>
    <x v="0"/>
    <x v="1"/>
    <x v="78"/>
    <x v="14"/>
    <x v="1"/>
    <x v="15"/>
  </r>
  <r>
    <d v="2014-01-03T00:00:00"/>
    <m/>
    <s v="REF. 07/2014"/>
    <x v="182"/>
    <n v="505"/>
    <m/>
    <n v="-505"/>
    <x v="0"/>
    <x v="1"/>
    <x v="78"/>
    <x v="14"/>
    <x v="1"/>
    <x v="15"/>
  </r>
  <r>
    <d v="2014-01-03T00:00:00"/>
    <m/>
    <s v="REF. 08/2014"/>
    <x v="183"/>
    <n v="505"/>
    <m/>
    <n v="-505"/>
    <x v="0"/>
    <x v="1"/>
    <x v="78"/>
    <x v="14"/>
    <x v="1"/>
    <x v="15"/>
  </r>
  <r>
    <d v="2014-01-03T00:00:00"/>
    <m/>
    <s v="REF. 09/2014"/>
    <x v="184"/>
    <n v="505"/>
    <m/>
    <n v="-505"/>
    <x v="0"/>
    <x v="1"/>
    <x v="78"/>
    <x v="14"/>
    <x v="1"/>
    <x v="15"/>
  </r>
  <r>
    <d v="2014-01-03T00:00:00"/>
    <m/>
    <s v="REF. 10/2014"/>
    <x v="185"/>
    <n v="505"/>
    <m/>
    <n v="-505"/>
    <x v="0"/>
    <x v="1"/>
    <x v="78"/>
    <x v="14"/>
    <x v="1"/>
    <x v="15"/>
  </r>
  <r>
    <d v="2014-01-03T00:00:00"/>
    <m/>
    <s v="REF. 11/2014"/>
    <x v="186"/>
    <n v="505"/>
    <m/>
    <n v="-505"/>
    <x v="0"/>
    <x v="1"/>
    <x v="78"/>
    <x v="14"/>
    <x v="1"/>
    <x v="15"/>
  </r>
  <r>
    <d v="2014-01-03T00:00:00"/>
    <m/>
    <s v="REF. 12/2014"/>
    <x v="187"/>
    <n v="505"/>
    <m/>
    <n v="-505"/>
    <x v="0"/>
    <x v="1"/>
    <x v="78"/>
    <x v="14"/>
    <x v="1"/>
    <x v="15"/>
  </r>
  <r>
    <d v="2014-01-03T00:00:00"/>
    <m/>
    <s v="REF. 02/2014"/>
    <x v="310"/>
    <n v="100"/>
    <m/>
    <n v="-100"/>
    <x v="0"/>
    <x v="0"/>
    <x v="75"/>
    <x v="6"/>
    <x v="10"/>
    <x v="15"/>
  </r>
  <r>
    <d v="2014-01-03T00:00:00"/>
    <m/>
    <s v="REF. 03/2014"/>
    <x v="311"/>
    <n v="100"/>
    <m/>
    <n v="-100"/>
    <x v="0"/>
    <x v="0"/>
    <x v="75"/>
    <x v="6"/>
    <x v="10"/>
    <x v="15"/>
  </r>
  <r>
    <d v="2014-01-03T00:00:00"/>
    <m/>
    <s v="REF. 04/2014"/>
    <x v="312"/>
    <n v="100"/>
    <m/>
    <n v="-100"/>
    <x v="0"/>
    <x v="0"/>
    <x v="75"/>
    <x v="6"/>
    <x v="10"/>
    <x v="15"/>
  </r>
  <r>
    <d v="2014-01-03T00:00:00"/>
    <m/>
    <s v="REF. 05/2014"/>
    <x v="313"/>
    <n v="100"/>
    <m/>
    <n v="-100"/>
    <x v="0"/>
    <x v="0"/>
    <x v="75"/>
    <x v="6"/>
    <x v="10"/>
    <x v="15"/>
  </r>
  <r>
    <d v="2014-01-03T00:00:00"/>
    <m/>
    <s v="REF. 06/2014"/>
    <x v="314"/>
    <n v="100"/>
    <m/>
    <n v="-100"/>
    <x v="0"/>
    <x v="0"/>
    <x v="75"/>
    <x v="6"/>
    <x v="10"/>
    <x v="15"/>
  </r>
  <r>
    <d v="2014-01-03T00:00:00"/>
    <m/>
    <s v="REF. 07/2014"/>
    <x v="315"/>
    <n v="100"/>
    <m/>
    <n v="-100"/>
    <x v="0"/>
    <x v="0"/>
    <x v="75"/>
    <x v="6"/>
    <x v="10"/>
    <x v="15"/>
  </r>
  <r>
    <d v="2014-01-03T00:00:00"/>
    <m/>
    <s v="REF. 08/2014"/>
    <x v="316"/>
    <n v="100"/>
    <m/>
    <n v="-100"/>
    <x v="0"/>
    <x v="0"/>
    <x v="75"/>
    <x v="6"/>
    <x v="10"/>
    <x v="15"/>
  </r>
  <r>
    <d v="2014-01-03T00:00:00"/>
    <m/>
    <s v="REF. 09/2014"/>
    <x v="317"/>
    <n v="100"/>
    <m/>
    <n v="-100"/>
    <x v="0"/>
    <x v="0"/>
    <x v="75"/>
    <x v="6"/>
    <x v="10"/>
    <x v="15"/>
  </r>
  <r>
    <d v="2014-01-03T00:00:00"/>
    <m/>
    <s v="REF. 10/2014"/>
    <x v="318"/>
    <n v="100"/>
    <m/>
    <n v="-100"/>
    <x v="0"/>
    <x v="0"/>
    <x v="75"/>
    <x v="6"/>
    <x v="10"/>
    <x v="15"/>
  </r>
  <r>
    <d v="2014-01-03T00:00:00"/>
    <m/>
    <s v="REF. 11/2014"/>
    <x v="319"/>
    <n v="100"/>
    <m/>
    <n v="-100"/>
    <x v="0"/>
    <x v="0"/>
    <x v="75"/>
    <x v="6"/>
    <x v="10"/>
    <x v="15"/>
  </r>
  <r>
    <d v="2014-01-03T00:00:00"/>
    <m/>
    <s v="REF. 12/2014"/>
    <x v="320"/>
    <n v="100"/>
    <m/>
    <n v="-100"/>
    <x v="0"/>
    <x v="0"/>
    <x v="75"/>
    <x v="6"/>
    <x v="10"/>
    <x v="15"/>
  </r>
  <r>
    <d v="2014-01-03T00:00:00"/>
    <m/>
    <s v="REF. 01/2014"/>
    <x v="238"/>
    <n v="100"/>
    <m/>
    <n v="-100"/>
    <x v="0"/>
    <x v="0"/>
    <x v="79"/>
    <x v="6"/>
    <x v="10"/>
    <x v="15"/>
  </r>
  <r>
    <d v="2014-01-03T00:00:00"/>
    <m/>
    <s v="REF. 02/2014"/>
    <x v="310"/>
    <n v="100"/>
    <m/>
    <n v="-100"/>
    <x v="0"/>
    <x v="0"/>
    <x v="79"/>
    <x v="6"/>
    <x v="10"/>
    <x v="15"/>
  </r>
  <r>
    <d v="2014-01-03T00:00:00"/>
    <m/>
    <s v="REF. 03/2014"/>
    <x v="311"/>
    <n v="100"/>
    <m/>
    <n v="-100"/>
    <x v="0"/>
    <x v="0"/>
    <x v="79"/>
    <x v="6"/>
    <x v="10"/>
    <x v="15"/>
  </r>
  <r>
    <d v="2014-01-03T00:00:00"/>
    <m/>
    <s v="REF. 04/2014"/>
    <x v="312"/>
    <n v="100"/>
    <m/>
    <n v="-100"/>
    <x v="0"/>
    <x v="0"/>
    <x v="79"/>
    <x v="6"/>
    <x v="10"/>
    <x v="15"/>
  </r>
  <r>
    <d v="2014-01-03T00:00:00"/>
    <m/>
    <s v="REF. 05/2014"/>
    <x v="313"/>
    <n v="100"/>
    <m/>
    <n v="-100"/>
    <x v="0"/>
    <x v="0"/>
    <x v="79"/>
    <x v="6"/>
    <x v="10"/>
    <x v="15"/>
  </r>
  <r>
    <d v="2014-01-03T00:00:00"/>
    <m/>
    <s v="REF. 06/2014"/>
    <x v="314"/>
    <n v="100"/>
    <m/>
    <n v="-100"/>
    <x v="0"/>
    <x v="0"/>
    <x v="79"/>
    <x v="6"/>
    <x v="10"/>
    <x v="15"/>
  </r>
  <r>
    <d v="2014-01-03T00:00:00"/>
    <m/>
    <s v="REF. 07/2014"/>
    <x v="315"/>
    <n v="100"/>
    <m/>
    <n v="-100"/>
    <x v="0"/>
    <x v="0"/>
    <x v="79"/>
    <x v="6"/>
    <x v="10"/>
    <x v="15"/>
  </r>
  <r>
    <d v="2014-01-03T00:00:00"/>
    <m/>
    <s v="REF. 08/2014"/>
    <x v="316"/>
    <n v="100"/>
    <m/>
    <n v="-100"/>
    <x v="0"/>
    <x v="0"/>
    <x v="79"/>
    <x v="6"/>
    <x v="10"/>
    <x v="15"/>
  </r>
  <r>
    <d v="2014-01-03T00:00:00"/>
    <m/>
    <s v="REF. 09/2014"/>
    <x v="317"/>
    <n v="100"/>
    <m/>
    <n v="-100"/>
    <x v="0"/>
    <x v="0"/>
    <x v="79"/>
    <x v="6"/>
    <x v="10"/>
    <x v="15"/>
  </r>
  <r>
    <d v="2014-01-03T00:00:00"/>
    <m/>
    <s v="REF. 10/2014"/>
    <x v="318"/>
    <n v="100"/>
    <m/>
    <n v="-100"/>
    <x v="0"/>
    <x v="0"/>
    <x v="79"/>
    <x v="6"/>
    <x v="10"/>
    <x v="15"/>
  </r>
  <r>
    <d v="2014-01-03T00:00:00"/>
    <m/>
    <s v="REF. 11/2014"/>
    <x v="319"/>
    <n v="100"/>
    <m/>
    <n v="-100"/>
    <x v="0"/>
    <x v="0"/>
    <x v="79"/>
    <x v="6"/>
    <x v="10"/>
    <x v="15"/>
  </r>
  <r>
    <d v="2014-01-03T00:00:00"/>
    <m/>
    <s v="REF. 12/2014"/>
    <x v="320"/>
    <n v="100"/>
    <m/>
    <n v="-100"/>
    <x v="0"/>
    <x v="0"/>
    <x v="79"/>
    <x v="6"/>
    <x v="10"/>
    <x v="15"/>
  </r>
  <r>
    <d v="2014-01-03T00:00:00"/>
    <m/>
    <s v="REF. 12/2014"/>
    <x v="188"/>
    <n v="80"/>
    <m/>
    <n v="-80"/>
    <x v="0"/>
    <x v="1"/>
    <x v="33"/>
    <x v="11"/>
    <x v="1"/>
    <x v="15"/>
  </r>
  <r>
    <d v="2014-01-04T00:00:00"/>
    <m/>
    <m/>
    <x v="238"/>
    <n v="14.13"/>
    <d v="2014-01-04T00:00:00"/>
    <n v="-14.13"/>
    <x v="0"/>
    <x v="0"/>
    <x v="3"/>
    <x v="2"/>
    <x v="10"/>
    <x v="25"/>
  </r>
  <r>
    <d v="2014-01-05T00:00:00"/>
    <m/>
    <m/>
    <x v="238"/>
    <n v="18.399999999999999"/>
    <d v="2014-01-05T00:00:00"/>
    <n v="-18.399999999999999"/>
    <x v="0"/>
    <x v="0"/>
    <x v="3"/>
    <x v="2"/>
    <x v="10"/>
    <x v="25"/>
  </r>
  <r>
    <d v="2014-01-06T00:00:00"/>
    <m/>
    <m/>
    <x v="238"/>
    <n v="52"/>
    <d v="2014-01-06T00:00:00"/>
    <n v="-52"/>
    <x v="0"/>
    <x v="0"/>
    <x v="3"/>
    <x v="2"/>
    <x v="10"/>
    <x v="25"/>
  </r>
  <r>
    <d v="2014-01-08T00:00:00"/>
    <m/>
    <m/>
    <x v="238"/>
    <n v="4.08"/>
    <d v="2014-01-08T00:00:00"/>
    <n v="-4.08"/>
    <x v="0"/>
    <x v="0"/>
    <x v="3"/>
    <x v="2"/>
    <x v="10"/>
    <x v="25"/>
  </r>
  <r>
    <d v="2014-01-09T00:00:00"/>
    <m/>
    <m/>
    <x v="238"/>
    <n v="4"/>
    <d v="2014-01-09T00:00:00"/>
    <n v="-4"/>
    <x v="0"/>
    <x v="0"/>
    <x v="3"/>
    <x v="2"/>
    <x v="10"/>
    <x v="25"/>
  </r>
  <r>
    <d v="2014-01-09T00:00:00"/>
    <m/>
    <m/>
    <x v="238"/>
    <n v="19.12"/>
    <d v="2014-01-09T00:00:00"/>
    <n v="-19.12"/>
    <x v="0"/>
    <x v="0"/>
    <x v="3"/>
    <x v="2"/>
    <x v="10"/>
    <x v="25"/>
  </r>
  <r>
    <d v="2014-01-10T00:00:00"/>
    <s v="131220-0900"/>
    <m/>
    <x v="305"/>
    <n v="100"/>
    <d v="2013-12-19T00:00:00"/>
    <n v="100"/>
    <x v="1"/>
    <x v="0"/>
    <x v="25"/>
    <x v="1"/>
    <x v="10"/>
    <x v="24"/>
  </r>
  <r>
    <d v="2014-01-10T00:00:00"/>
    <s v="131220-0000"/>
    <m/>
    <x v="305"/>
    <n v="10"/>
    <d v="2014-03-06T00:00:00"/>
    <n v="10"/>
    <x v="1"/>
    <x v="0"/>
    <x v="26"/>
    <x v="1"/>
    <x v="10"/>
    <x v="24"/>
  </r>
  <r>
    <d v="2014-01-10T00:00:00"/>
    <m/>
    <m/>
    <x v="238"/>
    <n v="42.15"/>
    <d v="2014-01-10T00:00:00"/>
    <n v="-42.15"/>
    <x v="0"/>
    <x v="0"/>
    <x v="3"/>
    <x v="2"/>
    <x v="10"/>
    <x v="25"/>
  </r>
  <r>
    <d v="2014-01-12T00:00:00"/>
    <m/>
    <m/>
    <x v="238"/>
    <n v="38.979999999999997"/>
    <d v="2014-01-12T00:00:00"/>
    <n v="-38.979999999999997"/>
    <x v="0"/>
    <x v="0"/>
    <x v="3"/>
    <x v="2"/>
    <x v="10"/>
    <x v="25"/>
  </r>
  <r>
    <d v="2014-01-14T00:00:00"/>
    <m/>
    <m/>
    <x v="238"/>
    <n v="20"/>
    <d v="2014-01-14T00:00:00"/>
    <n v="-20"/>
    <x v="0"/>
    <x v="0"/>
    <x v="75"/>
    <x v="6"/>
    <x v="10"/>
    <x v="25"/>
  </r>
  <r>
    <d v="2014-01-17T00:00:00"/>
    <m/>
    <m/>
    <x v="238"/>
    <n v="10"/>
    <d v="2014-01-17T00:00:00"/>
    <n v="-10"/>
    <x v="0"/>
    <x v="0"/>
    <x v="75"/>
    <x v="6"/>
    <x v="10"/>
    <x v="25"/>
  </r>
  <r>
    <d v="2014-01-20T00:00:00"/>
    <s v="140120-0900"/>
    <m/>
    <x v="238"/>
    <n v="100"/>
    <d v="2014-01-20T00:00:00"/>
    <n v="100"/>
    <x v="1"/>
    <x v="0"/>
    <x v="25"/>
    <x v="1"/>
    <x v="10"/>
    <x v="25"/>
  </r>
  <r>
    <d v="2014-01-21T00:00:00"/>
    <m/>
    <m/>
    <x v="238"/>
    <n v="20"/>
    <d v="2014-01-21T00:00:00"/>
    <n v="-20"/>
    <x v="0"/>
    <x v="0"/>
    <x v="75"/>
    <x v="6"/>
    <x v="10"/>
    <x v="25"/>
  </r>
  <r>
    <d v="2014-01-24T00:00:00"/>
    <m/>
    <m/>
    <x v="238"/>
    <n v="7"/>
    <d v="2014-01-24T00:00:00"/>
    <n v="-7"/>
    <x v="0"/>
    <x v="0"/>
    <x v="75"/>
    <x v="6"/>
    <x v="10"/>
    <x v="25"/>
  </r>
  <r>
    <d v="2014-01-29T00:00:00"/>
    <m/>
    <m/>
    <x v="238"/>
    <n v="6.8"/>
    <d v="2014-01-29T00:00:00"/>
    <n v="-6.8"/>
    <x v="0"/>
    <x v="0"/>
    <x v="75"/>
    <x v="6"/>
    <x v="10"/>
    <x v="25"/>
  </r>
  <r>
    <d v="2014-01-30T00:00:00"/>
    <m/>
    <m/>
    <x v="238"/>
    <n v="20"/>
    <d v="2014-01-30T00:00:00"/>
    <n v="-20"/>
    <x v="0"/>
    <x v="0"/>
    <x v="75"/>
    <x v="6"/>
    <x v="10"/>
    <x v="25"/>
  </r>
  <r>
    <d v="2014-02-07T00:00:00"/>
    <s v="140207-2042"/>
    <m/>
    <x v="342"/>
    <n v="150"/>
    <d v="2014-02-22T00:00:00"/>
    <n v="150"/>
    <x v="1"/>
    <x v="0"/>
    <x v="13"/>
    <x v="1"/>
    <x v="29"/>
    <x v="26"/>
  </r>
  <r>
    <d v="2014-02-10T00:00:00"/>
    <m/>
    <m/>
    <x v="175"/>
    <n v="3.43"/>
    <m/>
    <n v="-3.43"/>
    <x v="0"/>
    <x v="1"/>
    <x v="80"/>
    <x v="9"/>
    <x v="1"/>
    <x v="15"/>
  </r>
  <r>
    <d v="2014-02-10T00:00:00"/>
    <m/>
    <m/>
    <x v="175"/>
    <n v="56.25"/>
    <m/>
    <n v="-56.25"/>
    <x v="0"/>
    <x v="1"/>
    <x v="28"/>
    <x v="9"/>
    <x v="1"/>
    <x v="15"/>
  </r>
  <r>
    <d v="2014-02-10T00:00:00"/>
    <s v="140210-1530"/>
    <m/>
    <x v="177"/>
    <n v="150"/>
    <d v="2014-02-10T00:00:00"/>
    <n v="150"/>
    <x v="1"/>
    <x v="0"/>
    <x v="81"/>
    <x v="1"/>
    <x v="1"/>
    <x v="26"/>
  </r>
  <r>
    <d v="2014-02-14T00:00:00"/>
    <m/>
    <m/>
    <x v="310"/>
    <n v="13.36"/>
    <d v="2014-02-14T00:00:00"/>
    <n v="-13.36"/>
    <x v="0"/>
    <x v="0"/>
    <x v="2"/>
    <x v="2"/>
    <x v="10"/>
    <x v="26"/>
  </r>
  <r>
    <d v="2014-02-17T00:00:00"/>
    <m/>
    <m/>
    <x v="310"/>
    <n v="6"/>
    <d v="2014-02-17T00:00:00"/>
    <n v="-6"/>
    <x v="0"/>
    <x v="0"/>
    <x v="3"/>
    <x v="2"/>
    <x v="10"/>
    <x v="26"/>
  </r>
  <r>
    <d v="2014-02-17T00:00:00"/>
    <s v="140217-1040"/>
    <s v="PARCELA 1/2"/>
    <x v="343"/>
    <n v="2175"/>
    <d v="2014-02-21T00:00:00"/>
    <n v="2175"/>
    <x v="1"/>
    <x v="2"/>
    <x v="9"/>
    <x v="1"/>
    <x v="11"/>
    <x v="26"/>
  </r>
  <r>
    <d v="2014-02-17T00:00:00"/>
    <s v="140217-1040"/>
    <s v="PARCELA 2/2"/>
    <x v="311"/>
    <n v="2175"/>
    <m/>
    <n v="0"/>
    <x v="1"/>
    <x v="2"/>
    <x v="9"/>
    <x v="1"/>
    <x v="10"/>
    <x v="15"/>
  </r>
  <r>
    <d v="2014-02-18T00:00:00"/>
    <m/>
    <m/>
    <x v="310"/>
    <n v="2"/>
    <d v="2014-02-18T00:00:00"/>
    <n v="-2"/>
    <x v="0"/>
    <x v="0"/>
    <x v="3"/>
    <x v="2"/>
    <x v="10"/>
    <x v="26"/>
  </r>
  <r>
    <d v="2014-02-20T00:00:00"/>
    <s v="140220-0900"/>
    <m/>
    <x v="310"/>
    <n v="100"/>
    <d v="2014-02-20T00:00:00"/>
    <n v="100"/>
    <x v="1"/>
    <x v="0"/>
    <x v="25"/>
    <x v="1"/>
    <x v="10"/>
    <x v="26"/>
  </r>
  <r>
    <d v="2014-02-21T00:00:00"/>
    <s v="140221-1800"/>
    <m/>
    <x v="343"/>
    <n v="100"/>
    <d v="2014-02-22T00:00:00"/>
    <n v="100"/>
    <x v="1"/>
    <x v="0"/>
    <x v="13"/>
    <x v="1"/>
    <x v="11"/>
    <x v="26"/>
  </r>
  <r>
    <d v="2014-02-21T00:00:00"/>
    <s v="140221-1938"/>
    <m/>
    <x v="343"/>
    <n v="350"/>
    <d v="2014-02-22T00:00:00"/>
    <n v="350"/>
    <x v="1"/>
    <x v="0"/>
    <x v="13"/>
    <x v="1"/>
    <x v="11"/>
    <x v="26"/>
  </r>
  <r>
    <d v="2014-02-22T00:00:00"/>
    <m/>
    <m/>
    <x v="310"/>
    <n v="22.24"/>
    <d v="2014-02-22T00:00:00"/>
    <n v="-22.24"/>
    <x v="0"/>
    <x v="0"/>
    <x v="3"/>
    <x v="2"/>
    <x v="10"/>
    <x v="26"/>
  </r>
  <r>
    <d v="2014-02-22T00:00:00"/>
    <m/>
    <m/>
    <x v="310"/>
    <n v="12.88"/>
    <d v="2014-02-22T00:00:00"/>
    <n v="-12.88"/>
    <x v="0"/>
    <x v="0"/>
    <x v="3"/>
    <x v="2"/>
    <x v="10"/>
    <x v="26"/>
  </r>
  <r>
    <d v="2014-02-23T00:00:00"/>
    <s v="140223-1500"/>
    <m/>
    <x v="344"/>
    <n v="100"/>
    <d v="2014-02-23T00:00:00"/>
    <n v="100"/>
    <x v="1"/>
    <x v="0"/>
    <x v="10"/>
    <x v="1"/>
    <x v="13"/>
    <x v="26"/>
  </r>
  <r>
    <d v="2014-02-23T00:00:00"/>
    <m/>
    <m/>
    <x v="310"/>
    <n v="24.87"/>
    <d v="2014-02-23T00:00:00"/>
    <n v="-24.87"/>
    <x v="0"/>
    <x v="0"/>
    <x v="3"/>
    <x v="2"/>
    <x v="10"/>
    <x v="26"/>
  </r>
  <r>
    <d v="2014-02-23T00:00:00"/>
    <m/>
    <m/>
    <x v="310"/>
    <n v="3.5"/>
    <d v="2014-02-23T00:00:00"/>
    <n v="-3.5"/>
    <x v="0"/>
    <x v="0"/>
    <x v="3"/>
    <x v="2"/>
    <x v="10"/>
    <x v="26"/>
  </r>
  <r>
    <d v="2014-03-20T00:00:00"/>
    <s v="140320-0900"/>
    <m/>
    <x v="311"/>
    <n v="100"/>
    <m/>
    <n v="0"/>
    <x v="1"/>
    <x v="0"/>
    <x v="25"/>
    <x v="1"/>
    <x v="10"/>
    <x v="15"/>
  </r>
  <r>
    <d v="2014-04-20T00:00:00"/>
    <s v="140420-0900"/>
    <m/>
    <x v="312"/>
    <n v="100"/>
    <m/>
    <n v="0"/>
    <x v="1"/>
    <x v="0"/>
    <x v="25"/>
    <x v="1"/>
    <x v="10"/>
    <x v="15"/>
  </r>
  <r>
    <d v="2014-05-20T00:00:00"/>
    <s v="140520-0900"/>
    <m/>
    <x v="313"/>
    <n v="100"/>
    <m/>
    <n v="0"/>
    <x v="1"/>
    <x v="0"/>
    <x v="25"/>
    <x v="1"/>
    <x v="10"/>
    <x v="15"/>
  </r>
  <r>
    <d v="2014-06-20T00:00:00"/>
    <s v="140620-0900"/>
    <m/>
    <x v="314"/>
    <n v="100"/>
    <m/>
    <n v="0"/>
    <x v="1"/>
    <x v="0"/>
    <x v="25"/>
    <x v="1"/>
    <x v="10"/>
    <x v="15"/>
  </r>
  <r>
    <d v="2014-07-20T00:00:00"/>
    <s v="140720-0900"/>
    <m/>
    <x v="315"/>
    <n v="100"/>
    <m/>
    <n v="0"/>
    <x v="1"/>
    <x v="0"/>
    <x v="25"/>
    <x v="1"/>
    <x v="10"/>
    <x v="15"/>
  </r>
  <r>
    <d v="2014-08-20T00:00:00"/>
    <s v="140820-0900"/>
    <m/>
    <x v="316"/>
    <n v="100"/>
    <m/>
    <n v="0"/>
    <x v="1"/>
    <x v="0"/>
    <x v="25"/>
    <x v="1"/>
    <x v="10"/>
    <x v="15"/>
  </r>
  <r>
    <d v="2014-09-20T00:00:00"/>
    <s v="140920-0900"/>
    <m/>
    <x v="317"/>
    <n v="100"/>
    <m/>
    <n v="0"/>
    <x v="1"/>
    <x v="0"/>
    <x v="25"/>
    <x v="1"/>
    <x v="10"/>
    <x v="15"/>
  </r>
  <r>
    <d v="2014-10-20T00:00:00"/>
    <s v="141020-0900"/>
    <m/>
    <x v="318"/>
    <n v="100"/>
    <m/>
    <n v="0"/>
    <x v="1"/>
    <x v="0"/>
    <x v="25"/>
    <x v="1"/>
    <x v="10"/>
    <x v="15"/>
  </r>
  <r>
    <d v="2014-11-20T00:00:00"/>
    <s v="141120-0900"/>
    <m/>
    <x v="319"/>
    <n v="100"/>
    <m/>
    <n v="0"/>
    <x v="1"/>
    <x v="0"/>
    <x v="25"/>
    <x v="1"/>
    <x v="10"/>
    <x v="15"/>
  </r>
  <r>
    <d v="2014-12-20T00:00:00"/>
    <s v="141220-0900"/>
    <m/>
    <x v="320"/>
    <n v="100"/>
    <m/>
    <n v="0"/>
    <x v="1"/>
    <x v="0"/>
    <x v="25"/>
    <x v="1"/>
    <x v="10"/>
    <x v="15"/>
  </r>
  <r>
    <d v="2014-03-06T00:00:00"/>
    <s v="140120-0930"/>
    <s v="COMP. 01/2014"/>
    <x v="238"/>
    <n v="87.14"/>
    <m/>
    <n v="0"/>
    <x v="1"/>
    <x v="0"/>
    <x v="23"/>
    <x v="1"/>
    <x v="10"/>
    <x v="15"/>
  </r>
  <r>
    <d v="2014-03-06T00:00:00"/>
    <s v="140220-0930"/>
    <s v="COMP. 02/2014"/>
    <x v="310"/>
    <n v="87.14"/>
    <m/>
    <n v="0"/>
    <x v="1"/>
    <x v="0"/>
    <x v="23"/>
    <x v="1"/>
    <x v="10"/>
    <x v="15"/>
  </r>
  <r>
    <d v="2014-03-06T00:00:00"/>
    <s v="140320-0930"/>
    <s v="COMP. 03/2014"/>
    <x v="311"/>
    <n v="87.14"/>
    <m/>
    <n v="0"/>
    <x v="1"/>
    <x v="0"/>
    <x v="23"/>
    <x v="1"/>
    <x v="10"/>
    <x v="15"/>
  </r>
  <r>
    <d v="2014-03-06T00:00:00"/>
    <s v="140420-0930"/>
    <s v="COMP. 04/2014"/>
    <x v="312"/>
    <n v="87.14"/>
    <m/>
    <n v="0"/>
    <x v="1"/>
    <x v="0"/>
    <x v="23"/>
    <x v="1"/>
    <x v="10"/>
    <x v="15"/>
  </r>
  <r>
    <d v="2014-03-06T00:00:00"/>
    <s v="140520-0930"/>
    <s v="COMP. 05/2014"/>
    <x v="313"/>
    <n v="87.14"/>
    <m/>
    <n v="0"/>
    <x v="1"/>
    <x v="0"/>
    <x v="23"/>
    <x v="1"/>
    <x v="10"/>
    <x v="15"/>
  </r>
  <r>
    <d v="2014-03-06T00:00:00"/>
    <s v="140620-0930"/>
    <s v="COMP. 06/2014"/>
    <x v="314"/>
    <n v="87.14"/>
    <m/>
    <n v="0"/>
    <x v="1"/>
    <x v="0"/>
    <x v="23"/>
    <x v="1"/>
    <x v="10"/>
    <x v="15"/>
  </r>
  <r>
    <d v="2014-03-06T00:00:00"/>
    <s v="140720-0930"/>
    <s v="COMP. 07/2014"/>
    <x v="315"/>
    <n v="87.14"/>
    <m/>
    <n v="0"/>
    <x v="1"/>
    <x v="0"/>
    <x v="23"/>
    <x v="1"/>
    <x v="10"/>
    <x v="15"/>
  </r>
  <r>
    <d v="2014-03-06T00:00:00"/>
    <s v="140820-0930"/>
    <s v="COMP. 08/2014"/>
    <x v="316"/>
    <n v="87.14"/>
    <m/>
    <n v="0"/>
    <x v="1"/>
    <x v="0"/>
    <x v="23"/>
    <x v="1"/>
    <x v="10"/>
    <x v="15"/>
  </r>
  <r>
    <d v="2014-03-06T00:00:00"/>
    <s v="140920-0930"/>
    <s v="COMP. 09/2014"/>
    <x v="317"/>
    <n v="87.14"/>
    <m/>
    <n v="0"/>
    <x v="1"/>
    <x v="0"/>
    <x v="23"/>
    <x v="1"/>
    <x v="10"/>
    <x v="15"/>
  </r>
  <r>
    <d v="2014-03-06T00:00:00"/>
    <s v="141020-0930"/>
    <s v="COMP. 10/2014"/>
    <x v="318"/>
    <n v="87.14"/>
    <m/>
    <n v="0"/>
    <x v="1"/>
    <x v="0"/>
    <x v="23"/>
    <x v="1"/>
    <x v="10"/>
    <x v="15"/>
  </r>
  <r>
    <d v="2014-03-06T00:00:00"/>
    <s v="141120-0930"/>
    <s v="COMP. 11/2014"/>
    <x v="319"/>
    <n v="87.14"/>
    <m/>
    <n v="0"/>
    <x v="1"/>
    <x v="0"/>
    <x v="23"/>
    <x v="1"/>
    <x v="10"/>
    <x v="15"/>
  </r>
  <r>
    <d v="2014-03-06T00:00:00"/>
    <s v="141220-0930"/>
    <s v="COMP. 12/2014"/>
    <x v="320"/>
    <n v="87.14"/>
    <m/>
    <n v="0"/>
    <x v="1"/>
    <x v="0"/>
    <x v="23"/>
    <x v="1"/>
    <x v="10"/>
    <x v="15"/>
  </r>
  <r>
    <d v="2014-03-06T00:00:00"/>
    <s v="140120-0910"/>
    <s v="COMP. 01/2014"/>
    <x v="238"/>
    <n v="67.849999999999994"/>
    <d v="2014-01-20T00:00:00"/>
    <n v="67.849999999999994"/>
    <x v="1"/>
    <x v="0"/>
    <x v="24"/>
    <x v="1"/>
    <x v="10"/>
    <x v="25"/>
  </r>
  <r>
    <d v="2014-03-06T00:00:00"/>
    <s v="140220-0910"/>
    <s v="COMP. 02/2014"/>
    <x v="310"/>
    <n v="67.849999999999994"/>
    <d v="2014-02-20T00:00:00"/>
    <n v="67.849999999999994"/>
    <x v="1"/>
    <x v="0"/>
    <x v="24"/>
    <x v="1"/>
    <x v="10"/>
    <x v="26"/>
  </r>
  <r>
    <d v="2014-03-06T00:00:00"/>
    <s v="140320-0910"/>
    <s v="COMP. 03/2014"/>
    <x v="311"/>
    <n v="67.849999999999994"/>
    <m/>
    <n v="0"/>
    <x v="1"/>
    <x v="0"/>
    <x v="24"/>
    <x v="1"/>
    <x v="10"/>
    <x v="15"/>
  </r>
  <r>
    <d v="2014-03-06T00:00:00"/>
    <s v="140420-0910"/>
    <s v="COMP. 04/2014"/>
    <x v="312"/>
    <n v="67.849999999999994"/>
    <m/>
    <n v="0"/>
    <x v="1"/>
    <x v="0"/>
    <x v="24"/>
    <x v="1"/>
    <x v="10"/>
    <x v="15"/>
  </r>
  <r>
    <d v="2014-03-06T00:00:00"/>
    <s v="140520-0910"/>
    <s v="COMP. 05/2014"/>
    <x v="313"/>
    <n v="67.849999999999994"/>
    <m/>
    <n v="0"/>
    <x v="1"/>
    <x v="0"/>
    <x v="24"/>
    <x v="1"/>
    <x v="10"/>
    <x v="15"/>
  </r>
  <r>
    <d v="2014-03-06T00:00:00"/>
    <s v="140620-0910"/>
    <s v="COMP. 06/2014"/>
    <x v="314"/>
    <n v="67.849999999999994"/>
    <m/>
    <n v="0"/>
    <x v="1"/>
    <x v="0"/>
    <x v="24"/>
    <x v="1"/>
    <x v="10"/>
    <x v="15"/>
  </r>
  <r>
    <d v="2014-03-06T00:00:00"/>
    <s v="140720-0910"/>
    <s v="COMP. 07/2014"/>
    <x v="315"/>
    <n v="67.849999999999994"/>
    <m/>
    <n v="0"/>
    <x v="1"/>
    <x v="0"/>
    <x v="24"/>
    <x v="1"/>
    <x v="10"/>
    <x v="15"/>
  </r>
  <r>
    <d v="2014-03-06T00:00:00"/>
    <s v="140820-0910"/>
    <s v="COMP. 08/2014"/>
    <x v="316"/>
    <n v="67.849999999999994"/>
    <m/>
    <n v="0"/>
    <x v="1"/>
    <x v="0"/>
    <x v="24"/>
    <x v="1"/>
    <x v="10"/>
    <x v="15"/>
  </r>
  <r>
    <d v="2014-03-06T00:00:00"/>
    <s v="140920-0910"/>
    <s v="COMP. 09/2014"/>
    <x v="317"/>
    <n v="67.849999999999994"/>
    <m/>
    <n v="0"/>
    <x v="1"/>
    <x v="0"/>
    <x v="24"/>
    <x v="1"/>
    <x v="10"/>
    <x v="15"/>
  </r>
  <r>
    <d v="2014-03-06T00:00:00"/>
    <s v="141020-0910"/>
    <s v="COMP. 10/2014"/>
    <x v="318"/>
    <n v="67.849999999999994"/>
    <m/>
    <n v="0"/>
    <x v="1"/>
    <x v="0"/>
    <x v="24"/>
    <x v="1"/>
    <x v="10"/>
    <x v="15"/>
  </r>
  <r>
    <d v="2014-03-06T00:00:00"/>
    <s v="141120-0910"/>
    <s v="COMP. 11/2014"/>
    <x v="319"/>
    <n v="67.849999999999994"/>
    <m/>
    <n v="0"/>
    <x v="1"/>
    <x v="0"/>
    <x v="24"/>
    <x v="1"/>
    <x v="10"/>
    <x v="15"/>
  </r>
  <r>
    <d v="2014-03-06T00:00:00"/>
    <s v="141220-0910"/>
    <s v="COMP. 12/2014"/>
    <x v="320"/>
    <n v="67.849999999999994"/>
    <m/>
    <n v="0"/>
    <x v="1"/>
    <x v="0"/>
    <x v="24"/>
    <x v="1"/>
    <x v="10"/>
    <x v="15"/>
  </r>
  <r>
    <d v="2014-01-10T00:00:00"/>
    <s v="140120-0000"/>
    <m/>
    <x v="238"/>
    <n v="10"/>
    <d v="2014-03-06T00:00:00"/>
    <n v="10"/>
    <x v="1"/>
    <x v="0"/>
    <x v="26"/>
    <x v="1"/>
    <x v="10"/>
    <x v="25"/>
  </r>
  <r>
    <d v="2014-01-10T00:00:00"/>
    <s v="140220-0000"/>
    <m/>
    <x v="310"/>
    <n v="10"/>
    <d v="2014-03-06T00:00:00"/>
    <n v="10"/>
    <x v="1"/>
    <x v="0"/>
    <x v="26"/>
    <x v="1"/>
    <x v="10"/>
    <x v="26"/>
  </r>
  <r>
    <d v="2014-01-10T00:00:00"/>
    <s v="140320-0000"/>
    <m/>
    <x v="311"/>
    <n v="10"/>
    <d v="2014-03-06T00:00:00"/>
    <n v="10"/>
    <x v="1"/>
    <x v="0"/>
    <x v="26"/>
    <x v="1"/>
    <x v="10"/>
    <x v="50"/>
  </r>
  <r>
    <d v="2014-01-10T00:00:00"/>
    <s v="140420-0000"/>
    <m/>
    <x v="312"/>
    <n v="10"/>
    <m/>
    <n v="0"/>
    <x v="1"/>
    <x v="0"/>
    <x v="26"/>
    <x v="1"/>
    <x v="10"/>
    <x v="15"/>
  </r>
  <r>
    <d v="2014-01-10T00:00:00"/>
    <s v="140520-0000"/>
    <m/>
    <x v="313"/>
    <n v="10"/>
    <m/>
    <n v="0"/>
    <x v="1"/>
    <x v="0"/>
    <x v="26"/>
    <x v="1"/>
    <x v="10"/>
    <x v="15"/>
  </r>
  <r>
    <d v="2014-01-10T00:00:00"/>
    <s v="140620-0000"/>
    <m/>
    <x v="314"/>
    <n v="10"/>
    <m/>
    <n v="0"/>
    <x v="1"/>
    <x v="0"/>
    <x v="26"/>
    <x v="1"/>
    <x v="10"/>
    <x v="15"/>
  </r>
  <r>
    <d v="2014-01-10T00:00:00"/>
    <s v="140720-0000"/>
    <m/>
    <x v="315"/>
    <n v="10"/>
    <m/>
    <n v="0"/>
    <x v="1"/>
    <x v="0"/>
    <x v="26"/>
    <x v="1"/>
    <x v="10"/>
    <x v="15"/>
  </r>
  <r>
    <d v="2014-01-10T00:00:00"/>
    <s v="140820-0000"/>
    <m/>
    <x v="316"/>
    <n v="10"/>
    <m/>
    <n v="0"/>
    <x v="1"/>
    <x v="0"/>
    <x v="26"/>
    <x v="1"/>
    <x v="10"/>
    <x v="15"/>
  </r>
  <r>
    <d v="2014-01-10T00:00:00"/>
    <s v="140920-0000"/>
    <m/>
    <x v="317"/>
    <n v="10"/>
    <m/>
    <n v="0"/>
    <x v="1"/>
    <x v="0"/>
    <x v="26"/>
    <x v="1"/>
    <x v="10"/>
    <x v="15"/>
  </r>
  <r>
    <d v="2014-01-10T00:00:00"/>
    <s v="141020-0000"/>
    <m/>
    <x v="318"/>
    <n v="10"/>
    <m/>
    <n v="0"/>
    <x v="1"/>
    <x v="0"/>
    <x v="26"/>
    <x v="1"/>
    <x v="10"/>
    <x v="15"/>
  </r>
  <r>
    <d v="2014-01-10T00:00:00"/>
    <s v="141120-0000"/>
    <m/>
    <x v="319"/>
    <n v="10"/>
    <m/>
    <n v="0"/>
    <x v="1"/>
    <x v="0"/>
    <x v="26"/>
    <x v="1"/>
    <x v="10"/>
    <x v="15"/>
  </r>
  <r>
    <d v="2014-01-10T00:00:00"/>
    <s v="141220-0000"/>
    <m/>
    <x v="320"/>
    <n v="10"/>
    <m/>
    <n v="0"/>
    <x v="1"/>
    <x v="0"/>
    <x v="26"/>
    <x v="1"/>
    <x v="10"/>
    <x v="15"/>
  </r>
  <r>
    <d v="2014-01-03T00:00:00"/>
    <m/>
    <s v="MENS 12/14"/>
    <x v="188"/>
    <n v="19.5"/>
    <m/>
    <n v="-19.5"/>
    <x v="0"/>
    <x v="1"/>
    <x v="4"/>
    <x v="3"/>
    <x v="1"/>
    <x v="15"/>
  </r>
  <r>
    <d v="2013-12-31T00:00:00"/>
    <m/>
    <m/>
    <x v="345"/>
    <n v="44.51"/>
    <d v="2013-12-31T00:00:00"/>
    <n v="-44.51"/>
    <x v="0"/>
    <x v="1"/>
    <x v="5"/>
    <x v="4"/>
    <x v="16"/>
    <x v="24"/>
  </r>
  <r>
    <d v="2013-12-10T00:00:00"/>
    <m/>
    <m/>
    <x v="174"/>
    <n v="7.44"/>
    <d v="2013-12-10T00:00:00"/>
    <n v="-7.44"/>
    <x v="0"/>
    <x v="1"/>
    <x v="51"/>
    <x v="3"/>
    <x v="1"/>
    <x v="24"/>
  </r>
  <r>
    <d v="2014-01-10T00:00:00"/>
    <m/>
    <m/>
    <x v="175"/>
    <n v="3.72"/>
    <d v="2014-01-10T00:00:00"/>
    <n v="-3.72"/>
    <x v="0"/>
    <x v="1"/>
    <x v="51"/>
    <x v="3"/>
    <x v="1"/>
    <x v="25"/>
  </r>
  <r>
    <d v="2014-02-10T00:00:00"/>
    <m/>
    <m/>
    <x v="177"/>
    <n v="3.72"/>
    <d v="2014-02-10T00:00:00"/>
    <n v="-3.72"/>
    <x v="0"/>
    <x v="1"/>
    <x v="51"/>
    <x v="3"/>
    <x v="1"/>
    <x v="26"/>
  </r>
  <r>
    <d v="2014-01-31T00:00:00"/>
    <m/>
    <m/>
    <x v="346"/>
    <n v="15"/>
    <d v="2014-01-31T00:00:00"/>
    <n v="-15"/>
    <x v="0"/>
    <x v="0"/>
    <x v="58"/>
    <x v="7"/>
    <x v="16"/>
    <x v="25"/>
  </r>
  <r>
    <d v="2013-12-31T00:00:00"/>
    <m/>
    <s v="DESPESAS PESSOAIS"/>
    <x v="345"/>
    <n v="100"/>
    <d v="2013-12-31T00:00:00"/>
    <n v="-1601.57"/>
    <x v="0"/>
    <x v="0"/>
    <x v="67"/>
    <x v="6"/>
    <x v="16"/>
    <x v="24"/>
  </r>
  <r>
    <m/>
    <m/>
    <m/>
    <x v="347"/>
    <m/>
    <m/>
    <m/>
    <x v="2"/>
    <x v="3"/>
    <x v="82"/>
    <x v="16"/>
    <x v="31"/>
    <x v="51"/>
  </r>
  <r>
    <m/>
    <m/>
    <m/>
    <x v="347"/>
    <m/>
    <m/>
    <m/>
    <x v="2"/>
    <x v="3"/>
    <x v="82"/>
    <x v="16"/>
    <x v="31"/>
    <x v="51"/>
  </r>
  <r>
    <m/>
    <m/>
    <m/>
    <x v="347"/>
    <m/>
    <m/>
    <m/>
    <x v="2"/>
    <x v="3"/>
    <x v="82"/>
    <x v="16"/>
    <x v="31"/>
    <x v="51"/>
  </r>
  <r>
    <m/>
    <m/>
    <m/>
    <x v="347"/>
    <n v="158391.97666666677"/>
    <m/>
    <n v="-52005.916666666715"/>
    <x v="2"/>
    <x v="3"/>
    <x v="82"/>
    <x v="16"/>
    <x v="31"/>
    <x v="51"/>
  </r>
  <r>
    <m/>
    <m/>
    <m/>
    <x v="347"/>
    <m/>
    <m/>
    <m/>
    <x v="2"/>
    <x v="3"/>
    <x v="82"/>
    <x v="16"/>
    <x v="31"/>
    <x v="5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name="Tabela dinâmica1" cacheId="93" applyNumberFormats="0" applyBorderFormats="0" applyFontFormats="0" applyPatternFormats="0" applyAlignmentFormats="0" applyWidthHeightFormats="1" dataCaption="Valores" updatedVersion="3" minRefreshableVersion="3" showCalcMbrs="0" useAutoFormatting="1" itemPrintTitles="1" createdVersion="3" indent="0" outline="1" outlineData="1" multipleFieldFilters="0">
  <location ref="A3:A23" firstHeaderRow="1" firstDataRow="1" firstDataCol="1"/>
  <pivotFields count="2">
    <pivotField axis="axisRow" showAll="0">
      <items count="20">
        <item sd="0" x="0"/>
        <item sd="0" x="1"/>
        <item sd="0" x="2"/>
        <item sd="0" x="3"/>
        <item sd="0" x="4"/>
        <item sd="0" x="5"/>
        <item sd="0" x="6"/>
        <item sd="0" x="8"/>
        <item sd="0" x="9"/>
        <item sd="0" x="10"/>
        <item sd="0" x="11"/>
        <item sd="0" x="7"/>
        <item sd="0" x="13"/>
        <item sd="0" x="12"/>
        <item sd="0" x="14"/>
        <item sd="0" x="15"/>
        <item sd="0" x="16"/>
        <item sd="0" x="17"/>
        <item sd="0" x="18"/>
        <item t="default"/>
      </items>
    </pivotField>
    <pivotField axis="axisRow" showAll="0" sortType="ascending">
      <items count="93">
        <item x="58"/>
        <item x="83"/>
        <item x="84"/>
        <item x="85"/>
        <item x="86"/>
        <item x="0"/>
        <item x="77"/>
        <item x="52"/>
        <item x="43"/>
        <item x="19"/>
        <item x="1"/>
        <item x="53"/>
        <item x="20"/>
        <item x="21"/>
        <item x="14"/>
        <item x="22"/>
        <item x="40"/>
        <item x="23"/>
        <item x="2"/>
        <item x="3"/>
        <item x="78"/>
        <item x="45"/>
        <item x="24"/>
        <item x="54"/>
        <item x="79"/>
        <item x="25"/>
        <item x="80"/>
        <item x="26"/>
        <item x="75"/>
        <item x="4"/>
        <item x="88"/>
        <item x="50"/>
        <item x="27"/>
        <item x="70"/>
        <item x="71"/>
        <item x="7"/>
        <item x="15"/>
        <item x="48"/>
        <item x="81"/>
        <item x="46"/>
        <item x="41"/>
        <item x="28"/>
        <item x="51"/>
        <item x="29"/>
        <item x="16"/>
        <item x="59"/>
        <item x="5"/>
        <item x="30"/>
        <item x="55"/>
        <item x="56"/>
        <item x="6"/>
        <item x="82"/>
        <item x="17"/>
        <item x="8"/>
        <item x="31"/>
        <item x="32"/>
        <item x="57"/>
        <item x="60"/>
        <item x="13"/>
        <item x="62"/>
        <item x="72"/>
        <item x="73"/>
        <item x="74"/>
        <item x="39"/>
        <item x="44"/>
        <item x="49"/>
        <item x="9"/>
        <item x="33"/>
        <item x="34"/>
        <item x="63"/>
        <item x="64"/>
        <item x="65"/>
        <item x="69"/>
        <item x="67"/>
        <item x="66"/>
        <item x="68"/>
        <item x="35"/>
        <item x="89"/>
        <item x="90"/>
        <item x="36"/>
        <item x="10"/>
        <item x="37"/>
        <item x="47"/>
        <item x="11"/>
        <item x="61"/>
        <item x="18"/>
        <item x="76"/>
        <item x="42"/>
        <item x="87"/>
        <item x="12"/>
        <item x="38"/>
        <item x="91"/>
        <item t="default"/>
      </items>
    </pivotField>
  </pivotFields>
  <rowFields count="2">
    <field x="0"/>
    <field x="1"/>
  </rowFields>
  <rowItems count="20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 t="grand">
      <x/>
    </i>
  </rowItems>
  <colItems count="1">
    <i/>
  </colItems>
  <formats count="3">
    <format dxfId="109">
      <pivotArea dataOnly="0" labelOnly="1" fieldPosition="0">
        <references count="1">
          <reference field="0" count="1">
            <x v="5"/>
          </reference>
        </references>
      </pivotArea>
    </format>
    <format dxfId="108">
      <pivotArea dataOnly="0" labelOnly="1" fieldPosition="0">
        <references count="1">
          <reference field="0" count="1">
            <x v="7"/>
          </reference>
        </references>
      </pivotArea>
    </format>
    <format dxfId="107">
      <pivotArea dataOnly="0" labelOnly="1" fieldPosition="0">
        <references count="1">
          <reference field="0" count="1">
            <x v="2"/>
          </reference>
        </references>
      </pivotArea>
    </format>
  </formats>
  <pivotTableStyleInfo name="PivotStyleLight16" showRowHeaders="1" showColHeaders="1" showRowStripes="0" showColStripes="0" showLastColumn="1"/>
</pivotTableDefinition>
</file>

<file path=xl/pivotTables/pivotTable2.xml><?xml version="1.0" encoding="utf-8"?>
<pivotTableDefinition xmlns="http://schemas.openxmlformats.org/spreadsheetml/2006/main" name="Tabela dinâmica1" cacheId="111" applyNumberFormats="0" applyBorderFormats="0" applyFontFormats="0" applyPatternFormats="0" applyAlignmentFormats="0" applyWidthHeightFormats="1" dataCaption="Valores" updatedVersion="3" minRefreshableVersion="3" showCalcMbrs="0" useAutoFormatting="1" itemPrintTitles="1" createdVersion="3" indent="0" outline="1" outlineData="1" multipleFieldFilters="0" chartFormat="13">
  <location ref="A4:N91" firstHeaderRow="1" firstDataRow="2" firstDataCol="1" rowPageCount="1" colPageCount="1"/>
  <pivotFields count="13">
    <pivotField showAll="0" insertBlankRow="1"/>
    <pivotField showAll="0" insertBlankRow="1"/>
    <pivotField showAll="0" insertBlankRow="1" defaultSubtotal="0"/>
    <pivotField axis="axisCol" showAll="0" insertBlankRow="1" sortType="ascending">
      <items count="15"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h="1" x="0"/>
        <item h="1" x="13"/>
        <item t="default"/>
      </items>
    </pivotField>
    <pivotField showAll="0" insertBlankRow="1" defaultSubtotal="0"/>
    <pivotField showAll="0" insertBlankRow="1"/>
    <pivotField dataField="1" showAll="0" insertBlankRow="1" defaultSubtotal="0"/>
    <pivotField axis="axisRow" showAll="0" insertBlankRow="1" sortType="descending">
      <items count="6">
        <item h="1" x="2"/>
        <item h="1" x="1"/>
        <item h="1" m="1" x="4"/>
        <item x="0"/>
        <item h="1" m="1" x="3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axis="axisRow" multipleItemSelectionAllowed="1" showAll="0" insertBlankRow="1" sortType="ascending">
      <items count="7">
        <item x="1"/>
        <item h="1" m="1" x="5"/>
        <item x="0"/>
        <item h="1" m="1" x="4"/>
        <item x="2"/>
        <item h="1" x="3"/>
        <item t="default"/>
      </items>
    </pivotField>
    <pivotField axis="axisRow" showAll="0" insertBlankRow="1" sortType="ascending">
      <items count="95">
        <item x="30"/>
        <item x="42"/>
        <item m="1" x="83"/>
        <item x="57"/>
        <item x="58"/>
        <item x="22"/>
        <item x="40"/>
        <item x="60"/>
        <item x="76"/>
        <item m="1" x="87"/>
        <item x="26"/>
        <item x="65"/>
        <item x="43"/>
        <item x="12"/>
        <item x="37"/>
        <item x="7"/>
        <item x="17"/>
        <item x="49"/>
        <item m="1" x="90"/>
        <item x="62"/>
        <item x="61"/>
        <item x="6"/>
        <item x="14"/>
        <item x="13"/>
        <item x="32"/>
        <item x="51"/>
        <item x="25"/>
        <item x="59"/>
        <item x="19"/>
        <item x="78"/>
        <item m="1" x="93"/>
        <item x="35"/>
        <item x="45"/>
        <item x="52"/>
        <item x="5"/>
        <item m="1" x="92"/>
        <item x="11"/>
        <item x="0"/>
        <item x="66"/>
        <item x="54"/>
        <item x="38"/>
        <item x="24"/>
        <item x="73"/>
        <item x="44"/>
        <item m="1" x="89"/>
        <item x="3"/>
        <item x="28"/>
        <item x="18"/>
        <item x="23"/>
        <item x="33"/>
        <item x="36"/>
        <item x="46"/>
        <item x="4"/>
        <item x="2"/>
        <item m="1" x="91"/>
        <item x="72"/>
        <item x="39"/>
        <item m="1" x="85"/>
        <item x="80"/>
        <item x="74"/>
        <item m="1" x="88"/>
        <item x="34"/>
        <item x="55"/>
        <item x="56"/>
        <item x="64"/>
        <item x="15"/>
        <item x="53"/>
        <item x="63"/>
        <item x="47"/>
        <item x="67"/>
        <item x="68"/>
        <item x="69"/>
        <item m="1" x="84"/>
        <item x="79"/>
        <item x="71"/>
        <item x="70"/>
        <item x="75"/>
        <item x="1"/>
        <item x="48"/>
        <item m="1" x="86"/>
        <item x="31"/>
        <item x="9"/>
        <item x="20"/>
        <item x="41"/>
        <item x="16"/>
        <item x="8"/>
        <item x="29"/>
        <item x="81"/>
        <item x="77"/>
        <item x="50"/>
        <item x="27"/>
        <item x="21"/>
        <item x="10"/>
        <item x="82"/>
        <item t="default"/>
      </items>
    </pivotField>
    <pivotField axis="axisRow" showAll="0" insertBlankRow="1" sortType="ascending">
      <items count="26">
        <item x="0"/>
        <item x="2"/>
        <item sd="0" x="1"/>
        <item x="15"/>
        <item x="13"/>
        <item m="1" x="24"/>
        <item x="5"/>
        <item m="1" x="19"/>
        <item x="12"/>
        <item x="11"/>
        <item m="1" x="23"/>
        <item x="4"/>
        <item x="3"/>
        <item x="7"/>
        <item m="1" x="21"/>
        <item m="1" x="18"/>
        <item m="1" x="17"/>
        <item sd="0" x="8"/>
        <item x="10"/>
        <item x="16"/>
        <item m="1" x="22"/>
        <item m="1" x="20"/>
        <item x="6"/>
        <item x="9"/>
        <item x="14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axis="axisRow" showAll="0" defaultSubtotal="0">
      <items count="32">
        <item x="17"/>
        <item x="4"/>
        <item x="5"/>
        <item x="6"/>
        <item x="7"/>
        <item x="20"/>
        <item x="29"/>
        <item x="3"/>
        <item x="2"/>
        <item x="1"/>
        <item x="21"/>
        <item x="22"/>
        <item x="23"/>
        <item x="0"/>
        <item x="18"/>
        <item x="24"/>
        <item x="8"/>
        <item x="9"/>
        <item x="30"/>
        <item x="10"/>
        <item x="11"/>
        <item x="12"/>
        <item x="13"/>
        <item x="14"/>
        <item x="25"/>
        <item x="19"/>
        <item x="26"/>
        <item x="15"/>
        <item x="27"/>
        <item x="28"/>
        <item x="16"/>
        <item x="31"/>
      </items>
    </pivotField>
    <pivotField axis="axisPage" multipleItemSelectionAllowed="1" showAll="0" insertBlankRow="1">
      <items count="70">
        <item h="1" x="11"/>
        <item h="1" x="12"/>
        <item h="1" x="13"/>
        <item h="1" x="14"/>
        <item h="1" x="16"/>
        <item h="1" x="17"/>
        <item h="1" x="18"/>
        <item h="1" x="3"/>
        <item h="1" x="19"/>
        <item h="1" x="4"/>
        <item h="1" x="5"/>
        <item h="1" x="6"/>
        <item h="1" x="7"/>
        <item h="1" x="8"/>
        <item h="1" x="9"/>
        <item h="1" x="10"/>
        <item h="1" x="21"/>
        <item h="1" x="20"/>
        <item h="1" x="22"/>
        <item h="1" x="23"/>
        <item h="1" x="24"/>
        <item x="25"/>
        <item x="26"/>
        <item x="50"/>
        <item m="1" x="53"/>
        <item m="1" x="55"/>
        <item m="1" x="57"/>
        <item m="1" x="58"/>
        <item m="1" x="59"/>
        <item m="1" x="60"/>
        <item m="1" x="64"/>
        <item m="1" x="66"/>
        <item x="49"/>
        <item h="1" m="1" x="62"/>
        <item h="1" m="1" x="63"/>
        <item h="1" m="1" x="65"/>
        <item h="1" m="1" x="67"/>
        <item h="1" m="1" x="68"/>
        <item h="1" m="1" x="54"/>
        <item h="1" m="1" x="56"/>
        <item h="1" x="27"/>
        <item h="1" x="28"/>
        <item h="1" x="29"/>
        <item h="1" x="30"/>
        <item h="1" x="31"/>
        <item h="1" x="32"/>
        <item h="1" x="33"/>
        <item h="1" x="34"/>
        <item h="1" x="35"/>
        <item h="1" x="36"/>
        <item h="1" x="37"/>
        <item h="1" x="38"/>
        <item h="1" x="39"/>
        <item h="1" x="40"/>
        <item h="1" x="41"/>
        <item h="1" x="42"/>
        <item h="1" x="43"/>
        <item h="1" x="44"/>
        <item h="1" x="45"/>
        <item h="1" x="46"/>
        <item h="1" x="47"/>
        <item h="1" x="48"/>
        <item x="15"/>
        <item h="1" x="51"/>
        <item h="1" m="1" x="52"/>
        <item h="1" m="1" x="61"/>
        <item h="1" x="1"/>
        <item h="1" x="2"/>
        <item h="1" x="0"/>
        <item t="default"/>
      </items>
    </pivotField>
  </pivotFields>
  <rowFields count="5">
    <field x="8"/>
    <field x="7"/>
    <field x="11"/>
    <field x="10"/>
    <field x="9"/>
  </rowFields>
  <rowItems count="86">
    <i>
      <x/>
    </i>
    <i r="1">
      <x v="3"/>
    </i>
    <i r="2">
      <x/>
    </i>
    <i r="3">
      <x v="11"/>
    </i>
    <i r="4">
      <x v="61"/>
    </i>
    <i t="blank" r="3">
      <x v="11"/>
    </i>
    <i r="3">
      <x v="18"/>
    </i>
    <i r="4">
      <x v="31"/>
    </i>
    <i r="4">
      <x v="78"/>
    </i>
    <i t="blank" r="3">
      <x v="18"/>
    </i>
    <i r="3">
      <x v="6"/>
    </i>
    <i r="4">
      <x v="22"/>
    </i>
    <i t="blank" r="3">
      <x v="6"/>
    </i>
    <i r="2">
      <x v="9"/>
    </i>
    <i r="3">
      <x v="9"/>
    </i>
    <i r="4">
      <x v="12"/>
    </i>
    <i r="4">
      <x v="24"/>
    </i>
    <i r="4">
      <x v="49"/>
    </i>
    <i t="blank" r="3">
      <x v="9"/>
    </i>
    <i r="3">
      <x v="24"/>
    </i>
    <i r="4">
      <x v="29"/>
    </i>
    <i t="blank" r="3">
      <x v="24"/>
    </i>
    <i r="3">
      <x v="23"/>
    </i>
    <i r="4">
      <x/>
    </i>
    <i r="4">
      <x v="46"/>
    </i>
    <i r="4">
      <x v="58"/>
    </i>
    <i r="4">
      <x v="86"/>
    </i>
    <i t="blank" r="3">
      <x v="23"/>
    </i>
    <i r="3">
      <x v="22"/>
    </i>
    <i r="4">
      <x v="65"/>
    </i>
    <i t="blank" r="3">
      <x v="22"/>
    </i>
    <i r="3">
      <x v="12"/>
    </i>
    <i r="4">
      <x v="25"/>
    </i>
    <i r="4">
      <x v="52"/>
    </i>
    <i t="blank" r="3">
      <x v="12"/>
    </i>
    <i r="2">
      <x v="19"/>
    </i>
    <i r="3">
      <x v="24"/>
    </i>
    <i r="4">
      <x v="63"/>
    </i>
    <i r="4">
      <x v="88"/>
    </i>
    <i t="blank" r="3">
      <x v="24"/>
    </i>
    <i>
      <x v="2"/>
    </i>
    <i r="1">
      <x v="3"/>
    </i>
    <i r="2">
      <x/>
    </i>
    <i r="3">
      <x v="4"/>
    </i>
    <i r="4">
      <x v="17"/>
    </i>
    <i r="4">
      <x v="89"/>
    </i>
    <i t="blank" r="3">
      <x v="4"/>
    </i>
    <i r="2">
      <x v="9"/>
    </i>
    <i r="3">
      <x v="13"/>
    </i>
    <i r="4">
      <x v="5"/>
    </i>
    <i t="blank" r="3">
      <x v="13"/>
    </i>
    <i r="3">
      <x/>
    </i>
    <i r="4">
      <x v="59"/>
    </i>
    <i r="4">
      <x v="66"/>
    </i>
    <i t="blank" r="3">
      <x/>
    </i>
    <i r="2">
      <x v="19"/>
    </i>
    <i r="3">
      <x v="22"/>
    </i>
    <i r="4">
      <x v="38"/>
    </i>
    <i r="4">
      <x v="69"/>
    </i>
    <i r="4">
      <x v="70"/>
    </i>
    <i r="4">
      <x v="71"/>
    </i>
    <i r="4">
      <x v="73"/>
    </i>
    <i r="4">
      <x v="74"/>
    </i>
    <i r="4">
      <x v="75"/>
    </i>
    <i r="4">
      <x v="76"/>
    </i>
    <i t="blank" r="3">
      <x v="22"/>
    </i>
    <i r="3">
      <x v="1"/>
    </i>
    <i r="4">
      <x v="15"/>
    </i>
    <i r="4">
      <x v="45"/>
    </i>
    <i r="4">
      <x v="53"/>
    </i>
    <i t="blank" r="3">
      <x v="1"/>
    </i>
    <i r="3">
      <x v="8"/>
    </i>
    <i r="4">
      <x v="8"/>
    </i>
    <i r="4">
      <x v="32"/>
    </i>
    <i t="blank" r="3">
      <x v="8"/>
    </i>
    <i r="2">
      <x v="30"/>
    </i>
    <i r="3">
      <x v="13"/>
    </i>
    <i r="4">
      <x v="4"/>
    </i>
    <i t="blank" r="3">
      <x v="13"/>
    </i>
    <i>
      <x v="4"/>
    </i>
    <i r="1">
      <x v="3"/>
    </i>
    <i r="2">
      <x v="9"/>
    </i>
    <i r="3">
      <x v="6"/>
    </i>
    <i r="4">
      <x v="84"/>
    </i>
    <i t="blank" r="3">
      <x v="6"/>
    </i>
    <i t="grand">
      <x/>
    </i>
  </rowItems>
  <colFields count="1">
    <field x="3"/>
  </colFields>
  <colItems count="1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 t="grand">
      <x/>
    </i>
  </colItems>
  <pageFields count="1">
    <pageField fld="12" hier="-1"/>
  </pageFields>
  <dataFields count="1">
    <dataField name="Soma de VAL.FINAL" fld="6" baseField="0" baseItem="0" numFmtId="165"/>
  </dataFields>
  <formats count="53">
    <format dxfId="106">
      <pivotArea outline="0" collapsedLevelsAreSubtotals="1" fieldPosition="0"/>
    </format>
    <format dxfId="105">
      <pivotArea field="7" type="button" dataOnly="0" labelOnly="1" outline="0" axis="axisRow" fieldPosition="1"/>
    </format>
    <format dxfId="104">
      <pivotArea dataOnly="0" labelOnly="1" fieldPosition="0">
        <references count="1">
          <reference field="7" count="2">
            <x v="1"/>
            <x v="3"/>
          </reference>
        </references>
      </pivotArea>
    </format>
    <format dxfId="103">
      <pivotArea dataOnly="0" labelOnly="1" grandRow="1" outline="0" fieldPosition="0"/>
    </format>
    <format dxfId="102">
      <pivotArea dataOnly="0" labelOnly="1" grandCol="1" outline="0" fieldPosition="0"/>
    </format>
    <format dxfId="101">
      <pivotArea grandRow="1" outline="0" collapsedLevelsAreSubtotals="1" fieldPosition="0"/>
    </format>
    <format dxfId="100">
      <pivotArea grandRow="1" outline="0" collapsedLevelsAreSubtotals="1" fieldPosition="0"/>
    </format>
    <format dxfId="99">
      <pivotArea collapsedLevelsAreSubtotals="1" fieldPosition="0">
        <references count="1">
          <reference field="7" count="1">
            <x v="3"/>
          </reference>
        </references>
      </pivotArea>
    </format>
    <format dxfId="98">
      <pivotArea collapsedLevelsAreSubtotals="1" fieldPosition="0">
        <references count="1">
          <reference field="7" count="1">
            <x v="3"/>
          </reference>
        </references>
      </pivotArea>
    </format>
    <format dxfId="97">
      <pivotArea collapsedLevelsAreSubtotals="1" fieldPosition="0">
        <references count="1">
          <reference field="7" count="1">
            <x v="1"/>
          </reference>
        </references>
      </pivotArea>
    </format>
    <format dxfId="96">
      <pivotArea collapsedLevelsAreSubtotals="1" fieldPosition="0">
        <references count="1">
          <reference field="7" count="1">
            <x v="1"/>
          </reference>
        </references>
      </pivotArea>
    </format>
    <format dxfId="95">
      <pivotArea grandRow="1" outline="0" collapsedLevelsAreSubtotals="1" fieldPosition="0"/>
    </format>
    <format dxfId="94">
      <pivotArea collapsedLevelsAreSubtotals="1" fieldPosition="0">
        <references count="1">
          <reference field="7" count="1">
            <x v="3"/>
          </reference>
        </references>
      </pivotArea>
    </format>
    <format dxfId="93">
      <pivotArea collapsedLevelsAreSubtotals="1" fieldPosition="0">
        <references count="1">
          <reference field="7" count="1">
            <x v="1"/>
          </reference>
        </references>
      </pivotArea>
    </format>
    <format dxfId="92">
      <pivotArea collapsedLevelsAreSubtotals="1" fieldPosition="0">
        <references count="1">
          <reference field="7" count="1">
            <x v="3"/>
          </reference>
        </references>
      </pivotArea>
    </format>
    <format dxfId="91">
      <pivotArea collapsedLevelsAreSubtotals="1" fieldPosition="0">
        <references count="1">
          <reference field="7" count="1">
            <x v="1"/>
          </reference>
        </references>
      </pivotArea>
    </format>
    <format dxfId="90">
      <pivotArea grandRow="1" outline="0" collapsedLevelsAreSubtotals="1" fieldPosition="0"/>
    </format>
    <format dxfId="89">
      <pivotArea collapsedLevelsAreSubtotals="1" fieldPosition="0">
        <references count="1">
          <reference field="7" count="1">
            <x v="1"/>
          </reference>
        </references>
      </pivotArea>
    </format>
    <format dxfId="88">
      <pivotArea dataOnly="0" labelOnly="1" fieldPosition="0">
        <references count="1">
          <reference field="7" count="1">
            <x v="1"/>
          </reference>
        </references>
      </pivotArea>
    </format>
    <format dxfId="87">
      <pivotArea type="origin" dataOnly="0" labelOnly="1" outline="0" fieldPosition="0"/>
    </format>
    <format dxfId="86">
      <pivotArea field="7" type="button" dataOnly="0" labelOnly="1" outline="0" axis="axisRow" fieldPosition="1"/>
    </format>
    <format dxfId="85">
      <pivotArea field="3" type="button" dataOnly="0" labelOnly="1" outline="0" axis="axisCol" fieldPosition="0"/>
    </format>
    <format dxfId="84">
      <pivotArea type="topRight" dataOnly="0" labelOnly="1" outline="0" fieldPosition="0"/>
    </format>
    <format dxfId="83">
      <pivotArea dataOnly="0" labelOnly="1" grandCol="1" outline="0" fieldPosition="0"/>
    </format>
    <format dxfId="82">
      <pivotArea dataOnly="0" labelOnly="1" fieldPosition="0">
        <references count="1">
          <reference field="7" count="1">
            <x v="2"/>
          </reference>
        </references>
      </pivotArea>
    </format>
    <format dxfId="81">
      <pivotArea collapsedLevelsAreSubtotals="1" fieldPosition="0">
        <references count="1">
          <reference field="7" count="1">
            <x v="2"/>
          </reference>
        </references>
      </pivotArea>
    </format>
    <format dxfId="80">
      <pivotArea dataOnly="0" labelOnly="1" fieldPosition="0">
        <references count="1">
          <reference field="7" count="1">
            <x v="2"/>
          </reference>
        </references>
      </pivotArea>
    </format>
    <format dxfId="79">
      <pivotArea type="all" dataOnly="0" outline="0" fieldPosition="0"/>
    </format>
    <format dxfId="78">
      <pivotArea type="topRight" dataOnly="0" labelOnly="1" outline="0" offset="D1:F1" fieldPosition="0"/>
    </format>
    <format dxfId="77">
      <pivotArea collapsedLevelsAreSubtotals="1" fieldPosition="0">
        <references count="1">
          <reference field="7" count="1">
            <x v="3"/>
          </reference>
        </references>
      </pivotArea>
    </format>
    <format dxfId="76">
      <pivotArea dataOnly="0" labelOnly="1" fieldPosition="0">
        <references count="1">
          <reference field="7" count="1">
            <x v="3"/>
          </reference>
        </references>
      </pivotArea>
    </format>
    <format dxfId="75">
      <pivotArea collapsedLevelsAreSubtotals="1" fieldPosition="0">
        <references count="1">
          <reference field="7" count="1">
            <x v="3"/>
          </reference>
        </references>
      </pivotArea>
    </format>
    <format dxfId="74">
      <pivotArea dataOnly="0" labelOnly="1" fieldPosition="0">
        <references count="1">
          <reference field="7" count="1">
            <x v="3"/>
          </reference>
        </references>
      </pivotArea>
    </format>
    <format dxfId="73">
      <pivotArea collapsedLevelsAreSubtotals="1" fieldPosition="0">
        <references count="1">
          <reference field="7" count="1">
            <x v="1"/>
          </reference>
        </references>
      </pivotArea>
    </format>
    <format dxfId="72">
      <pivotArea dataOnly="0" labelOnly="1" fieldPosition="0">
        <references count="1">
          <reference field="7" count="1">
            <x v="1"/>
          </reference>
        </references>
      </pivotArea>
    </format>
    <format dxfId="71">
      <pivotArea field="7" type="button" dataOnly="0" labelOnly="1" outline="0" axis="axisRow" fieldPosition="1"/>
    </format>
    <format dxfId="70">
      <pivotArea field="7" type="button" dataOnly="0" labelOnly="1" outline="0" axis="axisRow" fieldPosition="1"/>
    </format>
    <format dxfId="69">
      <pivotArea type="topRight" dataOnly="0" labelOnly="1" outline="0" offset="I1" fieldPosition="0"/>
    </format>
    <format dxfId="68">
      <pivotArea outline="0" fieldPosition="0">
        <references count="1">
          <reference field="4294967294" count="1">
            <x v="0"/>
          </reference>
        </references>
      </pivotArea>
    </format>
    <format dxfId="67">
      <pivotArea field="8" type="button" dataOnly="0" labelOnly="1" outline="0" axis="axisRow" fieldPosition="0"/>
    </format>
    <format dxfId="66">
      <pivotArea dataOnly="0" labelOnly="1" fieldPosition="0">
        <references count="1">
          <reference field="3" count="12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</reference>
        </references>
      </pivotArea>
    </format>
    <format dxfId="65">
      <pivotArea dataOnly="0" labelOnly="1" grandCol="1" outline="0" fieldPosition="0"/>
    </format>
    <format dxfId="64">
      <pivotArea field="8" type="button" dataOnly="0" labelOnly="1" outline="0" axis="axisRow" fieldPosition="0"/>
    </format>
    <format dxfId="63">
      <pivotArea dataOnly="0" labelOnly="1" fieldPosition="0">
        <references count="1">
          <reference field="3" count="12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</reference>
        </references>
      </pivotArea>
    </format>
    <format dxfId="62">
      <pivotArea dataOnly="0" labelOnly="1" grandCol="1" outline="0" fieldPosition="0"/>
    </format>
    <format dxfId="61">
      <pivotArea collapsedLevelsAreSubtotals="1" fieldPosition="0">
        <references count="2">
          <reference field="3" count="12" selected="0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</reference>
          <reference field="7" count="0"/>
        </references>
      </pivotArea>
    </format>
    <format dxfId="60">
      <pivotArea outline="0" collapsedLevelsAreSubtotals="1" fieldPosition="0"/>
    </format>
    <format dxfId="59">
      <pivotArea outline="0" collapsedLevelsAreSubtotals="1" fieldPosition="0">
        <references count="1">
          <reference field="3" count="1" selected="0">
            <x v="10"/>
          </reference>
        </references>
      </pivotArea>
    </format>
    <format dxfId="58">
      <pivotArea type="topRight" dataOnly="0" labelOnly="1" outline="0" offset="J1" fieldPosition="0"/>
    </format>
    <format dxfId="57">
      <pivotArea dataOnly="0" labelOnly="1" fieldPosition="0">
        <references count="1">
          <reference field="3" count="1">
            <x v="10"/>
          </reference>
        </references>
      </pivotArea>
    </format>
    <format dxfId="56">
      <pivotArea outline="0" collapsedLevelsAreSubtotals="1" fieldPosition="0">
        <references count="1">
          <reference field="3" count="1" selected="0">
            <x v="11"/>
          </reference>
        </references>
      </pivotArea>
    </format>
    <format dxfId="55">
      <pivotArea type="topRight" dataOnly="0" labelOnly="1" outline="0" offset="K1" fieldPosition="0"/>
    </format>
    <format dxfId="54">
      <pivotArea dataOnly="0" labelOnly="1" fieldPosition="0">
        <references count="1">
          <reference field="3" count="1">
            <x v="11"/>
          </reference>
        </references>
      </pivotArea>
    </format>
  </formats>
  <pivotTableStyleInfo name="PivotStyleLight22" showRowHeaders="1" showColHeaders="1" showRowStripes="1" showColStripes="0" showLastColumn="1"/>
</pivotTableDefinition>
</file>

<file path=xl/pivotTables/pivotTable3.xml><?xml version="1.0" encoding="utf-8"?>
<pivotTableDefinition xmlns="http://schemas.openxmlformats.org/spreadsheetml/2006/main" name="Tabela dinâmica1" cacheId="111" applyNumberFormats="0" applyBorderFormats="0" applyFontFormats="0" applyPatternFormats="0" applyAlignmentFormats="0" applyWidthHeightFormats="1" dataCaption="Valores" updatedVersion="3" minRefreshableVersion="3" showCalcMbrs="0" useAutoFormatting="1" itemPrintTitles="1" createdVersion="3" indent="0" outline="1" outlineData="1" multipleFieldFilters="0" chartFormat="13">
  <location ref="A4:N49" firstHeaderRow="1" firstDataRow="2" firstDataCol="1" rowPageCount="1" colPageCount="1"/>
  <pivotFields count="13">
    <pivotField showAll="0"/>
    <pivotField showAll="0"/>
    <pivotField showAll="0" defaultSubtotal="0"/>
    <pivotField axis="axisCol" showAll="0" sortType="ascending">
      <items count="15"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h="1" x="0"/>
        <item h="1" x="13"/>
        <item t="default"/>
      </items>
    </pivotField>
    <pivotField showAll="0" defaultSubtotal="0"/>
    <pivotField showAll="0"/>
    <pivotField dataField="1" showAll="0" defaultSubtotal="0"/>
    <pivotField axis="axisRow" showAll="0" sortType="descending">
      <items count="6">
        <item h="1" x="2"/>
        <item x="1"/>
        <item h="1" m="1" x="4"/>
        <item x="0"/>
        <item h="1" m="1" x="3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axis="axisRow" multipleItemSelectionAllowed="1" showAll="0" sortType="ascending">
      <items count="7">
        <item h="1" x="1"/>
        <item h="1" m="1" x="5"/>
        <item x="0"/>
        <item h="1" m="1" x="4"/>
        <item x="2"/>
        <item h="1" x="3"/>
        <item t="default"/>
      </items>
    </pivotField>
    <pivotField axis="axisRow" showAll="0" sortType="ascending">
      <items count="95">
        <item x="30"/>
        <item x="42"/>
        <item m="1" x="83"/>
        <item x="57"/>
        <item x="58"/>
        <item x="22"/>
        <item x="40"/>
        <item x="60"/>
        <item x="76"/>
        <item m="1" x="87"/>
        <item x="26"/>
        <item x="65"/>
        <item x="43"/>
        <item x="12"/>
        <item x="37"/>
        <item x="7"/>
        <item x="17"/>
        <item x="49"/>
        <item m="1" x="90"/>
        <item x="62"/>
        <item x="61"/>
        <item x="6"/>
        <item x="14"/>
        <item x="13"/>
        <item x="32"/>
        <item x="51"/>
        <item x="25"/>
        <item x="59"/>
        <item x="19"/>
        <item x="78"/>
        <item m="1" x="93"/>
        <item x="35"/>
        <item x="45"/>
        <item x="52"/>
        <item x="5"/>
        <item m="1" x="92"/>
        <item x="11"/>
        <item x="0"/>
        <item x="66"/>
        <item x="54"/>
        <item x="38"/>
        <item x="24"/>
        <item x="73"/>
        <item x="44"/>
        <item m="1" x="89"/>
        <item x="3"/>
        <item x="28"/>
        <item x="18"/>
        <item x="23"/>
        <item x="33"/>
        <item x="36"/>
        <item x="46"/>
        <item x="4"/>
        <item x="2"/>
        <item m="1" x="91"/>
        <item x="72"/>
        <item x="39"/>
        <item m="1" x="85"/>
        <item x="80"/>
        <item x="74"/>
        <item m="1" x="88"/>
        <item x="34"/>
        <item x="55"/>
        <item x="56"/>
        <item x="64"/>
        <item x="15"/>
        <item x="53"/>
        <item x="63"/>
        <item x="47"/>
        <item x="67"/>
        <item x="68"/>
        <item x="69"/>
        <item m="1" x="84"/>
        <item x="79"/>
        <item x="71"/>
        <item x="70"/>
        <item x="75"/>
        <item x="1"/>
        <item x="48"/>
        <item m="1" x="86"/>
        <item x="31"/>
        <item x="9"/>
        <item x="20"/>
        <item x="41"/>
        <item x="16"/>
        <item x="8"/>
        <item x="29"/>
        <item x="81"/>
        <item x="77"/>
        <item x="50"/>
        <item x="27"/>
        <item x="21"/>
        <item x="10"/>
        <item x="82"/>
        <item t="default"/>
      </items>
    </pivotField>
    <pivotField axis="axisRow" showAll="0" sortType="ascending">
      <items count="26">
        <item x="0"/>
        <item x="2"/>
        <item sd="0" x="1"/>
        <item x="15"/>
        <item x="13"/>
        <item m="1" x="24"/>
        <item x="5"/>
        <item m="1" x="19"/>
        <item x="12"/>
        <item x="11"/>
        <item m="1" x="23"/>
        <item x="4"/>
        <item x="3"/>
        <item x="7"/>
        <item m="1" x="21"/>
        <item m="1" x="18"/>
        <item m="1" x="17"/>
        <item sd="0" x="8"/>
        <item x="10"/>
        <item x="16"/>
        <item m="1" x="22"/>
        <item m="1" x="20"/>
        <item x="6"/>
        <item x="9"/>
        <item x="14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 defaultSubtotal="0"/>
    <pivotField axis="axisPage" multipleItemSelectionAllowed="1" showAll="0">
      <items count="70">
        <item h="1" x="11"/>
        <item h="1" x="12"/>
        <item h="1" x="13"/>
        <item h="1" x="14"/>
        <item h="1" x="16"/>
        <item h="1" x="17"/>
        <item h="1" x="18"/>
        <item h="1" x="3"/>
        <item h="1" x="19"/>
        <item x="4"/>
        <item x="5"/>
        <item x="6"/>
        <item x="7"/>
        <item x="8"/>
        <item x="9"/>
        <item x="10"/>
        <item x="21"/>
        <item x="20"/>
        <item x="22"/>
        <item x="23"/>
        <item x="24"/>
        <item h="1" x="25"/>
        <item h="1" x="26"/>
        <item h="1" x="50"/>
        <item h="1" m="1" x="53"/>
        <item h="1" m="1" x="55"/>
        <item h="1" m="1" x="57"/>
        <item h="1" m="1" x="58"/>
        <item h="1" m="1" x="59"/>
        <item h="1" m="1" x="60"/>
        <item h="1" m="1" x="64"/>
        <item h="1" m="1" x="66"/>
        <item h="1" x="49"/>
        <item h="1" m="1" x="62"/>
        <item h="1" m="1" x="63"/>
        <item h="1" m="1" x="65"/>
        <item h="1" m="1" x="67"/>
        <item h="1" m="1" x="68"/>
        <item h="1" m="1" x="54"/>
        <item h="1" m="1" x="56"/>
        <item h="1" x="27"/>
        <item h="1" x="28"/>
        <item h="1" x="29"/>
        <item h="1" x="30"/>
        <item h="1" x="31"/>
        <item h="1" x="32"/>
        <item h="1" x="33"/>
        <item h="1" x="34"/>
        <item h="1" x="35"/>
        <item h="1" x="36"/>
        <item h="1" x="37"/>
        <item h="1" x="38"/>
        <item h="1" x="39"/>
        <item h="1" x="40"/>
        <item h="1" x="41"/>
        <item h="1" x="42"/>
        <item h="1" x="43"/>
        <item h="1" x="44"/>
        <item h="1" x="45"/>
        <item h="1" x="46"/>
        <item h="1" x="47"/>
        <item h="1" x="48"/>
        <item h="1" x="15"/>
        <item h="1" x="51"/>
        <item h="1" m="1" x="52"/>
        <item h="1" m="1" x="61"/>
        <item h="1" x="1"/>
        <item h="1" x="2"/>
        <item h="1" x="0"/>
        <item t="default"/>
      </items>
    </pivotField>
  </pivotFields>
  <rowFields count="4">
    <field x="8"/>
    <field x="7"/>
    <field x="10"/>
    <field x="9"/>
  </rowFields>
  <rowItems count="44">
    <i>
      <x v="2"/>
    </i>
    <i r="1">
      <x v="1"/>
    </i>
    <i r="2">
      <x v="17"/>
    </i>
    <i r="2">
      <x v="2"/>
    </i>
    <i r="1">
      <x v="3"/>
    </i>
    <i r="2">
      <x v="1"/>
    </i>
    <i r="3">
      <x v="15"/>
    </i>
    <i r="3">
      <x v="45"/>
    </i>
    <i r="3">
      <x v="53"/>
    </i>
    <i r="2">
      <x v="9"/>
    </i>
    <i r="3">
      <x v="12"/>
    </i>
    <i r="3">
      <x v="50"/>
    </i>
    <i r="2">
      <x/>
    </i>
    <i r="3">
      <x v="6"/>
    </i>
    <i r="3">
      <x v="11"/>
    </i>
    <i r="3">
      <x v="20"/>
    </i>
    <i r="3">
      <x v="47"/>
    </i>
    <i r="3">
      <x v="51"/>
    </i>
    <i r="3">
      <x v="59"/>
    </i>
    <i r="3">
      <x v="66"/>
    </i>
    <i r="3">
      <x v="82"/>
    </i>
    <i r="3">
      <x v="85"/>
    </i>
    <i r="3">
      <x v="91"/>
    </i>
    <i r="2">
      <x v="22"/>
    </i>
    <i r="3">
      <x v="69"/>
    </i>
    <i r="3">
      <x v="76"/>
    </i>
    <i r="2">
      <x v="8"/>
    </i>
    <i r="3">
      <x v="8"/>
    </i>
    <i r="3">
      <x v="32"/>
    </i>
    <i r="3">
      <x v="42"/>
    </i>
    <i r="2">
      <x v="13"/>
    </i>
    <i r="3">
      <x v="1"/>
    </i>
    <i r="3">
      <x v="3"/>
    </i>
    <i r="3">
      <x v="4"/>
    </i>
    <i>
      <x v="4"/>
    </i>
    <i r="1">
      <x v="1"/>
    </i>
    <i r="2">
      <x v="2"/>
    </i>
    <i r="1">
      <x v="3"/>
    </i>
    <i r="2">
      <x v="6"/>
    </i>
    <i r="3">
      <x v="22"/>
    </i>
    <i r="3">
      <x v="40"/>
    </i>
    <i r="2">
      <x v="3"/>
    </i>
    <i r="3">
      <x v="64"/>
    </i>
    <i t="grand">
      <x/>
    </i>
  </rowItems>
  <colFields count="1">
    <field x="3"/>
  </colFields>
  <colItems count="1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 t="grand">
      <x/>
    </i>
  </colItems>
  <pageFields count="1">
    <pageField fld="12" hier="-1"/>
  </pageFields>
  <dataFields count="1">
    <dataField name="Soma de VAL.FINAL" fld="6" baseField="0" baseItem="0" numFmtId="165"/>
  </dataFields>
  <formats count="53">
    <format dxfId="53">
      <pivotArea outline="0" collapsedLevelsAreSubtotals="1" fieldPosition="0"/>
    </format>
    <format dxfId="52">
      <pivotArea field="7" type="button" dataOnly="0" labelOnly="1" outline="0" axis="axisRow" fieldPosition="1"/>
    </format>
    <format dxfId="51">
      <pivotArea dataOnly="0" labelOnly="1" fieldPosition="0">
        <references count="1">
          <reference field="7" count="2">
            <x v="1"/>
            <x v="3"/>
          </reference>
        </references>
      </pivotArea>
    </format>
    <format dxfId="50">
      <pivotArea dataOnly="0" labelOnly="1" grandRow="1" outline="0" fieldPosition="0"/>
    </format>
    <format dxfId="49">
      <pivotArea dataOnly="0" labelOnly="1" grandCol="1" outline="0" fieldPosition="0"/>
    </format>
    <format dxfId="48">
      <pivotArea grandRow="1" outline="0" collapsedLevelsAreSubtotals="1" fieldPosition="0"/>
    </format>
    <format dxfId="47">
      <pivotArea grandRow="1" outline="0" collapsedLevelsAreSubtotals="1" fieldPosition="0"/>
    </format>
    <format dxfId="46">
      <pivotArea collapsedLevelsAreSubtotals="1" fieldPosition="0">
        <references count="1">
          <reference field="7" count="1">
            <x v="3"/>
          </reference>
        </references>
      </pivotArea>
    </format>
    <format dxfId="45">
      <pivotArea collapsedLevelsAreSubtotals="1" fieldPosition="0">
        <references count="1">
          <reference field="7" count="1">
            <x v="3"/>
          </reference>
        </references>
      </pivotArea>
    </format>
    <format dxfId="44">
      <pivotArea collapsedLevelsAreSubtotals="1" fieldPosition="0">
        <references count="1">
          <reference field="7" count="1">
            <x v="1"/>
          </reference>
        </references>
      </pivotArea>
    </format>
    <format dxfId="43">
      <pivotArea collapsedLevelsAreSubtotals="1" fieldPosition="0">
        <references count="1">
          <reference field="7" count="1">
            <x v="1"/>
          </reference>
        </references>
      </pivotArea>
    </format>
    <format dxfId="42">
      <pivotArea grandRow="1" outline="0" collapsedLevelsAreSubtotals="1" fieldPosition="0"/>
    </format>
    <format dxfId="41">
      <pivotArea collapsedLevelsAreSubtotals="1" fieldPosition="0">
        <references count="1">
          <reference field="7" count="1">
            <x v="3"/>
          </reference>
        </references>
      </pivotArea>
    </format>
    <format dxfId="40">
      <pivotArea collapsedLevelsAreSubtotals="1" fieldPosition="0">
        <references count="1">
          <reference field="7" count="1">
            <x v="1"/>
          </reference>
        </references>
      </pivotArea>
    </format>
    <format dxfId="39">
      <pivotArea collapsedLevelsAreSubtotals="1" fieldPosition="0">
        <references count="1">
          <reference field="7" count="1">
            <x v="3"/>
          </reference>
        </references>
      </pivotArea>
    </format>
    <format dxfId="38">
      <pivotArea collapsedLevelsAreSubtotals="1" fieldPosition="0">
        <references count="1">
          <reference field="7" count="1">
            <x v="1"/>
          </reference>
        </references>
      </pivotArea>
    </format>
    <format dxfId="37">
      <pivotArea grandRow="1" outline="0" collapsedLevelsAreSubtotals="1" fieldPosition="0"/>
    </format>
    <format dxfId="36">
      <pivotArea collapsedLevelsAreSubtotals="1" fieldPosition="0">
        <references count="1">
          <reference field="7" count="1">
            <x v="1"/>
          </reference>
        </references>
      </pivotArea>
    </format>
    <format dxfId="35">
      <pivotArea dataOnly="0" labelOnly="1" fieldPosition="0">
        <references count="1">
          <reference field="7" count="1">
            <x v="1"/>
          </reference>
        </references>
      </pivotArea>
    </format>
    <format dxfId="34">
      <pivotArea type="origin" dataOnly="0" labelOnly="1" outline="0" fieldPosition="0"/>
    </format>
    <format dxfId="33">
      <pivotArea field="7" type="button" dataOnly="0" labelOnly="1" outline="0" axis="axisRow" fieldPosition="1"/>
    </format>
    <format dxfId="32">
      <pivotArea field="3" type="button" dataOnly="0" labelOnly="1" outline="0" axis="axisCol" fieldPosition="0"/>
    </format>
    <format dxfId="31">
      <pivotArea type="topRight" dataOnly="0" labelOnly="1" outline="0" fieldPosition="0"/>
    </format>
    <format dxfId="30">
      <pivotArea dataOnly="0" labelOnly="1" grandCol="1" outline="0" fieldPosition="0"/>
    </format>
    <format dxfId="29">
      <pivotArea dataOnly="0" labelOnly="1" fieldPosition="0">
        <references count="1">
          <reference field="7" count="1">
            <x v="2"/>
          </reference>
        </references>
      </pivotArea>
    </format>
    <format dxfId="28">
      <pivotArea collapsedLevelsAreSubtotals="1" fieldPosition="0">
        <references count="1">
          <reference field="7" count="1">
            <x v="2"/>
          </reference>
        </references>
      </pivotArea>
    </format>
    <format dxfId="27">
      <pivotArea dataOnly="0" labelOnly="1" fieldPosition="0">
        <references count="1">
          <reference field="7" count="1">
            <x v="2"/>
          </reference>
        </references>
      </pivotArea>
    </format>
    <format dxfId="26">
      <pivotArea type="all" dataOnly="0" outline="0" fieldPosition="0"/>
    </format>
    <format dxfId="25">
      <pivotArea type="topRight" dataOnly="0" labelOnly="1" outline="0" offset="D1:F1" fieldPosition="0"/>
    </format>
    <format dxfId="24">
      <pivotArea collapsedLevelsAreSubtotals="1" fieldPosition="0">
        <references count="1">
          <reference field="7" count="1">
            <x v="3"/>
          </reference>
        </references>
      </pivotArea>
    </format>
    <format dxfId="23">
      <pivotArea dataOnly="0" labelOnly="1" fieldPosition="0">
        <references count="1">
          <reference field="7" count="1">
            <x v="3"/>
          </reference>
        </references>
      </pivotArea>
    </format>
    <format dxfId="22">
      <pivotArea collapsedLevelsAreSubtotals="1" fieldPosition="0">
        <references count="1">
          <reference field="7" count="1">
            <x v="3"/>
          </reference>
        </references>
      </pivotArea>
    </format>
    <format dxfId="21">
      <pivotArea dataOnly="0" labelOnly="1" fieldPosition="0">
        <references count="1">
          <reference field="7" count="1">
            <x v="3"/>
          </reference>
        </references>
      </pivotArea>
    </format>
    <format dxfId="20">
      <pivotArea collapsedLevelsAreSubtotals="1" fieldPosition="0">
        <references count="1">
          <reference field="7" count="1">
            <x v="1"/>
          </reference>
        </references>
      </pivotArea>
    </format>
    <format dxfId="19">
      <pivotArea dataOnly="0" labelOnly="1" fieldPosition="0">
        <references count="1">
          <reference field="7" count="1">
            <x v="1"/>
          </reference>
        </references>
      </pivotArea>
    </format>
    <format dxfId="18">
      <pivotArea field="7" type="button" dataOnly="0" labelOnly="1" outline="0" axis="axisRow" fieldPosition="1"/>
    </format>
    <format dxfId="17">
      <pivotArea field="7" type="button" dataOnly="0" labelOnly="1" outline="0" axis="axisRow" fieldPosition="1"/>
    </format>
    <format dxfId="16">
      <pivotArea type="topRight" dataOnly="0" labelOnly="1" outline="0" offset="I1" fieldPosition="0"/>
    </format>
    <format dxfId="15">
      <pivotArea outline="0" fieldPosition="0">
        <references count="1">
          <reference field="4294967294" count="1">
            <x v="0"/>
          </reference>
        </references>
      </pivotArea>
    </format>
    <format dxfId="14">
      <pivotArea field="8" type="button" dataOnly="0" labelOnly="1" outline="0" axis="axisRow" fieldPosition="0"/>
    </format>
    <format dxfId="13">
      <pivotArea dataOnly="0" labelOnly="1" fieldPosition="0">
        <references count="1">
          <reference field="3" count="12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</reference>
        </references>
      </pivotArea>
    </format>
    <format dxfId="12">
      <pivotArea dataOnly="0" labelOnly="1" grandCol="1" outline="0" fieldPosition="0"/>
    </format>
    <format dxfId="11">
      <pivotArea field="8" type="button" dataOnly="0" labelOnly="1" outline="0" axis="axisRow" fieldPosition="0"/>
    </format>
    <format dxfId="10">
      <pivotArea dataOnly="0" labelOnly="1" fieldPosition="0">
        <references count="1">
          <reference field="3" count="12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</reference>
        </references>
      </pivotArea>
    </format>
    <format dxfId="9">
      <pivotArea dataOnly="0" labelOnly="1" grandCol="1" outline="0" fieldPosition="0"/>
    </format>
    <format dxfId="8">
      <pivotArea collapsedLevelsAreSubtotals="1" fieldPosition="0">
        <references count="2">
          <reference field="3" count="12" selected="0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</reference>
          <reference field="7" count="0"/>
        </references>
      </pivotArea>
    </format>
    <format dxfId="7">
      <pivotArea outline="0" collapsedLevelsAreSubtotals="1" fieldPosition="0"/>
    </format>
    <format dxfId="6">
      <pivotArea outline="0" collapsedLevelsAreSubtotals="1" fieldPosition="0">
        <references count="1">
          <reference field="3" count="1" selected="0">
            <x v="10"/>
          </reference>
        </references>
      </pivotArea>
    </format>
    <format dxfId="5">
      <pivotArea type="topRight" dataOnly="0" labelOnly="1" outline="0" offset="J1" fieldPosition="0"/>
    </format>
    <format dxfId="4">
      <pivotArea dataOnly="0" labelOnly="1" fieldPosition="0">
        <references count="1">
          <reference field="3" count="1">
            <x v="10"/>
          </reference>
        </references>
      </pivotArea>
    </format>
    <format dxfId="3">
      <pivotArea outline="0" collapsedLevelsAreSubtotals="1" fieldPosition="0">
        <references count="1">
          <reference field="3" count="1" selected="0">
            <x v="11"/>
          </reference>
        </references>
      </pivotArea>
    </format>
    <format dxfId="2">
      <pivotArea type="topRight" dataOnly="0" labelOnly="1" outline="0" offset="K1" fieldPosition="0"/>
    </format>
    <format dxfId="1">
      <pivotArea dataOnly="0" labelOnly="1" fieldPosition="0">
        <references count="1">
          <reference field="3" count="1">
            <x v="11"/>
          </reference>
        </references>
      </pivotArea>
    </format>
  </formats>
  <pivotTableStyleInfo name="PivotStyleLight8" showRowHeaders="1" showColHeaders="1" showRowStripes="0" showColStripes="0" showLastColumn="1"/>
</pivotTableDefinition>
</file>

<file path=xl/tables/table1.xml><?xml version="1.0" encoding="utf-8"?>
<table xmlns="http://schemas.openxmlformats.org/spreadsheetml/2006/main" id="1" name="Tabela1" displayName="Tabela1" ref="A4:P180" totalsRowShown="0" headerRowDxfId="149" dataDxfId="147" headerRowBorderDxfId="148">
  <autoFilter ref="A4:P180">
    <filterColumn colId="0"/>
    <filterColumn colId="1"/>
    <filterColumn colId="2"/>
  </autoFilter>
  <tableColumns count="16">
    <tableColumn id="1" name="CLIENTE" dataDxfId="146"/>
    <tableColumn id="16" name="TAREFA" dataDxfId="145" dataCellStyle="Porcentagem 2"/>
    <tableColumn id="2" name="ORDEM DE SERVIÇO" dataDxfId="144"/>
    <tableColumn id="3" name="DATA" dataDxfId="143"/>
    <tableColumn id="4" name="Salário/Hora" dataDxfId="142"/>
    <tableColumn id="5" name="Carga Horária/Dia" dataDxfId="141"/>
    <tableColumn id="6" name="Entrada" dataDxfId="140"/>
    <tableColumn id="7" name="Saída" dataDxfId="139"/>
    <tableColumn id="8" name="Total1" dataDxfId="138" dataCellStyle="Separador de milhares 3">
      <calculatedColumnFormula>MOD(H5-G5,1)</calculatedColumnFormula>
    </tableColumn>
    <tableColumn id="9" name="Entrada2" dataDxfId="137"/>
    <tableColumn id="10" name="Saída3" dataDxfId="136"/>
    <tableColumn id="11" name="Total2" dataDxfId="135">
      <calculatedColumnFormula>MOD(K5-J5,1)</calculatedColumnFormula>
    </tableColumn>
    <tableColumn id="12" name="Total Hora/Dia" dataDxfId="134">
      <calculatedColumnFormula>I5+L5</calculatedColumnFormula>
    </tableColumn>
    <tableColumn id="13" name="Salário/Dia" dataDxfId="133">
      <calculatedColumnFormula>(M5*24)*E5</calculatedColumnFormula>
    </tableColumn>
    <tableColumn id="14" name="Hora-Extra" dataDxfId="132">
      <calculatedColumnFormula>IF(M5&gt;F5,M5-F5,0)</calculatedColumnFormula>
    </tableColumn>
    <tableColumn id="15" name="Salário/Dia Final" dataDxfId="131">
      <calculatedColumnFormula>N5+O5*24*1.5*E5</calculatedColumnFormula>
    </tableColumn>
  </tableColumns>
  <tableStyleInfo name="TableStyleLight2" showFirstColumn="0" showLastColumn="0" showRowStripes="1" showColumnStripes="0"/>
</table>
</file>

<file path=xl/tables/table2.xml><?xml version="1.0" encoding="utf-8"?>
<table xmlns="http://schemas.openxmlformats.org/spreadsheetml/2006/main" id="2" name="Tabela2" displayName="Tabela2" ref="O207:P212" totalsRowShown="0" headerRowDxfId="130" dataDxfId="129">
  <autoFilter ref="O207:P212"/>
  <tableColumns count="2">
    <tableColumn id="1" name="DESCRIÇÃO" dataDxfId="128"/>
    <tableColumn id="2" name="VALORES" dataDxfId="127" dataCellStyle="Separador de milhares">
      <calculatedColumnFormula>SUMIF(Tabela1[ORDEM DE SERVIÇO],O208,Tabela1[Salário/Dia Final])</calculatedColumnFormula>
    </tableColumn>
  </tableColumns>
  <tableStyleInfo name="TableStyleLight2" showFirstColumn="0" showLastColumn="0" showRowStripes="1" showColumnStripes="0"/>
</table>
</file>

<file path=xl/tables/table3.xml><?xml version="1.0" encoding="utf-8"?>
<table xmlns="http://schemas.openxmlformats.org/spreadsheetml/2006/main" id="3" name="Tabela3" displayName="Tabela3" ref="O196:P199" totalsRowShown="0" headerRowDxfId="126" headerRowCellStyle="Normal 5">
  <autoFilter ref="O196:P199"/>
  <tableColumns count="2">
    <tableColumn id="1" name="REGISTRO" dataCellStyle="Normal 5"/>
    <tableColumn id="2" name="NOME" dataDxfId="125" dataCellStyle="Normal 5"/>
  </tableColumns>
  <tableStyleInfo name="TableStyleLight2" showFirstColumn="0" showLastColumn="0" showRowStripes="1" showColumnStripes="0"/>
</table>
</file>

<file path=xl/tables/table4.xml><?xml version="1.0" encoding="utf-8"?>
<table xmlns="http://schemas.openxmlformats.org/spreadsheetml/2006/main" id="5" name="Tabela5" displayName="Tabela5" ref="A186:D189" totalsRowShown="0">
  <autoFilter ref="A186:D189">
    <filterColumn colId="3"/>
  </autoFilter>
  <tableColumns count="4">
    <tableColumn id="1" name="TIPO"/>
    <tableColumn id="2" name="PERIODO" dataDxfId="124" dataCellStyle="Normal 5"/>
    <tableColumn id="3" name="RECEBIDO"/>
    <tableColumn id="4" name="VAL. HR" dataCellStyle="Normal 5"/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Escritório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mailto:Marina.Jancso@springer.com" TargetMode="Externa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mailto:Marina.Jancso@springer.com" TargetMode="Externa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mailto:Marina.Jancso@springer.com" TargetMode="Externa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openxmlformats.org/officeDocument/2006/relationships/hyperlink" Target="mailto:Marina.Jancso@springer.com" TargetMode="Externa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5.bin"/><Relationship Id="rId5" Type="http://schemas.openxmlformats.org/officeDocument/2006/relationships/table" Target="../tables/table4.xml"/><Relationship Id="rId4" Type="http://schemas.openxmlformats.org/officeDocument/2006/relationships/table" Target="../tables/table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2.bin"/><Relationship Id="rId1" Type="http://schemas.openxmlformats.org/officeDocument/2006/relationships/pivotTable" Target="../pivotTables/pivotTable2.x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3.bin"/><Relationship Id="rId1" Type="http://schemas.openxmlformats.org/officeDocument/2006/relationships/pivotTable" Target="../pivotTables/pivotTable3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5.bin"/><Relationship Id="rId1" Type="http://schemas.openxmlformats.org/officeDocument/2006/relationships/hyperlink" Target="mailto:Marina.Jancso@springer.com" TargetMode="External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6.bin"/><Relationship Id="rId1" Type="http://schemas.openxmlformats.org/officeDocument/2006/relationships/hyperlink" Target="mailto:Marina.Jancso@springer.com" TargetMode="Externa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hyperlink" Target="mailto:ailton@f4consult.com.br" TargetMode="External"/><Relationship Id="rId2" Type="http://schemas.openxmlformats.org/officeDocument/2006/relationships/hyperlink" Target="http://www.nodes.com.br/loja/parceria/parceria.asp" TargetMode="External"/><Relationship Id="rId1" Type="http://schemas.openxmlformats.org/officeDocument/2006/relationships/hyperlink" Target="http://www.winco.com.br/loja_revenda/" TargetMode="External"/><Relationship Id="rId4" Type="http://schemas.openxmlformats.org/officeDocument/2006/relationships/printerSettings" Target="../printerSettings/printerSettings18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9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hyperlink" Target="mailto:retec.cacambas@terra.com.br" TargetMode="External"/><Relationship Id="rId2" Type="http://schemas.openxmlformats.org/officeDocument/2006/relationships/hyperlink" Target="mailto:41L70N$#@" TargetMode="External"/><Relationship Id="rId1" Type="http://schemas.openxmlformats.org/officeDocument/2006/relationships/hyperlink" Target="mailto:41L70N$#@" TargetMode="External"/><Relationship Id="rId4" Type="http://schemas.openxmlformats.org/officeDocument/2006/relationships/printerSettings" Target="../printerSettings/printerSettings23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6.bin"/><Relationship Id="rId1" Type="http://schemas.openxmlformats.org/officeDocument/2006/relationships/hyperlink" Target="file:///\\LENE\EPSON%20TX300F%20Series" TargetMode="External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7.bin"/><Relationship Id="rId1" Type="http://schemas.openxmlformats.org/officeDocument/2006/relationships/hyperlink" Target="file:///\\LENE\EPSON%20TX300F%20Series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Plan35"/>
  <dimension ref="A1:M53"/>
  <sheetViews>
    <sheetView view="pageBreakPreview" zoomScale="70" zoomScaleSheetLayoutView="70" workbookViewId="0">
      <selection activeCell="B20" sqref="B20"/>
    </sheetView>
  </sheetViews>
  <sheetFormatPr defaultRowHeight="15"/>
  <cols>
    <col min="1" max="1" width="20.140625" style="89" customWidth="1"/>
    <col min="2" max="2" width="112.5703125" style="83" customWidth="1"/>
    <col min="3" max="3" width="18.5703125" style="90" bestFit="1" customWidth="1"/>
    <col min="4" max="4" width="17.5703125" style="83" customWidth="1"/>
    <col min="5" max="5" width="28.42578125" style="91" customWidth="1"/>
    <col min="6" max="6" width="25.5703125" style="83" customWidth="1"/>
    <col min="7" max="7" width="22.140625" style="89" customWidth="1"/>
    <col min="8" max="8" width="23.85546875" style="83" bestFit="1" customWidth="1"/>
    <col min="9" max="9" width="24.85546875" style="83" bestFit="1" customWidth="1"/>
    <col min="10" max="10" width="18.5703125" style="83" customWidth="1"/>
    <col min="11" max="11" width="19.42578125" style="83" bestFit="1" customWidth="1"/>
    <col min="12" max="16384" width="9.140625" style="83"/>
  </cols>
  <sheetData>
    <row r="1" spans="1:13">
      <c r="A1" s="527" t="s">
        <v>687</v>
      </c>
      <c r="B1" s="528"/>
      <c r="C1" s="528"/>
      <c r="D1" s="528"/>
      <c r="E1" s="529"/>
      <c r="F1" s="536" t="s">
        <v>688</v>
      </c>
      <c r="G1" s="537"/>
      <c r="H1" s="537"/>
    </row>
    <row r="2" spans="1:13">
      <c r="A2" s="530"/>
      <c r="B2" s="531"/>
      <c r="C2" s="531"/>
      <c r="D2" s="531"/>
      <c r="E2" s="532"/>
      <c r="F2" s="84" t="str">
        <f>F5</f>
        <v>CUSTOS</v>
      </c>
      <c r="G2" s="85"/>
      <c r="H2" s="86">
        <f>I7</f>
        <v>20.5</v>
      </c>
      <c r="I2" s="87" t="s">
        <v>689</v>
      </c>
      <c r="J2" s="87" t="s">
        <v>690</v>
      </c>
      <c r="K2" s="87" t="s">
        <v>659</v>
      </c>
    </row>
    <row r="3" spans="1:13" ht="15.75" thickBot="1">
      <c r="A3" s="533"/>
      <c r="B3" s="534"/>
      <c r="C3" s="534"/>
      <c r="D3" s="534"/>
      <c r="E3" s="535"/>
      <c r="F3" s="84" t="str">
        <f>F9</f>
        <v>NF-E</v>
      </c>
      <c r="G3" s="85"/>
      <c r="H3" s="86">
        <f>H14</f>
        <v>473.55</v>
      </c>
      <c r="I3" s="88">
        <f>SUM(H2:H3)</f>
        <v>494.05</v>
      </c>
      <c r="J3" s="88">
        <f>E12</f>
        <v>7700</v>
      </c>
      <c r="K3" s="88">
        <f>J3-I3</f>
        <v>7205.95</v>
      </c>
    </row>
    <row r="4" spans="1:13" ht="15.75" thickBot="1"/>
    <row r="5" spans="1:13" ht="27.75" customHeight="1" thickBot="1">
      <c r="A5" s="538" t="s">
        <v>691</v>
      </c>
      <c r="B5" s="539"/>
      <c r="C5" s="539"/>
      <c r="D5" s="539"/>
      <c r="E5" s="540"/>
      <c r="F5" s="537" t="s">
        <v>692</v>
      </c>
      <c r="G5" s="537"/>
      <c r="H5" s="537"/>
    </row>
    <row r="6" spans="1:13" ht="15.75" thickBot="1">
      <c r="F6" s="92" t="s">
        <v>36</v>
      </c>
      <c r="G6" s="93">
        <v>14</v>
      </c>
      <c r="H6" s="93">
        <v>16</v>
      </c>
    </row>
    <row r="7" spans="1:13" ht="21" customHeight="1">
      <c r="A7" s="403" t="s">
        <v>693</v>
      </c>
      <c r="B7" s="369" t="s">
        <v>62</v>
      </c>
      <c r="C7" s="541" t="s">
        <v>694</v>
      </c>
      <c r="D7" s="542"/>
      <c r="E7" s="545" t="s">
        <v>1509</v>
      </c>
      <c r="F7" s="93" t="s">
        <v>695</v>
      </c>
      <c r="G7" s="93"/>
      <c r="H7" s="93">
        <v>4.5</v>
      </c>
      <c r="I7" s="94">
        <f>SUM(H6:H7)</f>
        <v>20.5</v>
      </c>
    </row>
    <row r="8" spans="1:13" ht="16.5" customHeight="1" thickBot="1">
      <c r="A8" s="95"/>
      <c r="B8" s="96"/>
      <c r="C8" s="543"/>
      <c r="D8" s="544"/>
      <c r="E8" s="546"/>
    </row>
    <row r="9" spans="1:13" ht="18.75" customHeight="1" thickBot="1">
      <c r="A9" s="403" t="s">
        <v>696</v>
      </c>
      <c r="B9" s="369" t="s">
        <v>1460</v>
      </c>
      <c r="C9" s="97"/>
      <c r="D9" s="97"/>
      <c r="E9" s="98"/>
      <c r="F9" s="511" t="s">
        <v>697</v>
      </c>
      <c r="G9" s="512"/>
      <c r="H9" s="513"/>
    </row>
    <row r="10" spans="1:13" ht="21.75" customHeight="1" thickBot="1">
      <c r="A10" s="95"/>
      <c r="B10" s="96"/>
      <c r="C10" s="514" t="s">
        <v>698</v>
      </c>
      <c r="D10" s="515"/>
      <c r="E10" s="99">
        <v>41876</v>
      </c>
      <c r="F10" s="100" t="s">
        <v>699</v>
      </c>
      <c r="G10" s="101">
        <v>1.5</v>
      </c>
      <c r="H10" s="102">
        <f>$E$43/100*G10</f>
        <v>115.5</v>
      </c>
      <c r="K10" s="83" t="s">
        <v>700</v>
      </c>
    </row>
    <row r="11" spans="1:13" ht="21.75" customHeight="1" thickBot="1">
      <c r="A11" s="403" t="s">
        <v>701</v>
      </c>
      <c r="B11" s="103" t="s">
        <v>1465</v>
      </c>
      <c r="C11" s="104"/>
      <c r="D11" s="104"/>
      <c r="E11" s="105"/>
      <c r="F11" s="92" t="s">
        <v>702</v>
      </c>
      <c r="G11" s="106">
        <v>1</v>
      </c>
      <c r="H11" s="107">
        <f>$E$43/100*G11</f>
        <v>77</v>
      </c>
    </row>
    <row r="12" spans="1:13" ht="42.75" customHeight="1" thickBot="1">
      <c r="A12" s="95"/>
      <c r="B12" s="96"/>
      <c r="C12" s="516" t="s">
        <v>703</v>
      </c>
      <c r="D12" s="517"/>
      <c r="E12" s="108">
        <f>E47</f>
        <v>7700</v>
      </c>
      <c r="F12" s="92" t="s">
        <v>704</v>
      </c>
      <c r="G12" s="106">
        <v>3</v>
      </c>
      <c r="H12" s="107">
        <f>$E$43/100*G12</f>
        <v>231</v>
      </c>
    </row>
    <row r="13" spans="1:13" ht="21" customHeight="1" thickBot="1">
      <c r="A13" s="403" t="s">
        <v>705</v>
      </c>
      <c r="B13" s="370" t="s">
        <v>1459</v>
      </c>
      <c r="F13" s="92" t="s">
        <v>706</v>
      </c>
      <c r="G13" s="106">
        <v>0.65</v>
      </c>
      <c r="H13" s="107">
        <f>$E$43/100*G13</f>
        <v>50.050000000000004</v>
      </c>
    </row>
    <row r="14" spans="1:13" ht="16.5" customHeight="1">
      <c r="A14" s="95"/>
      <c r="B14" s="109"/>
      <c r="C14" s="518" t="s">
        <v>707</v>
      </c>
      <c r="D14" s="519"/>
      <c r="E14" s="520"/>
      <c r="F14" s="84"/>
      <c r="G14" s="92"/>
      <c r="H14" s="94">
        <f>SUM(H10:H13)</f>
        <v>473.55</v>
      </c>
    </row>
    <row r="15" spans="1:13" ht="16.5" customHeight="1">
      <c r="A15" s="521" t="s">
        <v>708</v>
      </c>
      <c r="B15" s="523" t="s">
        <v>1510</v>
      </c>
      <c r="C15" s="525" t="s">
        <v>709</v>
      </c>
      <c r="D15" s="526"/>
      <c r="E15" s="110">
        <f>E47</f>
        <v>7700</v>
      </c>
      <c r="F15" s="406">
        <f>E15/2</f>
        <v>3850</v>
      </c>
    </row>
    <row r="16" spans="1:13" ht="39" customHeight="1">
      <c r="A16" s="522"/>
      <c r="B16" s="524"/>
      <c r="C16" s="525" t="s">
        <v>710</v>
      </c>
      <c r="D16" s="526"/>
      <c r="E16" s="374" t="s">
        <v>712</v>
      </c>
      <c r="F16" s="111" t="s">
        <v>712</v>
      </c>
      <c r="G16" s="111" t="s">
        <v>713</v>
      </c>
      <c r="H16" s="111" t="s">
        <v>714</v>
      </c>
      <c r="I16" s="111" t="s">
        <v>712</v>
      </c>
      <c r="J16" s="111" t="s">
        <v>715</v>
      </c>
      <c r="K16" s="111" t="s">
        <v>716</v>
      </c>
      <c r="L16" s="112" t="s">
        <v>711</v>
      </c>
      <c r="M16" s="359" t="s">
        <v>1458</v>
      </c>
    </row>
    <row r="17" spans="1:12" ht="16.5" customHeight="1">
      <c r="A17" s="402"/>
      <c r="B17" s="113"/>
      <c r="C17" s="505" t="s">
        <v>717</v>
      </c>
      <c r="D17" s="506"/>
      <c r="E17" s="114" t="s">
        <v>718</v>
      </c>
      <c r="F17" s="111" t="s">
        <v>719</v>
      </c>
      <c r="G17" s="111" t="s">
        <v>720</v>
      </c>
      <c r="H17" s="111" t="s">
        <v>695</v>
      </c>
      <c r="I17" s="111" t="s">
        <v>718</v>
      </c>
      <c r="J17" s="111"/>
      <c r="K17" s="112"/>
      <c r="L17" s="112"/>
    </row>
    <row r="18" spans="1:12" ht="21.75" customHeight="1" thickBot="1">
      <c r="A18" s="403" t="s">
        <v>721</v>
      </c>
      <c r="B18" s="113" t="s">
        <v>1462</v>
      </c>
      <c r="C18" s="507" t="s">
        <v>722</v>
      </c>
      <c r="D18" s="508"/>
      <c r="E18" s="115" t="s">
        <v>725</v>
      </c>
      <c r="F18" s="116" t="s">
        <v>724</v>
      </c>
      <c r="G18" s="116" t="s">
        <v>725</v>
      </c>
      <c r="H18" s="116" t="s">
        <v>723</v>
      </c>
      <c r="I18" s="111"/>
      <c r="J18" s="111"/>
    </row>
    <row r="20" spans="1:12" s="119" customFormat="1" ht="30">
      <c r="A20" s="391" t="s">
        <v>726</v>
      </c>
      <c r="B20" s="391" t="s">
        <v>727</v>
      </c>
      <c r="C20" s="391" t="s">
        <v>728</v>
      </c>
      <c r="D20" s="391" t="s">
        <v>729</v>
      </c>
      <c r="E20" s="392" t="s">
        <v>730</v>
      </c>
      <c r="F20" s="118" t="s">
        <v>22</v>
      </c>
      <c r="G20" s="118" t="s">
        <v>48</v>
      </c>
    </row>
    <row r="21" spans="1:12" s="357" customFormat="1" ht="59.25" customHeight="1">
      <c r="A21" s="393"/>
      <c r="B21" s="394" t="s">
        <v>1511</v>
      </c>
      <c r="C21" s="393">
        <v>10</v>
      </c>
      <c r="D21" s="395">
        <v>100</v>
      </c>
      <c r="E21" s="395">
        <f>D21*C21</f>
        <v>1000</v>
      </c>
      <c r="F21" s="356">
        <f t="shared" ref="F21:F42" si="0">E21*0.175</f>
        <v>175</v>
      </c>
      <c r="G21" s="113"/>
    </row>
    <row r="22" spans="1:12" s="123" customFormat="1" ht="24" customHeight="1">
      <c r="A22" s="120"/>
      <c r="B22" s="121"/>
      <c r="C22" s="113"/>
      <c r="D22" s="356"/>
      <c r="E22" s="356"/>
      <c r="F22" s="122">
        <f t="shared" si="0"/>
        <v>0</v>
      </c>
      <c r="G22" s="120"/>
    </row>
    <row r="23" spans="1:12" s="357" customFormat="1" ht="59.25" customHeight="1">
      <c r="A23" s="113"/>
      <c r="B23" s="355" t="s">
        <v>1512</v>
      </c>
      <c r="C23" s="113">
        <v>44</v>
      </c>
      <c r="D23" s="356">
        <v>100</v>
      </c>
      <c r="E23" s="356">
        <f>D23*C23</f>
        <v>4400</v>
      </c>
      <c r="F23" s="356">
        <f>E23*0.175</f>
        <v>770</v>
      </c>
      <c r="G23" s="113"/>
    </row>
    <row r="24" spans="1:12" s="123" customFormat="1" ht="24" customHeight="1">
      <c r="A24" s="120"/>
      <c r="B24" s="121"/>
      <c r="C24" s="113"/>
      <c r="D24" s="356"/>
      <c r="E24" s="356"/>
      <c r="F24" s="122">
        <f t="shared" si="0"/>
        <v>0</v>
      </c>
      <c r="G24" s="120"/>
    </row>
    <row r="25" spans="1:12" s="123" customFormat="1" ht="59.25" customHeight="1">
      <c r="A25" s="120"/>
      <c r="B25" s="355" t="s">
        <v>1513</v>
      </c>
      <c r="C25" s="113">
        <v>16</v>
      </c>
      <c r="D25" s="356">
        <v>100</v>
      </c>
      <c r="E25" s="356">
        <f>D25*C25</f>
        <v>1600</v>
      </c>
      <c r="F25" s="122">
        <f>E25*0.175</f>
        <v>280</v>
      </c>
      <c r="G25" s="124"/>
      <c r="H25" s="125"/>
    </row>
    <row r="26" spans="1:12" s="123" customFormat="1" ht="24" customHeight="1">
      <c r="A26" s="120"/>
      <c r="B26" s="121"/>
      <c r="C26" s="113"/>
      <c r="D26" s="356"/>
      <c r="E26" s="356"/>
      <c r="F26" s="122">
        <f t="shared" si="0"/>
        <v>0</v>
      </c>
      <c r="G26" s="120"/>
    </row>
    <row r="27" spans="1:12" s="123" customFormat="1" ht="59.25" customHeight="1">
      <c r="A27" s="120"/>
      <c r="B27" s="355" t="s">
        <v>1514</v>
      </c>
      <c r="C27" s="113">
        <v>7</v>
      </c>
      <c r="D27" s="356">
        <v>100</v>
      </c>
      <c r="E27" s="356">
        <f>D27*C27</f>
        <v>700</v>
      </c>
      <c r="F27" s="122">
        <f t="shared" si="0"/>
        <v>122.49999999999999</v>
      </c>
      <c r="G27" s="126"/>
      <c r="H27" s="127"/>
    </row>
    <row r="28" spans="1:12" s="123" customFormat="1" ht="24" customHeight="1">
      <c r="A28" s="120"/>
      <c r="B28" s="121"/>
      <c r="C28" s="113"/>
      <c r="D28" s="356"/>
      <c r="E28" s="356"/>
      <c r="F28" s="122">
        <f t="shared" si="0"/>
        <v>0</v>
      </c>
      <c r="G28" s="120"/>
    </row>
    <row r="29" spans="1:12" s="123" customFormat="1" ht="59.25" customHeight="1">
      <c r="A29" s="120"/>
      <c r="B29" s="355"/>
      <c r="C29" s="113"/>
      <c r="D29" s="356"/>
      <c r="E29" s="356">
        <f>D29*C29</f>
        <v>0</v>
      </c>
      <c r="F29" s="122">
        <f t="shared" si="0"/>
        <v>0</v>
      </c>
      <c r="G29" s="120"/>
    </row>
    <row r="30" spans="1:12" s="123" customFormat="1" ht="24" customHeight="1">
      <c r="A30" s="120"/>
      <c r="B30" s="121"/>
      <c r="C30" s="113"/>
      <c r="D30" s="356"/>
      <c r="E30" s="356"/>
      <c r="F30" s="122">
        <f t="shared" si="0"/>
        <v>0</v>
      </c>
      <c r="G30" s="120"/>
    </row>
    <row r="31" spans="1:12" s="123" customFormat="1" ht="59.25" customHeight="1">
      <c r="A31" s="120"/>
      <c r="B31" s="355"/>
      <c r="C31" s="113"/>
      <c r="D31" s="356"/>
      <c r="E31" s="356">
        <f>D31*C31</f>
        <v>0</v>
      </c>
      <c r="F31" s="122">
        <f t="shared" si="0"/>
        <v>0</v>
      </c>
      <c r="G31" s="120"/>
    </row>
    <row r="32" spans="1:12" s="123" customFormat="1" ht="24" customHeight="1">
      <c r="A32" s="120"/>
      <c r="B32" s="121"/>
      <c r="C32" s="113"/>
      <c r="D32" s="356"/>
      <c r="E32" s="356"/>
      <c r="F32" s="122">
        <f t="shared" si="0"/>
        <v>0</v>
      </c>
      <c r="G32" s="120"/>
    </row>
    <row r="33" spans="1:8" s="123" customFormat="1" ht="59.25" customHeight="1">
      <c r="A33" s="120"/>
      <c r="B33" s="355"/>
      <c r="C33" s="113"/>
      <c r="D33" s="356"/>
      <c r="E33" s="356">
        <f>D33*C33</f>
        <v>0</v>
      </c>
      <c r="F33" s="122">
        <f t="shared" si="0"/>
        <v>0</v>
      </c>
      <c r="G33" s="120"/>
    </row>
    <row r="34" spans="1:8" s="123" customFormat="1" ht="24" customHeight="1">
      <c r="A34" s="120"/>
      <c r="B34" s="121"/>
      <c r="C34" s="113"/>
      <c r="D34" s="356"/>
      <c r="E34" s="356"/>
      <c r="F34" s="122">
        <f t="shared" si="0"/>
        <v>0</v>
      </c>
      <c r="G34" s="120"/>
    </row>
    <row r="35" spans="1:8" s="123" customFormat="1" ht="59.25" customHeight="1">
      <c r="A35" s="120"/>
      <c r="B35" s="355"/>
      <c r="C35" s="113"/>
      <c r="D35" s="356"/>
      <c r="E35" s="356">
        <f>D35*C35</f>
        <v>0</v>
      </c>
      <c r="F35" s="122">
        <f t="shared" si="0"/>
        <v>0</v>
      </c>
      <c r="G35" s="120"/>
    </row>
    <row r="36" spans="1:8" s="123" customFormat="1" ht="24" customHeight="1">
      <c r="A36" s="120"/>
      <c r="B36" s="121"/>
      <c r="C36" s="113"/>
      <c r="D36" s="356"/>
      <c r="E36" s="356"/>
      <c r="F36" s="122">
        <f t="shared" si="0"/>
        <v>0</v>
      </c>
      <c r="G36" s="120"/>
    </row>
    <row r="37" spans="1:8" s="123" customFormat="1" ht="59.25" customHeight="1">
      <c r="A37" s="120"/>
      <c r="B37" s="355"/>
      <c r="C37" s="113"/>
      <c r="D37" s="356"/>
      <c r="E37" s="356">
        <f>D37*C37</f>
        <v>0</v>
      </c>
      <c r="F37" s="122">
        <f t="shared" si="0"/>
        <v>0</v>
      </c>
      <c r="G37" s="120"/>
    </row>
    <row r="38" spans="1:8" s="123" customFormat="1" ht="24" customHeight="1">
      <c r="A38" s="120"/>
      <c r="B38" s="121"/>
      <c r="C38" s="113"/>
      <c r="D38" s="356"/>
      <c r="E38" s="356"/>
      <c r="F38" s="122">
        <f t="shared" si="0"/>
        <v>0</v>
      </c>
      <c r="G38" s="120"/>
    </row>
    <row r="39" spans="1:8" s="123" customFormat="1" ht="59.25" customHeight="1">
      <c r="A39" s="120"/>
      <c r="B39" s="355"/>
      <c r="C39" s="113"/>
      <c r="D39" s="356"/>
      <c r="E39" s="356">
        <f>D39*C39</f>
        <v>0</v>
      </c>
      <c r="F39" s="122">
        <f t="shared" si="0"/>
        <v>0</v>
      </c>
      <c r="G39" s="120"/>
    </row>
    <row r="40" spans="1:8" s="123" customFormat="1" ht="24" customHeight="1">
      <c r="A40" s="120"/>
      <c r="B40" s="121"/>
      <c r="C40" s="113"/>
      <c r="D40" s="356"/>
      <c r="E40" s="356"/>
      <c r="F40" s="122">
        <f t="shared" si="0"/>
        <v>0</v>
      </c>
      <c r="G40" s="120"/>
    </row>
    <row r="41" spans="1:8" s="123" customFormat="1" ht="59.25" customHeight="1">
      <c r="A41" s="120"/>
      <c r="B41" s="355"/>
      <c r="C41" s="360"/>
      <c r="D41" s="356"/>
      <c r="E41" s="356">
        <f>D41*C41</f>
        <v>0</v>
      </c>
      <c r="F41" s="122">
        <f t="shared" si="0"/>
        <v>0</v>
      </c>
      <c r="G41" s="120"/>
    </row>
    <row r="42" spans="1:8" s="123" customFormat="1" ht="24" customHeight="1" thickBot="1">
      <c r="A42" s="120"/>
      <c r="B42" s="121"/>
      <c r="C42" s="113"/>
      <c r="D42" s="356"/>
      <c r="E42" s="356"/>
      <c r="F42" s="122">
        <f t="shared" si="0"/>
        <v>0</v>
      </c>
      <c r="G42" s="120"/>
    </row>
    <row r="43" spans="1:8" ht="48.75" customHeight="1" thickBot="1">
      <c r="B43" s="363" t="s">
        <v>703</v>
      </c>
      <c r="C43" s="405">
        <f>SUM(C21:C42)</f>
        <v>77</v>
      </c>
      <c r="D43" s="365"/>
      <c r="E43" s="132">
        <f>SUM(E21:E42)</f>
        <v>7700</v>
      </c>
      <c r="F43" s="132">
        <f>E43*0.175</f>
        <v>1347.5</v>
      </c>
      <c r="G43" s="132">
        <f>E43-F43</f>
        <v>6352.5</v>
      </c>
      <c r="H43" s="133"/>
    </row>
    <row r="44" spans="1:8" ht="15.75" thickBot="1"/>
    <row r="45" spans="1:8" ht="48.75" customHeight="1" thickBot="1">
      <c r="B45" s="368" t="s">
        <v>1463</v>
      </c>
      <c r="C45" s="509">
        <v>0</v>
      </c>
      <c r="D45" s="510"/>
      <c r="E45" s="132">
        <f>E43*C45</f>
        <v>0</v>
      </c>
      <c r="F45" s="132"/>
      <c r="G45" s="132"/>
      <c r="H45" s="133"/>
    </row>
    <row r="46" spans="1:8" ht="15.75" thickBot="1"/>
    <row r="47" spans="1:8" ht="48.75" customHeight="1" thickBot="1">
      <c r="B47" s="363" t="s">
        <v>1464</v>
      </c>
      <c r="C47" s="366"/>
      <c r="D47" s="404"/>
      <c r="E47" s="132">
        <f>E43-E45</f>
        <v>7700</v>
      </c>
      <c r="F47" s="132">
        <f>E47*0.175</f>
        <v>1347.5</v>
      </c>
      <c r="G47" s="132">
        <f>E47-F47</f>
        <v>6352.5</v>
      </c>
      <c r="H47" s="133"/>
    </row>
    <row r="48" spans="1:8" s="139" customFormat="1" ht="48.75" customHeight="1">
      <c r="A48" s="134" t="s">
        <v>33</v>
      </c>
      <c r="B48" s="135" t="s">
        <v>731</v>
      </c>
      <c r="C48" s="136"/>
      <c r="D48" s="137"/>
      <c r="E48" s="138"/>
      <c r="G48" s="140"/>
    </row>
    <row r="49" spans="1:7" s="139" customFormat="1" ht="15.75">
      <c r="A49" s="136"/>
      <c r="B49" s="141"/>
      <c r="C49" s="142"/>
      <c r="E49" s="143"/>
      <c r="G49" s="140"/>
    </row>
    <row r="50" spans="1:7" s="139" customFormat="1" ht="48.75" customHeight="1">
      <c r="A50" s="134" t="s">
        <v>732</v>
      </c>
      <c r="B50" s="144"/>
      <c r="C50" s="136"/>
      <c r="D50" s="137"/>
      <c r="E50" s="138"/>
      <c r="G50" s="140"/>
    </row>
    <row r="53" spans="1:7">
      <c r="B53" s="145"/>
    </row>
  </sheetData>
  <mergeCells count="17">
    <mergeCell ref="F1:H1"/>
    <mergeCell ref="A5:E5"/>
    <mergeCell ref="F5:H5"/>
    <mergeCell ref="C7:D8"/>
    <mergeCell ref="E7:E8"/>
    <mergeCell ref="A15:A16"/>
    <mergeCell ref="B15:B16"/>
    <mergeCell ref="C15:D15"/>
    <mergeCell ref="C16:D16"/>
    <mergeCell ref="A1:E3"/>
    <mergeCell ref="C17:D17"/>
    <mergeCell ref="C18:D18"/>
    <mergeCell ref="C45:D45"/>
    <mergeCell ref="F9:H9"/>
    <mergeCell ref="C10:D10"/>
    <mergeCell ref="C12:D12"/>
    <mergeCell ref="C14:E14"/>
  </mergeCells>
  <dataValidations count="3">
    <dataValidation type="list" allowBlank="1" sqref="E17">
      <formula1>$F$17:$I$17</formula1>
    </dataValidation>
    <dataValidation type="list" allowBlank="1" sqref="E16">
      <formula1>$F$16:$M$16</formula1>
    </dataValidation>
    <dataValidation type="list" allowBlank="1" sqref="E18">
      <formula1>$F$18:$H$18</formula1>
    </dataValidation>
  </dataValidations>
  <hyperlinks>
    <hyperlink ref="B13" r:id="rId1"/>
  </hyperlinks>
  <printOptions horizontalCentered="1"/>
  <pageMargins left="0.28000000000000003" right="0.35" top="0.39370078740157483" bottom="0.39370078740157483" header="0.31496062992125984" footer="0.31496062992125984"/>
  <pageSetup paperSize="9" scale="49" fitToHeight="2" orientation="portrait" r:id="rId2"/>
  <headerFooter alignWithMargins="0">
    <oddFooter>&amp;R&amp;P - &amp;N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>
  <sheetPr codeName="Plan32"/>
  <dimension ref="A1:M53"/>
  <sheetViews>
    <sheetView view="pageBreakPreview" zoomScale="70" zoomScaleSheetLayoutView="70" workbookViewId="0">
      <selection sqref="A1:E3"/>
    </sheetView>
  </sheetViews>
  <sheetFormatPr defaultRowHeight="15"/>
  <cols>
    <col min="1" max="1" width="20.140625" style="89" customWidth="1"/>
    <col min="2" max="2" width="112.5703125" style="83" customWidth="1"/>
    <col min="3" max="3" width="18.5703125" style="90" bestFit="1" customWidth="1"/>
    <col min="4" max="4" width="17.5703125" style="83" customWidth="1"/>
    <col min="5" max="5" width="28.42578125" style="91" customWidth="1"/>
    <col min="6" max="6" width="25.5703125" style="83" customWidth="1"/>
    <col min="7" max="7" width="22.140625" style="89" customWidth="1"/>
    <col min="8" max="8" width="23.85546875" style="83" bestFit="1" customWidth="1"/>
    <col min="9" max="9" width="24.85546875" style="83" bestFit="1" customWidth="1"/>
    <col min="10" max="10" width="18.5703125" style="83" customWidth="1"/>
    <col min="11" max="11" width="19.42578125" style="83" bestFit="1" customWidth="1"/>
    <col min="12" max="16384" width="9.140625" style="83"/>
  </cols>
  <sheetData>
    <row r="1" spans="1:13">
      <c r="A1" s="527" t="s">
        <v>687</v>
      </c>
      <c r="B1" s="528"/>
      <c r="C1" s="528"/>
      <c r="D1" s="528"/>
      <c r="E1" s="529"/>
      <c r="F1" s="536" t="s">
        <v>688</v>
      </c>
      <c r="G1" s="537"/>
      <c r="H1" s="537"/>
    </row>
    <row r="2" spans="1:13">
      <c r="A2" s="530"/>
      <c r="B2" s="531"/>
      <c r="C2" s="531"/>
      <c r="D2" s="531"/>
      <c r="E2" s="532"/>
      <c r="F2" s="84" t="str">
        <f>F5</f>
        <v>CUSTOS</v>
      </c>
      <c r="G2" s="85"/>
      <c r="H2" s="86">
        <f>I7</f>
        <v>20.5</v>
      </c>
      <c r="I2" s="87" t="s">
        <v>689</v>
      </c>
      <c r="J2" s="87" t="s">
        <v>690</v>
      </c>
      <c r="K2" s="87" t="s">
        <v>659</v>
      </c>
    </row>
    <row r="3" spans="1:13" ht="15.75" thickBot="1">
      <c r="A3" s="533"/>
      <c r="B3" s="534"/>
      <c r="C3" s="534"/>
      <c r="D3" s="534"/>
      <c r="E3" s="535"/>
      <c r="F3" s="84" t="str">
        <f>F9</f>
        <v>NF-E</v>
      </c>
      <c r="G3" s="85"/>
      <c r="H3" s="86">
        <f>H14</f>
        <v>405.9</v>
      </c>
      <c r="I3" s="88">
        <f>SUM(H2:H3)</f>
        <v>426.4</v>
      </c>
      <c r="J3" s="88">
        <f>E12</f>
        <v>6600</v>
      </c>
      <c r="K3" s="88">
        <f>J3-I3</f>
        <v>6173.6</v>
      </c>
    </row>
    <row r="4" spans="1:13" ht="15.75" thickBot="1"/>
    <row r="5" spans="1:13" ht="27.75" customHeight="1" thickBot="1">
      <c r="A5" s="538" t="s">
        <v>691</v>
      </c>
      <c r="B5" s="539"/>
      <c r="C5" s="539"/>
      <c r="D5" s="539"/>
      <c r="E5" s="540"/>
      <c r="F5" s="537" t="s">
        <v>692</v>
      </c>
      <c r="G5" s="537"/>
      <c r="H5" s="537"/>
    </row>
    <row r="6" spans="1:13" ht="15.75" thickBot="1">
      <c r="F6" s="92" t="s">
        <v>36</v>
      </c>
      <c r="G6" s="93">
        <v>14</v>
      </c>
      <c r="H6" s="93">
        <v>16</v>
      </c>
    </row>
    <row r="7" spans="1:13" ht="21" customHeight="1">
      <c r="A7" s="398" t="s">
        <v>693</v>
      </c>
      <c r="B7" s="369" t="s">
        <v>62</v>
      </c>
      <c r="C7" s="541" t="s">
        <v>694</v>
      </c>
      <c r="D7" s="542"/>
      <c r="E7" s="545" t="s">
        <v>1494</v>
      </c>
      <c r="F7" s="93" t="s">
        <v>695</v>
      </c>
      <c r="G7" s="93"/>
      <c r="H7" s="93">
        <v>4.5</v>
      </c>
      <c r="I7" s="94">
        <f>SUM(H6:H7)</f>
        <v>20.5</v>
      </c>
    </row>
    <row r="8" spans="1:13" ht="16.5" customHeight="1" thickBot="1">
      <c r="A8" s="95"/>
      <c r="B8" s="96"/>
      <c r="C8" s="543"/>
      <c r="D8" s="544"/>
      <c r="E8" s="546"/>
    </row>
    <row r="9" spans="1:13" ht="18.75" customHeight="1" thickBot="1">
      <c r="A9" s="398" t="s">
        <v>696</v>
      </c>
      <c r="B9" s="369" t="s">
        <v>1460</v>
      </c>
      <c r="C9" s="97"/>
      <c r="D9" s="97"/>
      <c r="E9" s="98"/>
      <c r="F9" s="511" t="s">
        <v>697</v>
      </c>
      <c r="G9" s="512"/>
      <c r="H9" s="513"/>
    </row>
    <row r="10" spans="1:13" ht="21.75" customHeight="1" thickBot="1">
      <c r="A10" s="95"/>
      <c r="B10" s="96"/>
      <c r="C10" s="514" t="s">
        <v>698</v>
      </c>
      <c r="D10" s="515"/>
      <c r="E10" s="99">
        <v>41866</v>
      </c>
      <c r="F10" s="100" t="s">
        <v>699</v>
      </c>
      <c r="G10" s="101">
        <v>1.5</v>
      </c>
      <c r="H10" s="102">
        <f>$E$43/100*G10</f>
        <v>99</v>
      </c>
      <c r="K10" s="83" t="s">
        <v>700</v>
      </c>
    </row>
    <row r="11" spans="1:13" ht="21.75" customHeight="1" thickBot="1">
      <c r="A11" s="398" t="s">
        <v>701</v>
      </c>
      <c r="B11" s="103" t="s">
        <v>1465</v>
      </c>
      <c r="C11" s="104"/>
      <c r="D11" s="104"/>
      <c r="E11" s="105"/>
      <c r="F11" s="92" t="s">
        <v>702</v>
      </c>
      <c r="G11" s="106">
        <v>1</v>
      </c>
      <c r="H11" s="107">
        <f>$E$43/100*G11</f>
        <v>66</v>
      </c>
    </row>
    <row r="12" spans="1:13" ht="42.75" customHeight="1" thickBot="1">
      <c r="A12" s="95"/>
      <c r="B12" s="96"/>
      <c r="C12" s="516" t="s">
        <v>703</v>
      </c>
      <c r="D12" s="517"/>
      <c r="E12" s="108">
        <f>E47</f>
        <v>6600</v>
      </c>
      <c r="F12" s="92" t="s">
        <v>704</v>
      </c>
      <c r="G12" s="106">
        <v>3</v>
      </c>
      <c r="H12" s="107">
        <f>$E$43/100*G12</f>
        <v>198</v>
      </c>
    </row>
    <row r="13" spans="1:13" ht="21" customHeight="1" thickBot="1">
      <c r="A13" s="398" t="s">
        <v>705</v>
      </c>
      <c r="B13" s="370" t="s">
        <v>1459</v>
      </c>
      <c r="F13" s="92" t="s">
        <v>706</v>
      </c>
      <c r="G13" s="106">
        <v>0.65</v>
      </c>
      <c r="H13" s="107">
        <f>$E$43/100*G13</f>
        <v>42.9</v>
      </c>
    </row>
    <row r="14" spans="1:13" ht="16.5" customHeight="1">
      <c r="A14" s="95"/>
      <c r="B14" s="109"/>
      <c r="C14" s="518" t="s">
        <v>707</v>
      </c>
      <c r="D14" s="519"/>
      <c r="E14" s="520"/>
      <c r="F14" s="84"/>
      <c r="G14" s="92"/>
      <c r="H14" s="94">
        <f>SUM(H10:H13)</f>
        <v>405.9</v>
      </c>
    </row>
    <row r="15" spans="1:13" ht="16.5" customHeight="1">
      <c r="A15" s="521" t="s">
        <v>708</v>
      </c>
      <c r="B15" s="523" t="s">
        <v>1490</v>
      </c>
      <c r="C15" s="525" t="s">
        <v>709</v>
      </c>
      <c r="D15" s="526"/>
      <c r="E15" s="110">
        <f>E47</f>
        <v>6600</v>
      </c>
    </row>
    <row r="16" spans="1:13" ht="39" customHeight="1">
      <c r="A16" s="522"/>
      <c r="B16" s="524"/>
      <c r="C16" s="525" t="s">
        <v>710</v>
      </c>
      <c r="D16" s="526"/>
      <c r="E16" s="374" t="s">
        <v>711</v>
      </c>
      <c r="F16" s="111" t="s">
        <v>712</v>
      </c>
      <c r="G16" s="111" t="s">
        <v>713</v>
      </c>
      <c r="H16" s="111" t="s">
        <v>714</v>
      </c>
      <c r="I16" s="111" t="s">
        <v>712</v>
      </c>
      <c r="J16" s="111" t="s">
        <v>715</v>
      </c>
      <c r="K16" s="111" t="s">
        <v>716</v>
      </c>
      <c r="L16" s="112" t="s">
        <v>711</v>
      </c>
      <c r="M16" s="359" t="s">
        <v>1458</v>
      </c>
    </row>
    <row r="17" spans="1:12" ht="16.5" customHeight="1">
      <c r="A17" s="397"/>
      <c r="B17" s="113"/>
      <c r="C17" s="505" t="s">
        <v>717</v>
      </c>
      <c r="D17" s="506"/>
      <c r="E17" s="114" t="s">
        <v>718</v>
      </c>
      <c r="F17" s="111" t="s">
        <v>719</v>
      </c>
      <c r="G17" s="111" t="s">
        <v>720</v>
      </c>
      <c r="H17" s="111" t="s">
        <v>695</v>
      </c>
      <c r="I17" s="111" t="s">
        <v>718</v>
      </c>
      <c r="J17" s="111"/>
      <c r="K17" s="112"/>
      <c r="L17" s="112"/>
    </row>
    <row r="18" spans="1:12" ht="21.75" customHeight="1" thickBot="1">
      <c r="A18" s="398" t="s">
        <v>721</v>
      </c>
      <c r="B18" s="113" t="s">
        <v>1484</v>
      </c>
      <c r="C18" s="507" t="s">
        <v>722</v>
      </c>
      <c r="D18" s="508"/>
      <c r="E18" s="115" t="s">
        <v>725</v>
      </c>
      <c r="F18" s="116" t="s">
        <v>724</v>
      </c>
      <c r="G18" s="116" t="s">
        <v>725</v>
      </c>
      <c r="H18" s="116" t="s">
        <v>723</v>
      </c>
      <c r="I18" s="111"/>
      <c r="J18" s="111"/>
    </row>
    <row r="20" spans="1:12" s="119" customFormat="1" ht="30">
      <c r="A20" s="391" t="s">
        <v>726</v>
      </c>
      <c r="B20" s="391" t="s">
        <v>727</v>
      </c>
      <c r="C20" s="391" t="s">
        <v>728</v>
      </c>
      <c r="D20" s="391" t="s">
        <v>729</v>
      </c>
      <c r="E20" s="392" t="s">
        <v>730</v>
      </c>
      <c r="F20" s="118" t="s">
        <v>22</v>
      </c>
      <c r="G20" s="118" t="s">
        <v>48</v>
      </c>
    </row>
    <row r="21" spans="1:12" s="357" customFormat="1" ht="59.25" customHeight="1">
      <c r="A21" s="393"/>
      <c r="B21" s="394" t="s">
        <v>1491</v>
      </c>
      <c r="C21" s="393">
        <v>1</v>
      </c>
      <c r="D21" s="395">
        <v>1900</v>
      </c>
      <c r="E21" s="395">
        <f>D21*C21</f>
        <v>1900</v>
      </c>
      <c r="F21" s="356">
        <f t="shared" ref="F21:F42" si="0">E21*0.175</f>
        <v>332.5</v>
      </c>
      <c r="G21" s="113"/>
    </row>
    <row r="22" spans="1:12" s="123" customFormat="1" ht="24" customHeight="1">
      <c r="A22" s="120"/>
      <c r="B22" s="121"/>
      <c r="C22" s="113"/>
      <c r="D22" s="356"/>
      <c r="E22" s="356"/>
      <c r="F22" s="122">
        <f t="shared" si="0"/>
        <v>0</v>
      </c>
      <c r="G22" s="120"/>
    </row>
    <row r="23" spans="1:12" s="357" customFormat="1" ht="59.25" customHeight="1">
      <c r="A23" s="113"/>
      <c r="B23" s="355" t="s">
        <v>1492</v>
      </c>
      <c r="C23" s="113">
        <v>1</v>
      </c>
      <c r="D23" s="356">
        <v>4000</v>
      </c>
      <c r="E23" s="356">
        <f>D23*C23</f>
        <v>4000</v>
      </c>
      <c r="F23" s="356">
        <f>E23*0.175</f>
        <v>700</v>
      </c>
      <c r="G23" s="113"/>
    </row>
    <row r="24" spans="1:12" s="123" customFormat="1" ht="24" customHeight="1">
      <c r="A24" s="120"/>
      <c r="B24" s="121"/>
      <c r="C24" s="113"/>
      <c r="D24" s="356"/>
      <c r="E24" s="356"/>
      <c r="F24" s="122">
        <f t="shared" si="0"/>
        <v>0</v>
      </c>
      <c r="G24" s="120"/>
    </row>
    <row r="25" spans="1:12" s="123" customFormat="1" ht="59.25" customHeight="1">
      <c r="A25" s="120"/>
      <c r="B25" s="355" t="s">
        <v>1493</v>
      </c>
      <c r="C25" s="113">
        <v>1</v>
      </c>
      <c r="D25" s="356">
        <v>700</v>
      </c>
      <c r="E25" s="356">
        <f>D25*C25</f>
        <v>700</v>
      </c>
      <c r="F25" s="122">
        <f>E25*0.175</f>
        <v>122.49999999999999</v>
      </c>
      <c r="G25" s="124"/>
      <c r="H25" s="125"/>
    </row>
    <row r="26" spans="1:12" s="123" customFormat="1" ht="24" customHeight="1">
      <c r="A26" s="120"/>
      <c r="B26" s="121"/>
      <c r="C26" s="113"/>
      <c r="D26" s="356"/>
      <c r="E26" s="356"/>
      <c r="F26" s="122">
        <f t="shared" si="0"/>
        <v>0</v>
      </c>
      <c r="G26" s="120"/>
    </row>
    <row r="27" spans="1:12" s="123" customFormat="1" ht="59.25" customHeight="1">
      <c r="A27" s="120"/>
      <c r="B27" s="355"/>
      <c r="C27" s="113"/>
      <c r="D27" s="356"/>
      <c r="E27" s="356">
        <f>D27*C27</f>
        <v>0</v>
      </c>
      <c r="F27" s="122">
        <f t="shared" si="0"/>
        <v>0</v>
      </c>
      <c r="G27" s="126"/>
      <c r="H27" s="127"/>
    </row>
    <row r="28" spans="1:12" s="123" customFormat="1" ht="24" customHeight="1">
      <c r="A28" s="120"/>
      <c r="B28" s="121"/>
      <c r="C28" s="113"/>
      <c r="D28" s="356"/>
      <c r="E28" s="356"/>
      <c r="F28" s="122">
        <f t="shared" si="0"/>
        <v>0</v>
      </c>
      <c r="G28" s="120"/>
    </row>
    <row r="29" spans="1:12" s="123" customFormat="1" ht="59.25" customHeight="1">
      <c r="A29" s="120"/>
      <c r="B29" s="355"/>
      <c r="C29" s="113"/>
      <c r="D29" s="356"/>
      <c r="E29" s="356">
        <f>D29*C29</f>
        <v>0</v>
      </c>
      <c r="F29" s="122">
        <f t="shared" si="0"/>
        <v>0</v>
      </c>
      <c r="G29" s="120"/>
    </row>
    <row r="30" spans="1:12" s="123" customFormat="1" ht="24" customHeight="1">
      <c r="A30" s="120"/>
      <c r="B30" s="121"/>
      <c r="C30" s="113"/>
      <c r="D30" s="356"/>
      <c r="E30" s="356"/>
      <c r="F30" s="122">
        <f t="shared" si="0"/>
        <v>0</v>
      </c>
      <c r="G30" s="120"/>
    </row>
    <row r="31" spans="1:12" s="123" customFormat="1" ht="59.25" customHeight="1">
      <c r="A31" s="120"/>
      <c r="B31" s="355"/>
      <c r="C31" s="113"/>
      <c r="D31" s="356"/>
      <c r="E31" s="356">
        <f>D31*C31</f>
        <v>0</v>
      </c>
      <c r="F31" s="122">
        <f t="shared" si="0"/>
        <v>0</v>
      </c>
      <c r="G31" s="120"/>
    </row>
    <row r="32" spans="1:12" s="123" customFormat="1" ht="24" customHeight="1">
      <c r="A32" s="120"/>
      <c r="B32" s="121"/>
      <c r="C32" s="113"/>
      <c r="D32" s="356"/>
      <c r="E32" s="356"/>
      <c r="F32" s="122">
        <f t="shared" si="0"/>
        <v>0</v>
      </c>
      <c r="G32" s="120"/>
    </row>
    <row r="33" spans="1:8" s="123" customFormat="1" ht="59.25" customHeight="1">
      <c r="A33" s="120"/>
      <c r="B33" s="355"/>
      <c r="C33" s="113"/>
      <c r="D33" s="356"/>
      <c r="E33" s="356">
        <f>D33*C33</f>
        <v>0</v>
      </c>
      <c r="F33" s="122">
        <f t="shared" si="0"/>
        <v>0</v>
      </c>
      <c r="G33" s="120"/>
    </row>
    <row r="34" spans="1:8" s="123" customFormat="1" ht="24" customHeight="1">
      <c r="A34" s="120"/>
      <c r="B34" s="121"/>
      <c r="C34" s="113"/>
      <c r="D34" s="356"/>
      <c r="E34" s="356"/>
      <c r="F34" s="122">
        <f t="shared" si="0"/>
        <v>0</v>
      </c>
      <c r="G34" s="120"/>
    </row>
    <row r="35" spans="1:8" s="123" customFormat="1" ht="59.25" customHeight="1">
      <c r="A35" s="120"/>
      <c r="B35" s="355"/>
      <c r="C35" s="113"/>
      <c r="D35" s="356"/>
      <c r="E35" s="356">
        <f>D35*C35</f>
        <v>0</v>
      </c>
      <c r="F35" s="122">
        <f t="shared" si="0"/>
        <v>0</v>
      </c>
      <c r="G35" s="120"/>
    </row>
    <row r="36" spans="1:8" s="123" customFormat="1" ht="24" customHeight="1">
      <c r="A36" s="120"/>
      <c r="B36" s="121"/>
      <c r="C36" s="113"/>
      <c r="D36" s="356"/>
      <c r="E36" s="356"/>
      <c r="F36" s="122">
        <f t="shared" si="0"/>
        <v>0</v>
      </c>
      <c r="G36" s="120"/>
    </row>
    <row r="37" spans="1:8" s="123" customFormat="1" ht="59.25" customHeight="1">
      <c r="A37" s="120"/>
      <c r="B37" s="355"/>
      <c r="C37" s="113"/>
      <c r="D37" s="356"/>
      <c r="E37" s="356">
        <f>D37*C37</f>
        <v>0</v>
      </c>
      <c r="F37" s="122">
        <f t="shared" si="0"/>
        <v>0</v>
      </c>
      <c r="G37" s="120"/>
    </row>
    <row r="38" spans="1:8" s="123" customFormat="1" ht="24" customHeight="1">
      <c r="A38" s="120"/>
      <c r="B38" s="121"/>
      <c r="C38" s="113"/>
      <c r="D38" s="356"/>
      <c r="E38" s="356"/>
      <c r="F38" s="122">
        <f t="shared" si="0"/>
        <v>0</v>
      </c>
      <c r="G38" s="120"/>
    </row>
    <row r="39" spans="1:8" s="123" customFormat="1" ht="59.25" customHeight="1">
      <c r="A39" s="120"/>
      <c r="B39" s="355"/>
      <c r="C39" s="113"/>
      <c r="D39" s="356"/>
      <c r="E39" s="356">
        <f>D39*C39</f>
        <v>0</v>
      </c>
      <c r="F39" s="122">
        <f t="shared" si="0"/>
        <v>0</v>
      </c>
      <c r="G39" s="120"/>
    </row>
    <row r="40" spans="1:8" s="123" customFormat="1" ht="24" customHeight="1">
      <c r="A40" s="120"/>
      <c r="B40" s="121"/>
      <c r="C40" s="113"/>
      <c r="D40" s="356"/>
      <c r="E40" s="356"/>
      <c r="F40" s="122">
        <f t="shared" si="0"/>
        <v>0</v>
      </c>
      <c r="G40" s="120"/>
    </row>
    <row r="41" spans="1:8" s="123" customFormat="1" ht="59.25" customHeight="1">
      <c r="A41" s="120"/>
      <c r="B41" s="355"/>
      <c r="C41" s="360"/>
      <c r="D41" s="356"/>
      <c r="E41" s="356">
        <f>D41*C41</f>
        <v>0</v>
      </c>
      <c r="F41" s="122">
        <f t="shared" si="0"/>
        <v>0</v>
      </c>
      <c r="G41" s="120"/>
    </row>
    <row r="42" spans="1:8" s="123" customFormat="1" ht="24" customHeight="1" thickBot="1">
      <c r="A42" s="120"/>
      <c r="B42" s="121"/>
      <c r="C42" s="113"/>
      <c r="D42" s="356"/>
      <c r="E42" s="356"/>
      <c r="F42" s="122">
        <f t="shared" si="0"/>
        <v>0</v>
      </c>
      <c r="G42" s="120"/>
    </row>
    <row r="43" spans="1:8" ht="48.75" customHeight="1" thickBot="1">
      <c r="B43" s="363" t="s">
        <v>703</v>
      </c>
      <c r="C43" s="364"/>
      <c r="D43" s="365"/>
      <c r="E43" s="132">
        <f>SUM(E21:E42)</f>
        <v>6600</v>
      </c>
      <c r="F43" s="132">
        <f>E43*0.175</f>
        <v>1155</v>
      </c>
      <c r="G43" s="132">
        <f>E43-F43</f>
        <v>5445</v>
      </c>
      <c r="H43" s="133"/>
    </row>
    <row r="44" spans="1:8" ht="15.75" thickBot="1"/>
    <row r="45" spans="1:8" ht="48.75" customHeight="1" thickBot="1">
      <c r="B45" s="368" t="s">
        <v>1463</v>
      </c>
      <c r="C45" s="509">
        <v>0</v>
      </c>
      <c r="D45" s="510"/>
      <c r="E45" s="132">
        <f>E43*C45</f>
        <v>0</v>
      </c>
      <c r="F45" s="132"/>
      <c r="G45" s="132"/>
      <c r="H45" s="133"/>
    </row>
    <row r="46" spans="1:8" ht="15.75" thickBot="1"/>
    <row r="47" spans="1:8" ht="48.75" customHeight="1" thickBot="1">
      <c r="B47" s="363" t="s">
        <v>1464</v>
      </c>
      <c r="C47" s="366"/>
      <c r="D47" s="396"/>
      <c r="E47" s="132">
        <f>E43-E45</f>
        <v>6600</v>
      </c>
      <c r="F47" s="132">
        <f>E47*0.175</f>
        <v>1155</v>
      </c>
      <c r="G47" s="132">
        <f>E47-F47</f>
        <v>5445</v>
      </c>
      <c r="H47" s="133"/>
    </row>
    <row r="48" spans="1:8" s="139" customFormat="1" ht="48.75" customHeight="1">
      <c r="A48" s="134" t="s">
        <v>33</v>
      </c>
      <c r="B48" s="135" t="s">
        <v>731</v>
      </c>
      <c r="C48" s="136"/>
      <c r="D48" s="137"/>
      <c r="E48" s="138"/>
      <c r="G48" s="140"/>
    </row>
    <row r="49" spans="1:7" s="139" customFormat="1" ht="15.75">
      <c r="A49" s="136"/>
      <c r="B49" s="141"/>
      <c r="C49" s="142"/>
      <c r="E49" s="143"/>
      <c r="G49" s="140"/>
    </row>
    <row r="50" spans="1:7" s="139" customFormat="1" ht="48.75" customHeight="1">
      <c r="A50" s="134" t="s">
        <v>732</v>
      </c>
      <c r="B50" s="144"/>
      <c r="C50" s="136"/>
      <c r="D50" s="137"/>
      <c r="E50" s="138"/>
      <c r="G50" s="140"/>
    </row>
    <row r="53" spans="1:7">
      <c r="B53" s="145"/>
    </row>
  </sheetData>
  <mergeCells count="17">
    <mergeCell ref="C17:D17"/>
    <mergeCell ref="C18:D18"/>
    <mergeCell ref="C45:D45"/>
    <mergeCell ref="F9:H9"/>
    <mergeCell ref="C10:D10"/>
    <mergeCell ref="C12:D12"/>
    <mergeCell ref="C14:E14"/>
    <mergeCell ref="A15:A16"/>
    <mergeCell ref="B15:B16"/>
    <mergeCell ref="C15:D15"/>
    <mergeCell ref="C16:D16"/>
    <mergeCell ref="A1:E3"/>
    <mergeCell ref="F1:H1"/>
    <mergeCell ref="A5:E5"/>
    <mergeCell ref="F5:H5"/>
    <mergeCell ref="C7:D8"/>
    <mergeCell ref="E7:E8"/>
  </mergeCells>
  <dataValidations count="3">
    <dataValidation type="list" allowBlank="1" sqref="E18">
      <formula1>$F$18:$H$18</formula1>
    </dataValidation>
    <dataValidation type="list" allowBlank="1" sqref="E16">
      <formula1>$F$16:$M$16</formula1>
    </dataValidation>
    <dataValidation type="list" allowBlank="1" sqref="E17">
      <formula1>$F$17:$I$17</formula1>
    </dataValidation>
  </dataValidations>
  <hyperlinks>
    <hyperlink ref="B13" r:id="rId1"/>
  </hyperlinks>
  <printOptions horizontalCentered="1"/>
  <pageMargins left="0.28000000000000003" right="0.35" top="0.39370078740157483" bottom="0.39370078740157483" header="0.31496062992125984" footer="0.31496062992125984"/>
  <pageSetup paperSize="9" scale="49" fitToHeight="2" orientation="portrait" r:id="rId2"/>
  <headerFooter alignWithMargins="0">
    <oddFooter>&amp;R&amp;P - &amp;N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>
  <sheetPr codeName="Plan33"/>
  <dimension ref="A1:M53"/>
  <sheetViews>
    <sheetView view="pageBreakPreview" zoomScale="70" zoomScaleSheetLayoutView="70" workbookViewId="0">
      <selection sqref="A1:E3"/>
    </sheetView>
  </sheetViews>
  <sheetFormatPr defaultRowHeight="15"/>
  <cols>
    <col min="1" max="1" width="20.140625" style="89" customWidth="1"/>
    <col min="2" max="2" width="112.5703125" style="83" customWidth="1"/>
    <col min="3" max="3" width="18.5703125" style="90" bestFit="1" customWidth="1"/>
    <col min="4" max="4" width="17.5703125" style="83" customWidth="1"/>
    <col min="5" max="5" width="28.42578125" style="91" customWidth="1"/>
    <col min="6" max="6" width="25.5703125" style="83" customWidth="1"/>
    <col min="7" max="7" width="22.140625" style="89" customWidth="1"/>
    <col min="8" max="8" width="23.85546875" style="83" bestFit="1" customWidth="1"/>
    <col min="9" max="9" width="24.85546875" style="83" bestFit="1" customWidth="1"/>
    <col min="10" max="10" width="18.5703125" style="83" customWidth="1"/>
    <col min="11" max="11" width="19.42578125" style="83" bestFit="1" customWidth="1"/>
    <col min="12" max="16384" width="9.140625" style="83"/>
  </cols>
  <sheetData>
    <row r="1" spans="1:13">
      <c r="A1" s="527" t="s">
        <v>687</v>
      </c>
      <c r="B1" s="528"/>
      <c r="C1" s="528"/>
      <c r="D1" s="528"/>
      <c r="E1" s="529"/>
      <c r="F1" s="536" t="s">
        <v>688</v>
      </c>
      <c r="G1" s="537"/>
      <c r="H1" s="537"/>
    </row>
    <row r="2" spans="1:13">
      <c r="A2" s="530"/>
      <c r="B2" s="531"/>
      <c r="C2" s="531"/>
      <c r="D2" s="531"/>
      <c r="E2" s="532"/>
      <c r="F2" s="84" t="str">
        <f>F5</f>
        <v>CUSTOS</v>
      </c>
      <c r="G2" s="85"/>
      <c r="H2" s="86">
        <f>I7</f>
        <v>20.5</v>
      </c>
      <c r="I2" s="87" t="s">
        <v>689</v>
      </c>
      <c r="J2" s="87" t="s">
        <v>690</v>
      </c>
      <c r="K2" s="87" t="s">
        <v>659</v>
      </c>
    </row>
    <row r="3" spans="1:13" ht="15.75" thickBot="1">
      <c r="A3" s="533"/>
      <c r="B3" s="534"/>
      <c r="C3" s="534"/>
      <c r="D3" s="534"/>
      <c r="E3" s="535"/>
      <c r="F3" s="84" t="str">
        <f>F9</f>
        <v>NF-E</v>
      </c>
      <c r="G3" s="85"/>
      <c r="H3" s="86">
        <f>H14</f>
        <v>551.96249999999998</v>
      </c>
      <c r="I3" s="88">
        <f>SUM(H2:H3)</f>
        <v>572.46249999999998</v>
      </c>
      <c r="J3" s="88">
        <f>E12</f>
        <v>8975</v>
      </c>
      <c r="K3" s="88">
        <f>J3-I3</f>
        <v>8402.5375000000004</v>
      </c>
    </row>
    <row r="4" spans="1:13" ht="15.75" thickBot="1"/>
    <row r="5" spans="1:13" ht="27.75" customHeight="1" thickBot="1">
      <c r="A5" s="538" t="s">
        <v>691</v>
      </c>
      <c r="B5" s="539"/>
      <c r="C5" s="539"/>
      <c r="D5" s="539"/>
      <c r="E5" s="540"/>
      <c r="F5" s="537" t="s">
        <v>692</v>
      </c>
      <c r="G5" s="537"/>
      <c r="H5" s="537"/>
    </row>
    <row r="6" spans="1:13" ht="15.75" thickBot="1">
      <c r="F6" s="92" t="s">
        <v>36</v>
      </c>
      <c r="G6" s="93">
        <v>14</v>
      </c>
      <c r="H6" s="93">
        <v>16</v>
      </c>
    </row>
    <row r="7" spans="1:13" ht="21" customHeight="1">
      <c r="A7" s="401" t="s">
        <v>693</v>
      </c>
      <c r="B7" s="369" t="s">
        <v>62</v>
      </c>
      <c r="C7" s="541" t="s">
        <v>694</v>
      </c>
      <c r="D7" s="542"/>
      <c r="E7" s="545" t="s">
        <v>1495</v>
      </c>
      <c r="F7" s="93" t="s">
        <v>695</v>
      </c>
      <c r="G7" s="93"/>
      <c r="H7" s="93">
        <v>4.5</v>
      </c>
      <c r="I7" s="94">
        <f>SUM(H6:H7)</f>
        <v>20.5</v>
      </c>
    </row>
    <row r="8" spans="1:13" ht="16.5" customHeight="1" thickBot="1">
      <c r="A8" s="95"/>
      <c r="B8" s="96"/>
      <c r="C8" s="543"/>
      <c r="D8" s="544"/>
      <c r="E8" s="546"/>
    </row>
    <row r="9" spans="1:13" ht="18.75" customHeight="1" thickBot="1">
      <c r="A9" s="401" t="s">
        <v>696</v>
      </c>
      <c r="B9" s="369" t="s">
        <v>1460</v>
      </c>
      <c r="C9" s="97"/>
      <c r="D9" s="97"/>
      <c r="E9" s="98"/>
      <c r="F9" s="511" t="s">
        <v>697</v>
      </c>
      <c r="G9" s="512"/>
      <c r="H9" s="513"/>
    </row>
    <row r="10" spans="1:13" ht="21.75" customHeight="1" thickBot="1">
      <c r="A10" s="95"/>
      <c r="B10" s="96"/>
      <c r="C10" s="514" t="s">
        <v>698</v>
      </c>
      <c r="D10" s="515"/>
      <c r="E10" s="99">
        <v>41866</v>
      </c>
      <c r="F10" s="100" t="s">
        <v>699</v>
      </c>
      <c r="G10" s="101">
        <v>1.5</v>
      </c>
      <c r="H10" s="102">
        <f>$E$43/100*G10</f>
        <v>134.625</v>
      </c>
      <c r="K10" s="83" t="s">
        <v>700</v>
      </c>
    </row>
    <row r="11" spans="1:13" ht="21.75" customHeight="1" thickBot="1">
      <c r="A11" s="401" t="s">
        <v>701</v>
      </c>
      <c r="B11" s="103" t="s">
        <v>1465</v>
      </c>
      <c r="C11" s="104"/>
      <c r="D11" s="104"/>
      <c r="E11" s="105"/>
      <c r="F11" s="92" t="s">
        <v>702</v>
      </c>
      <c r="G11" s="106">
        <v>1</v>
      </c>
      <c r="H11" s="107">
        <f>$E$43/100*G11</f>
        <v>89.75</v>
      </c>
    </row>
    <row r="12" spans="1:13" ht="42.75" customHeight="1" thickBot="1">
      <c r="A12" s="95"/>
      <c r="B12" s="96"/>
      <c r="C12" s="516" t="s">
        <v>703</v>
      </c>
      <c r="D12" s="517"/>
      <c r="E12" s="108">
        <f>E47</f>
        <v>8975</v>
      </c>
      <c r="F12" s="92" t="s">
        <v>704</v>
      </c>
      <c r="G12" s="106">
        <v>3</v>
      </c>
      <c r="H12" s="107">
        <f>$E$43/100*G12</f>
        <v>269.25</v>
      </c>
    </row>
    <row r="13" spans="1:13" ht="21" customHeight="1" thickBot="1">
      <c r="A13" s="401" t="s">
        <v>705</v>
      </c>
      <c r="B13" s="370" t="s">
        <v>1459</v>
      </c>
      <c r="F13" s="92" t="s">
        <v>706</v>
      </c>
      <c r="G13" s="106">
        <v>0.65</v>
      </c>
      <c r="H13" s="107">
        <f>$E$43/100*G13</f>
        <v>58.337499999999999</v>
      </c>
    </row>
    <row r="14" spans="1:13" ht="16.5" customHeight="1">
      <c r="A14" s="95"/>
      <c r="B14" s="109"/>
      <c r="C14" s="518" t="s">
        <v>707</v>
      </c>
      <c r="D14" s="519"/>
      <c r="E14" s="520"/>
      <c r="F14" s="84"/>
      <c r="G14" s="92"/>
      <c r="H14" s="94">
        <f>SUM(H10:H13)</f>
        <v>551.96249999999998</v>
      </c>
    </row>
    <row r="15" spans="1:13" ht="16.5" customHeight="1">
      <c r="A15" s="521" t="s">
        <v>708</v>
      </c>
      <c r="B15" s="523" t="s">
        <v>1496</v>
      </c>
      <c r="C15" s="525" t="s">
        <v>709</v>
      </c>
      <c r="D15" s="526"/>
      <c r="E15" s="110">
        <f>E47</f>
        <v>8975</v>
      </c>
    </row>
    <row r="16" spans="1:13" ht="39" customHeight="1">
      <c r="A16" s="522"/>
      <c r="B16" s="524"/>
      <c r="C16" s="525" t="s">
        <v>710</v>
      </c>
      <c r="D16" s="526"/>
      <c r="E16" s="374" t="s">
        <v>711</v>
      </c>
      <c r="F16" s="111" t="s">
        <v>712</v>
      </c>
      <c r="G16" s="111" t="s">
        <v>713</v>
      </c>
      <c r="H16" s="111" t="s">
        <v>714</v>
      </c>
      <c r="I16" s="111" t="s">
        <v>712</v>
      </c>
      <c r="J16" s="111" t="s">
        <v>715</v>
      </c>
      <c r="K16" s="111" t="s">
        <v>716</v>
      </c>
      <c r="L16" s="112" t="s">
        <v>711</v>
      </c>
      <c r="M16" s="359" t="s">
        <v>1458</v>
      </c>
    </row>
    <row r="17" spans="1:12" ht="16.5" customHeight="1">
      <c r="A17" s="400"/>
      <c r="B17" s="113"/>
      <c r="C17" s="505" t="s">
        <v>717</v>
      </c>
      <c r="D17" s="506"/>
      <c r="E17" s="114" t="s">
        <v>718</v>
      </c>
      <c r="F17" s="111" t="s">
        <v>719</v>
      </c>
      <c r="G17" s="111" t="s">
        <v>720</v>
      </c>
      <c r="H17" s="111" t="s">
        <v>695</v>
      </c>
      <c r="I17" s="111" t="s">
        <v>718</v>
      </c>
      <c r="J17" s="111"/>
      <c r="K17" s="112"/>
      <c r="L17" s="112"/>
    </row>
    <row r="18" spans="1:12" ht="21.75" customHeight="1" thickBot="1">
      <c r="A18" s="401" t="s">
        <v>721</v>
      </c>
      <c r="B18" s="113" t="s">
        <v>1484</v>
      </c>
      <c r="C18" s="507" t="s">
        <v>722</v>
      </c>
      <c r="D18" s="508"/>
      <c r="E18" s="115" t="s">
        <v>725</v>
      </c>
      <c r="F18" s="116" t="s">
        <v>724</v>
      </c>
      <c r="G18" s="116" t="s">
        <v>725</v>
      </c>
      <c r="H18" s="116" t="s">
        <v>723</v>
      </c>
      <c r="I18" s="111"/>
      <c r="J18" s="111"/>
    </row>
    <row r="20" spans="1:12" s="119" customFormat="1" ht="30">
      <c r="A20" s="391" t="s">
        <v>726</v>
      </c>
      <c r="B20" s="391" t="s">
        <v>727</v>
      </c>
      <c r="C20" s="391" t="s">
        <v>728</v>
      </c>
      <c r="D20" s="391" t="s">
        <v>729</v>
      </c>
      <c r="E20" s="392" t="s">
        <v>730</v>
      </c>
      <c r="F20" s="118" t="s">
        <v>22</v>
      </c>
      <c r="G20" s="118" t="s">
        <v>48</v>
      </c>
    </row>
    <row r="21" spans="1:12" s="357" customFormat="1" ht="59.25" customHeight="1">
      <c r="A21" s="393"/>
      <c r="B21" s="394" t="s">
        <v>1497</v>
      </c>
      <c r="C21" s="393">
        <v>1</v>
      </c>
      <c r="D21" s="395">
        <v>2625</v>
      </c>
      <c r="E21" s="395">
        <f>D21*C21</f>
        <v>2625</v>
      </c>
      <c r="F21" s="356">
        <f t="shared" ref="F21:F42" si="0">E21*0.175</f>
        <v>459.37499999999994</v>
      </c>
      <c r="G21" s="113"/>
    </row>
    <row r="22" spans="1:12" s="123" customFormat="1" ht="24" customHeight="1">
      <c r="A22" s="120"/>
      <c r="B22" s="121"/>
      <c r="C22" s="113"/>
      <c r="D22" s="356"/>
      <c r="E22" s="356"/>
      <c r="F22" s="122">
        <f t="shared" si="0"/>
        <v>0</v>
      </c>
      <c r="G22" s="120"/>
    </row>
    <row r="23" spans="1:12" s="357" customFormat="1" ht="59.25" customHeight="1">
      <c r="A23" s="113"/>
      <c r="B23" s="355" t="s">
        <v>1498</v>
      </c>
      <c r="C23" s="113">
        <v>1</v>
      </c>
      <c r="D23" s="356">
        <v>1625</v>
      </c>
      <c r="E23" s="356">
        <f>D23*C23</f>
        <v>1625</v>
      </c>
      <c r="F23" s="356">
        <f>E23*0.175</f>
        <v>284.375</v>
      </c>
      <c r="G23" s="113"/>
    </row>
    <row r="24" spans="1:12" s="123" customFormat="1" ht="24" customHeight="1">
      <c r="A24" s="120"/>
      <c r="B24" s="121"/>
      <c r="C24" s="113"/>
      <c r="D24" s="356"/>
      <c r="E24" s="356"/>
      <c r="F24" s="122">
        <f t="shared" si="0"/>
        <v>0</v>
      </c>
      <c r="G24" s="120"/>
    </row>
    <row r="25" spans="1:12" s="123" customFormat="1" ht="59.25" customHeight="1">
      <c r="A25" s="120"/>
      <c r="B25" s="355" t="s">
        <v>1499</v>
      </c>
      <c r="C25" s="113">
        <v>1</v>
      </c>
      <c r="D25" s="356">
        <v>1575</v>
      </c>
      <c r="E25" s="356">
        <f>D25*C25</f>
        <v>1575</v>
      </c>
      <c r="F25" s="122">
        <f>E25*0.175</f>
        <v>275.625</v>
      </c>
      <c r="G25" s="124"/>
      <c r="H25" s="125"/>
    </row>
    <row r="26" spans="1:12" s="123" customFormat="1" ht="24" customHeight="1">
      <c r="A26" s="120"/>
      <c r="B26" s="121"/>
      <c r="C26" s="113"/>
      <c r="D26" s="356"/>
      <c r="E26" s="356"/>
      <c r="F26" s="122">
        <f t="shared" si="0"/>
        <v>0</v>
      </c>
      <c r="G26" s="120"/>
    </row>
    <row r="27" spans="1:12" s="123" customFormat="1" ht="59.25" customHeight="1">
      <c r="A27" s="120"/>
      <c r="B27" s="355" t="s">
        <v>1500</v>
      </c>
      <c r="C27" s="113">
        <v>1</v>
      </c>
      <c r="D27" s="356">
        <v>1575</v>
      </c>
      <c r="E27" s="356">
        <f>D27*C27</f>
        <v>1575</v>
      </c>
      <c r="F27" s="122">
        <f t="shared" si="0"/>
        <v>275.625</v>
      </c>
      <c r="G27" s="126"/>
      <c r="H27" s="127"/>
    </row>
    <row r="28" spans="1:12" s="123" customFormat="1" ht="24" customHeight="1">
      <c r="A28" s="120"/>
      <c r="B28" s="121"/>
      <c r="C28" s="113"/>
      <c r="D28" s="356"/>
      <c r="E28" s="356"/>
      <c r="F28" s="122">
        <f t="shared" si="0"/>
        <v>0</v>
      </c>
      <c r="G28" s="120"/>
    </row>
    <row r="29" spans="1:12" s="123" customFormat="1" ht="59.25" customHeight="1">
      <c r="A29" s="120"/>
      <c r="B29" s="355" t="s">
        <v>1501</v>
      </c>
      <c r="C29" s="113">
        <v>1</v>
      </c>
      <c r="D29" s="356">
        <v>1575</v>
      </c>
      <c r="E29" s="356">
        <f>D29*C29</f>
        <v>1575</v>
      </c>
      <c r="F29" s="122">
        <f t="shared" si="0"/>
        <v>275.625</v>
      </c>
      <c r="G29" s="120"/>
    </row>
    <row r="30" spans="1:12" s="123" customFormat="1" ht="24" customHeight="1">
      <c r="A30" s="120"/>
      <c r="B30" s="121"/>
      <c r="C30" s="113"/>
      <c r="D30" s="356"/>
      <c r="E30" s="356"/>
      <c r="F30" s="122">
        <f t="shared" si="0"/>
        <v>0</v>
      </c>
      <c r="G30" s="120"/>
    </row>
    <row r="31" spans="1:12" s="123" customFormat="1" ht="59.25" customHeight="1">
      <c r="A31" s="120"/>
      <c r="B31" s="355"/>
      <c r="C31" s="113"/>
      <c r="D31" s="356"/>
      <c r="E31" s="356">
        <f>D31*C31</f>
        <v>0</v>
      </c>
      <c r="F31" s="122">
        <f t="shared" si="0"/>
        <v>0</v>
      </c>
      <c r="G31" s="120"/>
    </row>
    <row r="32" spans="1:12" s="123" customFormat="1" ht="24" customHeight="1">
      <c r="A32" s="120"/>
      <c r="B32" s="121"/>
      <c r="C32" s="113"/>
      <c r="D32" s="356"/>
      <c r="E32" s="356"/>
      <c r="F32" s="122">
        <f t="shared" si="0"/>
        <v>0</v>
      </c>
      <c r="G32" s="120"/>
    </row>
    <row r="33" spans="1:8" s="123" customFormat="1" ht="59.25" customHeight="1">
      <c r="A33" s="120"/>
      <c r="B33" s="355"/>
      <c r="C33" s="113"/>
      <c r="D33" s="356"/>
      <c r="E33" s="356">
        <f>D33*C33</f>
        <v>0</v>
      </c>
      <c r="F33" s="122">
        <f t="shared" si="0"/>
        <v>0</v>
      </c>
      <c r="G33" s="120"/>
    </row>
    <row r="34" spans="1:8" s="123" customFormat="1" ht="24" customHeight="1">
      <c r="A34" s="120"/>
      <c r="B34" s="121"/>
      <c r="C34" s="113"/>
      <c r="D34" s="356"/>
      <c r="E34" s="356"/>
      <c r="F34" s="122">
        <f t="shared" si="0"/>
        <v>0</v>
      </c>
      <c r="G34" s="120"/>
    </row>
    <row r="35" spans="1:8" s="123" customFormat="1" ht="59.25" customHeight="1">
      <c r="A35" s="120"/>
      <c r="B35" s="355"/>
      <c r="C35" s="113"/>
      <c r="D35" s="356"/>
      <c r="E35" s="356">
        <f>D35*C35</f>
        <v>0</v>
      </c>
      <c r="F35" s="122">
        <f t="shared" si="0"/>
        <v>0</v>
      </c>
      <c r="G35" s="120"/>
    </row>
    <row r="36" spans="1:8" s="123" customFormat="1" ht="24" customHeight="1">
      <c r="A36" s="120"/>
      <c r="B36" s="121"/>
      <c r="C36" s="113"/>
      <c r="D36" s="356"/>
      <c r="E36" s="356"/>
      <c r="F36" s="122">
        <f t="shared" si="0"/>
        <v>0</v>
      </c>
      <c r="G36" s="120"/>
    </row>
    <row r="37" spans="1:8" s="123" customFormat="1" ht="59.25" customHeight="1">
      <c r="A37" s="120"/>
      <c r="B37" s="355"/>
      <c r="C37" s="113"/>
      <c r="D37" s="356"/>
      <c r="E37" s="356">
        <f>D37*C37</f>
        <v>0</v>
      </c>
      <c r="F37" s="122">
        <f t="shared" si="0"/>
        <v>0</v>
      </c>
      <c r="G37" s="120"/>
    </row>
    <row r="38" spans="1:8" s="123" customFormat="1" ht="24" customHeight="1">
      <c r="A38" s="120"/>
      <c r="B38" s="121"/>
      <c r="C38" s="113"/>
      <c r="D38" s="356"/>
      <c r="E38" s="356"/>
      <c r="F38" s="122">
        <f t="shared" si="0"/>
        <v>0</v>
      </c>
      <c r="G38" s="120"/>
    </row>
    <row r="39" spans="1:8" s="123" customFormat="1" ht="59.25" customHeight="1">
      <c r="A39" s="120"/>
      <c r="B39" s="355"/>
      <c r="C39" s="113"/>
      <c r="D39" s="356"/>
      <c r="E39" s="356">
        <f>D39*C39</f>
        <v>0</v>
      </c>
      <c r="F39" s="122">
        <f t="shared" si="0"/>
        <v>0</v>
      </c>
      <c r="G39" s="120"/>
    </row>
    <row r="40" spans="1:8" s="123" customFormat="1" ht="24" customHeight="1">
      <c r="A40" s="120"/>
      <c r="B40" s="121"/>
      <c r="C40" s="113"/>
      <c r="D40" s="356"/>
      <c r="E40" s="356"/>
      <c r="F40" s="122">
        <f t="shared" si="0"/>
        <v>0</v>
      </c>
      <c r="G40" s="120"/>
    </row>
    <row r="41" spans="1:8" s="123" customFormat="1" ht="59.25" customHeight="1">
      <c r="A41" s="120"/>
      <c r="B41" s="355"/>
      <c r="C41" s="360"/>
      <c r="D41" s="356"/>
      <c r="E41" s="356">
        <f>D41*C41</f>
        <v>0</v>
      </c>
      <c r="F41" s="122">
        <f t="shared" si="0"/>
        <v>0</v>
      </c>
      <c r="G41" s="120"/>
    </row>
    <row r="42" spans="1:8" s="123" customFormat="1" ht="24" customHeight="1" thickBot="1">
      <c r="A42" s="120"/>
      <c r="B42" s="121"/>
      <c r="C42" s="113"/>
      <c r="D42" s="356"/>
      <c r="E42" s="356"/>
      <c r="F42" s="122">
        <f t="shared" si="0"/>
        <v>0</v>
      </c>
      <c r="G42" s="120"/>
    </row>
    <row r="43" spans="1:8" ht="48.75" customHeight="1" thickBot="1">
      <c r="B43" s="363" t="s">
        <v>703</v>
      </c>
      <c r="C43" s="364"/>
      <c r="D43" s="365"/>
      <c r="E43" s="132">
        <f>SUM(E21:E42)</f>
        <v>8975</v>
      </c>
      <c r="F43" s="132">
        <f>E43*0.175</f>
        <v>1570.625</v>
      </c>
      <c r="G43" s="132">
        <f>E43-F43</f>
        <v>7404.375</v>
      </c>
      <c r="H43" s="133"/>
    </row>
    <row r="44" spans="1:8" ht="15.75" thickBot="1"/>
    <row r="45" spans="1:8" ht="48.75" customHeight="1" thickBot="1">
      <c r="B45" s="368" t="s">
        <v>1463</v>
      </c>
      <c r="C45" s="509">
        <v>0</v>
      </c>
      <c r="D45" s="510"/>
      <c r="E45" s="132">
        <f>E43*C45</f>
        <v>0</v>
      </c>
      <c r="F45" s="132"/>
      <c r="G45" s="132"/>
      <c r="H45" s="133"/>
    </row>
    <row r="46" spans="1:8" ht="15.75" thickBot="1"/>
    <row r="47" spans="1:8" ht="48.75" customHeight="1" thickBot="1">
      <c r="B47" s="363" t="s">
        <v>1464</v>
      </c>
      <c r="C47" s="366"/>
      <c r="D47" s="399"/>
      <c r="E47" s="132">
        <f>E43-E45</f>
        <v>8975</v>
      </c>
      <c r="F47" s="132">
        <f>E47*0.175</f>
        <v>1570.625</v>
      </c>
      <c r="G47" s="132">
        <f>E47-F47</f>
        <v>7404.375</v>
      </c>
      <c r="H47" s="133"/>
    </row>
    <row r="48" spans="1:8" s="139" customFormat="1" ht="48.75" customHeight="1">
      <c r="A48" s="134" t="s">
        <v>33</v>
      </c>
      <c r="B48" s="135" t="s">
        <v>731</v>
      </c>
      <c r="C48" s="136"/>
      <c r="D48" s="137"/>
      <c r="E48" s="138"/>
      <c r="G48" s="140"/>
    </row>
    <row r="49" spans="1:7" s="139" customFormat="1" ht="15.75">
      <c r="A49" s="136"/>
      <c r="B49" s="141"/>
      <c r="C49" s="142"/>
      <c r="E49" s="143"/>
      <c r="G49" s="140"/>
    </row>
    <row r="50" spans="1:7" s="139" customFormat="1" ht="48.75" customHeight="1">
      <c r="A50" s="134" t="s">
        <v>732</v>
      </c>
      <c r="B50" s="144"/>
      <c r="C50" s="136"/>
      <c r="D50" s="137"/>
      <c r="E50" s="138"/>
      <c r="G50" s="140"/>
    </row>
    <row r="53" spans="1:7">
      <c r="B53" s="145"/>
    </row>
  </sheetData>
  <mergeCells count="17">
    <mergeCell ref="F1:H1"/>
    <mergeCell ref="A5:E5"/>
    <mergeCell ref="F5:H5"/>
    <mergeCell ref="C7:D8"/>
    <mergeCell ref="E7:E8"/>
    <mergeCell ref="A15:A16"/>
    <mergeCell ref="B15:B16"/>
    <mergeCell ref="C15:D15"/>
    <mergeCell ref="C16:D16"/>
    <mergeCell ref="A1:E3"/>
    <mergeCell ref="C17:D17"/>
    <mergeCell ref="C18:D18"/>
    <mergeCell ref="C45:D45"/>
    <mergeCell ref="F9:H9"/>
    <mergeCell ref="C10:D10"/>
    <mergeCell ref="C12:D12"/>
    <mergeCell ref="C14:E14"/>
  </mergeCells>
  <dataValidations count="3">
    <dataValidation type="list" allowBlank="1" sqref="E17">
      <formula1>$F$17:$I$17</formula1>
    </dataValidation>
    <dataValidation type="list" allowBlank="1" sqref="E16">
      <formula1>$F$16:$M$16</formula1>
    </dataValidation>
    <dataValidation type="list" allowBlank="1" sqref="E18">
      <formula1>$F$18:$H$18</formula1>
    </dataValidation>
  </dataValidations>
  <hyperlinks>
    <hyperlink ref="B13" r:id="rId1"/>
  </hyperlinks>
  <printOptions horizontalCentered="1"/>
  <pageMargins left="0.28000000000000003" right="0.35" top="0.39370078740157483" bottom="0.39370078740157483" header="0.31496062992125984" footer="0.31496062992125984"/>
  <pageSetup paperSize="9" scale="49" fitToHeight="2" orientation="portrait" r:id="rId2"/>
  <headerFooter alignWithMargins="0">
    <oddFooter>&amp;R&amp;P - &amp;N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>
  <sheetPr codeName="Plan34"/>
  <dimension ref="A1:M53"/>
  <sheetViews>
    <sheetView view="pageBreakPreview" zoomScale="70" zoomScaleSheetLayoutView="70" workbookViewId="0">
      <selection sqref="A1:E3"/>
    </sheetView>
  </sheetViews>
  <sheetFormatPr defaultRowHeight="15"/>
  <cols>
    <col min="1" max="1" width="20.140625" style="89" customWidth="1"/>
    <col min="2" max="2" width="112.5703125" style="83" customWidth="1"/>
    <col min="3" max="3" width="18.5703125" style="90" bestFit="1" customWidth="1"/>
    <col min="4" max="4" width="17.5703125" style="83" customWidth="1"/>
    <col min="5" max="5" width="28.42578125" style="91" customWidth="1"/>
    <col min="6" max="6" width="25.5703125" style="83" customWidth="1"/>
    <col min="7" max="7" width="22.140625" style="89" customWidth="1"/>
    <col min="8" max="8" width="23.85546875" style="83" bestFit="1" customWidth="1"/>
    <col min="9" max="9" width="24.85546875" style="83" bestFit="1" customWidth="1"/>
    <col min="10" max="10" width="18.5703125" style="83" customWidth="1"/>
    <col min="11" max="11" width="19.42578125" style="83" bestFit="1" customWidth="1"/>
    <col min="12" max="16384" width="9.140625" style="83"/>
  </cols>
  <sheetData>
    <row r="1" spans="1:13">
      <c r="A1" s="527" t="s">
        <v>687</v>
      </c>
      <c r="B1" s="528"/>
      <c r="C1" s="528"/>
      <c r="D1" s="528"/>
      <c r="E1" s="529"/>
      <c r="F1" s="536" t="s">
        <v>688</v>
      </c>
      <c r="G1" s="537"/>
      <c r="H1" s="537"/>
    </row>
    <row r="2" spans="1:13">
      <c r="A2" s="530"/>
      <c r="B2" s="531"/>
      <c r="C2" s="531"/>
      <c r="D2" s="531"/>
      <c r="E2" s="532"/>
      <c r="F2" s="84" t="str">
        <f>F5</f>
        <v>CUSTOS</v>
      </c>
      <c r="G2" s="85"/>
      <c r="H2" s="86">
        <f>I7</f>
        <v>20.5</v>
      </c>
      <c r="I2" s="87" t="s">
        <v>689</v>
      </c>
      <c r="J2" s="87" t="s">
        <v>690</v>
      </c>
      <c r="K2" s="87" t="s">
        <v>659</v>
      </c>
    </row>
    <row r="3" spans="1:13" ht="15.75" thickBot="1">
      <c r="A3" s="533"/>
      <c r="B3" s="534"/>
      <c r="C3" s="534"/>
      <c r="D3" s="534"/>
      <c r="E3" s="535"/>
      <c r="F3" s="84" t="str">
        <f>F9</f>
        <v>NF-E</v>
      </c>
      <c r="G3" s="85"/>
      <c r="H3" s="86">
        <f>H14</f>
        <v>991.6875</v>
      </c>
      <c r="I3" s="88">
        <f>SUM(H2:H3)</f>
        <v>1012.1875</v>
      </c>
      <c r="J3" s="88">
        <f>E12</f>
        <v>16125</v>
      </c>
      <c r="K3" s="88">
        <f>J3-I3</f>
        <v>15112.8125</v>
      </c>
    </row>
    <row r="4" spans="1:13" ht="15.75" thickBot="1"/>
    <row r="5" spans="1:13" ht="27.75" customHeight="1" thickBot="1">
      <c r="A5" s="538" t="s">
        <v>691</v>
      </c>
      <c r="B5" s="539"/>
      <c r="C5" s="539"/>
      <c r="D5" s="539"/>
      <c r="E5" s="540"/>
      <c r="F5" s="537" t="s">
        <v>692</v>
      </c>
      <c r="G5" s="537"/>
      <c r="H5" s="537"/>
    </row>
    <row r="6" spans="1:13" ht="15.75" thickBot="1">
      <c r="F6" s="92" t="s">
        <v>36</v>
      </c>
      <c r="G6" s="93">
        <v>14</v>
      </c>
      <c r="H6" s="93">
        <v>16</v>
      </c>
    </row>
    <row r="7" spans="1:13" ht="21" customHeight="1">
      <c r="A7" s="401" t="s">
        <v>693</v>
      </c>
      <c r="B7" s="369" t="s">
        <v>62</v>
      </c>
      <c r="C7" s="541" t="s">
        <v>694</v>
      </c>
      <c r="D7" s="542"/>
      <c r="E7" s="545" t="s">
        <v>1502</v>
      </c>
      <c r="F7" s="93" t="s">
        <v>695</v>
      </c>
      <c r="G7" s="93"/>
      <c r="H7" s="93">
        <v>4.5</v>
      </c>
      <c r="I7" s="94">
        <f>SUM(H6:H7)</f>
        <v>20.5</v>
      </c>
    </row>
    <row r="8" spans="1:13" ht="16.5" customHeight="1" thickBot="1">
      <c r="A8" s="95"/>
      <c r="B8" s="96"/>
      <c r="C8" s="543"/>
      <c r="D8" s="544"/>
      <c r="E8" s="546"/>
    </row>
    <row r="9" spans="1:13" ht="18.75" customHeight="1" thickBot="1">
      <c r="A9" s="401" t="s">
        <v>696</v>
      </c>
      <c r="B9" s="369" t="s">
        <v>1460</v>
      </c>
      <c r="C9" s="97"/>
      <c r="D9" s="97"/>
      <c r="E9" s="98"/>
      <c r="F9" s="511" t="s">
        <v>697</v>
      </c>
      <c r="G9" s="512"/>
      <c r="H9" s="513"/>
    </row>
    <row r="10" spans="1:13" ht="21.75" customHeight="1" thickBot="1">
      <c r="A10" s="95"/>
      <c r="B10" s="96"/>
      <c r="C10" s="514" t="s">
        <v>698</v>
      </c>
      <c r="D10" s="515"/>
      <c r="E10" s="99">
        <v>41866</v>
      </c>
      <c r="F10" s="100" t="s">
        <v>699</v>
      </c>
      <c r="G10" s="101">
        <v>1.5</v>
      </c>
      <c r="H10" s="102">
        <f>$E$43/100*G10</f>
        <v>241.875</v>
      </c>
      <c r="K10" s="83" t="s">
        <v>700</v>
      </c>
    </row>
    <row r="11" spans="1:13" ht="21.75" customHeight="1" thickBot="1">
      <c r="A11" s="401" t="s">
        <v>701</v>
      </c>
      <c r="B11" s="103" t="s">
        <v>1465</v>
      </c>
      <c r="C11" s="104"/>
      <c r="D11" s="104"/>
      <c r="E11" s="105"/>
      <c r="F11" s="92" t="s">
        <v>702</v>
      </c>
      <c r="G11" s="106">
        <v>1</v>
      </c>
      <c r="H11" s="107">
        <f>$E$43/100*G11</f>
        <v>161.25</v>
      </c>
    </row>
    <row r="12" spans="1:13" ht="42.75" customHeight="1" thickBot="1">
      <c r="A12" s="95"/>
      <c r="B12" s="96"/>
      <c r="C12" s="516" t="s">
        <v>703</v>
      </c>
      <c r="D12" s="517"/>
      <c r="E12" s="108">
        <f>E47</f>
        <v>16125</v>
      </c>
      <c r="F12" s="92" t="s">
        <v>704</v>
      </c>
      <c r="G12" s="106">
        <v>3</v>
      </c>
      <c r="H12" s="107">
        <f>$E$43/100*G12</f>
        <v>483.75</v>
      </c>
    </row>
    <row r="13" spans="1:13" ht="21" customHeight="1" thickBot="1">
      <c r="A13" s="401" t="s">
        <v>705</v>
      </c>
      <c r="B13" s="370" t="s">
        <v>1459</v>
      </c>
      <c r="F13" s="92" t="s">
        <v>706</v>
      </c>
      <c r="G13" s="106">
        <v>0.65</v>
      </c>
      <c r="H13" s="107">
        <f>$E$43/100*G13</f>
        <v>104.8125</v>
      </c>
    </row>
    <row r="14" spans="1:13" ht="16.5" customHeight="1">
      <c r="A14" s="95"/>
      <c r="B14" s="109"/>
      <c r="C14" s="518" t="s">
        <v>707</v>
      </c>
      <c r="D14" s="519"/>
      <c r="E14" s="520"/>
      <c r="F14" s="84"/>
      <c r="G14" s="92"/>
      <c r="H14" s="94">
        <f>SUM(H10:H13)</f>
        <v>991.6875</v>
      </c>
    </row>
    <row r="15" spans="1:13" ht="16.5" customHeight="1">
      <c r="A15" s="521" t="s">
        <v>708</v>
      </c>
      <c r="B15" s="523" t="s">
        <v>1503</v>
      </c>
      <c r="C15" s="525" t="s">
        <v>709</v>
      </c>
      <c r="D15" s="526"/>
      <c r="E15" s="110">
        <f>E47</f>
        <v>16125</v>
      </c>
    </row>
    <row r="16" spans="1:13" ht="39" customHeight="1">
      <c r="A16" s="522"/>
      <c r="B16" s="524"/>
      <c r="C16" s="525" t="s">
        <v>710</v>
      </c>
      <c r="D16" s="526"/>
      <c r="E16" s="374" t="s">
        <v>711</v>
      </c>
      <c r="F16" s="111" t="s">
        <v>712</v>
      </c>
      <c r="G16" s="111" t="s">
        <v>713</v>
      </c>
      <c r="H16" s="111" t="s">
        <v>714</v>
      </c>
      <c r="I16" s="111" t="s">
        <v>712</v>
      </c>
      <c r="J16" s="111" t="s">
        <v>715</v>
      </c>
      <c r="K16" s="111" t="s">
        <v>716</v>
      </c>
      <c r="L16" s="112" t="s">
        <v>711</v>
      </c>
      <c r="M16" s="359" t="s">
        <v>1458</v>
      </c>
    </row>
    <row r="17" spans="1:12" ht="16.5" customHeight="1">
      <c r="A17" s="400"/>
      <c r="B17" s="113"/>
      <c r="C17" s="505" t="s">
        <v>717</v>
      </c>
      <c r="D17" s="506"/>
      <c r="E17" s="114" t="s">
        <v>718</v>
      </c>
      <c r="F17" s="111" t="s">
        <v>719</v>
      </c>
      <c r="G17" s="111" t="s">
        <v>720</v>
      </c>
      <c r="H17" s="111" t="s">
        <v>695</v>
      </c>
      <c r="I17" s="111" t="s">
        <v>718</v>
      </c>
      <c r="J17" s="111"/>
      <c r="K17" s="112"/>
      <c r="L17" s="112"/>
    </row>
    <row r="18" spans="1:12" ht="21.75" customHeight="1" thickBot="1">
      <c r="A18" s="401" t="s">
        <v>721</v>
      </c>
      <c r="B18" s="113" t="s">
        <v>1484</v>
      </c>
      <c r="C18" s="507" t="s">
        <v>722</v>
      </c>
      <c r="D18" s="508"/>
      <c r="E18" s="115" t="s">
        <v>725</v>
      </c>
      <c r="F18" s="116" t="s">
        <v>724</v>
      </c>
      <c r="G18" s="116" t="s">
        <v>725</v>
      </c>
      <c r="H18" s="116" t="s">
        <v>723</v>
      </c>
      <c r="I18" s="111"/>
      <c r="J18" s="111"/>
    </row>
    <row r="20" spans="1:12" s="119" customFormat="1" ht="30">
      <c r="A20" s="391" t="s">
        <v>726</v>
      </c>
      <c r="B20" s="391" t="s">
        <v>727</v>
      </c>
      <c r="C20" s="391" t="s">
        <v>728</v>
      </c>
      <c r="D20" s="391" t="s">
        <v>729</v>
      </c>
      <c r="E20" s="392" t="s">
        <v>730</v>
      </c>
      <c r="F20" s="118" t="s">
        <v>22</v>
      </c>
      <c r="G20" s="118" t="s">
        <v>48</v>
      </c>
    </row>
    <row r="21" spans="1:12" s="357" customFormat="1" ht="59.25" customHeight="1">
      <c r="A21" s="393"/>
      <c r="B21" s="394" t="s">
        <v>1504</v>
      </c>
      <c r="C21" s="393">
        <v>1</v>
      </c>
      <c r="D21" s="395">
        <v>3000</v>
      </c>
      <c r="E21" s="395">
        <f>D21*C21</f>
        <v>3000</v>
      </c>
      <c r="F21" s="356">
        <f t="shared" ref="F21:F42" si="0">E21*0.175</f>
        <v>525</v>
      </c>
      <c r="G21" s="113"/>
    </row>
    <row r="22" spans="1:12" s="123" customFormat="1" ht="24" customHeight="1">
      <c r="A22" s="120"/>
      <c r="B22" s="121"/>
      <c r="C22" s="113"/>
      <c r="D22" s="356"/>
      <c r="E22" s="356"/>
      <c r="F22" s="122">
        <f t="shared" si="0"/>
        <v>0</v>
      </c>
      <c r="G22" s="120"/>
    </row>
    <row r="23" spans="1:12" s="357" customFormat="1" ht="59.25" customHeight="1">
      <c r="A23" s="113"/>
      <c r="B23" s="355" t="s">
        <v>1505</v>
      </c>
      <c r="C23" s="113">
        <v>1</v>
      </c>
      <c r="D23" s="356">
        <v>7875</v>
      </c>
      <c r="E23" s="356">
        <f>D23*C23</f>
        <v>7875</v>
      </c>
      <c r="F23" s="356">
        <f>E23*0.175</f>
        <v>1378.125</v>
      </c>
      <c r="G23" s="113"/>
    </row>
    <row r="24" spans="1:12" s="123" customFormat="1" ht="24" customHeight="1">
      <c r="A24" s="120"/>
      <c r="B24" s="121"/>
      <c r="C24" s="113"/>
      <c r="D24" s="356"/>
      <c r="E24" s="356"/>
      <c r="F24" s="122">
        <f t="shared" si="0"/>
        <v>0</v>
      </c>
      <c r="G24" s="120"/>
    </row>
    <row r="25" spans="1:12" s="123" customFormat="1" ht="59.25" customHeight="1">
      <c r="A25" s="120"/>
      <c r="B25" s="355" t="s">
        <v>1506</v>
      </c>
      <c r="C25" s="113">
        <v>1</v>
      </c>
      <c r="D25" s="356">
        <v>3850</v>
      </c>
      <c r="E25" s="356">
        <f>D25*C25</f>
        <v>3850</v>
      </c>
      <c r="F25" s="122">
        <f>E25*0.175</f>
        <v>673.75</v>
      </c>
      <c r="G25" s="124"/>
      <c r="H25" s="125"/>
    </row>
    <row r="26" spans="1:12" s="123" customFormat="1" ht="24" customHeight="1">
      <c r="A26" s="120"/>
      <c r="B26" s="121"/>
      <c r="C26" s="113"/>
      <c r="D26" s="356"/>
      <c r="E26" s="356"/>
      <c r="F26" s="122">
        <f t="shared" si="0"/>
        <v>0</v>
      </c>
      <c r="G26" s="120"/>
    </row>
    <row r="27" spans="1:12" s="123" customFormat="1" ht="59.25" customHeight="1">
      <c r="A27" s="120"/>
      <c r="B27" s="355" t="s">
        <v>1507</v>
      </c>
      <c r="C27" s="113">
        <v>1</v>
      </c>
      <c r="D27" s="356">
        <v>1400</v>
      </c>
      <c r="E27" s="356">
        <f>D27*C27</f>
        <v>1400</v>
      </c>
      <c r="F27" s="122">
        <f t="shared" si="0"/>
        <v>244.99999999999997</v>
      </c>
      <c r="G27" s="126"/>
      <c r="H27" s="127"/>
    </row>
    <row r="28" spans="1:12" s="123" customFormat="1" ht="24" customHeight="1">
      <c r="A28" s="120"/>
      <c r="B28" s="121"/>
      <c r="C28" s="113"/>
      <c r="D28" s="356"/>
      <c r="E28" s="356"/>
      <c r="F28" s="122">
        <f t="shared" si="0"/>
        <v>0</v>
      </c>
      <c r="G28" s="120"/>
    </row>
    <row r="29" spans="1:12" s="123" customFormat="1" ht="59.25" customHeight="1">
      <c r="A29" s="120"/>
      <c r="B29" s="355"/>
      <c r="C29" s="113">
        <v>1</v>
      </c>
      <c r="D29" s="356"/>
      <c r="E29" s="356">
        <f>D29*C29</f>
        <v>0</v>
      </c>
      <c r="F29" s="122">
        <f t="shared" si="0"/>
        <v>0</v>
      </c>
      <c r="G29" s="120"/>
    </row>
    <row r="30" spans="1:12" s="123" customFormat="1" ht="24" customHeight="1">
      <c r="A30" s="120"/>
      <c r="B30" s="121"/>
      <c r="C30" s="113"/>
      <c r="D30" s="356"/>
      <c r="E30" s="356"/>
      <c r="F30" s="122">
        <f t="shared" si="0"/>
        <v>0</v>
      </c>
      <c r="G30" s="120"/>
    </row>
    <row r="31" spans="1:12" s="123" customFormat="1" ht="59.25" customHeight="1">
      <c r="A31" s="120"/>
      <c r="B31" s="355"/>
      <c r="C31" s="113"/>
      <c r="D31" s="356"/>
      <c r="E31" s="356">
        <f>D31*C31</f>
        <v>0</v>
      </c>
      <c r="F31" s="122">
        <f t="shared" si="0"/>
        <v>0</v>
      </c>
      <c r="G31" s="120"/>
    </row>
    <row r="32" spans="1:12" s="123" customFormat="1" ht="24" customHeight="1">
      <c r="A32" s="120"/>
      <c r="B32" s="121"/>
      <c r="C32" s="113"/>
      <c r="D32" s="356"/>
      <c r="E32" s="356"/>
      <c r="F32" s="122">
        <f t="shared" si="0"/>
        <v>0</v>
      </c>
      <c r="G32" s="120"/>
    </row>
    <row r="33" spans="1:8" s="123" customFormat="1" ht="59.25" customHeight="1">
      <c r="A33" s="120"/>
      <c r="B33" s="355"/>
      <c r="C33" s="113"/>
      <c r="D33" s="356"/>
      <c r="E33" s="356">
        <f>D33*C33</f>
        <v>0</v>
      </c>
      <c r="F33" s="122">
        <f t="shared" si="0"/>
        <v>0</v>
      </c>
      <c r="G33" s="120"/>
    </row>
    <row r="34" spans="1:8" s="123" customFormat="1" ht="24" customHeight="1">
      <c r="A34" s="120"/>
      <c r="B34" s="121"/>
      <c r="C34" s="113"/>
      <c r="D34" s="356"/>
      <c r="E34" s="356"/>
      <c r="F34" s="122">
        <f t="shared" si="0"/>
        <v>0</v>
      </c>
      <c r="G34" s="120"/>
    </row>
    <row r="35" spans="1:8" s="123" customFormat="1" ht="59.25" customHeight="1">
      <c r="A35" s="120"/>
      <c r="B35" s="355"/>
      <c r="C35" s="113"/>
      <c r="D35" s="356"/>
      <c r="E35" s="356">
        <f>D35*C35</f>
        <v>0</v>
      </c>
      <c r="F35" s="122">
        <f t="shared" si="0"/>
        <v>0</v>
      </c>
      <c r="G35" s="120"/>
    </row>
    <row r="36" spans="1:8" s="123" customFormat="1" ht="24" customHeight="1">
      <c r="A36" s="120"/>
      <c r="B36" s="121"/>
      <c r="C36" s="113"/>
      <c r="D36" s="356"/>
      <c r="E36" s="356"/>
      <c r="F36" s="122">
        <f t="shared" si="0"/>
        <v>0</v>
      </c>
      <c r="G36" s="120"/>
    </row>
    <row r="37" spans="1:8" s="123" customFormat="1" ht="59.25" customHeight="1">
      <c r="A37" s="120"/>
      <c r="B37" s="355"/>
      <c r="C37" s="113"/>
      <c r="D37" s="356"/>
      <c r="E37" s="356">
        <f>D37*C37</f>
        <v>0</v>
      </c>
      <c r="F37" s="122">
        <f t="shared" si="0"/>
        <v>0</v>
      </c>
      <c r="G37" s="120"/>
    </row>
    <row r="38" spans="1:8" s="123" customFormat="1" ht="24" customHeight="1">
      <c r="A38" s="120"/>
      <c r="B38" s="121"/>
      <c r="C38" s="113"/>
      <c r="D38" s="356"/>
      <c r="E38" s="356"/>
      <c r="F38" s="122">
        <f t="shared" si="0"/>
        <v>0</v>
      </c>
      <c r="G38" s="120"/>
    </row>
    <row r="39" spans="1:8" s="123" customFormat="1" ht="59.25" customHeight="1">
      <c r="A39" s="120"/>
      <c r="B39" s="355"/>
      <c r="C39" s="113"/>
      <c r="D39" s="356"/>
      <c r="E39" s="356">
        <f>D39*C39</f>
        <v>0</v>
      </c>
      <c r="F39" s="122">
        <f t="shared" si="0"/>
        <v>0</v>
      </c>
      <c r="G39" s="120"/>
    </row>
    <row r="40" spans="1:8" s="123" customFormat="1" ht="24" customHeight="1">
      <c r="A40" s="120"/>
      <c r="B40" s="121"/>
      <c r="C40" s="113"/>
      <c r="D40" s="356"/>
      <c r="E40" s="356"/>
      <c r="F40" s="122">
        <f t="shared" si="0"/>
        <v>0</v>
      </c>
      <c r="G40" s="120"/>
    </row>
    <row r="41" spans="1:8" s="123" customFormat="1" ht="59.25" customHeight="1">
      <c r="A41" s="120"/>
      <c r="B41" s="355"/>
      <c r="C41" s="360"/>
      <c r="D41" s="356"/>
      <c r="E41" s="356">
        <f>D41*C41</f>
        <v>0</v>
      </c>
      <c r="F41" s="122">
        <f t="shared" si="0"/>
        <v>0</v>
      </c>
      <c r="G41" s="120"/>
    </row>
    <row r="42" spans="1:8" s="123" customFormat="1" ht="24" customHeight="1" thickBot="1">
      <c r="A42" s="120"/>
      <c r="B42" s="121"/>
      <c r="C42" s="113"/>
      <c r="D42" s="356"/>
      <c r="E42" s="356"/>
      <c r="F42" s="122">
        <f t="shared" si="0"/>
        <v>0</v>
      </c>
      <c r="G42" s="120"/>
    </row>
    <row r="43" spans="1:8" ht="48.75" customHeight="1" thickBot="1">
      <c r="B43" s="363" t="s">
        <v>703</v>
      </c>
      <c r="C43" s="364"/>
      <c r="D43" s="365"/>
      <c r="E43" s="132">
        <f>SUM(E21:E42)</f>
        <v>16125</v>
      </c>
      <c r="F43" s="132">
        <f>E43*0.175</f>
        <v>2821.875</v>
      </c>
      <c r="G43" s="132">
        <f>E43-F43</f>
        <v>13303.125</v>
      </c>
      <c r="H43" s="133"/>
    </row>
    <row r="44" spans="1:8" ht="15.75" thickBot="1"/>
    <row r="45" spans="1:8" ht="48.75" customHeight="1" thickBot="1">
      <c r="B45" s="368" t="s">
        <v>1463</v>
      </c>
      <c r="C45" s="509">
        <v>0</v>
      </c>
      <c r="D45" s="510"/>
      <c r="E45" s="132">
        <f>E43*C45</f>
        <v>0</v>
      </c>
      <c r="F45" s="132"/>
      <c r="G45" s="132"/>
      <c r="H45" s="133"/>
    </row>
    <row r="46" spans="1:8" ht="15.75" thickBot="1"/>
    <row r="47" spans="1:8" ht="48.75" customHeight="1" thickBot="1">
      <c r="B47" s="363" t="s">
        <v>1464</v>
      </c>
      <c r="C47" s="366"/>
      <c r="D47" s="399"/>
      <c r="E47" s="132">
        <f>E43-E45</f>
        <v>16125</v>
      </c>
      <c r="F47" s="132">
        <f>E47*0.175</f>
        <v>2821.875</v>
      </c>
      <c r="G47" s="132">
        <f>E47-F47</f>
        <v>13303.125</v>
      </c>
      <c r="H47" s="133"/>
    </row>
    <row r="48" spans="1:8" s="139" customFormat="1" ht="48.75" customHeight="1">
      <c r="A48" s="134" t="s">
        <v>33</v>
      </c>
      <c r="B48" s="135" t="s">
        <v>731</v>
      </c>
      <c r="C48" s="136"/>
      <c r="D48" s="137"/>
      <c r="E48" s="138"/>
      <c r="G48" s="140"/>
    </row>
    <row r="49" spans="1:7" s="139" customFormat="1" ht="15.75">
      <c r="A49" s="136"/>
      <c r="B49" s="141"/>
      <c r="C49" s="142"/>
      <c r="E49" s="143"/>
      <c r="G49" s="140"/>
    </row>
    <row r="50" spans="1:7" s="139" customFormat="1" ht="48.75" customHeight="1">
      <c r="A50" s="134" t="s">
        <v>732</v>
      </c>
      <c r="B50" s="144"/>
      <c r="C50" s="136"/>
      <c r="D50" s="137"/>
      <c r="E50" s="138"/>
      <c r="G50" s="140"/>
    </row>
    <row r="53" spans="1:7">
      <c r="B53" s="145"/>
    </row>
  </sheetData>
  <mergeCells count="17">
    <mergeCell ref="F1:H1"/>
    <mergeCell ref="A5:E5"/>
    <mergeCell ref="F5:H5"/>
    <mergeCell ref="C7:D8"/>
    <mergeCell ref="E7:E8"/>
    <mergeCell ref="A15:A16"/>
    <mergeCell ref="B15:B16"/>
    <mergeCell ref="C15:D15"/>
    <mergeCell ref="C16:D16"/>
    <mergeCell ref="A1:E3"/>
    <mergeCell ref="C17:D17"/>
    <mergeCell ref="C18:D18"/>
    <mergeCell ref="C45:D45"/>
    <mergeCell ref="F9:H9"/>
    <mergeCell ref="C10:D10"/>
    <mergeCell ref="C12:D12"/>
    <mergeCell ref="C14:E14"/>
  </mergeCells>
  <dataValidations count="3">
    <dataValidation type="list" allowBlank="1" sqref="E18">
      <formula1>$F$18:$H$18</formula1>
    </dataValidation>
    <dataValidation type="list" allowBlank="1" sqref="E16">
      <formula1>$F$16:$M$16</formula1>
    </dataValidation>
    <dataValidation type="list" allowBlank="1" sqref="E17">
      <formula1>$F$17:$I$17</formula1>
    </dataValidation>
  </dataValidations>
  <hyperlinks>
    <hyperlink ref="B13" r:id="rId1"/>
  </hyperlinks>
  <printOptions horizontalCentered="1"/>
  <pageMargins left="0.28000000000000003" right="0.35" top="0.39370078740157483" bottom="0.39370078740157483" header="0.31496062992125984" footer="0.31496062992125984"/>
  <pageSetup paperSize="9" scale="49" fitToHeight="2" orientation="portrait" r:id="rId2"/>
  <headerFooter alignWithMargins="0">
    <oddFooter>&amp;R&amp;P - &amp;N</oddFooter>
  </headerFooter>
</worksheet>
</file>

<file path=xl/worksheets/sheet5.xml><?xml version="1.0" encoding="utf-8"?>
<worksheet xmlns="http://schemas.openxmlformats.org/spreadsheetml/2006/main" xmlns:r="http://schemas.openxmlformats.org/officeDocument/2006/relationships">
  <sheetPr codeName="Plan3"/>
  <dimension ref="A1:R267"/>
  <sheetViews>
    <sheetView view="pageBreakPreview" zoomScale="70" zoomScaleNormal="70" zoomScaleSheetLayoutView="70" workbookViewId="0">
      <pane ySplit="4" topLeftCell="A128" activePane="bottomLeft" state="frozen"/>
      <selection pane="bottomLeft" activeCell="F155" sqref="F155"/>
    </sheetView>
  </sheetViews>
  <sheetFormatPr defaultRowHeight="12.75"/>
  <cols>
    <col min="1" max="1" width="15.42578125" style="312" customWidth="1"/>
    <col min="2" max="2" width="31.28515625" style="312" customWidth="1"/>
    <col min="3" max="3" width="15.42578125" style="313" customWidth="1"/>
    <col min="4" max="4" width="15.42578125" style="312" customWidth="1"/>
    <col min="5" max="5" width="18.28515625" style="312" bestFit="1" customWidth="1"/>
    <col min="6" max="6" width="15.42578125" style="312" customWidth="1"/>
    <col min="7" max="8" width="8.140625" style="312" customWidth="1"/>
    <col min="9" max="9" width="8.140625" style="472" customWidth="1"/>
    <col min="10" max="11" width="8.140625" style="312" customWidth="1"/>
    <col min="12" max="12" width="8.140625" style="472" customWidth="1"/>
    <col min="13" max="13" width="22" style="472" bestFit="1" customWidth="1"/>
    <col min="14" max="15" width="15.42578125" style="350" customWidth="1"/>
    <col min="16" max="16" width="23.85546875" style="350" bestFit="1" customWidth="1"/>
    <col min="17" max="262" width="15.42578125" style="312" customWidth="1"/>
    <col min="263" max="269" width="8.140625" style="312" customWidth="1"/>
    <col min="270" max="518" width="15.42578125" style="312" customWidth="1"/>
    <col min="519" max="525" width="8.140625" style="312" customWidth="1"/>
    <col min="526" max="774" width="15.42578125" style="312" customWidth="1"/>
    <col min="775" max="781" width="8.140625" style="312" customWidth="1"/>
    <col min="782" max="1030" width="15.42578125" style="312" customWidth="1"/>
    <col min="1031" max="1037" width="8.140625" style="312" customWidth="1"/>
    <col min="1038" max="1286" width="15.42578125" style="312" customWidth="1"/>
    <col min="1287" max="1293" width="8.140625" style="312" customWidth="1"/>
    <col min="1294" max="1542" width="15.42578125" style="312" customWidth="1"/>
    <col min="1543" max="1549" width="8.140625" style="312" customWidth="1"/>
    <col min="1550" max="1798" width="15.42578125" style="312" customWidth="1"/>
    <col min="1799" max="1805" width="8.140625" style="312" customWidth="1"/>
    <col min="1806" max="2054" width="15.42578125" style="312" customWidth="1"/>
    <col min="2055" max="2061" width="8.140625" style="312" customWidth="1"/>
    <col min="2062" max="2310" width="15.42578125" style="312" customWidth="1"/>
    <col min="2311" max="2317" width="8.140625" style="312" customWidth="1"/>
    <col min="2318" max="2566" width="15.42578125" style="312" customWidth="1"/>
    <col min="2567" max="2573" width="8.140625" style="312" customWidth="1"/>
    <col min="2574" max="2822" width="15.42578125" style="312" customWidth="1"/>
    <col min="2823" max="2829" width="8.140625" style="312" customWidth="1"/>
    <col min="2830" max="3078" width="15.42578125" style="312" customWidth="1"/>
    <col min="3079" max="3085" width="8.140625" style="312" customWidth="1"/>
    <col min="3086" max="3334" width="15.42578125" style="312" customWidth="1"/>
    <col min="3335" max="3341" width="8.140625" style="312" customWidth="1"/>
    <col min="3342" max="3590" width="15.42578125" style="312" customWidth="1"/>
    <col min="3591" max="3597" width="8.140625" style="312" customWidth="1"/>
    <col min="3598" max="3846" width="15.42578125" style="312" customWidth="1"/>
    <col min="3847" max="3853" width="8.140625" style="312" customWidth="1"/>
    <col min="3854" max="4102" width="15.42578125" style="312" customWidth="1"/>
    <col min="4103" max="4109" width="8.140625" style="312" customWidth="1"/>
    <col min="4110" max="4358" width="15.42578125" style="312" customWidth="1"/>
    <col min="4359" max="4365" width="8.140625" style="312" customWidth="1"/>
    <col min="4366" max="4614" width="15.42578125" style="312" customWidth="1"/>
    <col min="4615" max="4621" width="8.140625" style="312" customWidth="1"/>
    <col min="4622" max="4870" width="15.42578125" style="312" customWidth="1"/>
    <col min="4871" max="4877" width="8.140625" style="312" customWidth="1"/>
    <col min="4878" max="5126" width="15.42578125" style="312" customWidth="1"/>
    <col min="5127" max="5133" width="8.140625" style="312" customWidth="1"/>
    <col min="5134" max="5382" width="15.42578125" style="312" customWidth="1"/>
    <col min="5383" max="5389" width="8.140625" style="312" customWidth="1"/>
    <col min="5390" max="5638" width="15.42578125" style="312" customWidth="1"/>
    <col min="5639" max="5645" width="8.140625" style="312" customWidth="1"/>
    <col min="5646" max="5894" width="15.42578125" style="312" customWidth="1"/>
    <col min="5895" max="5901" width="8.140625" style="312" customWidth="1"/>
    <col min="5902" max="6150" width="15.42578125" style="312" customWidth="1"/>
    <col min="6151" max="6157" width="8.140625" style="312" customWidth="1"/>
    <col min="6158" max="6406" width="15.42578125" style="312" customWidth="1"/>
    <col min="6407" max="6413" width="8.140625" style="312" customWidth="1"/>
    <col min="6414" max="6662" width="15.42578125" style="312" customWidth="1"/>
    <col min="6663" max="6669" width="8.140625" style="312" customWidth="1"/>
    <col min="6670" max="6918" width="15.42578125" style="312" customWidth="1"/>
    <col min="6919" max="6925" width="8.140625" style="312" customWidth="1"/>
    <col min="6926" max="7174" width="15.42578125" style="312" customWidth="1"/>
    <col min="7175" max="7181" width="8.140625" style="312" customWidth="1"/>
    <col min="7182" max="7430" width="15.42578125" style="312" customWidth="1"/>
    <col min="7431" max="7437" width="8.140625" style="312" customWidth="1"/>
    <col min="7438" max="7686" width="15.42578125" style="312" customWidth="1"/>
    <col min="7687" max="7693" width="8.140625" style="312" customWidth="1"/>
    <col min="7694" max="7942" width="15.42578125" style="312" customWidth="1"/>
    <col min="7943" max="7949" width="8.140625" style="312" customWidth="1"/>
    <col min="7950" max="8198" width="15.42578125" style="312" customWidth="1"/>
    <col min="8199" max="8205" width="8.140625" style="312" customWidth="1"/>
    <col min="8206" max="8454" width="15.42578125" style="312" customWidth="1"/>
    <col min="8455" max="8461" width="8.140625" style="312" customWidth="1"/>
    <col min="8462" max="8710" width="15.42578125" style="312" customWidth="1"/>
    <col min="8711" max="8717" width="8.140625" style="312" customWidth="1"/>
    <col min="8718" max="8966" width="15.42578125" style="312" customWidth="1"/>
    <col min="8967" max="8973" width="8.140625" style="312" customWidth="1"/>
    <col min="8974" max="9222" width="15.42578125" style="312" customWidth="1"/>
    <col min="9223" max="9229" width="8.140625" style="312" customWidth="1"/>
    <col min="9230" max="9478" width="15.42578125" style="312" customWidth="1"/>
    <col min="9479" max="9485" width="8.140625" style="312" customWidth="1"/>
    <col min="9486" max="9734" width="15.42578125" style="312" customWidth="1"/>
    <col min="9735" max="9741" width="8.140625" style="312" customWidth="1"/>
    <col min="9742" max="9990" width="15.42578125" style="312" customWidth="1"/>
    <col min="9991" max="9997" width="8.140625" style="312" customWidth="1"/>
    <col min="9998" max="10246" width="15.42578125" style="312" customWidth="1"/>
    <col min="10247" max="10253" width="8.140625" style="312" customWidth="1"/>
    <col min="10254" max="10502" width="15.42578125" style="312" customWidth="1"/>
    <col min="10503" max="10509" width="8.140625" style="312" customWidth="1"/>
    <col min="10510" max="10758" width="15.42578125" style="312" customWidth="1"/>
    <col min="10759" max="10765" width="8.140625" style="312" customWidth="1"/>
    <col min="10766" max="11014" width="15.42578125" style="312" customWidth="1"/>
    <col min="11015" max="11021" width="8.140625" style="312" customWidth="1"/>
    <col min="11022" max="11270" width="15.42578125" style="312" customWidth="1"/>
    <col min="11271" max="11277" width="8.140625" style="312" customWidth="1"/>
    <col min="11278" max="11526" width="15.42578125" style="312" customWidth="1"/>
    <col min="11527" max="11533" width="8.140625" style="312" customWidth="1"/>
    <col min="11534" max="11782" width="15.42578125" style="312" customWidth="1"/>
    <col min="11783" max="11789" width="8.140625" style="312" customWidth="1"/>
    <col min="11790" max="12038" width="15.42578125" style="312" customWidth="1"/>
    <col min="12039" max="12045" width="8.140625" style="312" customWidth="1"/>
    <col min="12046" max="12294" width="15.42578125" style="312" customWidth="1"/>
    <col min="12295" max="12301" width="8.140625" style="312" customWidth="1"/>
    <col min="12302" max="12550" width="15.42578125" style="312" customWidth="1"/>
    <col min="12551" max="12557" width="8.140625" style="312" customWidth="1"/>
    <col min="12558" max="12806" width="15.42578125" style="312" customWidth="1"/>
    <col min="12807" max="12813" width="8.140625" style="312" customWidth="1"/>
    <col min="12814" max="13062" width="15.42578125" style="312" customWidth="1"/>
    <col min="13063" max="13069" width="8.140625" style="312" customWidth="1"/>
    <col min="13070" max="13318" width="15.42578125" style="312" customWidth="1"/>
    <col min="13319" max="13325" width="8.140625" style="312" customWidth="1"/>
    <col min="13326" max="13574" width="15.42578125" style="312" customWidth="1"/>
    <col min="13575" max="13581" width="8.140625" style="312" customWidth="1"/>
    <col min="13582" max="13830" width="15.42578125" style="312" customWidth="1"/>
    <col min="13831" max="13837" width="8.140625" style="312" customWidth="1"/>
    <col min="13838" max="14086" width="15.42578125" style="312" customWidth="1"/>
    <col min="14087" max="14093" width="8.140625" style="312" customWidth="1"/>
    <col min="14094" max="14342" width="15.42578125" style="312" customWidth="1"/>
    <col min="14343" max="14349" width="8.140625" style="312" customWidth="1"/>
    <col min="14350" max="14598" width="15.42578125" style="312" customWidth="1"/>
    <col min="14599" max="14605" width="8.140625" style="312" customWidth="1"/>
    <col min="14606" max="14854" width="15.42578125" style="312" customWidth="1"/>
    <col min="14855" max="14861" width="8.140625" style="312" customWidth="1"/>
    <col min="14862" max="15110" width="15.42578125" style="312" customWidth="1"/>
    <col min="15111" max="15117" width="8.140625" style="312" customWidth="1"/>
    <col min="15118" max="15366" width="15.42578125" style="312" customWidth="1"/>
    <col min="15367" max="15373" width="8.140625" style="312" customWidth="1"/>
    <col min="15374" max="15622" width="15.42578125" style="312" customWidth="1"/>
    <col min="15623" max="15629" width="8.140625" style="312" customWidth="1"/>
    <col min="15630" max="15878" width="15.42578125" style="312" customWidth="1"/>
    <col min="15879" max="15885" width="8.140625" style="312" customWidth="1"/>
    <col min="15886" max="16134" width="15.42578125" style="312" customWidth="1"/>
    <col min="16135" max="16141" width="8.140625" style="312" customWidth="1"/>
    <col min="16142" max="16384" width="15.42578125" style="312" customWidth="1"/>
  </cols>
  <sheetData>
    <row r="1" spans="1:16" ht="18.75" thickBot="1">
      <c r="A1" s="547" t="s">
        <v>1235</v>
      </c>
      <c r="B1" s="548"/>
      <c r="C1" s="548"/>
      <c r="D1" s="548"/>
      <c r="E1" s="548"/>
      <c r="F1" s="548"/>
      <c r="G1" s="548"/>
      <c r="H1" s="548"/>
      <c r="I1" s="548"/>
      <c r="J1" s="548"/>
      <c r="K1" s="548"/>
      <c r="L1" s="548"/>
      <c r="M1" s="548"/>
      <c r="N1" s="548"/>
      <c r="O1" s="548"/>
      <c r="P1" s="549"/>
    </row>
    <row r="3" spans="1:16" ht="15.95" customHeight="1">
      <c r="G3" s="550" t="s">
        <v>1236</v>
      </c>
      <c r="H3" s="550"/>
      <c r="I3" s="550"/>
      <c r="J3" s="550" t="s">
        <v>1237</v>
      </c>
      <c r="K3" s="550"/>
      <c r="L3" s="550"/>
      <c r="M3" s="469"/>
    </row>
    <row r="4" spans="1:16" s="478" customFormat="1" ht="52.5" customHeight="1">
      <c r="A4" s="477" t="s">
        <v>656</v>
      </c>
      <c r="B4" s="477" t="s">
        <v>1446</v>
      </c>
      <c r="C4" s="477" t="s">
        <v>691</v>
      </c>
      <c r="D4" s="477" t="s">
        <v>1203</v>
      </c>
      <c r="E4" s="477" t="s">
        <v>1238</v>
      </c>
      <c r="F4" s="477" t="s">
        <v>1239</v>
      </c>
      <c r="G4" s="479" t="s">
        <v>1240</v>
      </c>
      <c r="H4" s="479" t="s">
        <v>1241</v>
      </c>
      <c r="I4" s="480" t="s">
        <v>1242</v>
      </c>
      <c r="J4" s="479" t="s">
        <v>1243</v>
      </c>
      <c r="K4" s="479" t="s">
        <v>1244</v>
      </c>
      <c r="L4" s="480" t="s">
        <v>1245</v>
      </c>
      <c r="M4" s="477" t="s">
        <v>1246</v>
      </c>
      <c r="N4" s="477" t="s">
        <v>1247</v>
      </c>
      <c r="O4" s="477" t="s">
        <v>1248</v>
      </c>
      <c r="P4" s="477" t="s">
        <v>1249</v>
      </c>
    </row>
    <row r="5" spans="1:16" s="447" customFormat="1" ht="15.95" customHeight="1">
      <c r="A5" s="442" t="s">
        <v>80</v>
      </c>
      <c r="B5" s="442"/>
      <c r="C5" s="443" t="s">
        <v>1207</v>
      </c>
      <c r="D5" s="444">
        <v>41677</v>
      </c>
      <c r="E5" s="445">
        <v>150</v>
      </c>
      <c r="F5" s="439">
        <v>0.33333333333333331</v>
      </c>
      <c r="G5" s="439">
        <v>0.86249999999999993</v>
      </c>
      <c r="H5" s="439">
        <v>0.90416666666666667</v>
      </c>
      <c r="I5" s="470">
        <f t="shared" ref="I5:I12" si="0">MOD(H5-G5,1)</f>
        <v>4.1666666666666741E-2</v>
      </c>
      <c r="J5" s="439">
        <v>0</v>
      </c>
      <c r="K5" s="439">
        <v>0</v>
      </c>
      <c r="L5" s="474">
        <f t="shared" ref="L5:L12" si="1">MOD(K5-J5,1)</f>
        <v>0</v>
      </c>
      <c r="M5" s="470">
        <f t="shared" ref="M5:M12" si="2">I5+L5</f>
        <v>4.1666666666666741E-2</v>
      </c>
      <c r="N5" s="445">
        <f t="shared" ref="N5:N12" si="3">(M5*24)*E5</f>
        <v>150.00000000000026</v>
      </c>
      <c r="O5" s="446">
        <f t="shared" ref="O5:O12" si="4">IF(M5&gt;F5,M5-F5,0)</f>
        <v>0</v>
      </c>
      <c r="P5" s="445">
        <f t="shared" ref="P5:P12" si="5">N5+O5*24*1.5*E5</f>
        <v>150.00000000000026</v>
      </c>
    </row>
    <row r="6" spans="1:16" s="447" customFormat="1" ht="15.95" customHeight="1">
      <c r="A6" s="442" t="s">
        <v>80</v>
      </c>
      <c r="B6" s="442"/>
      <c r="C6" s="443" t="s">
        <v>1208</v>
      </c>
      <c r="D6" s="444">
        <v>41691</v>
      </c>
      <c r="E6" s="445">
        <v>100</v>
      </c>
      <c r="F6" s="439">
        <v>0.33333333333333331</v>
      </c>
      <c r="G6" s="439">
        <v>0.75</v>
      </c>
      <c r="H6" s="439">
        <v>0.79166666666666663</v>
      </c>
      <c r="I6" s="470">
        <f t="shared" si="0"/>
        <v>4.166666666666663E-2</v>
      </c>
      <c r="J6" s="439">
        <v>0</v>
      </c>
      <c r="K6" s="439">
        <v>0</v>
      </c>
      <c r="L6" s="474">
        <f t="shared" si="1"/>
        <v>0</v>
      </c>
      <c r="M6" s="470">
        <f t="shared" si="2"/>
        <v>4.166666666666663E-2</v>
      </c>
      <c r="N6" s="445">
        <f t="shared" si="3"/>
        <v>99.999999999999915</v>
      </c>
      <c r="O6" s="446">
        <f t="shared" si="4"/>
        <v>0</v>
      </c>
      <c r="P6" s="445">
        <f t="shared" si="5"/>
        <v>99.999999999999915</v>
      </c>
    </row>
    <row r="7" spans="1:16" s="447" customFormat="1" ht="15.95" customHeight="1">
      <c r="A7" s="442" t="s">
        <v>80</v>
      </c>
      <c r="B7" s="442"/>
      <c r="C7" s="443" t="s">
        <v>1209</v>
      </c>
      <c r="D7" s="444">
        <v>41691</v>
      </c>
      <c r="E7" s="445">
        <v>150</v>
      </c>
      <c r="F7" s="439">
        <v>0.33333333333333331</v>
      </c>
      <c r="G7" s="439">
        <v>0.8125</v>
      </c>
      <c r="H7" s="439">
        <v>0.85416666666666663</v>
      </c>
      <c r="I7" s="470">
        <f t="shared" si="0"/>
        <v>4.166666666666663E-2</v>
      </c>
      <c r="J7" s="439">
        <v>0</v>
      </c>
      <c r="K7" s="439">
        <v>0</v>
      </c>
      <c r="L7" s="474">
        <f t="shared" si="1"/>
        <v>0</v>
      </c>
      <c r="M7" s="470">
        <f t="shared" si="2"/>
        <v>4.166666666666663E-2</v>
      </c>
      <c r="N7" s="445">
        <f t="shared" si="3"/>
        <v>149.99999999999986</v>
      </c>
      <c r="O7" s="446">
        <f t="shared" si="4"/>
        <v>0</v>
      </c>
      <c r="P7" s="445">
        <f t="shared" si="5"/>
        <v>149.99999999999986</v>
      </c>
    </row>
    <row r="8" spans="1:16" s="447" customFormat="1" ht="15.95" customHeight="1">
      <c r="A8" s="442" t="s">
        <v>80</v>
      </c>
      <c r="B8" s="442"/>
      <c r="C8" s="443" t="s">
        <v>1209</v>
      </c>
      <c r="D8" s="444">
        <v>41691</v>
      </c>
      <c r="E8" s="445">
        <v>100</v>
      </c>
      <c r="F8" s="439">
        <v>0.33333333333333331</v>
      </c>
      <c r="G8" s="439">
        <v>0.85416666666666663</v>
      </c>
      <c r="H8" s="439">
        <v>0.9375</v>
      </c>
      <c r="I8" s="470">
        <f t="shared" si="0"/>
        <v>8.333333333333337E-2</v>
      </c>
      <c r="J8" s="439">
        <v>0</v>
      </c>
      <c r="K8" s="439">
        <v>0</v>
      </c>
      <c r="L8" s="474">
        <f t="shared" si="1"/>
        <v>0</v>
      </c>
      <c r="M8" s="470">
        <f t="shared" si="2"/>
        <v>8.333333333333337E-2</v>
      </c>
      <c r="N8" s="445">
        <f t="shared" si="3"/>
        <v>200.00000000000009</v>
      </c>
      <c r="O8" s="446">
        <f t="shared" si="4"/>
        <v>0</v>
      </c>
      <c r="P8" s="445">
        <f t="shared" si="5"/>
        <v>200.00000000000009</v>
      </c>
    </row>
    <row r="9" spans="1:16" s="447" customFormat="1" ht="15.95" customHeight="1">
      <c r="A9" s="442" t="s">
        <v>62</v>
      </c>
      <c r="B9" s="442"/>
      <c r="C9" s="443" t="s">
        <v>1204</v>
      </c>
      <c r="D9" s="444">
        <v>41687</v>
      </c>
      <c r="E9" s="445">
        <v>100</v>
      </c>
      <c r="F9" s="439">
        <v>0.33333333333333331</v>
      </c>
      <c r="G9" s="439">
        <v>0.40277777777777773</v>
      </c>
      <c r="H9" s="439">
        <v>0.81944444444444453</v>
      </c>
      <c r="I9" s="470">
        <f t="shared" si="0"/>
        <v>0.4166666666666668</v>
      </c>
      <c r="J9" s="439">
        <v>0</v>
      </c>
      <c r="K9" s="439">
        <v>0</v>
      </c>
      <c r="L9" s="474">
        <f t="shared" si="1"/>
        <v>0</v>
      </c>
      <c r="M9" s="470">
        <f t="shared" si="2"/>
        <v>0.4166666666666668</v>
      </c>
      <c r="N9" s="445">
        <f t="shared" si="3"/>
        <v>1000.0000000000003</v>
      </c>
      <c r="O9" s="446">
        <f t="shared" si="4"/>
        <v>8.3333333333333481E-2</v>
      </c>
      <c r="P9" s="445">
        <f t="shared" si="5"/>
        <v>1300.0000000000009</v>
      </c>
    </row>
    <row r="10" spans="1:16" s="447" customFormat="1" ht="15.95" customHeight="1">
      <c r="A10" s="442" t="s">
        <v>62</v>
      </c>
      <c r="B10" s="442"/>
      <c r="C10" s="443" t="s">
        <v>1204</v>
      </c>
      <c r="D10" s="444">
        <v>41688</v>
      </c>
      <c r="E10" s="445">
        <v>100</v>
      </c>
      <c r="F10" s="439">
        <v>0.33333333333333331</v>
      </c>
      <c r="G10" s="439">
        <v>0.33333333333333331</v>
      </c>
      <c r="H10" s="439">
        <v>0.5</v>
      </c>
      <c r="I10" s="470">
        <f t="shared" si="0"/>
        <v>0.16666666666666669</v>
      </c>
      <c r="J10" s="439">
        <v>0.58333333333333337</v>
      </c>
      <c r="K10" s="439">
        <v>0.95833333333333337</v>
      </c>
      <c r="L10" s="474">
        <f t="shared" si="1"/>
        <v>0.375</v>
      </c>
      <c r="M10" s="470">
        <f t="shared" si="2"/>
        <v>0.54166666666666674</v>
      </c>
      <c r="N10" s="445">
        <f t="shared" si="3"/>
        <v>1300.0000000000002</v>
      </c>
      <c r="O10" s="446">
        <f t="shared" si="4"/>
        <v>0.20833333333333343</v>
      </c>
      <c r="P10" s="445">
        <f t="shared" si="5"/>
        <v>2050.0000000000005</v>
      </c>
    </row>
    <row r="11" spans="1:16" s="447" customFormat="1" ht="15.95" customHeight="1">
      <c r="A11" s="442" t="s">
        <v>62</v>
      </c>
      <c r="B11" s="442"/>
      <c r="C11" s="443" t="s">
        <v>1204</v>
      </c>
      <c r="D11" s="444">
        <v>41689</v>
      </c>
      <c r="E11" s="445">
        <v>100</v>
      </c>
      <c r="F11" s="439">
        <v>0.33333333333333331</v>
      </c>
      <c r="G11" s="439">
        <v>0</v>
      </c>
      <c r="H11" s="439">
        <v>0</v>
      </c>
      <c r="I11" s="470">
        <f t="shared" si="0"/>
        <v>0</v>
      </c>
      <c r="J11" s="439">
        <v>0.58333333333333337</v>
      </c>
      <c r="K11" s="439">
        <v>0.91666666666666663</v>
      </c>
      <c r="L11" s="474">
        <f t="shared" si="1"/>
        <v>0.33333333333333326</v>
      </c>
      <c r="M11" s="470">
        <f t="shared" si="2"/>
        <v>0.33333333333333326</v>
      </c>
      <c r="N11" s="445">
        <f t="shared" si="3"/>
        <v>799.99999999999977</v>
      </c>
      <c r="O11" s="446">
        <f t="shared" si="4"/>
        <v>0</v>
      </c>
      <c r="P11" s="445">
        <f t="shared" si="5"/>
        <v>799.99999999999977</v>
      </c>
    </row>
    <row r="12" spans="1:16" s="447" customFormat="1" ht="15.95" customHeight="1">
      <c r="A12" s="442" t="s">
        <v>62</v>
      </c>
      <c r="B12" s="442"/>
      <c r="C12" s="443" t="s">
        <v>1204</v>
      </c>
      <c r="D12" s="444">
        <v>41690</v>
      </c>
      <c r="E12" s="445">
        <v>100</v>
      </c>
      <c r="F12" s="439">
        <v>0.33333333333333331</v>
      </c>
      <c r="G12" s="439">
        <v>0</v>
      </c>
      <c r="H12" s="439">
        <v>0</v>
      </c>
      <c r="I12" s="470">
        <f t="shared" si="0"/>
        <v>0</v>
      </c>
      <c r="J12" s="439">
        <v>0.58333333333333337</v>
      </c>
      <c r="K12" s="439">
        <v>0.66666666666666663</v>
      </c>
      <c r="L12" s="474">
        <f t="shared" si="1"/>
        <v>8.3333333333333259E-2</v>
      </c>
      <c r="M12" s="470">
        <f t="shared" si="2"/>
        <v>8.3333333333333259E-2</v>
      </c>
      <c r="N12" s="445">
        <f t="shared" si="3"/>
        <v>199.99999999999983</v>
      </c>
      <c r="O12" s="446">
        <f t="shared" si="4"/>
        <v>0</v>
      </c>
      <c r="P12" s="445">
        <f t="shared" si="5"/>
        <v>199.99999999999983</v>
      </c>
    </row>
    <row r="13" spans="1:16" s="447" customFormat="1" ht="15.95" customHeight="1">
      <c r="A13" s="442" t="s">
        <v>1433</v>
      </c>
      <c r="B13" s="442"/>
      <c r="C13" s="443" t="s">
        <v>1434</v>
      </c>
      <c r="D13" s="444">
        <v>41711</v>
      </c>
      <c r="E13" s="445">
        <v>100</v>
      </c>
      <c r="F13" s="440">
        <v>0.33333333333333331</v>
      </c>
      <c r="G13" s="439">
        <v>0.54166666666666663</v>
      </c>
      <c r="H13" s="439">
        <v>0.625</v>
      </c>
      <c r="I13" s="470">
        <f t="shared" ref="I13:I18" si="6">MOD(H13-G13,1)</f>
        <v>8.333333333333337E-2</v>
      </c>
      <c r="J13" s="439">
        <v>0</v>
      </c>
      <c r="K13" s="439">
        <v>0</v>
      </c>
      <c r="L13" s="474">
        <f t="shared" ref="L13:L18" si="7">MOD(K13-J13,1)</f>
        <v>0</v>
      </c>
      <c r="M13" s="470">
        <f t="shared" ref="M13:M18" si="8">I13+L13</f>
        <v>8.333333333333337E-2</v>
      </c>
      <c r="N13" s="445">
        <f t="shared" ref="N13:N18" si="9">(M13*24)*E13</f>
        <v>200.00000000000009</v>
      </c>
      <c r="O13" s="446">
        <f t="shared" ref="O13:O18" si="10">IF(M13&gt;F13,M13-F13,0)</f>
        <v>0</v>
      </c>
      <c r="P13" s="445">
        <f t="shared" ref="P13:P18" si="11">N13+O13*24*1.5*E13</f>
        <v>200.00000000000009</v>
      </c>
    </row>
    <row r="14" spans="1:16" s="447" customFormat="1" ht="15.95" customHeight="1">
      <c r="A14" s="442" t="s">
        <v>62</v>
      </c>
      <c r="B14" s="442"/>
      <c r="C14" s="443" t="s">
        <v>1437</v>
      </c>
      <c r="D14" s="444">
        <v>41711</v>
      </c>
      <c r="E14" s="448">
        <v>100</v>
      </c>
      <c r="F14" s="440">
        <v>0.33333333333333331</v>
      </c>
      <c r="G14" s="439">
        <v>0.45833333333333331</v>
      </c>
      <c r="H14" s="439">
        <v>0.54166666666666663</v>
      </c>
      <c r="I14" s="470">
        <f t="shared" si="6"/>
        <v>8.3333333333333315E-2</v>
      </c>
      <c r="J14" s="439">
        <v>0</v>
      </c>
      <c r="K14" s="439">
        <v>0</v>
      </c>
      <c r="L14" s="474">
        <f t="shared" si="7"/>
        <v>0</v>
      </c>
      <c r="M14" s="470">
        <f t="shared" si="8"/>
        <v>8.3333333333333315E-2</v>
      </c>
      <c r="N14" s="445">
        <f t="shared" si="9"/>
        <v>199.99999999999994</v>
      </c>
      <c r="O14" s="446">
        <f t="shared" si="10"/>
        <v>0</v>
      </c>
      <c r="P14" s="445">
        <f t="shared" si="11"/>
        <v>199.99999999999994</v>
      </c>
    </row>
    <row r="15" spans="1:16" s="447" customFormat="1" ht="15.95" customHeight="1">
      <c r="A15" s="449" t="s">
        <v>62</v>
      </c>
      <c r="B15" s="449"/>
      <c r="C15" s="450" t="s">
        <v>1438</v>
      </c>
      <c r="D15" s="451">
        <v>41712</v>
      </c>
      <c r="E15" s="448">
        <v>100</v>
      </c>
      <c r="F15" s="440">
        <v>0.33333333333333331</v>
      </c>
      <c r="G15" s="439">
        <v>0.41666666666666669</v>
      </c>
      <c r="H15" s="439">
        <v>0.5</v>
      </c>
      <c r="I15" s="470">
        <f t="shared" si="6"/>
        <v>8.3333333333333315E-2</v>
      </c>
      <c r="J15" s="439">
        <v>0</v>
      </c>
      <c r="K15" s="439">
        <v>0</v>
      </c>
      <c r="L15" s="474">
        <f t="shared" si="7"/>
        <v>0</v>
      </c>
      <c r="M15" s="470">
        <f t="shared" si="8"/>
        <v>8.3333333333333315E-2</v>
      </c>
      <c r="N15" s="445">
        <f t="shared" si="9"/>
        <v>199.99999999999994</v>
      </c>
      <c r="O15" s="446">
        <f t="shared" si="10"/>
        <v>0</v>
      </c>
      <c r="P15" s="445">
        <f t="shared" si="11"/>
        <v>199.99999999999994</v>
      </c>
    </row>
    <row r="16" spans="1:16" s="447" customFormat="1" ht="15.95" customHeight="1">
      <c r="A16" s="449" t="s">
        <v>62</v>
      </c>
      <c r="B16" s="449" t="s">
        <v>1440</v>
      </c>
      <c r="C16" s="443" t="s">
        <v>1439</v>
      </c>
      <c r="D16" s="444">
        <v>41725</v>
      </c>
      <c r="E16" s="445">
        <v>150</v>
      </c>
      <c r="F16" s="440">
        <v>0.33333333333333331</v>
      </c>
      <c r="G16" s="439">
        <v>0.39583333333333331</v>
      </c>
      <c r="H16" s="439">
        <v>0.4375</v>
      </c>
      <c r="I16" s="470">
        <f t="shared" si="6"/>
        <v>4.1666666666666685E-2</v>
      </c>
      <c r="J16" s="439">
        <v>0</v>
      </c>
      <c r="K16" s="439">
        <v>0</v>
      </c>
      <c r="L16" s="474">
        <f t="shared" si="7"/>
        <v>0</v>
      </c>
      <c r="M16" s="470">
        <f t="shared" si="8"/>
        <v>4.1666666666666685E-2</v>
      </c>
      <c r="N16" s="445">
        <f t="shared" si="9"/>
        <v>150.00000000000006</v>
      </c>
      <c r="O16" s="446">
        <f t="shared" si="10"/>
        <v>0</v>
      </c>
      <c r="P16" s="445">
        <f t="shared" si="11"/>
        <v>150.00000000000006</v>
      </c>
    </row>
    <row r="17" spans="1:16" s="447" customFormat="1" ht="15.95" customHeight="1">
      <c r="A17" s="449" t="s">
        <v>62</v>
      </c>
      <c r="B17" s="452" t="s">
        <v>1450</v>
      </c>
      <c r="C17" s="450" t="s">
        <v>1439</v>
      </c>
      <c r="D17" s="444">
        <v>41725</v>
      </c>
      <c r="E17" s="445">
        <v>100</v>
      </c>
      <c r="F17" s="440">
        <v>0.33333333333333331</v>
      </c>
      <c r="G17" s="439">
        <v>0.39583333333333331</v>
      </c>
      <c r="H17" s="439">
        <v>0.4375</v>
      </c>
      <c r="I17" s="470">
        <f t="shared" si="6"/>
        <v>4.1666666666666685E-2</v>
      </c>
      <c r="J17" s="439">
        <v>0</v>
      </c>
      <c r="K17" s="439">
        <v>0</v>
      </c>
      <c r="L17" s="474">
        <f t="shared" si="7"/>
        <v>0</v>
      </c>
      <c r="M17" s="470">
        <f t="shared" si="8"/>
        <v>4.1666666666666685E-2</v>
      </c>
      <c r="N17" s="445">
        <f t="shared" si="9"/>
        <v>100.00000000000004</v>
      </c>
      <c r="O17" s="446">
        <f t="shared" si="10"/>
        <v>0</v>
      </c>
      <c r="P17" s="445">
        <f t="shared" si="11"/>
        <v>100.00000000000004</v>
      </c>
    </row>
    <row r="18" spans="1:16" s="447" customFormat="1" ht="15.95" customHeight="1">
      <c r="A18" s="449" t="s">
        <v>62</v>
      </c>
      <c r="B18" s="442" t="s">
        <v>1441</v>
      </c>
      <c r="C18" s="450" t="s">
        <v>1439</v>
      </c>
      <c r="D18" s="444">
        <v>41725</v>
      </c>
      <c r="E18" s="445">
        <v>100</v>
      </c>
      <c r="F18" s="440">
        <v>0.33333333333333331</v>
      </c>
      <c r="G18" s="439">
        <v>0.39583333333333331</v>
      </c>
      <c r="H18" s="439">
        <v>0.4375</v>
      </c>
      <c r="I18" s="470">
        <f t="shared" si="6"/>
        <v>4.1666666666666685E-2</v>
      </c>
      <c r="J18" s="439">
        <v>0</v>
      </c>
      <c r="K18" s="439">
        <v>0</v>
      </c>
      <c r="L18" s="474">
        <f t="shared" si="7"/>
        <v>0</v>
      </c>
      <c r="M18" s="470">
        <f t="shared" si="8"/>
        <v>4.1666666666666685E-2</v>
      </c>
      <c r="N18" s="445">
        <f t="shared" si="9"/>
        <v>100.00000000000004</v>
      </c>
      <c r="O18" s="446">
        <f t="shared" si="10"/>
        <v>0</v>
      </c>
      <c r="P18" s="445">
        <f t="shared" si="11"/>
        <v>100.00000000000004</v>
      </c>
    </row>
    <row r="19" spans="1:16" s="447" customFormat="1" ht="15.95" customHeight="1">
      <c r="A19" s="449" t="s">
        <v>62</v>
      </c>
      <c r="B19" s="442" t="s">
        <v>1442</v>
      </c>
      <c r="C19" s="450" t="s">
        <v>1439</v>
      </c>
      <c r="D19" s="444">
        <v>41725</v>
      </c>
      <c r="E19" s="445">
        <v>100</v>
      </c>
      <c r="F19" s="440">
        <v>0.33333333333333331</v>
      </c>
      <c r="G19" s="439">
        <v>0.39583333333333331</v>
      </c>
      <c r="H19" s="439">
        <v>0.4375</v>
      </c>
      <c r="I19" s="470">
        <f t="shared" ref="I19:I45" si="12">MOD(H19-G19,1)</f>
        <v>4.1666666666666685E-2</v>
      </c>
      <c r="J19" s="439">
        <v>0</v>
      </c>
      <c r="K19" s="439">
        <v>0</v>
      </c>
      <c r="L19" s="474">
        <f t="shared" ref="L19:L44" si="13">MOD(K19-J19,1)</f>
        <v>0</v>
      </c>
      <c r="M19" s="470">
        <f t="shared" ref="M19:M44" si="14">I19+L19</f>
        <v>4.1666666666666685E-2</v>
      </c>
      <c r="N19" s="445">
        <f t="shared" ref="N19:N44" si="15">(M19*24)*E19</f>
        <v>100.00000000000004</v>
      </c>
      <c r="O19" s="446">
        <f t="shared" ref="O19:O44" si="16">IF(M19&gt;F19,M19-F19,0)</f>
        <v>0</v>
      </c>
      <c r="P19" s="445">
        <f t="shared" ref="P19:P44" si="17">N19+O19*24*1.5*E19</f>
        <v>100.00000000000004</v>
      </c>
    </row>
    <row r="20" spans="1:16" s="447" customFormat="1" ht="15.95" customHeight="1">
      <c r="A20" s="449" t="s">
        <v>62</v>
      </c>
      <c r="B20" s="442" t="s">
        <v>1443</v>
      </c>
      <c r="C20" s="450" t="s">
        <v>1439</v>
      </c>
      <c r="D20" s="444">
        <v>41725</v>
      </c>
      <c r="E20" s="445">
        <v>100</v>
      </c>
      <c r="F20" s="440">
        <v>0.33333333333333331</v>
      </c>
      <c r="G20" s="439">
        <v>0.39583333333333331</v>
      </c>
      <c r="H20" s="439">
        <v>0.4375</v>
      </c>
      <c r="I20" s="470">
        <f t="shared" si="12"/>
        <v>4.1666666666666685E-2</v>
      </c>
      <c r="J20" s="439">
        <v>0</v>
      </c>
      <c r="K20" s="439">
        <v>0</v>
      </c>
      <c r="L20" s="474">
        <f t="shared" si="13"/>
        <v>0</v>
      </c>
      <c r="M20" s="470">
        <f t="shared" si="14"/>
        <v>4.1666666666666685E-2</v>
      </c>
      <c r="N20" s="445">
        <f t="shared" si="15"/>
        <v>100.00000000000004</v>
      </c>
      <c r="O20" s="446">
        <f t="shared" si="16"/>
        <v>0</v>
      </c>
      <c r="P20" s="445">
        <f t="shared" si="17"/>
        <v>100.00000000000004</v>
      </c>
    </row>
    <row r="21" spans="1:16" s="447" customFormat="1" ht="15.95" customHeight="1">
      <c r="A21" s="449" t="s">
        <v>62</v>
      </c>
      <c r="B21" s="442" t="s">
        <v>1444</v>
      </c>
      <c r="C21" s="450" t="s">
        <v>1439</v>
      </c>
      <c r="D21" s="444">
        <v>41725</v>
      </c>
      <c r="E21" s="445">
        <v>100</v>
      </c>
      <c r="F21" s="440">
        <v>0.33333333333333331</v>
      </c>
      <c r="G21" s="439">
        <v>0.39583333333333331</v>
      </c>
      <c r="H21" s="439">
        <v>0.4375</v>
      </c>
      <c r="I21" s="470">
        <f t="shared" si="12"/>
        <v>4.1666666666666685E-2</v>
      </c>
      <c r="J21" s="439">
        <v>0</v>
      </c>
      <c r="K21" s="439">
        <v>0</v>
      </c>
      <c r="L21" s="474">
        <f t="shared" si="13"/>
        <v>0</v>
      </c>
      <c r="M21" s="470">
        <f t="shared" si="14"/>
        <v>4.1666666666666685E-2</v>
      </c>
      <c r="N21" s="445">
        <f t="shared" si="15"/>
        <v>100.00000000000004</v>
      </c>
      <c r="O21" s="446">
        <f t="shared" si="16"/>
        <v>0</v>
      </c>
      <c r="P21" s="445">
        <f t="shared" si="17"/>
        <v>100.00000000000004</v>
      </c>
    </row>
    <row r="22" spans="1:16" s="447" customFormat="1" ht="15.95" customHeight="1">
      <c r="A22" s="449" t="s">
        <v>62</v>
      </c>
      <c r="B22" s="442" t="s">
        <v>1445</v>
      </c>
      <c r="C22" s="450" t="s">
        <v>1439</v>
      </c>
      <c r="D22" s="444">
        <v>41725</v>
      </c>
      <c r="E22" s="445">
        <v>100</v>
      </c>
      <c r="F22" s="440">
        <v>0.33333333333333331</v>
      </c>
      <c r="G22" s="439">
        <v>0.39583333333333331</v>
      </c>
      <c r="H22" s="439">
        <v>0.4375</v>
      </c>
      <c r="I22" s="470">
        <f t="shared" si="12"/>
        <v>4.1666666666666685E-2</v>
      </c>
      <c r="J22" s="439">
        <v>0</v>
      </c>
      <c r="K22" s="439">
        <v>0</v>
      </c>
      <c r="L22" s="474">
        <f t="shared" si="13"/>
        <v>0</v>
      </c>
      <c r="M22" s="470">
        <f t="shared" si="14"/>
        <v>4.1666666666666685E-2</v>
      </c>
      <c r="N22" s="445">
        <f t="shared" si="15"/>
        <v>100.00000000000004</v>
      </c>
      <c r="O22" s="446">
        <f t="shared" si="16"/>
        <v>0</v>
      </c>
      <c r="P22" s="445">
        <f t="shared" si="17"/>
        <v>100.00000000000004</v>
      </c>
    </row>
    <row r="23" spans="1:16" s="447" customFormat="1" ht="15.95" customHeight="1">
      <c r="A23" s="449" t="s">
        <v>62</v>
      </c>
      <c r="B23" s="452" t="s">
        <v>1451</v>
      </c>
      <c r="C23" s="450" t="s">
        <v>1439</v>
      </c>
      <c r="D23" s="444">
        <v>41725</v>
      </c>
      <c r="E23" s="445">
        <v>100</v>
      </c>
      <c r="F23" s="440">
        <v>0.33333333333333331</v>
      </c>
      <c r="G23" s="439">
        <v>0.39583333333333331</v>
      </c>
      <c r="H23" s="439">
        <v>0.4375</v>
      </c>
      <c r="I23" s="470">
        <f t="shared" si="12"/>
        <v>4.1666666666666685E-2</v>
      </c>
      <c r="J23" s="439">
        <v>0</v>
      </c>
      <c r="K23" s="439">
        <v>0</v>
      </c>
      <c r="L23" s="474">
        <f t="shared" si="13"/>
        <v>0</v>
      </c>
      <c r="M23" s="470">
        <f t="shared" si="14"/>
        <v>4.1666666666666685E-2</v>
      </c>
      <c r="N23" s="445">
        <f t="shared" si="15"/>
        <v>100.00000000000004</v>
      </c>
      <c r="O23" s="446">
        <f t="shared" si="16"/>
        <v>0</v>
      </c>
      <c r="P23" s="445">
        <f t="shared" si="17"/>
        <v>100.00000000000004</v>
      </c>
    </row>
    <row r="24" spans="1:16" s="447" customFormat="1" ht="15.95" customHeight="1">
      <c r="A24" s="449" t="s">
        <v>62</v>
      </c>
      <c r="B24" s="442" t="s">
        <v>1441</v>
      </c>
      <c r="C24" s="450" t="s">
        <v>1439</v>
      </c>
      <c r="D24" s="444">
        <v>41725</v>
      </c>
      <c r="E24" s="445">
        <v>100</v>
      </c>
      <c r="F24" s="440">
        <v>0.33333333333333331</v>
      </c>
      <c r="G24" s="439">
        <v>0.39583333333333331</v>
      </c>
      <c r="H24" s="439">
        <v>0.4375</v>
      </c>
      <c r="I24" s="470">
        <f t="shared" si="12"/>
        <v>4.1666666666666685E-2</v>
      </c>
      <c r="J24" s="439">
        <v>0</v>
      </c>
      <c r="K24" s="439">
        <v>0</v>
      </c>
      <c r="L24" s="474">
        <f t="shared" si="13"/>
        <v>0</v>
      </c>
      <c r="M24" s="470">
        <f t="shared" si="14"/>
        <v>4.1666666666666685E-2</v>
      </c>
      <c r="N24" s="445">
        <f t="shared" si="15"/>
        <v>100.00000000000004</v>
      </c>
      <c r="O24" s="446">
        <f t="shared" si="16"/>
        <v>0</v>
      </c>
      <c r="P24" s="445">
        <f t="shared" si="17"/>
        <v>100.00000000000004</v>
      </c>
    </row>
    <row r="25" spans="1:16" s="447" customFormat="1" ht="15.95" customHeight="1">
      <c r="A25" s="449" t="s">
        <v>62</v>
      </c>
      <c r="B25" s="442" t="s">
        <v>1442</v>
      </c>
      <c r="C25" s="450" t="s">
        <v>1439</v>
      </c>
      <c r="D25" s="444">
        <v>41725</v>
      </c>
      <c r="E25" s="445">
        <v>100</v>
      </c>
      <c r="F25" s="440">
        <v>0.33333333333333331</v>
      </c>
      <c r="G25" s="439">
        <v>0.39583333333333331</v>
      </c>
      <c r="H25" s="439">
        <v>0.4375</v>
      </c>
      <c r="I25" s="470">
        <f t="shared" si="12"/>
        <v>4.1666666666666685E-2</v>
      </c>
      <c r="J25" s="439">
        <v>0</v>
      </c>
      <c r="K25" s="439">
        <v>0</v>
      </c>
      <c r="L25" s="474">
        <f t="shared" si="13"/>
        <v>0</v>
      </c>
      <c r="M25" s="470">
        <f t="shared" si="14"/>
        <v>4.1666666666666685E-2</v>
      </c>
      <c r="N25" s="445">
        <f t="shared" si="15"/>
        <v>100.00000000000004</v>
      </c>
      <c r="O25" s="446">
        <f t="shared" si="16"/>
        <v>0</v>
      </c>
      <c r="P25" s="445">
        <f t="shared" si="17"/>
        <v>100.00000000000004</v>
      </c>
    </row>
    <row r="26" spans="1:16" s="447" customFormat="1" ht="15.95" customHeight="1">
      <c r="A26" s="449" t="s">
        <v>62</v>
      </c>
      <c r="B26" s="442" t="s">
        <v>1443</v>
      </c>
      <c r="C26" s="450" t="s">
        <v>1439</v>
      </c>
      <c r="D26" s="444">
        <v>41725</v>
      </c>
      <c r="E26" s="445">
        <v>100</v>
      </c>
      <c r="F26" s="440">
        <v>0.33333333333333331</v>
      </c>
      <c r="G26" s="439">
        <v>0.39583333333333331</v>
      </c>
      <c r="H26" s="439">
        <v>0.4375</v>
      </c>
      <c r="I26" s="470">
        <f t="shared" si="12"/>
        <v>4.1666666666666685E-2</v>
      </c>
      <c r="J26" s="439">
        <v>0</v>
      </c>
      <c r="K26" s="439">
        <v>0</v>
      </c>
      <c r="L26" s="474">
        <f t="shared" si="13"/>
        <v>0</v>
      </c>
      <c r="M26" s="470">
        <f t="shared" si="14"/>
        <v>4.1666666666666685E-2</v>
      </c>
      <c r="N26" s="445">
        <f t="shared" si="15"/>
        <v>100.00000000000004</v>
      </c>
      <c r="O26" s="446">
        <f t="shared" si="16"/>
        <v>0</v>
      </c>
      <c r="P26" s="445">
        <f t="shared" si="17"/>
        <v>100.00000000000004</v>
      </c>
    </row>
    <row r="27" spans="1:16" s="447" customFormat="1" ht="15.95" customHeight="1">
      <c r="A27" s="449" t="s">
        <v>62</v>
      </c>
      <c r="B27" s="442" t="s">
        <v>1445</v>
      </c>
      <c r="C27" s="450" t="s">
        <v>1439</v>
      </c>
      <c r="D27" s="444">
        <v>41725</v>
      </c>
      <c r="E27" s="445">
        <v>100</v>
      </c>
      <c r="F27" s="440">
        <v>0.33333333333333331</v>
      </c>
      <c r="G27" s="439">
        <v>0.39583333333333331</v>
      </c>
      <c r="H27" s="439">
        <v>0.4375</v>
      </c>
      <c r="I27" s="470">
        <f t="shared" si="12"/>
        <v>4.1666666666666685E-2</v>
      </c>
      <c r="J27" s="439">
        <v>0</v>
      </c>
      <c r="K27" s="439">
        <v>0</v>
      </c>
      <c r="L27" s="474">
        <f t="shared" si="13"/>
        <v>0</v>
      </c>
      <c r="M27" s="470">
        <f t="shared" si="14"/>
        <v>4.1666666666666685E-2</v>
      </c>
      <c r="N27" s="445">
        <f t="shared" si="15"/>
        <v>100.00000000000004</v>
      </c>
      <c r="O27" s="446">
        <f t="shared" si="16"/>
        <v>0</v>
      </c>
      <c r="P27" s="445">
        <f t="shared" si="17"/>
        <v>100.00000000000004</v>
      </c>
    </row>
    <row r="28" spans="1:16" s="447" customFormat="1" ht="15.95" customHeight="1">
      <c r="A28" s="449" t="s">
        <v>62</v>
      </c>
      <c r="B28" s="453" t="s">
        <v>1452</v>
      </c>
      <c r="C28" s="450" t="s">
        <v>1439</v>
      </c>
      <c r="D28" s="444">
        <v>41725</v>
      </c>
      <c r="E28" s="445">
        <v>100</v>
      </c>
      <c r="F28" s="440">
        <v>0.33333333333333331</v>
      </c>
      <c r="G28" s="439">
        <v>0.39583333333333331</v>
      </c>
      <c r="H28" s="439">
        <v>0.47916666666666669</v>
      </c>
      <c r="I28" s="470">
        <f t="shared" si="12"/>
        <v>8.333333333333337E-2</v>
      </c>
      <c r="J28" s="439">
        <v>0</v>
      </c>
      <c r="K28" s="439">
        <v>0</v>
      </c>
      <c r="L28" s="474">
        <f t="shared" si="13"/>
        <v>0</v>
      </c>
      <c r="M28" s="470">
        <f t="shared" si="14"/>
        <v>8.333333333333337E-2</v>
      </c>
      <c r="N28" s="445">
        <f t="shared" si="15"/>
        <v>200.00000000000009</v>
      </c>
      <c r="O28" s="446">
        <f t="shared" si="16"/>
        <v>0</v>
      </c>
      <c r="P28" s="445">
        <f t="shared" si="17"/>
        <v>200.00000000000009</v>
      </c>
    </row>
    <row r="29" spans="1:16" s="447" customFormat="1" ht="15.95" customHeight="1">
      <c r="A29" s="449" t="s">
        <v>62</v>
      </c>
      <c r="B29" s="453" t="s">
        <v>1447</v>
      </c>
      <c r="C29" s="450" t="s">
        <v>1439</v>
      </c>
      <c r="D29" s="444">
        <v>41725</v>
      </c>
      <c r="E29" s="445">
        <v>100</v>
      </c>
      <c r="F29" s="440">
        <v>0.33333333333333331</v>
      </c>
      <c r="G29" s="439">
        <v>0.39583333333333331</v>
      </c>
      <c r="H29" s="439">
        <v>0.47916666666666669</v>
      </c>
      <c r="I29" s="470">
        <f t="shared" si="12"/>
        <v>8.333333333333337E-2</v>
      </c>
      <c r="J29" s="439">
        <v>0</v>
      </c>
      <c r="K29" s="439">
        <v>0</v>
      </c>
      <c r="L29" s="474">
        <f t="shared" si="13"/>
        <v>0</v>
      </c>
      <c r="M29" s="470">
        <f t="shared" si="14"/>
        <v>8.333333333333337E-2</v>
      </c>
      <c r="N29" s="445">
        <f t="shared" si="15"/>
        <v>200.00000000000009</v>
      </c>
      <c r="O29" s="446">
        <f t="shared" si="16"/>
        <v>0</v>
      </c>
      <c r="P29" s="445">
        <f t="shared" si="17"/>
        <v>200.00000000000009</v>
      </c>
    </row>
    <row r="30" spans="1:16" s="447" customFormat="1" ht="15.95" customHeight="1">
      <c r="A30" s="449" t="s">
        <v>62</v>
      </c>
      <c r="B30" s="453" t="s">
        <v>1448</v>
      </c>
      <c r="C30" s="450" t="s">
        <v>1439</v>
      </c>
      <c r="D30" s="444">
        <v>41725</v>
      </c>
      <c r="E30" s="445">
        <v>100</v>
      </c>
      <c r="F30" s="440">
        <v>0.33333333333333331</v>
      </c>
      <c r="G30" s="439">
        <v>0.39583333333333331</v>
      </c>
      <c r="H30" s="439">
        <v>0.47916666666666669</v>
      </c>
      <c r="I30" s="470">
        <f t="shared" si="12"/>
        <v>8.333333333333337E-2</v>
      </c>
      <c r="J30" s="439">
        <v>0</v>
      </c>
      <c r="K30" s="439">
        <v>0</v>
      </c>
      <c r="L30" s="474">
        <f t="shared" si="13"/>
        <v>0</v>
      </c>
      <c r="M30" s="470">
        <f t="shared" si="14"/>
        <v>8.333333333333337E-2</v>
      </c>
      <c r="N30" s="445">
        <f t="shared" si="15"/>
        <v>200.00000000000009</v>
      </c>
      <c r="O30" s="446">
        <f t="shared" si="16"/>
        <v>0</v>
      </c>
      <c r="P30" s="445">
        <f t="shared" si="17"/>
        <v>200.00000000000009</v>
      </c>
    </row>
    <row r="31" spans="1:16" s="447" customFormat="1" ht="15.95" customHeight="1">
      <c r="A31" s="449" t="s">
        <v>62</v>
      </c>
      <c r="B31" s="453" t="s">
        <v>1449</v>
      </c>
      <c r="C31" s="450" t="s">
        <v>1439</v>
      </c>
      <c r="D31" s="444">
        <v>41725</v>
      </c>
      <c r="E31" s="445">
        <v>100</v>
      </c>
      <c r="F31" s="440">
        <v>0.33333333333333331</v>
      </c>
      <c r="G31" s="439">
        <v>0.39583333333333331</v>
      </c>
      <c r="H31" s="439">
        <v>0.4375</v>
      </c>
      <c r="I31" s="470">
        <f t="shared" si="12"/>
        <v>4.1666666666666685E-2</v>
      </c>
      <c r="J31" s="439">
        <v>0</v>
      </c>
      <c r="K31" s="439">
        <v>0</v>
      </c>
      <c r="L31" s="474">
        <f t="shared" si="13"/>
        <v>0</v>
      </c>
      <c r="M31" s="470">
        <f t="shared" si="14"/>
        <v>4.1666666666666685E-2</v>
      </c>
      <c r="N31" s="445">
        <f t="shared" si="15"/>
        <v>100.00000000000004</v>
      </c>
      <c r="O31" s="446">
        <f t="shared" si="16"/>
        <v>0</v>
      </c>
      <c r="P31" s="445">
        <f t="shared" si="17"/>
        <v>100.00000000000004</v>
      </c>
    </row>
    <row r="32" spans="1:16" s="447" customFormat="1" ht="15.95" customHeight="1">
      <c r="A32" s="449" t="s">
        <v>62</v>
      </c>
      <c r="B32" s="442" t="s">
        <v>1453</v>
      </c>
      <c r="C32" s="450" t="s">
        <v>1439</v>
      </c>
      <c r="D32" s="444">
        <v>41744</v>
      </c>
      <c r="E32" s="445">
        <v>100</v>
      </c>
      <c r="F32" s="440">
        <v>0.33333333333333331</v>
      </c>
      <c r="G32" s="439">
        <v>0.39583333333333331</v>
      </c>
      <c r="H32" s="439">
        <v>0.4375</v>
      </c>
      <c r="I32" s="470">
        <f t="shared" si="12"/>
        <v>4.1666666666666685E-2</v>
      </c>
      <c r="J32" s="439">
        <v>0</v>
      </c>
      <c r="K32" s="439">
        <v>0</v>
      </c>
      <c r="L32" s="474">
        <f t="shared" si="13"/>
        <v>0</v>
      </c>
      <c r="M32" s="470">
        <f t="shared" si="14"/>
        <v>4.1666666666666685E-2</v>
      </c>
      <c r="N32" s="445">
        <f t="shared" si="15"/>
        <v>100.00000000000004</v>
      </c>
      <c r="O32" s="446">
        <f t="shared" si="16"/>
        <v>0</v>
      </c>
      <c r="P32" s="445">
        <f t="shared" si="17"/>
        <v>100.00000000000004</v>
      </c>
    </row>
    <row r="33" spans="1:16" s="447" customFormat="1" ht="15.95" customHeight="1">
      <c r="A33" s="449" t="s">
        <v>62</v>
      </c>
      <c r="B33" s="442" t="s">
        <v>1455</v>
      </c>
      <c r="C33" s="450" t="s">
        <v>1439</v>
      </c>
      <c r="D33" s="444">
        <v>41745</v>
      </c>
      <c r="E33" s="445">
        <v>150</v>
      </c>
      <c r="F33" s="440">
        <v>0.33333333333333331</v>
      </c>
      <c r="G33" s="439">
        <v>0.39583333333333331</v>
      </c>
      <c r="H33" s="439">
        <v>0.4375</v>
      </c>
      <c r="I33" s="470">
        <f t="shared" si="12"/>
        <v>4.1666666666666685E-2</v>
      </c>
      <c r="J33" s="439">
        <v>0</v>
      </c>
      <c r="K33" s="439">
        <v>0</v>
      </c>
      <c r="L33" s="474">
        <f t="shared" si="13"/>
        <v>0</v>
      </c>
      <c r="M33" s="470">
        <f t="shared" si="14"/>
        <v>4.1666666666666685E-2</v>
      </c>
      <c r="N33" s="445">
        <f t="shared" si="15"/>
        <v>150.00000000000006</v>
      </c>
      <c r="O33" s="446">
        <f t="shared" si="16"/>
        <v>0</v>
      </c>
      <c r="P33" s="445">
        <f t="shared" si="17"/>
        <v>150.00000000000006</v>
      </c>
    </row>
    <row r="34" spans="1:16" s="447" customFormat="1" ht="15.95" customHeight="1">
      <c r="A34" s="449" t="s">
        <v>62</v>
      </c>
      <c r="B34" s="442" t="s">
        <v>1454</v>
      </c>
      <c r="C34" s="450" t="s">
        <v>1439</v>
      </c>
      <c r="D34" s="444">
        <v>41746</v>
      </c>
      <c r="E34" s="445">
        <v>150</v>
      </c>
      <c r="F34" s="440">
        <v>0.33333333333333331</v>
      </c>
      <c r="G34" s="439">
        <v>0.39583333333333331</v>
      </c>
      <c r="H34" s="439">
        <v>0.4375</v>
      </c>
      <c r="I34" s="470">
        <f t="shared" si="12"/>
        <v>4.1666666666666685E-2</v>
      </c>
      <c r="J34" s="439">
        <v>0</v>
      </c>
      <c r="K34" s="439">
        <v>0</v>
      </c>
      <c r="L34" s="474">
        <f t="shared" si="13"/>
        <v>0</v>
      </c>
      <c r="M34" s="470">
        <f t="shared" si="14"/>
        <v>4.1666666666666685E-2</v>
      </c>
      <c r="N34" s="445">
        <f t="shared" si="15"/>
        <v>150.00000000000006</v>
      </c>
      <c r="O34" s="446">
        <f t="shared" si="16"/>
        <v>0</v>
      </c>
      <c r="P34" s="445">
        <f t="shared" si="17"/>
        <v>150.00000000000006</v>
      </c>
    </row>
    <row r="35" spans="1:16" s="447" customFormat="1" ht="15.95" customHeight="1">
      <c r="A35" s="449" t="s">
        <v>62</v>
      </c>
      <c r="B35" s="442" t="s">
        <v>1456</v>
      </c>
      <c r="C35" s="450" t="s">
        <v>1439</v>
      </c>
      <c r="D35" s="444">
        <v>41744</v>
      </c>
      <c r="E35" s="445">
        <v>50</v>
      </c>
      <c r="F35" s="440">
        <v>0.33333333333333331</v>
      </c>
      <c r="G35" s="439">
        <v>0.39583333333333331</v>
      </c>
      <c r="H35" s="439">
        <v>0.4375</v>
      </c>
      <c r="I35" s="470">
        <f t="shared" si="12"/>
        <v>4.1666666666666685E-2</v>
      </c>
      <c r="J35" s="439">
        <v>0</v>
      </c>
      <c r="K35" s="439">
        <v>0</v>
      </c>
      <c r="L35" s="474">
        <f t="shared" si="13"/>
        <v>0</v>
      </c>
      <c r="M35" s="470">
        <f t="shared" si="14"/>
        <v>4.1666666666666685E-2</v>
      </c>
      <c r="N35" s="445">
        <f t="shared" si="15"/>
        <v>50.000000000000021</v>
      </c>
      <c r="O35" s="446">
        <f t="shared" si="16"/>
        <v>0</v>
      </c>
      <c r="P35" s="445">
        <f t="shared" si="17"/>
        <v>50.000000000000021</v>
      </c>
    </row>
    <row r="36" spans="1:16" s="447" customFormat="1" ht="15.95" customHeight="1">
      <c r="A36" s="442" t="s">
        <v>996</v>
      </c>
      <c r="B36" s="442" t="s">
        <v>1661</v>
      </c>
      <c r="C36" s="454" t="s">
        <v>1660</v>
      </c>
      <c r="D36" s="444">
        <v>41976</v>
      </c>
      <c r="E36" s="445">
        <v>4.6900000000000004</v>
      </c>
      <c r="F36" s="440">
        <v>0.29166666666666669</v>
      </c>
      <c r="G36" s="439">
        <v>0.58333333333333337</v>
      </c>
      <c r="H36" s="439">
        <v>0.79166666666666663</v>
      </c>
      <c r="I36" s="470">
        <f t="shared" si="12"/>
        <v>0.20833333333333326</v>
      </c>
      <c r="J36" s="439">
        <v>0.83333333333333337</v>
      </c>
      <c r="K36" s="439">
        <v>0.91666666666666663</v>
      </c>
      <c r="L36" s="474">
        <f t="shared" si="13"/>
        <v>8.3333333333333259E-2</v>
      </c>
      <c r="M36" s="470">
        <f t="shared" si="14"/>
        <v>0.29166666666666652</v>
      </c>
      <c r="N36" s="445">
        <f t="shared" si="15"/>
        <v>32.829999999999984</v>
      </c>
      <c r="O36" s="446">
        <f t="shared" si="16"/>
        <v>0</v>
      </c>
      <c r="P36" s="445">
        <f t="shared" si="17"/>
        <v>32.829999999999984</v>
      </c>
    </row>
    <row r="37" spans="1:16" s="447" customFormat="1" ht="15.95" customHeight="1">
      <c r="A37" s="442" t="s">
        <v>996</v>
      </c>
      <c r="B37" s="442" t="s">
        <v>1661</v>
      </c>
      <c r="C37" s="454" t="s">
        <v>1660</v>
      </c>
      <c r="D37" s="444">
        <v>41977</v>
      </c>
      <c r="E37" s="445">
        <v>4.6900000000000004</v>
      </c>
      <c r="F37" s="440">
        <v>0.25</v>
      </c>
      <c r="G37" s="439">
        <v>0.79166666666666663</v>
      </c>
      <c r="H37" s="439">
        <v>0.90625</v>
      </c>
      <c r="I37" s="470">
        <f t="shared" si="12"/>
        <v>0.11458333333333337</v>
      </c>
      <c r="J37" s="439">
        <v>0.91666666666666663</v>
      </c>
      <c r="K37" s="439">
        <v>5.2083333333333336E-2</v>
      </c>
      <c r="L37" s="474">
        <f t="shared" si="13"/>
        <v>0.13541666666666674</v>
      </c>
      <c r="M37" s="470">
        <f t="shared" si="14"/>
        <v>0.25000000000000011</v>
      </c>
      <c r="N37" s="445">
        <f t="shared" si="15"/>
        <v>28.140000000000015</v>
      </c>
      <c r="O37" s="446">
        <f t="shared" si="16"/>
        <v>0</v>
      </c>
      <c r="P37" s="445">
        <f t="shared" si="17"/>
        <v>28.140000000000015</v>
      </c>
    </row>
    <row r="38" spans="1:16" s="447" customFormat="1" ht="15.95" customHeight="1">
      <c r="A38" s="442" t="s">
        <v>996</v>
      </c>
      <c r="B38" s="442" t="s">
        <v>1661</v>
      </c>
      <c r="C38" s="454" t="s">
        <v>1660</v>
      </c>
      <c r="D38" s="444">
        <v>41978</v>
      </c>
      <c r="E38" s="445">
        <v>4.6900000000000004</v>
      </c>
      <c r="F38" s="440">
        <v>0.33333333333333331</v>
      </c>
      <c r="G38" s="439">
        <v>0.77083333333333337</v>
      </c>
      <c r="H38" s="439">
        <v>0.875</v>
      </c>
      <c r="I38" s="470">
        <f t="shared" si="12"/>
        <v>0.10416666666666663</v>
      </c>
      <c r="J38" s="439">
        <v>0.91666666666666663</v>
      </c>
      <c r="K38" s="439">
        <v>0.14583333333333334</v>
      </c>
      <c r="L38" s="474">
        <f t="shared" si="13"/>
        <v>0.22916666666666674</v>
      </c>
      <c r="M38" s="470">
        <f t="shared" si="14"/>
        <v>0.33333333333333337</v>
      </c>
      <c r="N38" s="445">
        <f t="shared" si="15"/>
        <v>37.520000000000003</v>
      </c>
      <c r="O38" s="446">
        <f t="shared" si="16"/>
        <v>0</v>
      </c>
      <c r="P38" s="445">
        <f t="shared" si="17"/>
        <v>37.520000000000003</v>
      </c>
    </row>
    <row r="39" spans="1:16" s="447" customFormat="1" ht="15.95" customHeight="1">
      <c r="A39" s="442" t="s">
        <v>996</v>
      </c>
      <c r="B39" s="442" t="s">
        <v>1661</v>
      </c>
      <c r="C39" s="454" t="s">
        <v>1660</v>
      </c>
      <c r="D39" s="444">
        <v>41979</v>
      </c>
      <c r="E39" s="445">
        <v>4.6900000000000004</v>
      </c>
      <c r="F39" s="440">
        <v>0.29166666666666669</v>
      </c>
      <c r="G39" s="439">
        <v>0.78749999999999998</v>
      </c>
      <c r="H39" s="439">
        <v>0.8881944444444444</v>
      </c>
      <c r="I39" s="470">
        <f t="shared" si="12"/>
        <v>0.10069444444444442</v>
      </c>
      <c r="J39" s="439">
        <v>0.92986111111111114</v>
      </c>
      <c r="K39" s="439">
        <v>0.125</v>
      </c>
      <c r="L39" s="474">
        <f t="shared" si="13"/>
        <v>0.19513888888888886</v>
      </c>
      <c r="M39" s="470">
        <f t="shared" si="14"/>
        <v>0.29583333333333328</v>
      </c>
      <c r="N39" s="445">
        <f t="shared" si="15"/>
        <v>33.298999999999999</v>
      </c>
      <c r="O39" s="446">
        <f t="shared" si="16"/>
        <v>4.1666666666665964E-3</v>
      </c>
      <c r="P39" s="445">
        <f t="shared" si="17"/>
        <v>34.002499999999991</v>
      </c>
    </row>
    <row r="40" spans="1:16" s="455" customFormat="1" ht="15.95" customHeight="1">
      <c r="A40" s="442" t="s">
        <v>996</v>
      </c>
      <c r="B40" s="442" t="s">
        <v>1661</v>
      </c>
      <c r="C40" s="454" t="s">
        <v>1660</v>
      </c>
      <c r="D40" s="444">
        <v>41980</v>
      </c>
      <c r="E40" s="445">
        <v>4.6900000000000004</v>
      </c>
      <c r="F40" s="440">
        <v>0.25</v>
      </c>
      <c r="G40" s="439">
        <v>0.79236111111111107</v>
      </c>
      <c r="H40" s="439">
        <v>0.91041666666666676</v>
      </c>
      <c r="I40" s="470">
        <f t="shared" si="12"/>
        <v>0.11805555555555569</v>
      </c>
      <c r="J40" s="439">
        <v>0.92291666666666661</v>
      </c>
      <c r="K40" s="439">
        <v>5.2777777777777778E-2</v>
      </c>
      <c r="L40" s="474">
        <f t="shared" si="13"/>
        <v>0.1298611111111112</v>
      </c>
      <c r="M40" s="470">
        <f t="shared" si="14"/>
        <v>0.2479166666666669</v>
      </c>
      <c r="N40" s="445">
        <f t="shared" si="15"/>
        <v>27.905500000000028</v>
      </c>
      <c r="O40" s="446">
        <f t="shared" si="16"/>
        <v>0</v>
      </c>
      <c r="P40" s="445">
        <f t="shared" si="17"/>
        <v>27.905500000000028</v>
      </c>
    </row>
    <row r="41" spans="1:16" s="447" customFormat="1" ht="15.95" customHeight="1">
      <c r="A41" s="442" t="s">
        <v>996</v>
      </c>
      <c r="B41" s="442" t="s">
        <v>1661</v>
      </c>
      <c r="C41" s="454" t="s">
        <v>1660</v>
      </c>
      <c r="D41" s="444">
        <v>41981</v>
      </c>
      <c r="E41" s="445">
        <v>4.6900000000000004</v>
      </c>
      <c r="F41" s="440">
        <v>0.29166666666666669</v>
      </c>
      <c r="G41" s="439">
        <v>0.66666666666666663</v>
      </c>
      <c r="H41" s="439">
        <v>0.80069444444444438</v>
      </c>
      <c r="I41" s="470">
        <f t="shared" si="12"/>
        <v>0.13402777777777775</v>
      </c>
      <c r="J41" s="439">
        <v>0.84236111111111101</v>
      </c>
      <c r="K41" s="439">
        <v>0</v>
      </c>
      <c r="L41" s="474">
        <f t="shared" si="13"/>
        <v>0.15763888888888899</v>
      </c>
      <c r="M41" s="470">
        <f t="shared" si="14"/>
        <v>0.29166666666666674</v>
      </c>
      <c r="N41" s="445">
        <f t="shared" si="15"/>
        <v>32.830000000000013</v>
      </c>
      <c r="O41" s="446">
        <f t="shared" si="16"/>
        <v>0</v>
      </c>
      <c r="P41" s="445">
        <f t="shared" si="17"/>
        <v>32.830000000000013</v>
      </c>
    </row>
    <row r="42" spans="1:16" s="447" customFormat="1" ht="15.95" customHeight="1">
      <c r="A42" s="442" t="s">
        <v>996</v>
      </c>
      <c r="B42" s="442" t="s">
        <v>1661</v>
      </c>
      <c r="C42" s="454" t="s">
        <v>1660</v>
      </c>
      <c r="D42" s="444">
        <v>41982</v>
      </c>
      <c r="E42" s="445">
        <v>4.6900000000000004</v>
      </c>
      <c r="F42" s="440">
        <v>0.29166666666666669</v>
      </c>
      <c r="G42" s="439">
        <v>0.58124999999999993</v>
      </c>
      <c r="H42" s="439">
        <v>0.8027777777777777</v>
      </c>
      <c r="I42" s="470">
        <f t="shared" si="12"/>
        <v>0.22152777777777777</v>
      </c>
      <c r="J42" s="439">
        <v>0.84444444444444444</v>
      </c>
      <c r="K42" s="439">
        <v>0.91527777777777775</v>
      </c>
      <c r="L42" s="474">
        <f t="shared" si="13"/>
        <v>7.0833333333333304E-2</v>
      </c>
      <c r="M42" s="470">
        <f t="shared" si="14"/>
        <v>0.29236111111111107</v>
      </c>
      <c r="N42" s="445">
        <f t="shared" si="15"/>
        <v>32.908166666666666</v>
      </c>
      <c r="O42" s="446">
        <f t="shared" si="16"/>
        <v>6.9444444444438647E-4</v>
      </c>
      <c r="P42" s="445">
        <f t="shared" si="17"/>
        <v>33.025416666666658</v>
      </c>
    </row>
    <row r="43" spans="1:16" s="447" customFormat="1" ht="15.95" customHeight="1">
      <c r="A43" s="442" t="s">
        <v>996</v>
      </c>
      <c r="B43" s="442" t="s">
        <v>1662</v>
      </c>
      <c r="C43" s="454" t="s">
        <v>1660</v>
      </c>
      <c r="D43" s="444">
        <v>41983</v>
      </c>
      <c r="E43" s="445">
        <v>4.6900000000000004</v>
      </c>
      <c r="F43" s="440">
        <v>0.33333333333333331</v>
      </c>
      <c r="G43" s="439">
        <v>0.54166666666666663</v>
      </c>
      <c r="H43" s="439">
        <v>0.875</v>
      </c>
      <c r="I43" s="470">
        <f t="shared" si="12"/>
        <v>0.33333333333333337</v>
      </c>
      <c r="J43" s="439">
        <v>0</v>
      </c>
      <c r="K43" s="439">
        <v>0</v>
      </c>
      <c r="L43" s="474">
        <f t="shared" si="13"/>
        <v>0</v>
      </c>
      <c r="M43" s="470">
        <f t="shared" si="14"/>
        <v>0.33333333333333337</v>
      </c>
      <c r="N43" s="445">
        <f t="shared" si="15"/>
        <v>37.520000000000003</v>
      </c>
      <c r="O43" s="446">
        <f t="shared" si="16"/>
        <v>0</v>
      </c>
      <c r="P43" s="445">
        <f t="shared" si="17"/>
        <v>37.520000000000003</v>
      </c>
    </row>
    <row r="44" spans="1:16" s="447" customFormat="1" ht="15.95" customHeight="1">
      <c r="A44" s="442" t="s">
        <v>996</v>
      </c>
      <c r="B44" s="442" t="s">
        <v>1662</v>
      </c>
      <c r="C44" s="454" t="s">
        <v>1660</v>
      </c>
      <c r="D44" s="444">
        <v>41984</v>
      </c>
      <c r="E44" s="445"/>
      <c r="F44" s="440">
        <v>0</v>
      </c>
      <c r="G44" s="439">
        <v>0</v>
      </c>
      <c r="H44" s="439">
        <v>0</v>
      </c>
      <c r="I44" s="470">
        <f t="shared" si="12"/>
        <v>0</v>
      </c>
      <c r="J44" s="439">
        <v>0</v>
      </c>
      <c r="K44" s="439">
        <v>0</v>
      </c>
      <c r="L44" s="474">
        <f t="shared" si="13"/>
        <v>0</v>
      </c>
      <c r="M44" s="470">
        <f t="shared" si="14"/>
        <v>0</v>
      </c>
      <c r="N44" s="445">
        <f t="shared" si="15"/>
        <v>0</v>
      </c>
      <c r="O44" s="446">
        <f t="shared" si="16"/>
        <v>0</v>
      </c>
      <c r="P44" s="445">
        <f t="shared" si="17"/>
        <v>0</v>
      </c>
    </row>
    <row r="45" spans="1:16" s="447" customFormat="1" ht="15.95" customHeight="1">
      <c r="A45" s="442" t="s">
        <v>996</v>
      </c>
      <c r="B45" s="442" t="s">
        <v>1661</v>
      </c>
      <c r="C45" s="454" t="s">
        <v>1660</v>
      </c>
      <c r="D45" s="444">
        <v>41985</v>
      </c>
      <c r="E45" s="445">
        <v>4.6900000000000004</v>
      </c>
      <c r="F45" s="440">
        <v>0.29166666666666669</v>
      </c>
      <c r="G45" s="439">
        <v>0.58333333333333337</v>
      </c>
      <c r="H45" s="439">
        <v>0.7993055555555556</v>
      </c>
      <c r="I45" s="470">
        <f t="shared" si="12"/>
        <v>0.21597222222222223</v>
      </c>
      <c r="J45" s="439">
        <v>0.82013888888888886</v>
      </c>
      <c r="K45" s="439">
        <v>0.91805555555555562</v>
      </c>
      <c r="L45" s="474">
        <f t="shared" ref="L45:L66" si="18">MOD(K45-J45,1)</f>
        <v>9.7916666666666763E-2</v>
      </c>
      <c r="M45" s="470">
        <f t="shared" ref="M45:M66" si="19">I45+L45</f>
        <v>0.31388888888888899</v>
      </c>
      <c r="N45" s="445">
        <f t="shared" ref="N45:N66" si="20">(M45*24)*E45</f>
        <v>35.331333333333347</v>
      </c>
      <c r="O45" s="446">
        <f t="shared" ref="O45:O66" si="21">IF(M45&gt;F45,M45-F45,0)</f>
        <v>2.222222222222231E-2</v>
      </c>
      <c r="P45" s="445">
        <f t="shared" ref="P45:P66" si="22">N45+O45*24*1.5*E45</f>
        <v>39.083333333333364</v>
      </c>
    </row>
    <row r="46" spans="1:16" s="447" customFormat="1" ht="15.95" customHeight="1">
      <c r="A46" s="442" t="s">
        <v>996</v>
      </c>
      <c r="B46" s="442" t="s">
        <v>1661</v>
      </c>
      <c r="C46" s="454" t="s">
        <v>1660</v>
      </c>
      <c r="D46" s="444">
        <v>41986</v>
      </c>
      <c r="E46" s="445">
        <v>4.6900000000000004</v>
      </c>
      <c r="F46" s="440">
        <v>0.29166666666666669</v>
      </c>
      <c r="G46" s="439">
        <v>0.58750000000000002</v>
      </c>
      <c r="H46" s="439">
        <v>0.77986111111111101</v>
      </c>
      <c r="I46" s="470">
        <f t="shared" ref="I46:I51" si="23">MOD(H46-G46,1)</f>
        <v>0.19236111111111098</v>
      </c>
      <c r="J46" s="439">
        <v>0.82152777777777775</v>
      </c>
      <c r="K46" s="439">
        <v>0.92986111111111114</v>
      </c>
      <c r="L46" s="474">
        <f t="shared" si="18"/>
        <v>0.10833333333333339</v>
      </c>
      <c r="M46" s="470">
        <f t="shared" si="19"/>
        <v>0.30069444444444438</v>
      </c>
      <c r="N46" s="445">
        <f t="shared" si="20"/>
        <v>33.846166666666662</v>
      </c>
      <c r="O46" s="446">
        <f t="shared" si="21"/>
        <v>9.0277777777776902E-3</v>
      </c>
      <c r="P46" s="445">
        <f t="shared" si="22"/>
        <v>35.37041666666665</v>
      </c>
    </row>
    <row r="47" spans="1:16" s="447" customFormat="1" ht="15.95" customHeight="1">
      <c r="A47" s="442" t="s">
        <v>996</v>
      </c>
      <c r="B47" s="442" t="s">
        <v>1661</v>
      </c>
      <c r="C47" s="454" t="s">
        <v>1660</v>
      </c>
      <c r="D47" s="444">
        <v>41987</v>
      </c>
      <c r="E47" s="445">
        <v>4.6900000000000004</v>
      </c>
      <c r="F47" s="440">
        <v>0.29166666666666669</v>
      </c>
      <c r="G47" s="439">
        <v>0.58333333333333337</v>
      </c>
      <c r="H47" s="439">
        <v>0.7104166666666667</v>
      </c>
      <c r="I47" s="470">
        <f t="shared" si="23"/>
        <v>0.12708333333333333</v>
      </c>
      <c r="J47" s="439">
        <v>0.75208333333333333</v>
      </c>
      <c r="K47" s="439">
        <v>0.92013888888888884</v>
      </c>
      <c r="L47" s="474">
        <f t="shared" si="18"/>
        <v>0.16805555555555551</v>
      </c>
      <c r="M47" s="470">
        <f t="shared" si="19"/>
        <v>0.29513888888888884</v>
      </c>
      <c r="N47" s="445">
        <f t="shared" si="20"/>
        <v>33.220833333333331</v>
      </c>
      <c r="O47" s="446">
        <f t="shared" si="21"/>
        <v>3.4722222222221544E-3</v>
      </c>
      <c r="P47" s="445">
        <f t="shared" si="22"/>
        <v>33.807083333333317</v>
      </c>
    </row>
    <row r="48" spans="1:16" s="447" customFormat="1" ht="15.95" customHeight="1">
      <c r="A48" s="442" t="s">
        <v>996</v>
      </c>
      <c r="B48" s="442" t="s">
        <v>1661</v>
      </c>
      <c r="C48" s="454" t="s">
        <v>1660</v>
      </c>
      <c r="D48" s="444">
        <v>41988</v>
      </c>
      <c r="E48" s="445">
        <v>4.6900000000000004</v>
      </c>
      <c r="F48" s="440">
        <v>0.29166666666666669</v>
      </c>
      <c r="G48" s="439">
        <v>0.5805555555555556</v>
      </c>
      <c r="H48" s="439">
        <v>0.79305555555555562</v>
      </c>
      <c r="I48" s="470">
        <f t="shared" si="23"/>
        <v>0.21250000000000002</v>
      </c>
      <c r="J48" s="439">
        <v>0.83472222222222225</v>
      </c>
      <c r="K48" s="439">
        <v>0.9145833333333333</v>
      </c>
      <c r="L48" s="474">
        <f t="shared" si="18"/>
        <v>7.9861111111111049E-2</v>
      </c>
      <c r="M48" s="470">
        <f t="shared" si="19"/>
        <v>0.29236111111111107</v>
      </c>
      <c r="N48" s="445">
        <f t="shared" si="20"/>
        <v>32.908166666666666</v>
      </c>
      <c r="O48" s="446">
        <f t="shared" si="21"/>
        <v>6.9444444444438647E-4</v>
      </c>
      <c r="P48" s="445">
        <f t="shared" si="22"/>
        <v>33.025416666666658</v>
      </c>
    </row>
    <row r="49" spans="1:16" s="447" customFormat="1" ht="15.95" customHeight="1">
      <c r="A49" s="442" t="s">
        <v>996</v>
      </c>
      <c r="B49" s="442" t="s">
        <v>1661</v>
      </c>
      <c r="C49" s="454" t="s">
        <v>1660</v>
      </c>
      <c r="D49" s="444">
        <v>41989</v>
      </c>
      <c r="E49" s="445">
        <v>4.6900000000000004</v>
      </c>
      <c r="F49" s="440">
        <v>0.29166666666666669</v>
      </c>
      <c r="G49" s="439">
        <v>0.58194444444444449</v>
      </c>
      <c r="H49" s="439">
        <v>0.80902777777777779</v>
      </c>
      <c r="I49" s="470">
        <f t="shared" si="23"/>
        <v>0.2270833333333333</v>
      </c>
      <c r="J49" s="439">
        <v>0.85069444444444453</v>
      </c>
      <c r="K49" s="439">
        <v>0.93402777777777779</v>
      </c>
      <c r="L49" s="474">
        <f t="shared" si="18"/>
        <v>8.3333333333333259E-2</v>
      </c>
      <c r="M49" s="470">
        <f t="shared" si="19"/>
        <v>0.31041666666666656</v>
      </c>
      <c r="N49" s="445">
        <f t="shared" si="20"/>
        <v>34.940499999999993</v>
      </c>
      <c r="O49" s="446">
        <f t="shared" si="21"/>
        <v>1.8749999999999878E-2</v>
      </c>
      <c r="P49" s="445">
        <f t="shared" si="22"/>
        <v>38.106249999999974</v>
      </c>
    </row>
    <row r="50" spans="1:16" s="447" customFormat="1" ht="15.95" customHeight="1">
      <c r="A50" s="442" t="s">
        <v>996</v>
      </c>
      <c r="B50" s="442" t="s">
        <v>1662</v>
      </c>
      <c r="C50" s="454" t="s">
        <v>1660</v>
      </c>
      <c r="D50" s="444">
        <v>41990</v>
      </c>
      <c r="E50" s="445">
        <v>4.6900000000000004</v>
      </c>
      <c r="F50" s="440">
        <v>0.33333333333333331</v>
      </c>
      <c r="G50" s="439">
        <v>0.54166666666666663</v>
      </c>
      <c r="H50" s="439">
        <v>0.875</v>
      </c>
      <c r="I50" s="470">
        <f t="shared" si="23"/>
        <v>0.33333333333333337</v>
      </c>
      <c r="J50" s="439">
        <v>0</v>
      </c>
      <c r="K50" s="439">
        <v>0</v>
      </c>
      <c r="L50" s="474">
        <f t="shared" si="18"/>
        <v>0</v>
      </c>
      <c r="M50" s="470">
        <f t="shared" si="19"/>
        <v>0.33333333333333337</v>
      </c>
      <c r="N50" s="445">
        <f t="shared" si="20"/>
        <v>37.520000000000003</v>
      </c>
      <c r="O50" s="446">
        <f t="shared" si="21"/>
        <v>0</v>
      </c>
      <c r="P50" s="445">
        <f t="shared" si="22"/>
        <v>37.520000000000003</v>
      </c>
    </row>
    <row r="51" spans="1:16" s="447" customFormat="1" ht="15.95" customHeight="1">
      <c r="A51" s="442" t="s">
        <v>996</v>
      </c>
      <c r="B51" s="442" t="s">
        <v>1662</v>
      </c>
      <c r="C51" s="454" t="s">
        <v>1660</v>
      </c>
      <c r="D51" s="444">
        <v>41991</v>
      </c>
      <c r="E51" s="445"/>
      <c r="F51" s="440">
        <v>0</v>
      </c>
      <c r="G51" s="439">
        <v>0</v>
      </c>
      <c r="H51" s="439">
        <v>0</v>
      </c>
      <c r="I51" s="470">
        <f t="shared" si="23"/>
        <v>0</v>
      </c>
      <c r="J51" s="439">
        <v>0</v>
      </c>
      <c r="K51" s="439">
        <v>0</v>
      </c>
      <c r="L51" s="474">
        <f t="shared" si="18"/>
        <v>0</v>
      </c>
      <c r="M51" s="470">
        <f t="shared" si="19"/>
        <v>0</v>
      </c>
      <c r="N51" s="445">
        <f t="shared" si="20"/>
        <v>0</v>
      </c>
      <c r="O51" s="446">
        <f t="shared" si="21"/>
        <v>0</v>
      </c>
      <c r="P51" s="445">
        <f t="shared" si="22"/>
        <v>0</v>
      </c>
    </row>
    <row r="52" spans="1:16" s="447" customFormat="1" ht="15.95" customHeight="1">
      <c r="A52" s="442" t="s">
        <v>996</v>
      </c>
      <c r="B52" s="442" t="s">
        <v>1661</v>
      </c>
      <c r="C52" s="454" t="s">
        <v>1660</v>
      </c>
      <c r="D52" s="444">
        <v>41992</v>
      </c>
      <c r="E52" s="445">
        <v>4.6900000000000004</v>
      </c>
      <c r="F52" s="440">
        <v>0.29166666666666669</v>
      </c>
      <c r="G52" s="439">
        <v>0.58333333333333337</v>
      </c>
      <c r="H52" s="439">
        <v>0.77569444444444446</v>
      </c>
      <c r="I52" s="470">
        <f>MOD(H52-G52,1)</f>
        <v>0.19236111111111109</v>
      </c>
      <c r="J52" s="439">
        <v>0.81736111111111109</v>
      </c>
      <c r="K52" s="439">
        <v>0.9243055555555556</v>
      </c>
      <c r="L52" s="474">
        <f t="shared" si="18"/>
        <v>0.10694444444444451</v>
      </c>
      <c r="M52" s="470">
        <f t="shared" si="19"/>
        <v>0.2993055555555556</v>
      </c>
      <c r="N52" s="445">
        <f t="shared" si="20"/>
        <v>33.68983333333334</v>
      </c>
      <c r="O52" s="446">
        <f t="shared" si="21"/>
        <v>7.6388888888889173E-3</v>
      </c>
      <c r="P52" s="445">
        <f t="shared" si="22"/>
        <v>34.979583333333345</v>
      </c>
    </row>
    <row r="53" spans="1:16" s="447" customFormat="1" ht="15.95" customHeight="1">
      <c r="A53" s="442" t="s">
        <v>996</v>
      </c>
      <c r="B53" s="442" t="s">
        <v>1661</v>
      </c>
      <c r="C53" s="454" t="s">
        <v>1660</v>
      </c>
      <c r="D53" s="444">
        <v>41993</v>
      </c>
      <c r="E53" s="445">
        <v>4.6900000000000004</v>
      </c>
      <c r="F53" s="440">
        <v>0.29166666666666669</v>
      </c>
      <c r="G53" s="439">
        <v>0.58194444444444449</v>
      </c>
      <c r="H53" s="439">
        <v>0.8027777777777777</v>
      </c>
      <c r="I53" s="470">
        <f t="shared" ref="I53:I61" si="24">MOD(H53-G53,1)</f>
        <v>0.22083333333333321</v>
      </c>
      <c r="J53" s="439">
        <v>0.84444444444444444</v>
      </c>
      <c r="K53" s="439">
        <v>0.93333333333333324</v>
      </c>
      <c r="L53" s="474">
        <f t="shared" si="18"/>
        <v>8.8888888888888795E-2</v>
      </c>
      <c r="M53" s="470">
        <f t="shared" si="19"/>
        <v>0.30972222222222201</v>
      </c>
      <c r="N53" s="445">
        <f t="shared" si="20"/>
        <v>34.862333333333311</v>
      </c>
      <c r="O53" s="446">
        <f t="shared" si="21"/>
        <v>1.8055555555555325E-2</v>
      </c>
      <c r="P53" s="445">
        <f t="shared" si="22"/>
        <v>37.910833333333272</v>
      </c>
    </row>
    <row r="54" spans="1:16" s="447" customFormat="1" ht="15.95" customHeight="1">
      <c r="A54" s="442" t="s">
        <v>996</v>
      </c>
      <c r="B54" s="442" t="s">
        <v>1661</v>
      </c>
      <c r="C54" s="454" t="s">
        <v>1663</v>
      </c>
      <c r="D54" s="444">
        <v>41994</v>
      </c>
      <c r="E54" s="445">
        <v>4.6900000000000004</v>
      </c>
      <c r="F54" s="440">
        <v>0.33333333333333331</v>
      </c>
      <c r="G54" s="439">
        <v>0.58194444444444449</v>
      </c>
      <c r="H54" s="439">
        <v>0.80625000000000002</v>
      </c>
      <c r="I54" s="470">
        <f t="shared" si="24"/>
        <v>0.22430555555555554</v>
      </c>
      <c r="J54" s="439">
        <v>0.84791666666666676</v>
      </c>
      <c r="K54" s="439">
        <v>1.2499999999999999E-2</v>
      </c>
      <c r="L54" s="474">
        <f t="shared" si="18"/>
        <v>0.16458333333333319</v>
      </c>
      <c r="M54" s="470">
        <f t="shared" si="19"/>
        <v>0.38888888888888873</v>
      </c>
      <c r="N54" s="445">
        <f t="shared" si="20"/>
        <v>43.773333333333312</v>
      </c>
      <c r="O54" s="446">
        <f t="shared" si="21"/>
        <v>5.5555555555555414E-2</v>
      </c>
      <c r="P54" s="445">
        <f t="shared" si="22"/>
        <v>53.153333333333293</v>
      </c>
    </row>
    <row r="55" spans="1:16" s="447" customFormat="1" ht="15.95" customHeight="1">
      <c r="A55" s="442" t="s">
        <v>996</v>
      </c>
      <c r="B55" s="442" t="s">
        <v>1677</v>
      </c>
      <c r="C55" s="454" t="s">
        <v>1669</v>
      </c>
      <c r="D55" s="444">
        <v>41994</v>
      </c>
      <c r="E55" s="445">
        <v>4.6900000000000004</v>
      </c>
      <c r="F55" s="440">
        <v>0</v>
      </c>
      <c r="G55" s="439">
        <v>0</v>
      </c>
      <c r="H55" s="439">
        <v>5.5555555555555552E-2</v>
      </c>
      <c r="I55" s="470">
        <f>MOD(H55-G55,1)</f>
        <v>5.5555555555555552E-2</v>
      </c>
      <c r="J55" s="439">
        <v>0</v>
      </c>
      <c r="K55" s="439">
        <v>0</v>
      </c>
      <c r="L55" s="474">
        <f>MOD(K55-J55,1)</f>
        <v>0</v>
      </c>
      <c r="M55" s="470">
        <f>I55+L55</f>
        <v>5.5555555555555552E-2</v>
      </c>
      <c r="N55" s="445">
        <f>(M55*24)*E55</f>
        <v>6.2533333333333339</v>
      </c>
      <c r="O55" s="446">
        <f>IF(M55&gt;F55,M55-F55,0)</f>
        <v>5.5555555555555552E-2</v>
      </c>
      <c r="P55" s="445">
        <f>N55+O55*24*1.5*E55</f>
        <v>15.633333333333335</v>
      </c>
    </row>
    <row r="56" spans="1:16" s="447" customFormat="1" ht="15.95" customHeight="1">
      <c r="A56" s="442" t="s">
        <v>996</v>
      </c>
      <c r="B56" s="442" t="s">
        <v>1661</v>
      </c>
      <c r="C56" s="454" t="s">
        <v>1663</v>
      </c>
      <c r="D56" s="444">
        <v>41995</v>
      </c>
      <c r="E56" s="445">
        <v>4.6900000000000004</v>
      </c>
      <c r="F56" s="440">
        <v>0.29166666666666669</v>
      </c>
      <c r="G56" s="439">
        <v>0.67013888888888884</v>
      </c>
      <c r="H56" s="439">
        <v>0.81944444444444453</v>
      </c>
      <c r="I56" s="470">
        <f t="shared" si="24"/>
        <v>0.14930555555555569</v>
      </c>
      <c r="J56" s="439">
        <v>0.86041666666666661</v>
      </c>
      <c r="K56" s="439">
        <v>6.9444444444444441E-3</v>
      </c>
      <c r="L56" s="474">
        <f t="shared" si="18"/>
        <v>0.14652777777777781</v>
      </c>
      <c r="M56" s="470">
        <f t="shared" si="19"/>
        <v>0.2958333333333335</v>
      </c>
      <c r="N56" s="445">
        <f t="shared" si="20"/>
        <v>33.299000000000021</v>
      </c>
      <c r="O56" s="446">
        <f t="shared" si="21"/>
        <v>4.1666666666668184E-3</v>
      </c>
      <c r="P56" s="445">
        <f t="shared" si="22"/>
        <v>34.002500000000047</v>
      </c>
    </row>
    <row r="57" spans="1:16" s="447" customFormat="1" ht="15.95" customHeight="1">
      <c r="A57" s="442" t="s">
        <v>996</v>
      </c>
      <c r="B57" s="442" t="s">
        <v>1676</v>
      </c>
      <c r="C57" s="454" t="s">
        <v>1669</v>
      </c>
      <c r="D57" s="444">
        <v>41995</v>
      </c>
      <c r="E57" s="445">
        <v>4.6900000000000004</v>
      </c>
      <c r="F57" s="440">
        <v>0</v>
      </c>
      <c r="G57" s="439">
        <v>0</v>
      </c>
      <c r="H57" s="439">
        <v>4.1666666666666666E-3</v>
      </c>
      <c r="I57" s="470">
        <f>MOD(H57-G57,1)</f>
        <v>4.1666666666666666E-3</v>
      </c>
      <c r="J57" s="439">
        <v>0</v>
      </c>
      <c r="K57" s="439">
        <v>0</v>
      </c>
      <c r="L57" s="474">
        <f>MOD(K57-J57,1)</f>
        <v>0</v>
      </c>
      <c r="M57" s="470">
        <f>I57+L57</f>
        <v>4.1666666666666666E-3</v>
      </c>
      <c r="N57" s="445">
        <f>(M57*24)*E57</f>
        <v>0.46900000000000008</v>
      </c>
      <c r="O57" s="446">
        <f>IF(M57&gt;F57,M57-F57,0)</f>
        <v>4.1666666666666666E-3</v>
      </c>
      <c r="P57" s="445">
        <f>N57+O57*24*1.5*E57</f>
        <v>1.1725000000000003</v>
      </c>
    </row>
    <row r="58" spans="1:16" s="447" customFormat="1" ht="15.95" customHeight="1">
      <c r="A58" s="442" t="s">
        <v>996</v>
      </c>
      <c r="B58" s="442" t="s">
        <v>1661</v>
      </c>
      <c r="C58" s="454" t="s">
        <v>1663</v>
      </c>
      <c r="D58" s="444">
        <v>41996</v>
      </c>
      <c r="E58" s="445">
        <v>4.6900000000000004</v>
      </c>
      <c r="F58" s="440">
        <v>0.29166666666666669</v>
      </c>
      <c r="G58" s="439">
        <v>0.59375</v>
      </c>
      <c r="H58" s="439">
        <v>0.80486111111111114</v>
      </c>
      <c r="I58" s="470">
        <f t="shared" si="24"/>
        <v>0.21111111111111114</v>
      </c>
      <c r="J58" s="439">
        <v>0.84652777777777777</v>
      </c>
      <c r="K58" s="439">
        <v>0.93472222222222223</v>
      </c>
      <c r="L58" s="474">
        <f t="shared" si="18"/>
        <v>8.8194444444444464E-2</v>
      </c>
      <c r="M58" s="470">
        <f t="shared" si="19"/>
        <v>0.2993055555555556</v>
      </c>
      <c r="N58" s="445">
        <f t="shared" si="20"/>
        <v>33.68983333333334</v>
      </c>
      <c r="O58" s="446">
        <f t="shared" si="21"/>
        <v>7.6388888888889173E-3</v>
      </c>
      <c r="P58" s="445">
        <f t="shared" si="22"/>
        <v>34.979583333333345</v>
      </c>
    </row>
    <row r="59" spans="1:16" s="447" customFormat="1" ht="15.95" customHeight="1">
      <c r="A59" s="442" t="s">
        <v>996</v>
      </c>
      <c r="B59" s="442" t="s">
        <v>1662</v>
      </c>
      <c r="C59" s="454" t="s">
        <v>1669</v>
      </c>
      <c r="D59" s="444">
        <v>41997</v>
      </c>
      <c r="E59" s="445">
        <v>4.6900000000000004</v>
      </c>
      <c r="F59" s="440">
        <v>0.33333333333333331</v>
      </c>
      <c r="G59" s="439">
        <v>0.54166666666666663</v>
      </c>
      <c r="H59" s="439">
        <v>0.875</v>
      </c>
      <c r="I59" s="470">
        <f t="shared" si="24"/>
        <v>0.33333333333333337</v>
      </c>
      <c r="J59" s="439">
        <v>0</v>
      </c>
      <c r="K59" s="439">
        <v>0</v>
      </c>
      <c r="L59" s="474">
        <f>MOD(K59-J59,1)</f>
        <v>0</v>
      </c>
      <c r="M59" s="470">
        <f>I59+L59</f>
        <v>0.33333333333333337</v>
      </c>
      <c r="N59" s="445">
        <f>(M59*24)*E59</f>
        <v>37.520000000000003</v>
      </c>
      <c r="O59" s="446">
        <f>IF(M59&gt;F59,M59-F59,0)</f>
        <v>0</v>
      </c>
      <c r="P59" s="445">
        <f>N59+O59*24*1.5*E59</f>
        <v>37.520000000000003</v>
      </c>
    </row>
    <row r="60" spans="1:16" s="447" customFormat="1" ht="15.95" customHeight="1">
      <c r="A60" s="442" t="s">
        <v>996</v>
      </c>
      <c r="B60" s="442" t="s">
        <v>1675</v>
      </c>
      <c r="C60" s="454" t="s">
        <v>1669</v>
      </c>
      <c r="D60" s="444">
        <v>41996</v>
      </c>
      <c r="E60" s="445">
        <v>4.6900000000000004</v>
      </c>
      <c r="F60" s="440">
        <v>0</v>
      </c>
      <c r="G60" s="439">
        <v>0</v>
      </c>
      <c r="H60" s="439">
        <v>7.6388888888888886E-3</v>
      </c>
      <c r="I60" s="470">
        <f t="shared" si="24"/>
        <v>7.6388888888888886E-3</v>
      </c>
      <c r="J60" s="439">
        <v>0</v>
      </c>
      <c r="K60" s="439">
        <v>0</v>
      </c>
      <c r="L60" s="474">
        <f>MOD(K60-J60,1)</f>
        <v>0</v>
      </c>
      <c r="M60" s="470">
        <f>I60+L60</f>
        <v>7.6388888888888886E-3</v>
      </c>
      <c r="N60" s="445">
        <f>(M60*24)*E60</f>
        <v>0.85983333333333334</v>
      </c>
      <c r="O60" s="446">
        <f>IF(M60&gt;F60,M60-F60,0)</f>
        <v>7.6388888888888886E-3</v>
      </c>
      <c r="P60" s="445">
        <f>N60+O60*24*1.5*E60</f>
        <v>2.1495833333333332</v>
      </c>
    </row>
    <row r="61" spans="1:16" s="447" customFormat="1" ht="15.95" customHeight="1">
      <c r="A61" s="442" t="s">
        <v>996</v>
      </c>
      <c r="B61" s="442" t="s">
        <v>1662</v>
      </c>
      <c r="C61" s="454" t="s">
        <v>1663</v>
      </c>
      <c r="D61" s="444">
        <v>41998</v>
      </c>
      <c r="E61" s="445"/>
      <c r="F61" s="440">
        <v>0</v>
      </c>
      <c r="G61" s="439">
        <v>0</v>
      </c>
      <c r="H61" s="439">
        <v>0</v>
      </c>
      <c r="I61" s="470">
        <f t="shared" si="24"/>
        <v>0</v>
      </c>
      <c r="J61" s="439">
        <v>0</v>
      </c>
      <c r="K61" s="439">
        <v>0</v>
      </c>
      <c r="L61" s="474">
        <f>MOD(K61-J61,1)</f>
        <v>0</v>
      </c>
      <c r="M61" s="470">
        <f>I61+L61</f>
        <v>0</v>
      </c>
      <c r="N61" s="445">
        <f>(M61*24)*E61</f>
        <v>0</v>
      </c>
      <c r="O61" s="446">
        <f>IF(M61&gt;F61,M61-F61,0)</f>
        <v>0</v>
      </c>
      <c r="P61" s="445">
        <f>N61+O61*24*1.5*E61</f>
        <v>0</v>
      </c>
    </row>
    <row r="62" spans="1:16" s="447" customFormat="1" ht="15.95" customHeight="1">
      <c r="A62" s="442" t="s">
        <v>996</v>
      </c>
      <c r="B62" s="442" t="s">
        <v>1661</v>
      </c>
      <c r="C62" s="454" t="s">
        <v>1663</v>
      </c>
      <c r="D62" s="444">
        <v>41999</v>
      </c>
      <c r="E62" s="445">
        <v>4.6900000000000004</v>
      </c>
      <c r="F62" s="440">
        <v>0.33333333333333331</v>
      </c>
      <c r="G62" s="439">
        <v>0.75277777777777777</v>
      </c>
      <c r="H62" s="439">
        <v>0.8222222222222223</v>
      </c>
      <c r="I62" s="470">
        <f t="shared" ref="I62:I75" si="25">MOD(H62-G62,1)</f>
        <v>6.9444444444444531E-2</v>
      </c>
      <c r="J62" s="439">
        <v>0.86388888888888893</v>
      </c>
      <c r="K62" s="439">
        <v>0.15347222222222223</v>
      </c>
      <c r="L62" s="474">
        <f t="shared" si="18"/>
        <v>0.2895833333333333</v>
      </c>
      <c r="M62" s="470">
        <f t="shared" si="19"/>
        <v>0.35902777777777783</v>
      </c>
      <c r="N62" s="445">
        <f t="shared" si="20"/>
        <v>40.412166666666671</v>
      </c>
      <c r="O62" s="446">
        <f t="shared" si="21"/>
        <v>2.569444444444452E-2</v>
      </c>
      <c r="P62" s="445">
        <f t="shared" si="22"/>
        <v>44.75041666666668</v>
      </c>
    </row>
    <row r="63" spans="1:16" s="447" customFormat="1" ht="15.95" customHeight="1">
      <c r="A63" s="442" t="s">
        <v>996</v>
      </c>
      <c r="B63" s="442" t="s">
        <v>1674</v>
      </c>
      <c r="C63" s="454" t="s">
        <v>1669</v>
      </c>
      <c r="D63" s="444">
        <v>41999</v>
      </c>
      <c r="E63" s="445">
        <v>4.6900000000000004</v>
      </c>
      <c r="F63" s="440">
        <v>0</v>
      </c>
      <c r="G63" s="439">
        <v>0</v>
      </c>
      <c r="H63" s="439">
        <v>2.5694444444444447E-2</v>
      </c>
      <c r="I63" s="470">
        <f t="shared" si="25"/>
        <v>2.5694444444444447E-2</v>
      </c>
      <c r="J63" s="439">
        <v>0</v>
      </c>
      <c r="K63" s="439">
        <v>0</v>
      </c>
      <c r="L63" s="474">
        <f t="shared" si="18"/>
        <v>0</v>
      </c>
      <c r="M63" s="470">
        <f t="shared" si="19"/>
        <v>2.5694444444444447E-2</v>
      </c>
      <c r="N63" s="445">
        <f t="shared" si="20"/>
        <v>2.8921666666666672</v>
      </c>
      <c r="O63" s="446">
        <f t="shared" si="21"/>
        <v>2.5694444444444447E-2</v>
      </c>
      <c r="P63" s="445">
        <f t="shared" si="22"/>
        <v>7.2304166666666676</v>
      </c>
    </row>
    <row r="64" spans="1:16" s="447" customFormat="1" ht="15.95" customHeight="1">
      <c r="A64" s="442" t="s">
        <v>996</v>
      </c>
      <c r="B64" s="442" t="s">
        <v>1661</v>
      </c>
      <c r="C64" s="454" t="s">
        <v>1663</v>
      </c>
      <c r="D64" s="444">
        <v>42000</v>
      </c>
      <c r="E64" s="445">
        <v>4.6900000000000004</v>
      </c>
      <c r="F64" s="440">
        <v>0.29166666666666669</v>
      </c>
      <c r="G64" s="439">
        <v>0.78263888888888899</v>
      </c>
      <c r="H64" s="439">
        <v>0.87569444444444444</v>
      </c>
      <c r="I64" s="470">
        <f t="shared" si="25"/>
        <v>9.3055555555555447E-2</v>
      </c>
      <c r="J64" s="439">
        <v>0.91666666666666663</v>
      </c>
      <c r="K64" s="439">
        <v>0.14583333333333334</v>
      </c>
      <c r="L64" s="474">
        <f t="shared" si="18"/>
        <v>0.22916666666666674</v>
      </c>
      <c r="M64" s="470">
        <f t="shared" si="19"/>
        <v>0.32222222222222219</v>
      </c>
      <c r="N64" s="445">
        <f t="shared" si="20"/>
        <v>36.269333333333336</v>
      </c>
      <c r="O64" s="446">
        <f t="shared" si="21"/>
        <v>3.0555555555555503E-2</v>
      </c>
      <c r="P64" s="445">
        <f t="shared" si="22"/>
        <v>41.428333333333327</v>
      </c>
    </row>
    <row r="65" spans="1:16" s="447" customFormat="1" ht="15.95" customHeight="1">
      <c r="A65" s="442" t="s">
        <v>996</v>
      </c>
      <c r="B65" s="442" t="s">
        <v>1673</v>
      </c>
      <c r="C65" s="454" t="s">
        <v>1669</v>
      </c>
      <c r="D65" s="444">
        <v>42000</v>
      </c>
      <c r="E65" s="445">
        <v>4.6900000000000004</v>
      </c>
      <c r="F65" s="440">
        <v>0</v>
      </c>
      <c r="G65" s="439">
        <v>0</v>
      </c>
      <c r="H65" s="439">
        <v>3.0555555555555555E-2</v>
      </c>
      <c r="I65" s="470">
        <f t="shared" si="25"/>
        <v>3.0555555555555555E-2</v>
      </c>
      <c r="J65" s="439">
        <v>0</v>
      </c>
      <c r="K65" s="439">
        <v>0</v>
      </c>
      <c r="L65" s="474">
        <f>MOD(K65-J65,1)</f>
        <v>0</v>
      </c>
      <c r="M65" s="470">
        <f>I65+L65</f>
        <v>3.0555555555555555E-2</v>
      </c>
      <c r="N65" s="445">
        <f>(M65*24)*E65</f>
        <v>3.4393333333333334</v>
      </c>
      <c r="O65" s="446">
        <f>IF(M65&gt;F65,M65-F65,0)</f>
        <v>3.0555555555555555E-2</v>
      </c>
      <c r="P65" s="445">
        <f>N65+O65*24*1.5*E65</f>
        <v>8.5983333333333327</v>
      </c>
    </row>
    <row r="66" spans="1:16" s="447" customFormat="1" ht="15.95" customHeight="1">
      <c r="A66" s="442" t="s">
        <v>996</v>
      </c>
      <c r="B66" s="442" t="s">
        <v>1661</v>
      </c>
      <c r="C66" s="454" t="s">
        <v>1663</v>
      </c>
      <c r="D66" s="444">
        <v>42001</v>
      </c>
      <c r="E66" s="445">
        <v>4.6900000000000004</v>
      </c>
      <c r="F66" s="440">
        <v>0.33333333333333331</v>
      </c>
      <c r="G66" s="439">
        <v>0.70833333333333337</v>
      </c>
      <c r="H66" s="439">
        <v>0.81666666666666676</v>
      </c>
      <c r="I66" s="470">
        <f t="shared" si="25"/>
        <v>0.10833333333333339</v>
      </c>
      <c r="J66" s="439">
        <v>0.85833333333333339</v>
      </c>
      <c r="K66" s="439">
        <v>8.3333333333333329E-2</v>
      </c>
      <c r="L66" s="474">
        <f t="shared" si="18"/>
        <v>0.22499999999999998</v>
      </c>
      <c r="M66" s="470">
        <f t="shared" si="19"/>
        <v>0.33333333333333337</v>
      </c>
      <c r="N66" s="445">
        <f t="shared" si="20"/>
        <v>37.520000000000003</v>
      </c>
      <c r="O66" s="446">
        <f t="shared" si="21"/>
        <v>0</v>
      </c>
      <c r="P66" s="445">
        <f t="shared" si="22"/>
        <v>37.520000000000003</v>
      </c>
    </row>
    <row r="67" spans="1:16" s="447" customFormat="1" ht="15.95" customHeight="1">
      <c r="A67" s="442" t="s">
        <v>996</v>
      </c>
      <c r="B67" s="442" t="s">
        <v>1661</v>
      </c>
      <c r="C67" s="454" t="s">
        <v>1663</v>
      </c>
      <c r="D67" s="444">
        <v>42002</v>
      </c>
      <c r="E67" s="445">
        <v>4.6900000000000004</v>
      </c>
      <c r="F67" s="440">
        <v>0.29166666666666669</v>
      </c>
      <c r="G67" s="439">
        <v>0.75</v>
      </c>
      <c r="H67" s="439">
        <v>0.87569444444444444</v>
      </c>
      <c r="I67" s="470">
        <f t="shared" si="25"/>
        <v>0.12569444444444444</v>
      </c>
      <c r="J67" s="439">
        <v>0.91736111111111107</v>
      </c>
      <c r="K67" s="439">
        <v>0.10416666666666667</v>
      </c>
      <c r="L67" s="474">
        <f t="shared" ref="L67:L75" si="26">MOD(K67-J67,1)</f>
        <v>0.18680555555555556</v>
      </c>
      <c r="M67" s="470">
        <f t="shared" ref="M67:M75" si="27">I67+L67</f>
        <v>0.3125</v>
      </c>
      <c r="N67" s="445">
        <f t="shared" ref="N67:N75" si="28">(M67*24)*E67</f>
        <v>35.175000000000004</v>
      </c>
      <c r="O67" s="446">
        <f t="shared" ref="O67:O75" si="29">IF(M67&gt;F67,M67-F67,0)</f>
        <v>2.0833333333333315E-2</v>
      </c>
      <c r="P67" s="445">
        <f t="shared" ref="P67:P75" si="30">N67+O67*24*1.5*E67</f>
        <v>38.692500000000003</v>
      </c>
    </row>
    <row r="68" spans="1:16" s="447" customFormat="1" ht="15.95" customHeight="1">
      <c r="A68" s="442" t="s">
        <v>996</v>
      </c>
      <c r="B68" s="442" t="s">
        <v>1672</v>
      </c>
      <c r="C68" s="454" t="s">
        <v>1669</v>
      </c>
      <c r="D68" s="444">
        <v>42002</v>
      </c>
      <c r="E68" s="445">
        <v>4.6900000000000004</v>
      </c>
      <c r="F68" s="440">
        <v>0</v>
      </c>
      <c r="G68" s="439">
        <v>0</v>
      </c>
      <c r="H68" s="439">
        <v>2.0833333333333332E-2</v>
      </c>
      <c r="I68" s="470">
        <f t="shared" si="25"/>
        <v>2.0833333333333332E-2</v>
      </c>
      <c r="J68" s="439">
        <v>0</v>
      </c>
      <c r="K68" s="439">
        <v>0</v>
      </c>
      <c r="L68" s="474">
        <f t="shared" si="26"/>
        <v>0</v>
      </c>
      <c r="M68" s="470">
        <f t="shared" si="27"/>
        <v>2.0833333333333332E-2</v>
      </c>
      <c r="N68" s="445">
        <f t="shared" si="28"/>
        <v>2.3450000000000002</v>
      </c>
      <c r="O68" s="446">
        <f t="shared" si="29"/>
        <v>2.0833333333333332E-2</v>
      </c>
      <c r="P68" s="445">
        <f t="shared" si="30"/>
        <v>5.8625000000000007</v>
      </c>
    </row>
    <row r="69" spans="1:16" s="447" customFormat="1" ht="15.95" customHeight="1">
      <c r="A69" s="442" t="s">
        <v>996</v>
      </c>
      <c r="B69" s="442" t="s">
        <v>1661</v>
      </c>
      <c r="C69" s="454" t="s">
        <v>1663</v>
      </c>
      <c r="D69" s="444">
        <v>42003</v>
      </c>
      <c r="E69" s="445">
        <v>4.6900000000000004</v>
      </c>
      <c r="F69" s="440">
        <v>0.29166666666666669</v>
      </c>
      <c r="G69" s="439">
        <v>0.75694444444444453</v>
      </c>
      <c r="H69" s="439">
        <v>0.86944444444444446</v>
      </c>
      <c r="I69" s="470">
        <f t="shared" si="25"/>
        <v>0.11249999999999993</v>
      </c>
      <c r="J69" s="439">
        <v>0.90416666666666667</v>
      </c>
      <c r="K69" s="439">
        <v>0.11180555555555556</v>
      </c>
      <c r="L69" s="474">
        <f t="shared" si="26"/>
        <v>0.20763888888888893</v>
      </c>
      <c r="M69" s="470">
        <f t="shared" si="27"/>
        <v>0.32013888888888886</v>
      </c>
      <c r="N69" s="445">
        <f t="shared" si="28"/>
        <v>36.034833333333331</v>
      </c>
      <c r="O69" s="446">
        <f t="shared" si="29"/>
        <v>2.8472222222222177E-2</v>
      </c>
      <c r="P69" s="445">
        <f t="shared" si="30"/>
        <v>40.842083333333321</v>
      </c>
    </row>
    <row r="70" spans="1:16" s="447" customFormat="1" ht="15.95" customHeight="1">
      <c r="A70" s="442" t="s">
        <v>996</v>
      </c>
      <c r="B70" s="442" t="s">
        <v>1662</v>
      </c>
      <c r="C70" s="454" t="s">
        <v>1669</v>
      </c>
      <c r="D70" s="444">
        <v>42004</v>
      </c>
      <c r="E70" s="445">
        <v>4.6900000000000004</v>
      </c>
      <c r="F70" s="440">
        <v>0.33333333333333331</v>
      </c>
      <c r="G70" s="439">
        <v>0.54166666666666663</v>
      </c>
      <c r="H70" s="439">
        <v>0.875</v>
      </c>
      <c r="I70" s="470">
        <f t="shared" si="25"/>
        <v>0.33333333333333337</v>
      </c>
      <c r="J70" s="439">
        <v>0</v>
      </c>
      <c r="K70" s="439">
        <v>0</v>
      </c>
      <c r="L70" s="474">
        <f t="shared" si="26"/>
        <v>0</v>
      </c>
      <c r="M70" s="470">
        <f t="shared" si="27"/>
        <v>0.33333333333333337</v>
      </c>
      <c r="N70" s="445">
        <f t="shared" si="28"/>
        <v>37.520000000000003</v>
      </c>
      <c r="O70" s="446">
        <f t="shared" si="29"/>
        <v>0</v>
      </c>
      <c r="P70" s="445">
        <f t="shared" si="30"/>
        <v>37.520000000000003</v>
      </c>
    </row>
    <row r="71" spans="1:16" s="447" customFormat="1" ht="15.95" customHeight="1">
      <c r="A71" s="442" t="s">
        <v>996</v>
      </c>
      <c r="B71" s="442" t="s">
        <v>1671</v>
      </c>
      <c r="C71" s="454" t="s">
        <v>1669</v>
      </c>
      <c r="D71" s="444">
        <v>42003</v>
      </c>
      <c r="E71" s="445">
        <v>4.6900000000000004</v>
      </c>
      <c r="F71" s="440">
        <v>0</v>
      </c>
      <c r="G71" s="439">
        <v>0</v>
      </c>
      <c r="H71" s="439">
        <v>2.8472222222222222E-2</v>
      </c>
      <c r="I71" s="470">
        <f t="shared" si="25"/>
        <v>2.8472222222222222E-2</v>
      </c>
      <c r="J71" s="439">
        <v>0</v>
      </c>
      <c r="K71" s="439">
        <v>0</v>
      </c>
      <c r="L71" s="474">
        <f t="shared" si="26"/>
        <v>0</v>
      </c>
      <c r="M71" s="470">
        <f t="shared" si="27"/>
        <v>2.8472222222222222E-2</v>
      </c>
      <c r="N71" s="445">
        <f t="shared" si="28"/>
        <v>3.2048333333333336</v>
      </c>
      <c r="O71" s="446">
        <f t="shared" si="29"/>
        <v>2.8472222222222222E-2</v>
      </c>
      <c r="P71" s="445">
        <f t="shared" si="30"/>
        <v>8.012083333333333</v>
      </c>
    </row>
    <row r="72" spans="1:16" s="447" customFormat="1" ht="15.95" customHeight="1">
      <c r="A72" s="442" t="s">
        <v>996</v>
      </c>
      <c r="B72" s="442" t="s">
        <v>1661</v>
      </c>
      <c r="C72" s="454" t="s">
        <v>1663</v>
      </c>
      <c r="D72" s="444">
        <v>42005</v>
      </c>
      <c r="E72" s="445">
        <v>4.6900000000000004</v>
      </c>
      <c r="F72" s="440">
        <v>0.33333333333333331</v>
      </c>
      <c r="G72" s="439">
        <v>0.71388888888888891</v>
      </c>
      <c r="H72" s="439">
        <v>0.81597222222222221</v>
      </c>
      <c r="I72" s="470">
        <f t="shared" si="25"/>
        <v>0.1020833333333333</v>
      </c>
      <c r="J72" s="439">
        <v>0.85833333333333339</v>
      </c>
      <c r="K72" s="439">
        <v>8.6111111111111124E-2</v>
      </c>
      <c r="L72" s="474">
        <f t="shared" si="26"/>
        <v>0.22777777777777775</v>
      </c>
      <c r="M72" s="470">
        <f t="shared" si="27"/>
        <v>0.32986111111111105</v>
      </c>
      <c r="N72" s="445">
        <f t="shared" si="28"/>
        <v>37.129166666666663</v>
      </c>
      <c r="O72" s="446">
        <f t="shared" si="29"/>
        <v>0</v>
      </c>
      <c r="P72" s="445">
        <f t="shared" si="30"/>
        <v>37.129166666666663</v>
      </c>
    </row>
    <row r="73" spans="1:16" s="447" customFormat="1" ht="15.95" customHeight="1">
      <c r="A73" s="442" t="s">
        <v>996</v>
      </c>
      <c r="B73" s="442" t="s">
        <v>1661</v>
      </c>
      <c r="C73" s="454" t="s">
        <v>1663</v>
      </c>
      <c r="D73" s="444">
        <v>42006</v>
      </c>
      <c r="E73" s="445">
        <v>4.6900000000000004</v>
      </c>
      <c r="F73" s="440">
        <v>0.33333333333333331</v>
      </c>
      <c r="G73" s="439">
        <v>0.75</v>
      </c>
      <c r="H73" s="439">
        <v>0.85069444444444453</v>
      </c>
      <c r="I73" s="470">
        <f t="shared" si="25"/>
        <v>0.10069444444444453</v>
      </c>
      <c r="J73" s="439">
        <v>0.86805555555555547</v>
      </c>
      <c r="K73" s="439">
        <v>0.12569444444444444</v>
      </c>
      <c r="L73" s="474">
        <f t="shared" si="26"/>
        <v>0.25763888888888897</v>
      </c>
      <c r="M73" s="470">
        <f t="shared" si="27"/>
        <v>0.3583333333333335</v>
      </c>
      <c r="N73" s="445">
        <f t="shared" si="28"/>
        <v>40.334000000000024</v>
      </c>
      <c r="O73" s="446">
        <f t="shared" si="29"/>
        <v>2.5000000000000189E-2</v>
      </c>
      <c r="P73" s="445">
        <f t="shared" si="30"/>
        <v>44.555000000000057</v>
      </c>
    </row>
    <row r="74" spans="1:16" s="447" customFormat="1" ht="15.95" customHeight="1">
      <c r="A74" s="442" t="s">
        <v>996</v>
      </c>
      <c r="B74" s="442" t="s">
        <v>1670</v>
      </c>
      <c r="C74" s="454" t="s">
        <v>1669</v>
      </c>
      <c r="D74" s="444">
        <v>42006</v>
      </c>
      <c r="E74" s="445">
        <v>4.6900000000000004</v>
      </c>
      <c r="F74" s="440">
        <v>0</v>
      </c>
      <c r="G74" s="439">
        <v>0</v>
      </c>
      <c r="H74" s="439">
        <v>2.4999999999999998E-2</v>
      </c>
      <c r="I74" s="470">
        <f t="shared" si="25"/>
        <v>2.4999999999999998E-2</v>
      </c>
      <c r="J74" s="439">
        <v>0</v>
      </c>
      <c r="K74" s="439">
        <v>0</v>
      </c>
      <c r="L74" s="474">
        <f t="shared" si="26"/>
        <v>0</v>
      </c>
      <c r="M74" s="470">
        <f t="shared" si="27"/>
        <v>2.4999999999999998E-2</v>
      </c>
      <c r="N74" s="445">
        <f t="shared" si="28"/>
        <v>2.8140000000000001</v>
      </c>
      <c r="O74" s="446">
        <f t="shared" si="29"/>
        <v>2.4999999999999998E-2</v>
      </c>
      <c r="P74" s="445">
        <f t="shared" si="30"/>
        <v>7.0350000000000001</v>
      </c>
    </row>
    <row r="75" spans="1:16" s="447" customFormat="1" ht="15.95" customHeight="1">
      <c r="A75" s="442" t="s">
        <v>996</v>
      </c>
      <c r="B75" s="442" t="s">
        <v>1662</v>
      </c>
      <c r="C75" s="454" t="s">
        <v>1663</v>
      </c>
      <c r="D75" s="444">
        <v>42007</v>
      </c>
      <c r="E75" s="445"/>
      <c r="F75" s="440">
        <v>0</v>
      </c>
      <c r="G75" s="439">
        <v>0</v>
      </c>
      <c r="H75" s="439">
        <v>0</v>
      </c>
      <c r="I75" s="470">
        <f t="shared" si="25"/>
        <v>0</v>
      </c>
      <c r="J75" s="439">
        <v>0</v>
      </c>
      <c r="K75" s="439">
        <v>0</v>
      </c>
      <c r="L75" s="474">
        <f t="shared" si="26"/>
        <v>0</v>
      </c>
      <c r="M75" s="470">
        <f t="shared" si="27"/>
        <v>0</v>
      </c>
      <c r="N75" s="445">
        <f t="shared" si="28"/>
        <v>0</v>
      </c>
      <c r="O75" s="446">
        <f t="shared" si="29"/>
        <v>0</v>
      </c>
      <c r="P75" s="445">
        <f t="shared" si="30"/>
        <v>0</v>
      </c>
    </row>
    <row r="76" spans="1:16" s="447" customFormat="1" ht="15.95" customHeight="1">
      <c r="A76" s="442" t="s">
        <v>996</v>
      </c>
      <c r="B76" s="442" t="s">
        <v>1661</v>
      </c>
      <c r="C76" s="454" t="s">
        <v>1669</v>
      </c>
      <c r="D76" s="444">
        <v>42008</v>
      </c>
      <c r="E76" s="445">
        <v>4.6900000000000004</v>
      </c>
      <c r="F76" s="440">
        <v>0.33333333333333331</v>
      </c>
      <c r="G76" s="439">
        <v>0.66666666666666663</v>
      </c>
      <c r="H76" s="439">
        <v>0.75</v>
      </c>
      <c r="I76" s="470">
        <f t="shared" ref="I76:I83" si="31">MOD(H76-G76,1)</f>
        <v>8.333333333333337E-2</v>
      </c>
      <c r="J76" s="439">
        <v>0.79166666666666663</v>
      </c>
      <c r="K76" s="439">
        <v>4.1666666666666664E-2</v>
      </c>
      <c r="L76" s="474">
        <f t="shared" ref="L76:L83" si="32">MOD(K76-J76,1)</f>
        <v>0.25</v>
      </c>
      <c r="M76" s="470">
        <f t="shared" ref="M76:M82" si="33">I76+L76</f>
        <v>0.33333333333333337</v>
      </c>
      <c r="N76" s="445">
        <f t="shared" ref="N76:N82" si="34">(M76*24)*E76</f>
        <v>37.520000000000003</v>
      </c>
      <c r="O76" s="446">
        <f t="shared" ref="O76:O82" si="35">IF(M76&gt;F76,M76-F76,0)</f>
        <v>0</v>
      </c>
      <c r="P76" s="445">
        <f t="shared" ref="P76:P82" si="36">N76+O76*24*1.5*E76</f>
        <v>37.520000000000003</v>
      </c>
    </row>
    <row r="77" spans="1:16" s="447" customFormat="1" ht="15.95" customHeight="1">
      <c r="A77" s="442" t="s">
        <v>996</v>
      </c>
      <c r="B77" s="442" t="s">
        <v>1661</v>
      </c>
      <c r="C77" s="454" t="s">
        <v>1669</v>
      </c>
      <c r="D77" s="444">
        <v>42009</v>
      </c>
      <c r="E77" s="445">
        <v>4.6900000000000004</v>
      </c>
      <c r="F77" s="440">
        <v>0.29166666666666669</v>
      </c>
      <c r="G77" s="439">
        <v>0.72777777777777775</v>
      </c>
      <c r="H77" s="439">
        <v>0.84444444444444444</v>
      </c>
      <c r="I77" s="470">
        <f t="shared" si="31"/>
        <v>0.1166666666666667</v>
      </c>
      <c r="J77" s="439">
        <v>0.88611111111111107</v>
      </c>
      <c r="K77" s="439">
        <v>6.25E-2</v>
      </c>
      <c r="L77" s="474">
        <f t="shared" si="32"/>
        <v>0.17638888888888893</v>
      </c>
      <c r="M77" s="470">
        <f t="shared" si="33"/>
        <v>0.29305555555555562</v>
      </c>
      <c r="N77" s="445">
        <f t="shared" si="34"/>
        <v>32.986333333333341</v>
      </c>
      <c r="O77" s="446">
        <f t="shared" si="35"/>
        <v>1.3888888888889395E-3</v>
      </c>
      <c r="P77" s="445">
        <f t="shared" si="36"/>
        <v>33.220833333333353</v>
      </c>
    </row>
    <row r="78" spans="1:16" s="447" customFormat="1" ht="15.95" customHeight="1">
      <c r="A78" s="442" t="s">
        <v>996</v>
      </c>
      <c r="B78" s="442" t="s">
        <v>1661</v>
      </c>
      <c r="C78" s="454" t="s">
        <v>1669</v>
      </c>
      <c r="D78" s="444">
        <v>42010</v>
      </c>
      <c r="E78" s="445">
        <v>4.6900000000000004</v>
      </c>
      <c r="F78" s="440">
        <v>0.29166666666666669</v>
      </c>
      <c r="G78" s="439">
        <v>0.73333333333333339</v>
      </c>
      <c r="H78" s="439">
        <v>0.8847222222222223</v>
      </c>
      <c r="I78" s="470">
        <f t="shared" si="31"/>
        <v>0.15138888888888891</v>
      </c>
      <c r="J78" s="439">
        <v>0.92291666666666661</v>
      </c>
      <c r="K78" s="439">
        <v>6.25E-2</v>
      </c>
      <c r="L78" s="474">
        <f t="shared" si="32"/>
        <v>0.13958333333333339</v>
      </c>
      <c r="M78" s="470">
        <f t="shared" si="33"/>
        <v>0.2909722222222223</v>
      </c>
      <c r="N78" s="445">
        <f t="shared" si="34"/>
        <v>32.751833333333344</v>
      </c>
      <c r="O78" s="446">
        <f t="shared" si="35"/>
        <v>0</v>
      </c>
      <c r="P78" s="445">
        <f t="shared" si="36"/>
        <v>32.751833333333344</v>
      </c>
    </row>
    <row r="79" spans="1:16" s="447" customFormat="1" ht="15.95" customHeight="1">
      <c r="A79" s="442" t="s">
        <v>996</v>
      </c>
      <c r="B79" s="442" t="s">
        <v>1661</v>
      </c>
      <c r="C79" s="454" t="s">
        <v>1669</v>
      </c>
      <c r="D79" s="444">
        <v>42011</v>
      </c>
      <c r="E79" s="445">
        <v>4.6900000000000004</v>
      </c>
      <c r="F79" s="440">
        <v>0.29166666666666669</v>
      </c>
      <c r="G79" s="439">
        <v>0.7284722222222223</v>
      </c>
      <c r="H79" s="439">
        <v>0.81041666666666667</v>
      </c>
      <c r="I79" s="470">
        <f>MOD(H79-G79,1)</f>
        <v>8.1944444444444375E-2</v>
      </c>
      <c r="J79" s="439">
        <v>0.8520833333333333</v>
      </c>
      <c r="K79" s="439">
        <v>6.3194444444444442E-2</v>
      </c>
      <c r="L79" s="474">
        <f t="shared" si="32"/>
        <v>0.21111111111111114</v>
      </c>
      <c r="M79" s="470">
        <f t="shared" si="33"/>
        <v>0.29305555555555551</v>
      </c>
      <c r="N79" s="445">
        <f t="shared" si="34"/>
        <v>32.986333333333334</v>
      </c>
      <c r="O79" s="446">
        <f t="shared" si="35"/>
        <v>1.3888888888888284E-3</v>
      </c>
      <c r="P79" s="445">
        <f t="shared" si="36"/>
        <v>33.220833333333324</v>
      </c>
    </row>
    <row r="80" spans="1:16" s="447" customFormat="1" ht="15.95" customHeight="1">
      <c r="A80" s="442" t="s">
        <v>996</v>
      </c>
      <c r="B80" s="442" t="s">
        <v>1661</v>
      </c>
      <c r="C80" s="454" t="s">
        <v>1669</v>
      </c>
      <c r="D80" s="444">
        <v>42012</v>
      </c>
      <c r="E80" s="445">
        <v>4.6900000000000004</v>
      </c>
      <c r="F80" s="440">
        <v>0.29166666666666669</v>
      </c>
      <c r="G80" s="439">
        <v>0.7368055555555556</v>
      </c>
      <c r="H80" s="439">
        <v>0.87361111111111101</v>
      </c>
      <c r="I80" s="470">
        <f>MOD(H80-G80,1)</f>
        <v>0.1368055555555554</v>
      </c>
      <c r="J80" s="439">
        <v>0.90694444444444444</v>
      </c>
      <c r="K80" s="439">
        <v>8.819444444444445E-2</v>
      </c>
      <c r="L80" s="474">
        <f t="shared" si="32"/>
        <v>0.18125000000000002</v>
      </c>
      <c r="M80" s="470">
        <f t="shared" si="33"/>
        <v>0.31805555555555542</v>
      </c>
      <c r="N80" s="445">
        <f t="shared" si="34"/>
        <v>35.80033333333332</v>
      </c>
      <c r="O80" s="446">
        <f t="shared" si="35"/>
        <v>2.638888888888874E-2</v>
      </c>
      <c r="P80" s="445">
        <f t="shared" si="36"/>
        <v>40.255833333333293</v>
      </c>
    </row>
    <row r="81" spans="1:16" s="447" customFormat="1" ht="15.95" customHeight="1">
      <c r="A81" s="442" t="s">
        <v>996</v>
      </c>
      <c r="B81" s="442" t="s">
        <v>1661</v>
      </c>
      <c r="C81" s="454" t="s">
        <v>1669</v>
      </c>
      <c r="D81" s="444">
        <v>42013</v>
      </c>
      <c r="E81" s="445">
        <v>4.6900000000000004</v>
      </c>
      <c r="F81" s="440">
        <v>0.33333333333333331</v>
      </c>
      <c r="G81" s="439">
        <v>0.7090277777777777</v>
      </c>
      <c r="H81" s="439">
        <v>0.92708333333333337</v>
      </c>
      <c r="I81" s="470">
        <f>MOD(H81-G81,1)</f>
        <v>0.21805555555555567</v>
      </c>
      <c r="J81" s="439">
        <v>0.96875</v>
      </c>
      <c r="K81" s="439">
        <v>0.12222222222222223</v>
      </c>
      <c r="L81" s="474">
        <f t="shared" si="32"/>
        <v>0.15347222222222223</v>
      </c>
      <c r="M81" s="470">
        <f t="shared" si="33"/>
        <v>0.3715277777777779</v>
      </c>
      <c r="N81" s="445">
        <f t="shared" si="34"/>
        <v>41.819166666666682</v>
      </c>
      <c r="O81" s="446">
        <f t="shared" si="35"/>
        <v>3.8194444444444586E-2</v>
      </c>
      <c r="P81" s="445">
        <f t="shared" si="36"/>
        <v>48.267916666666707</v>
      </c>
    </row>
    <row r="82" spans="1:16" s="447" customFormat="1" ht="15.95" customHeight="1">
      <c r="A82" s="442" t="s">
        <v>996</v>
      </c>
      <c r="B82" s="442" t="s">
        <v>1662</v>
      </c>
      <c r="C82" s="454" t="s">
        <v>1669</v>
      </c>
      <c r="D82" s="444">
        <v>42014</v>
      </c>
      <c r="E82" s="445">
        <v>4.6900000000000004</v>
      </c>
      <c r="F82" s="440">
        <v>0.33333333333333331</v>
      </c>
      <c r="G82" s="439">
        <v>0.54166666666666663</v>
      </c>
      <c r="H82" s="439">
        <v>0.875</v>
      </c>
      <c r="I82" s="470">
        <f t="shared" si="31"/>
        <v>0.33333333333333337</v>
      </c>
      <c r="J82" s="439">
        <v>0</v>
      </c>
      <c r="K82" s="439">
        <v>0</v>
      </c>
      <c r="L82" s="474">
        <f t="shared" si="32"/>
        <v>0</v>
      </c>
      <c r="M82" s="470">
        <f t="shared" si="33"/>
        <v>0.33333333333333337</v>
      </c>
      <c r="N82" s="445">
        <f t="shared" si="34"/>
        <v>37.520000000000003</v>
      </c>
      <c r="O82" s="446">
        <f t="shared" si="35"/>
        <v>0</v>
      </c>
      <c r="P82" s="445">
        <f t="shared" si="36"/>
        <v>37.520000000000003</v>
      </c>
    </row>
    <row r="83" spans="1:16" s="447" customFormat="1" ht="15.95" customHeight="1">
      <c r="A83" s="442" t="s">
        <v>996</v>
      </c>
      <c r="B83" s="442" t="s">
        <v>1662</v>
      </c>
      <c r="C83" s="454" t="s">
        <v>1669</v>
      </c>
      <c r="D83" s="444">
        <v>42015</v>
      </c>
      <c r="E83" s="445"/>
      <c r="F83" s="440">
        <v>0</v>
      </c>
      <c r="G83" s="439">
        <v>0</v>
      </c>
      <c r="H83" s="439">
        <v>0</v>
      </c>
      <c r="I83" s="470">
        <f t="shared" si="31"/>
        <v>0</v>
      </c>
      <c r="J83" s="439">
        <v>0</v>
      </c>
      <c r="K83" s="439">
        <v>0</v>
      </c>
      <c r="L83" s="474">
        <f t="shared" si="32"/>
        <v>0</v>
      </c>
      <c r="M83" s="470">
        <f>I83+L83</f>
        <v>0</v>
      </c>
      <c r="N83" s="445">
        <f>(M83*24)*E83</f>
        <v>0</v>
      </c>
      <c r="O83" s="446">
        <f>IF(M83&gt;F83,M83-F83,0)</f>
        <v>0</v>
      </c>
      <c r="P83" s="445">
        <f>N83+O83*24*1.5*E83</f>
        <v>0</v>
      </c>
    </row>
    <row r="84" spans="1:16" s="447" customFormat="1" ht="15.95" customHeight="1">
      <c r="A84" s="442" t="s">
        <v>996</v>
      </c>
      <c r="B84" s="442" t="s">
        <v>1662</v>
      </c>
      <c r="C84" s="454" t="s">
        <v>1669</v>
      </c>
      <c r="D84" s="444">
        <v>42016</v>
      </c>
      <c r="E84" s="445"/>
      <c r="F84" s="440">
        <v>0</v>
      </c>
      <c r="G84" s="439">
        <v>0</v>
      </c>
      <c r="H84" s="439">
        <v>0</v>
      </c>
      <c r="I84" s="470">
        <f t="shared" ref="I84:I98" si="37">MOD(H84-G84,1)</f>
        <v>0</v>
      </c>
      <c r="J84" s="439">
        <v>0</v>
      </c>
      <c r="K84" s="439">
        <v>0</v>
      </c>
      <c r="L84" s="474">
        <f t="shared" ref="L84:L98" si="38">MOD(K84-J84,1)</f>
        <v>0</v>
      </c>
      <c r="M84" s="470">
        <f t="shared" ref="M84:M98" si="39">I84+L84</f>
        <v>0</v>
      </c>
      <c r="N84" s="445">
        <f t="shared" ref="N84:N98" si="40">(M84*24)*E84</f>
        <v>0</v>
      </c>
      <c r="O84" s="446">
        <f t="shared" ref="O84:O98" si="41">IF(M84&gt;F84,M84-F84,0)</f>
        <v>0</v>
      </c>
      <c r="P84" s="445">
        <f t="shared" ref="P84:P98" si="42">N84+O84*24*1.5*E84</f>
        <v>0</v>
      </c>
    </row>
    <row r="85" spans="1:16" s="447" customFormat="1" ht="15.95" customHeight="1">
      <c r="A85" s="442" t="s">
        <v>996</v>
      </c>
      <c r="B85" s="442" t="s">
        <v>1661</v>
      </c>
      <c r="C85" s="454" t="s">
        <v>1669</v>
      </c>
      <c r="D85" s="444">
        <v>42017</v>
      </c>
      <c r="E85" s="445">
        <v>4.6900000000000004</v>
      </c>
      <c r="F85" s="440">
        <v>0.29166666666666669</v>
      </c>
      <c r="G85" s="439">
        <v>0.72986111111111107</v>
      </c>
      <c r="H85" s="439">
        <v>0.8569444444444444</v>
      </c>
      <c r="I85" s="470">
        <f t="shared" si="37"/>
        <v>0.12708333333333333</v>
      </c>
      <c r="J85" s="439">
        <v>0.89861111111111114</v>
      </c>
      <c r="K85" s="439">
        <v>6.25E-2</v>
      </c>
      <c r="L85" s="474">
        <f t="shared" si="38"/>
        <v>0.16388888888888886</v>
      </c>
      <c r="M85" s="470">
        <f t="shared" si="39"/>
        <v>0.29097222222222219</v>
      </c>
      <c r="N85" s="445">
        <f t="shared" si="40"/>
        <v>32.75183333333333</v>
      </c>
      <c r="O85" s="446">
        <f t="shared" si="41"/>
        <v>0</v>
      </c>
      <c r="P85" s="445">
        <f t="shared" si="42"/>
        <v>32.75183333333333</v>
      </c>
    </row>
    <row r="86" spans="1:16" s="447" customFormat="1" ht="15.95" customHeight="1">
      <c r="A86" s="442" t="s">
        <v>996</v>
      </c>
      <c r="B86" s="442" t="s">
        <v>1661</v>
      </c>
      <c r="C86" s="454" t="s">
        <v>1669</v>
      </c>
      <c r="D86" s="444">
        <v>42018</v>
      </c>
      <c r="E86" s="445">
        <v>4.6900000000000004</v>
      </c>
      <c r="F86" s="440">
        <v>0.29166666666666669</v>
      </c>
      <c r="G86" s="439">
        <v>0.72916666666666663</v>
      </c>
      <c r="H86" s="439">
        <v>0.84305555555555556</v>
      </c>
      <c r="I86" s="470">
        <f t="shared" si="37"/>
        <v>0.11388888888888893</v>
      </c>
      <c r="J86" s="439">
        <v>0.8847222222222223</v>
      </c>
      <c r="K86" s="439">
        <v>6.6666666666666666E-2</v>
      </c>
      <c r="L86" s="474">
        <f t="shared" si="38"/>
        <v>0.18194444444444435</v>
      </c>
      <c r="M86" s="470">
        <f t="shared" si="39"/>
        <v>0.29583333333333328</v>
      </c>
      <c r="N86" s="445">
        <f t="shared" si="40"/>
        <v>33.298999999999999</v>
      </c>
      <c r="O86" s="446">
        <f t="shared" si="41"/>
        <v>4.1666666666665964E-3</v>
      </c>
      <c r="P86" s="445">
        <f t="shared" si="42"/>
        <v>34.002499999999991</v>
      </c>
    </row>
    <row r="87" spans="1:16" s="447" customFormat="1" ht="15.95" customHeight="1">
      <c r="A87" s="442" t="s">
        <v>996</v>
      </c>
      <c r="B87" s="442" t="s">
        <v>1661</v>
      </c>
      <c r="C87" s="454" t="s">
        <v>1669</v>
      </c>
      <c r="D87" s="444">
        <v>42019</v>
      </c>
      <c r="E87" s="445">
        <v>4.6900000000000004</v>
      </c>
      <c r="F87" s="440">
        <v>0.29166666666666669</v>
      </c>
      <c r="G87" s="439">
        <v>0.72916666666666663</v>
      </c>
      <c r="H87" s="439">
        <v>0.7944444444444444</v>
      </c>
      <c r="I87" s="470">
        <f t="shared" si="37"/>
        <v>6.5277777777777768E-2</v>
      </c>
      <c r="J87" s="439">
        <v>0.83611111111111114</v>
      </c>
      <c r="K87" s="439">
        <v>7.9861111111111105E-2</v>
      </c>
      <c r="L87" s="474">
        <f t="shared" si="38"/>
        <v>0.24374999999999991</v>
      </c>
      <c r="M87" s="470">
        <f t="shared" si="39"/>
        <v>0.30902777777777768</v>
      </c>
      <c r="N87" s="445">
        <f t="shared" si="40"/>
        <v>34.784166666666657</v>
      </c>
      <c r="O87" s="446">
        <f t="shared" si="41"/>
        <v>1.7361111111110994E-2</v>
      </c>
      <c r="P87" s="445">
        <f t="shared" si="42"/>
        <v>37.715416666666634</v>
      </c>
    </row>
    <row r="88" spans="1:16" s="447" customFormat="1" ht="15.95" customHeight="1">
      <c r="A88" s="442" t="s">
        <v>996</v>
      </c>
      <c r="B88" s="442" t="s">
        <v>1661</v>
      </c>
      <c r="C88" s="454" t="s">
        <v>1669</v>
      </c>
      <c r="D88" s="444">
        <v>42020</v>
      </c>
      <c r="E88" s="445">
        <v>4.6900000000000004</v>
      </c>
      <c r="F88" s="440">
        <v>0.33333333333333331</v>
      </c>
      <c r="G88" s="439">
        <v>0.77083333333333337</v>
      </c>
      <c r="H88" s="439">
        <v>0.83611111111111114</v>
      </c>
      <c r="I88" s="470">
        <f t="shared" si="37"/>
        <v>6.5277777777777768E-2</v>
      </c>
      <c r="J88" s="439">
        <v>0.87777777777777777</v>
      </c>
      <c r="K88" s="439">
        <v>0.14930555555555555</v>
      </c>
      <c r="L88" s="474">
        <f t="shared" si="38"/>
        <v>0.27152777777777781</v>
      </c>
      <c r="M88" s="470">
        <f t="shared" si="39"/>
        <v>0.33680555555555558</v>
      </c>
      <c r="N88" s="445">
        <f t="shared" si="40"/>
        <v>37.910833333333336</v>
      </c>
      <c r="O88" s="446">
        <f t="shared" si="41"/>
        <v>3.4722222222222654E-3</v>
      </c>
      <c r="P88" s="445">
        <f t="shared" si="42"/>
        <v>38.497083333333343</v>
      </c>
    </row>
    <row r="89" spans="1:16" s="447" customFormat="1" ht="15.95" customHeight="1">
      <c r="A89" s="442" t="s">
        <v>996</v>
      </c>
      <c r="B89" s="442" t="s">
        <v>1661</v>
      </c>
      <c r="C89" s="454" t="s">
        <v>1669</v>
      </c>
      <c r="D89" s="444">
        <v>42021</v>
      </c>
      <c r="E89" s="445">
        <v>4.6900000000000004</v>
      </c>
      <c r="F89" s="440">
        <v>0.33333333333333331</v>
      </c>
      <c r="G89" s="439">
        <v>0.77708333333333324</v>
      </c>
      <c r="H89" s="439">
        <v>0.83888888888888891</v>
      </c>
      <c r="I89" s="470">
        <f t="shared" si="37"/>
        <v>6.1805555555555669E-2</v>
      </c>
      <c r="J89" s="439">
        <v>0.88055555555555554</v>
      </c>
      <c r="K89" s="439">
        <v>0.15972222222222224</v>
      </c>
      <c r="L89" s="474">
        <f t="shared" si="38"/>
        <v>0.27916666666666667</v>
      </c>
      <c r="M89" s="470">
        <f t="shared" si="39"/>
        <v>0.34097222222222234</v>
      </c>
      <c r="N89" s="445">
        <f t="shared" si="40"/>
        <v>38.379833333333352</v>
      </c>
      <c r="O89" s="446">
        <f t="shared" si="41"/>
        <v>7.6388888888890283E-3</v>
      </c>
      <c r="P89" s="445">
        <f t="shared" si="42"/>
        <v>39.669583333333378</v>
      </c>
    </row>
    <row r="90" spans="1:16" s="447" customFormat="1" ht="15.95" customHeight="1">
      <c r="A90" s="442" t="s">
        <v>996</v>
      </c>
      <c r="B90" s="442" t="s">
        <v>1661</v>
      </c>
      <c r="C90" s="454" t="s">
        <v>1669</v>
      </c>
      <c r="D90" s="444">
        <v>42022</v>
      </c>
      <c r="E90" s="445">
        <v>4.6900000000000004</v>
      </c>
      <c r="F90" s="440">
        <v>0.29166666666666669</v>
      </c>
      <c r="G90" s="439">
        <v>0.70833333333333337</v>
      </c>
      <c r="H90" s="439">
        <v>0.80555555555555547</v>
      </c>
      <c r="I90" s="470">
        <f>MOD(H90-G90,1)</f>
        <v>9.7222222222222099E-2</v>
      </c>
      <c r="J90" s="439">
        <v>0.84722222222222221</v>
      </c>
      <c r="K90" s="439">
        <v>4.2361111111111106E-2</v>
      </c>
      <c r="L90" s="474">
        <f t="shared" si="38"/>
        <v>0.19513888888888886</v>
      </c>
      <c r="M90" s="470">
        <f t="shared" si="39"/>
        <v>0.29236111111111096</v>
      </c>
      <c r="N90" s="445">
        <f t="shared" si="40"/>
        <v>32.908166666666652</v>
      </c>
      <c r="O90" s="446">
        <f t="shared" si="41"/>
        <v>6.9444444444427544E-4</v>
      </c>
      <c r="P90" s="445">
        <f t="shared" si="42"/>
        <v>33.025416666666622</v>
      </c>
    </row>
    <row r="91" spans="1:16" s="447" customFormat="1" ht="15.95" customHeight="1">
      <c r="A91" s="442" t="s">
        <v>996</v>
      </c>
      <c r="B91" s="442" t="s">
        <v>1662</v>
      </c>
      <c r="C91" s="454" t="s">
        <v>1669</v>
      </c>
      <c r="D91" s="444">
        <v>42023</v>
      </c>
      <c r="E91" s="445">
        <v>4.6900000000000004</v>
      </c>
      <c r="F91" s="440">
        <v>0.33333333333333331</v>
      </c>
      <c r="G91" s="439">
        <v>0.54166666666666663</v>
      </c>
      <c r="H91" s="439">
        <v>0.875</v>
      </c>
      <c r="I91" s="470">
        <f t="shared" si="37"/>
        <v>0.33333333333333337</v>
      </c>
      <c r="J91" s="439">
        <v>0</v>
      </c>
      <c r="K91" s="439">
        <v>0</v>
      </c>
      <c r="L91" s="474">
        <f t="shared" si="38"/>
        <v>0</v>
      </c>
      <c r="M91" s="470">
        <f t="shared" si="39"/>
        <v>0.33333333333333337</v>
      </c>
      <c r="N91" s="445">
        <f t="shared" si="40"/>
        <v>37.520000000000003</v>
      </c>
      <c r="O91" s="446">
        <f t="shared" si="41"/>
        <v>0</v>
      </c>
      <c r="P91" s="445">
        <f t="shared" si="42"/>
        <v>37.520000000000003</v>
      </c>
    </row>
    <row r="92" spans="1:16" s="447" customFormat="1" ht="15.95" customHeight="1">
      <c r="A92" s="442" t="s">
        <v>996</v>
      </c>
      <c r="B92" s="442" t="s">
        <v>1662</v>
      </c>
      <c r="C92" s="454" t="s">
        <v>1669</v>
      </c>
      <c r="D92" s="444">
        <v>42024</v>
      </c>
      <c r="E92" s="445"/>
      <c r="F92" s="440">
        <v>0</v>
      </c>
      <c r="G92" s="439">
        <v>0</v>
      </c>
      <c r="H92" s="439">
        <v>0</v>
      </c>
      <c r="I92" s="470">
        <f t="shared" si="37"/>
        <v>0</v>
      </c>
      <c r="J92" s="439">
        <v>0</v>
      </c>
      <c r="K92" s="439">
        <v>0</v>
      </c>
      <c r="L92" s="474">
        <f t="shared" si="38"/>
        <v>0</v>
      </c>
      <c r="M92" s="470">
        <f t="shared" si="39"/>
        <v>0</v>
      </c>
      <c r="N92" s="445">
        <f t="shared" si="40"/>
        <v>0</v>
      </c>
      <c r="O92" s="446">
        <f t="shared" si="41"/>
        <v>0</v>
      </c>
      <c r="P92" s="445">
        <f t="shared" si="42"/>
        <v>0</v>
      </c>
    </row>
    <row r="93" spans="1:16" s="447" customFormat="1" ht="15.95" customHeight="1">
      <c r="A93" s="442" t="s">
        <v>996</v>
      </c>
      <c r="B93" s="442" t="s">
        <v>1661</v>
      </c>
      <c r="C93" s="454" t="s">
        <v>1668</v>
      </c>
      <c r="D93" s="444">
        <v>42025</v>
      </c>
      <c r="E93" s="445">
        <v>4.6900000000000004</v>
      </c>
      <c r="F93" s="440">
        <v>0.29166666666666669</v>
      </c>
      <c r="G93" s="439">
        <v>0.74652777777777779</v>
      </c>
      <c r="H93" s="439">
        <v>0.8666666666666667</v>
      </c>
      <c r="I93" s="470">
        <f t="shared" si="37"/>
        <v>0.12013888888888891</v>
      </c>
      <c r="J93" s="439">
        <v>0.90833333333333333</v>
      </c>
      <c r="K93" s="439">
        <v>9.0972222222222218E-2</v>
      </c>
      <c r="L93" s="474">
        <f t="shared" si="38"/>
        <v>0.18263888888888891</v>
      </c>
      <c r="M93" s="470">
        <f t="shared" si="39"/>
        <v>0.30277777777777781</v>
      </c>
      <c r="N93" s="445">
        <f t="shared" si="40"/>
        <v>34.080666666666673</v>
      </c>
      <c r="O93" s="446">
        <f t="shared" si="41"/>
        <v>1.1111111111111127E-2</v>
      </c>
      <c r="P93" s="445">
        <f t="shared" si="42"/>
        <v>35.956666666666678</v>
      </c>
    </row>
    <row r="94" spans="1:16" s="447" customFormat="1" ht="15.95" customHeight="1">
      <c r="A94" s="442" t="s">
        <v>996</v>
      </c>
      <c r="B94" s="442" t="s">
        <v>1661</v>
      </c>
      <c r="C94" s="454" t="s">
        <v>1668</v>
      </c>
      <c r="D94" s="444">
        <v>42026</v>
      </c>
      <c r="E94" s="445">
        <v>4.6900000000000004</v>
      </c>
      <c r="F94" s="440">
        <v>0.29166666666666669</v>
      </c>
      <c r="G94" s="439">
        <v>0.75</v>
      </c>
      <c r="H94" s="439">
        <v>8.3333333333333329E-2</v>
      </c>
      <c r="I94" s="470">
        <f t="shared" si="37"/>
        <v>0.33333333333333337</v>
      </c>
      <c r="J94" s="439">
        <v>0</v>
      </c>
      <c r="K94" s="439">
        <v>0</v>
      </c>
      <c r="L94" s="474">
        <f t="shared" si="38"/>
        <v>0</v>
      </c>
      <c r="M94" s="470">
        <f t="shared" si="39"/>
        <v>0.33333333333333337</v>
      </c>
      <c r="N94" s="445">
        <f t="shared" si="40"/>
        <v>37.520000000000003</v>
      </c>
      <c r="O94" s="446">
        <f t="shared" si="41"/>
        <v>4.1666666666666685E-2</v>
      </c>
      <c r="P94" s="445">
        <f t="shared" si="42"/>
        <v>44.555000000000007</v>
      </c>
    </row>
    <row r="95" spans="1:16" s="447" customFormat="1" ht="15.95" customHeight="1">
      <c r="A95" s="442" t="s">
        <v>996</v>
      </c>
      <c r="B95" s="442" t="s">
        <v>1661</v>
      </c>
      <c r="C95" s="454" t="s">
        <v>1668</v>
      </c>
      <c r="D95" s="444">
        <v>42027</v>
      </c>
      <c r="E95" s="445">
        <v>4.6900000000000004</v>
      </c>
      <c r="F95" s="440">
        <v>0.33333333333333331</v>
      </c>
      <c r="G95" s="439">
        <v>0.75416666666666676</v>
      </c>
      <c r="H95" s="439">
        <v>0.91666666666666663</v>
      </c>
      <c r="I95" s="470">
        <f t="shared" si="37"/>
        <v>0.16249999999999987</v>
      </c>
      <c r="J95" s="439">
        <v>0.95833333333333337</v>
      </c>
      <c r="K95" s="439">
        <v>0.12986111111111112</v>
      </c>
      <c r="L95" s="474">
        <f t="shared" si="38"/>
        <v>0.17152777777777772</v>
      </c>
      <c r="M95" s="470">
        <f t="shared" si="39"/>
        <v>0.33402777777777759</v>
      </c>
      <c r="N95" s="445">
        <f t="shared" si="40"/>
        <v>37.59816666666665</v>
      </c>
      <c r="O95" s="446">
        <f t="shared" si="41"/>
        <v>6.9444444444427544E-4</v>
      </c>
      <c r="P95" s="445">
        <f t="shared" si="42"/>
        <v>37.71541666666662</v>
      </c>
    </row>
    <row r="96" spans="1:16" s="447" customFormat="1" ht="15.95" customHeight="1">
      <c r="A96" s="442" t="s">
        <v>996</v>
      </c>
      <c r="B96" s="442"/>
      <c r="C96" s="454" t="s">
        <v>1668</v>
      </c>
      <c r="D96" s="444">
        <v>42028</v>
      </c>
      <c r="E96" s="445">
        <v>4.6900000000000004</v>
      </c>
      <c r="F96" s="440">
        <v>0.33333333333333331</v>
      </c>
      <c r="G96" s="439">
        <v>0.77083333333333337</v>
      </c>
      <c r="H96" s="439">
        <v>0.14583333333333334</v>
      </c>
      <c r="I96" s="470">
        <f t="shared" si="37"/>
        <v>0.375</v>
      </c>
      <c r="J96" s="439">
        <v>0</v>
      </c>
      <c r="K96" s="439">
        <v>0</v>
      </c>
      <c r="L96" s="474">
        <f t="shared" si="38"/>
        <v>0</v>
      </c>
      <c r="M96" s="470">
        <f t="shared" si="39"/>
        <v>0.375</v>
      </c>
      <c r="N96" s="445">
        <f t="shared" si="40"/>
        <v>42.21</v>
      </c>
      <c r="O96" s="446">
        <f t="shared" si="41"/>
        <v>4.1666666666666685E-2</v>
      </c>
      <c r="P96" s="445">
        <f t="shared" si="42"/>
        <v>49.245000000000005</v>
      </c>
    </row>
    <row r="97" spans="1:16" s="447" customFormat="1" ht="15.95" customHeight="1">
      <c r="A97" s="442" t="s">
        <v>996</v>
      </c>
      <c r="B97" s="442"/>
      <c r="C97" s="454" t="s">
        <v>1668</v>
      </c>
      <c r="D97" s="444">
        <v>42029</v>
      </c>
      <c r="E97" s="445">
        <v>4.6900000000000004</v>
      </c>
      <c r="F97" s="440">
        <v>0.3125</v>
      </c>
      <c r="G97" s="439">
        <v>0.70833333333333337</v>
      </c>
      <c r="H97" s="439">
        <v>6.25E-2</v>
      </c>
      <c r="I97" s="470">
        <f t="shared" si="37"/>
        <v>0.35416666666666663</v>
      </c>
      <c r="J97" s="439">
        <v>0</v>
      </c>
      <c r="K97" s="439">
        <v>0</v>
      </c>
      <c r="L97" s="474">
        <f t="shared" si="38"/>
        <v>0</v>
      </c>
      <c r="M97" s="470">
        <f t="shared" si="39"/>
        <v>0.35416666666666663</v>
      </c>
      <c r="N97" s="445">
        <f t="shared" si="40"/>
        <v>39.865000000000002</v>
      </c>
      <c r="O97" s="446">
        <f t="shared" si="41"/>
        <v>4.166666666666663E-2</v>
      </c>
      <c r="P97" s="445">
        <f t="shared" si="42"/>
        <v>46.9</v>
      </c>
    </row>
    <row r="98" spans="1:16" s="447" customFormat="1" ht="15.95" customHeight="1">
      <c r="A98" s="442" t="s">
        <v>996</v>
      </c>
      <c r="B98" s="442"/>
      <c r="C98" s="454" t="s">
        <v>1668</v>
      </c>
      <c r="D98" s="444">
        <v>42030</v>
      </c>
      <c r="E98" s="445">
        <v>4.6900000000000004</v>
      </c>
      <c r="F98" s="440">
        <v>0.29166666666666669</v>
      </c>
      <c r="G98" s="439">
        <v>0.75</v>
      </c>
      <c r="H98" s="439">
        <v>8.3333333333333329E-2</v>
      </c>
      <c r="I98" s="470">
        <f t="shared" si="37"/>
        <v>0.33333333333333337</v>
      </c>
      <c r="J98" s="439">
        <v>0</v>
      </c>
      <c r="K98" s="439">
        <v>0</v>
      </c>
      <c r="L98" s="474">
        <f t="shared" si="38"/>
        <v>0</v>
      </c>
      <c r="M98" s="470">
        <f t="shared" si="39"/>
        <v>0.33333333333333337</v>
      </c>
      <c r="N98" s="445">
        <f t="shared" si="40"/>
        <v>37.520000000000003</v>
      </c>
      <c r="O98" s="446">
        <f t="shared" si="41"/>
        <v>4.1666666666666685E-2</v>
      </c>
      <c r="P98" s="445">
        <f t="shared" si="42"/>
        <v>44.555000000000007</v>
      </c>
    </row>
    <row r="99" spans="1:16" s="447" customFormat="1" ht="15.95" customHeight="1">
      <c r="A99" s="442" t="s">
        <v>996</v>
      </c>
      <c r="B99" s="442" t="s">
        <v>1662</v>
      </c>
      <c r="C99" s="454" t="s">
        <v>1668</v>
      </c>
      <c r="D99" s="444">
        <v>42023</v>
      </c>
      <c r="E99" s="445">
        <v>4.6900000000000004</v>
      </c>
      <c r="F99" s="440">
        <v>0.33333333333333331</v>
      </c>
      <c r="G99" s="439">
        <v>0.54166666666666663</v>
      </c>
      <c r="H99" s="439">
        <v>0.875</v>
      </c>
      <c r="I99" s="470">
        <f t="shared" ref="I99:I104" si="43">MOD(H99-G99,1)</f>
        <v>0.33333333333333337</v>
      </c>
      <c r="J99" s="439">
        <v>0</v>
      </c>
      <c r="K99" s="439">
        <v>0</v>
      </c>
      <c r="L99" s="474">
        <f t="shared" ref="L99:L104" si="44">MOD(K99-J99,1)</f>
        <v>0</v>
      </c>
      <c r="M99" s="470">
        <f t="shared" ref="M99:M104" si="45">I99+L99</f>
        <v>0.33333333333333337</v>
      </c>
      <c r="N99" s="445">
        <f t="shared" ref="N99:N104" si="46">(M99*24)*E99</f>
        <v>37.520000000000003</v>
      </c>
      <c r="O99" s="446">
        <f t="shared" ref="O99:O104" si="47">IF(M99&gt;F99,M99-F99,0)</f>
        <v>0</v>
      </c>
      <c r="P99" s="445">
        <f t="shared" ref="P99:P104" si="48">N99+O99*24*1.5*E99</f>
        <v>37.520000000000003</v>
      </c>
    </row>
    <row r="100" spans="1:16" s="447" customFormat="1" ht="15.95" customHeight="1">
      <c r="A100" s="442" t="s">
        <v>996</v>
      </c>
      <c r="B100" s="442" t="s">
        <v>1662</v>
      </c>
      <c r="C100" s="454" t="s">
        <v>1668</v>
      </c>
      <c r="D100" s="444">
        <v>42032</v>
      </c>
      <c r="E100" s="445"/>
      <c r="F100" s="440">
        <v>0</v>
      </c>
      <c r="G100" s="439">
        <v>0</v>
      </c>
      <c r="H100" s="439">
        <v>0</v>
      </c>
      <c r="I100" s="470">
        <f t="shared" si="43"/>
        <v>0</v>
      </c>
      <c r="J100" s="439">
        <v>0</v>
      </c>
      <c r="K100" s="439">
        <v>0</v>
      </c>
      <c r="L100" s="474">
        <f t="shared" si="44"/>
        <v>0</v>
      </c>
      <c r="M100" s="470">
        <f t="shared" si="45"/>
        <v>0</v>
      </c>
      <c r="N100" s="445">
        <f t="shared" si="46"/>
        <v>0</v>
      </c>
      <c r="O100" s="446">
        <f t="shared" si="47"/>
        <v>0</v>
      </c>
      <c r="P100" s="445">
        <f t="shared" si="48"/>
        <v>0</v>
      </c>
    </row>
    <row r="101" spans="1:16" s="447" customFormat="1" ht="15.95" customHeight="1">
      <c r="A101" s="442" t="s">
        <v>996</v>
      </c>
      <c r="B101" s="442"/>
      <c r="C101" s="454" t="s">
        <v>1668</v>
      </c>
      <c r="D101" s="444">
        <v>42033</v>
      </c>
      <c r="E101" s="445">
        <v>4.6900000000000004</v>
      </c>
      <c r="F101" s="440">
        <v>0.29166666666666669</v>
      </c>
      <c r="G101" s="439">
        <v>0.75</v>
      </c>
      <c r="H101" s="439">
        <v>8.3333333333333329E-2</v>
      </c>
      <c r="I101" s="470">
        <f t="shared" si="43"/>
        <v>0.33333333333333337</v>
      </c>
      <c r="J101" s="439">
        <v>0</v>
      </c>
      <c r="K101" s="439">
        <v>0</v>
      </c>
      <c r="L101" s="474">
        <f t="shared" si="44"/>
        <v>0</v>
      </c>
      <c r="M101" s="470">
        <f t="shared" si="45"/>
        <v>0.33333333333333337</v>
      </c>
      <c r="N101" s="445">
        <f t="shared" si="46"/>
        <v>37.520000000000003</v>
      </c>
      <c r="O101" s="446">
        <f t="shared" si="47"/>
        <v>4.1666666666666685E-2</v>
      </c>
      <c r="P101" s="445">
        <f t="shared" si="48"/>
        <v>44.555000000000007</v>
      </c>
    </row>
    <row r="102" spans="1:16" s="447" customFormat="1" ht="15.95" customHeight="1">
      <c r="A102" s="442" t="s">
        <v>996</v>
      </c>
      <c r="B102" s="442"/>
      <c r="C102" s="454" t="s">
        <v>1668</v>
      </c>
      <c r="D102" s="444">
        <v>42034</v>
      </c>
      <c r="E102" s="445">
        <v>4.6900000000000004</v>
      </c>
      <c r="F102" s="440">
        <v>0.33333333333333331</v>
      </c>
      <c r="G102" s="439">
        <v>0.77083333333333337</v>
      </c>
      <c r="H102" s="439">
        <v>0.14583333333333334</v>
      </c>
      <c r="I102" s="470">
        <f t="shared" si="43"/>
        <v>0.375</v>
      </c>
      <c r="J102" s="439">
        <v>0</v>
      </c>
      <c r="K102" s="439">
        <v>0</v>
      </c>
      <c r="L102" s="474">
        <f t="shared" si="44"/>
        <v>0</v>
      </c>
      <c r="M102" s="470">
        <f t="shared" si="45"/>
        <v>0.375</v>
      </c>
      <c r="N102" s="445">
        <f t="shared" si="46"/>
        <v>42.21</v>
      </c>
      <c r="O102" s="446">
        <f t="shared" si="47"/>
        <v>4.1666666666666685E-2</v>
      </c>
      <c r="P102" s="445">
        <f t="shared" si="48"/>
        <v>49.245000000000005</v>
      </c>
    </row>
    <row r="103" spans="1:16" s="447" customFormat="1" ht="15.95" customHeight="1">
      <c r="A103" s="442" t="s">
        <v>996</v>
      </c>
      <c r="B103" s="442"/>
      <c r="C103" s="454" t="s">
        <v>1668</v>
      </c>
      <c r="D103" s="444">
        <v>42035</v>
      </c>
      <c r="E103" s="445">
        <v>4.6900000000000004</v>
      </c>
      <c r="F103" s="440">
        <v>0.33333333333333331</v>
      </c>
      <c r="G103" s="439">
        <v>0.77083333333333337</v>
      </c>
      <c r="H103" s="439">
        <v>0.14583333333333334</v>
      </c>
      <c r="I103" s="470">
        <f t="shared" si="43"/>
        <v>0.375</v>
      </c>
      <c r="J103" s="439">
        <v>0</v>
      </c>
      <c r="K103" s="439">
        <v>0</v>
      </c>
      <c r="L103" s="474">
        <f t="shared" si="44"/>
        <v>0</v>
      </c>
      <c r="M103" s="470">
        <f t="shared" si="45"/>
        <v>0.375</v>
      </c>
      <c r="N103" s="445">
        <f t="shared" si="46"/>
        <v>42.21</v>
      </c>
      <c r="O103" s="446">
        <f t="shared" si="47"/>
        <v>4.1666666666666685E-2</v>
      </c>
      <c r="P103" s="445">
        <f t="shared" si="48"/>
        <v>49.245000000000005</v>
      </c>
    </row>
    <row r="104" spans="1:16" s="447" customFormat="1" ht="15.95" customHeight="1">
      <c r="A104" s="442" t="s">
        <v>996</v>
      </c>
      <c r="B104" s="442"/>
      <c r="C104" s="454" t="s">
        <v>1668</v>
      </c>
      <c r="D104" s="444">
        <v>42036</v>
      </c>
      <c r="E104" s="445">
        <v>4.6900000000000004</v>
      </c>
      <c r="F104" s="440">
        <v>0.3125</v>
      </c>
      <c r="G104" s="439">
        <v>0.70833333333333337</v>
      </c>
      <c r="H104" s="439">
        <v>6.25E-2</v>
      </c>
      <c r="I104" s="470">
        <f t="shared" si="43"/>
        <v>0.35416666666666663</v>
      </c>
      <c r="J104" s="439">
        <v>0</v>
      </c>
      <c r="K104" s="439">
        <v>0</v>
      </c>
      <c r="L104" s="474">
        <f t="shared" si="44"/>
        <v>0</v>
      </c>
      <c r="M104" s="470">
        <f t="shared" si="45"/>
        <v>0.35416666666666663</v>
      </c>
      <c r="N104" s="445">
        <f t="shared" si="46"/>
        <v>39.865000000000002</v>
      </c>
      <c r="O104" s="446">
        <f t="shared" si="47"/>
        <v>4.166666666666663E-2</v>
      </c>
      <c r="P104" s="445">
        <f t="shared" si="48"/>
        <v>46.9</v>
      </c>
    </row>
    <row r="105" spans="1:16" s="447" customFormat="1" ht="15.95" customHeight="1">
      <c r="A105" s="442" t="s">
        <v>996</v>
      </c>
      <c r="B105" s="442" t="s">
        <v>1683</v>
      </c>
      <c r="C105" s="454" t="s">
        <v>1669</v>
      </c>
      <c r="D105" s="444">
        <v>42007</v>
      </c>
      <c r="E105" s="445">
        <v>5.48</v>
      </c>
      <c r="F105" s="440">
        <v>0.33333333333333331</v>
      </c>
      <c r="G105" s="439">
        <v>0.45833333333333331</v>
      </c>
      <c r="H105" s="439">
        <v>0.66666666666666663</v>
      </c>
      <c r="I105" s="470">
        <f t="shared" ref="I105:I134" si="49">MOD(H105-G105,1)</f>
        <v>0.20833333333333331</v>
      </c>
      <c r="J105" s="439">
        <v>0.70833333333333337</v>
      </c>
      <c r="K105" s="439">
        <v>0.83333333333333337</v>
      </c>
      <c r="L105" s="474">
        <f t="shared" ref="L105:L134" si="50">MOD(K105-J105,1)</f>
        <v>0.125</v>
      </c>
      <c r="M105" s="470">
        <f t="shared" ref="M105:M134" si="51">I105+L105</f>
        <v>0.33333333333333331</v>
      </c>
      <c r="N105" s="445">
        <f t="shared" ref="N105:N134" si="52">(M105*24)*E105</f>
        <v>43.84</v>
      </c>
      <c r="O105" s="446">
        <f t="shared" ref="O105:O134" si="53">IF(M105&gt;F105,M105-F105,0)</f>
        <v>0</v>
      </c>
      <c r="P105" s="445">
        <f t="shared" ref="P105:P134" si="54">N105+O105*24*1.5*E105</f>
        <v>43.84</v>
      </c>
    </row>
    <row r="106" spans="1:16" s="447" customFormat="1" ht="15.95" customHeight="1">
      <c r="A106" s="442" t="s">
        <v>996</v>
      </c>
      <c r="B106" s="442" t="s">
        <v>1683</v>
      </c>
      <c r="C106" s="454" t="s">
        <v>1669</v>
      </c>
      <c r="D106" s="444">
        <v>42008</v>
      </c>
      <c r="E106" s="445">
        <v>5.48</v>
      </c>
      <c r="F106" s="440">
        <v>0.33333333333333331</v>
      </c>
      <c r="G106" s="439">
        <v>0.45833333333333331</v>
      </c>
      <c r="H106" s="439">
        <v>0.66666666666666663</v>
      </c>
      <c r="I106" s="470">
        <f t="shared" si="49"/>
        <v>0.20833333333333331</v>
      </c>
      <c r="J106" s="439">
        <v>0.70833333333333337</v>
      </c>
      <c r="K106" s="439">
        <v>0.83333333333333337</v>
      </c>
      <c r="L106" s="474">
        <f t="shared" si="50"/>
        <v>0.125</v>
      </c>
      <c r="M106" s="470">
        <f t="shared" si="51"/>
        <v>0.33333333333333331</v>
      </c>
      <c r="N106" s="445">
        <f t="shared" si="52"/>
        <v>43.84</v>
      </c>
      <c r="O106" s="446">
        <f t="shared" si="53"/>
        <v>0</v>
      </c>
      <c r="P106" s="445">
        <f t="shared" si="54"/>
        <v>43.84</v>
      </c>
    </row>
    <row r="107" spans="1:16" s="447" customFormat="1" ht="15.95" customHeight="1">
      <c r="A107" s="442" t="s">
        <v>996</v>
      </c>
      <c r="B107" s="442" t="s">
        <v>1683</v>
      </c>
      <c r="C107" s="454" t="s">
        <v>1669</v>
      </c>
      <c r="D107" s="444">
        <v>42009</v>
      </c>
      <c r="E107" s="445">
        <v>5.48</v>
      </c>
      <c r="F107" s="440">
        <v>0.33333333333333331</v>
      </c>
      <c r="G107" s="439">
        <v>0.45833333333333331</v>
      </c>
      <c r="H107" s="439">
        <v>0.66666666666666663</v>
      </c>
      <c r="I107" s="470">
        <f t="shared" si="49"/>
        <v>0.20833333333333331</v>
      </c>
      <c r="J107" s="439">
        <v>0.70833333333333337</v>
      </c>
      <c r="K107" s="439">
        <v>0.83333333333333337</v>
      </c>
      <c r="L107" s="474">
        <f t="shared" si="50"/>
        <v>0.125</v>
      </c>
      <c r="M107" s="470">
        <f t="shared" si="51"/>
        <v>0.33333333333333331</v>
      </c>
      <c r="N107" s="445">
        <f t="shared" si="52"/>
        <v>43.84</v>
      </c>
      <c r="O107" s="446">
        <f t="shared" si="53"/>
        <v>0</v>
      </c>
      <c r="P107" s="445">
        <f t="shared" si="54"/>
        <v>43.84</v>
      </c>
    </row>
    <row r="108" spans="1:16" s="447" customFormat="1" ht="15.95" customHeight="1">
      <c r="A108" s="442" t="s">
        <v>996</v>
      </c>
      <c r="B108" s="442" t="s">
        <v>1683</v>
      </c>
      <c r="C108" s="454" t="s">
        <v>1669</v>
      </c>
      <c r="D108" s="444">
        <v>42010</v>
      </c>
      <c r="E108" s="445">
        <v>5.48</v>
      </c>
      <c r="F108" s="440">
        <v>0.33333333333333331</v>
      </c>
      <c r="G108" s="439">
        <v>0.45833333333333331</v>
      </c>
      <c r="H108" s="439">
        <v>0.66666666666666663</v>
      </c>
      <c r="I108" s="470">
        <f t="shared" si="49"/>
        <v>0.20833333333333331</v>
      </c>
      <c r="J108" s="439">
        <v>0.70833333333333337</v>
      </c>
      <c r="K108" s="439">
        <v>0.83333333333333337</v>
      </c>
      <c r="L108" s="474">
        <f t="shared" si="50"/>
        <v>0.125</v>
      </c>
      <c r="M108" s="470">
        <f t="shared" si="51"/>
        <v>0.33333333333333331</v>
      </c>
      <c r="N108" s="445">
        <f t="shared" si="52"/>
        <v>43.84</v>
      </c>
      <c r="O108" s="446">
        <f t="shared" si="53"/>
        <v>0</v>
      </c>
      <c r="P108" s="445">
        <f t="shared" si="54"/>
        <v>43.84</v>
      </c>
    </row>
    <row r="109" spans="1:16" s="447" customFormat="1" ht="15.95" customHeight="1">
      <c r="A109" s="442" t="s">
        <v>996</v>
      </c>
      <c r="B109" s="442" t="s">
        <v>1683</v>
      </c>
      <c r="C109" s="454" t="s">
        <v>1669</v>
      </c>
      <c r="D109" s="444">
        <v>42011</v>
      </c>
      <c r="E109" s="445">
        <v>5.48</v>
      </c>
      <c r="F109" s="440">
        <v>0.33333333333333331</v>
      </c>
      <c r="G109" s="439">
        <v>0.45833333333333331</v>
      </c>
      <c r="H109" s="439">
        <v>0.66666666666666663</v>
      </c>
      <c r="I109" s="470">
        <f t="shared" si="49"/>
        <v>0.20833333333333331</v>
      </c>
      <c r="J109" s="439">
        <v>0.70833333333333337</v>
      </c>
      <c r="K109" s="439">
        <v>0.83333333333333337</v>
      </c>
      <c r="L109" s="474">
        <f t="shared" si="50"/>
        <v>0.125</v>
      </c>
      <c r="M109" s="470">
        <f t="shared" si="51"/>
        <v>0.33333333333333331</v>
      </c>
      <c r="N109" s="445">
        <f t="shared" si="52"/>
        <v>43.84</v>
      </c>
      <c r="O109" s="446">
        <f t="shared" si="53"/>
        <v>0</v>
      </c>
      <c r="P109" s="445">
        <f t="shared" si="54"/>
        <v>43.84</v>
      </c>
    </row>
    <row r="110" spans="1:16" s="447" customFormat="1" ht="15.95" customHeight="1">
      <c r="A110" s="442" t="s">
        <v>996</v>
      </c>
      <c r="B110" s="442" t="s">
        <v>1683</v>
      </c>
      <c r="C110" s="454" t="s">
        <v>1669</v>
      </c>
      <c r="D110" s="444">
        <v>42012</v>
      </c>
      <c r="E110" s="445">
        <v>5.48</v>
      </c>
      <c r="F110" s="440">
        <v>0.33333333333333331</v>
      </c>
      <c r="G110" s="439">
        <v>0.45833333333333331</v>
      </c>
      <c r="H110" s="439">
        <v>0.66666666666666663</v>
      </c>
      <c r="I110" s="470">
        <f t="shared" si="49"/>
        <v>0.20833333333333331</v>
      </c>
      <c r="J110" s="439">
        <v>0.70833333333333337</v>
      </c>
      <c r="K110" s="439">
        <v>0.83333333333333337</v>
      </c>
      <c r="L110" s="474">
        <f t="shared" si="50"/>
        <v>0.125</v>
      </c>
      <c r="M110" s="470">
        <f t="shared" si="51"/>
        <v>0.33333333333333331</v>
      </c>
      <c r="N110" s="445">
        <f t="shared" si="52"/>
        <v>43.84</v>
      </c>
      <c r="O110" s="446">
        <f t="shared" si="53"/>
        <v>0</v>
      </c>
      <c r="P110" s="445">
        <f t="shared" si="54"/>
        <v>43.84</v>
      </c>
    </row>
    <row r="111" spans="1:16" s="447" customFormat="1" ht="15.95" customHeight="1">
      <c r="A111" s="442" t="s">
        <v>996</v>
      </c>
      <c r="B111" s="442" t="s">
        <v>1683</v>
      </c>
      <c r="C111" s="454" t="s">
        <v>1669</v>
      </c>
      <c r="D111" s="444">
        <v>42013</v>
      </c>
      <c r="E111" s="445">
        <v>5.48</v>
      </c>
      <c r="F111" s="440">
        <v>0.33333333333333331</v>
      </c>
      <c r="G111" s="439">
        <v>0.45833333333333331</v>
      </c>
      <c r="H111" s="439">
        <v>0.66666666666666663</v>
      </c>
      <c r="I111" s="470">
        <f t="shared" si="49"/>
        <v>0.20833333333333331</v>
      </c>
      <c r="J111" s="439">
        <v>0.70833333333333337</v>
      </c>
      <c r="K111" s="439">
        <v>0.83333333333333337</v>
      </c>
      <c r="L111" s="474">
        <f t="shared" si="50"/>
        <v>0.125</v>
      </c>
      <c r="M111" s="470">
        <f t="shared" si="51"/>
        <v>0.33333333333333331</v>
      </c>
      <c r="N111" s="445">
        <f t="shared" si="52"/>
        <v>43.84</v>
      </c>
      <c r="O111" s="446">
        <f t="shared" si="53"/>
        <v>0</v>
      </c>
      <c r="P111" s="445">
        <f t="shared" si="54"/>
        <v>43.84</v>
      </c>
    </row>
    <row r="112" spans="1:16" s="447" customFormat="1" ht="15.95" customHeight="1">
      <c r="A112" s="442" t="s">
        <v>996</v>
      </c>
      <c r="B112" s="442" t="s">
        <v>1683</v>
      </c>
      <c r="C112" s="454" t="s">
        <v>1669</v>
      </c>
      <c r="D112" s="444">
        <v>42014</v>
      </c>
      <c r="E112" s="445">
        <v>5.48</v>
      </c>
      <c r="F112" s="440">
        <v>0.33333333333333331</v>
      </c>
      <c r="G112" s="439">
        <v>0.45833333333333331</v>
      </c>
      <c r="H112" s="439">
        <v>0.66666666666666663</v>
      </c>
      <c r="I112" s="470">
        <f t="shared" si="49"/>
        <v>0.20833333333333331</v>
      </c>
      <c r="J112" s="439">
        <v>0.70833333333333337</v>
      </c>
      <c r="K112" s="439">
        <v>0.83333333333333337</v>
      </c>
      <c r="L112" s="474">
        <f t="shared" si="50"/>
        <v>0.125</v>
      </c>
      <c r="M112" s="470">
        <f t="shared" si="51"/>
        <v>0.33333333333333331</v>
      </c>
      <c r="N112" s="445">
        <f t="shared" si="52"/>
        <v>43.84</v>
      </c>
      <c r="O112" s="446">
        <f t="shared" si="53"/>
        <v>0</v>
      </c>
      <c r="P112" s="445">
        <f t="shared" si="54"/>
        <v>43.84</v>
      </c>
    </row>
    <row r="113" spans="1:16" s="447" customFormat="1" ht="15.95" customHeight="1">
      <c r="A113" s="442" t="s">
        <v>996</v>
      </c>
      <c r="B113" s="442" t="s">
        <v>1683</v>
      </c>
      <c r="C113" s="454" t="s">
        <v>1669</v>
      </c>
      <c r="D113" s="444">
        <v>42015</v>
      </c>
      <c r="E113" s="445">
        <v>5.48</v>
      </c>
      <c r="F113" s="440">
        <v>0.33333333333333331</v>
      </c>
      <c r="G113" s="439">
        <v>0.45833333333333331</v>
      </c>
      <c r="H113" s="439">
        <v>0.66666666666666663</v>
      </c>
      <c r="I113" s="470">
        <f t="shared" si="49"/>
        <v>0.20833333333333331</v>
      </c>
      <c r="J113" s="439">
        <v>0.70833333333333337</v>
      </c>
      <c r="K113" s="439">
        <v>0.83333333333333337</v>
      </c>
      <c r="L113" s="474">
        <f t="shared" si="50"/>
        <v>0.125</v>
      </c>
      <c r="M113" s="470">
        <f t="shared" si="51"/>
        <v>0.33333333333333331</v>
      </c>
      <c r="N113" s="445">
        <f t="shared" si="52"/>
        <v>43.84</v>
      </c>
      <c r="O113" s="446">
        <f t="shared" si="53"/>
        <v>0</v>
      </c>
      <c r="P113" s="445">
        <f t="shared" si="54"/>
        <v>43.84</v>
      </c>
    </row>
    <row r="114" spans="1:16" s="447" customFormat="1" ht="15.95" customHeight="1">
      <c r="A114" s="442" t="s">
        <v>996</v>
      </c>
      <c r="B114" s="442" t="s">
        <v>1683</v>
      </c>
      <c r="C114" s="454" t="s">
        <v>1669</v>
      </c>
      <c r="D114" s="444">
        <v>42016</v>
      </c>
      <c r="E114" s="445">
        <v>5.48</v>
      </c>
      <c r="F114" s="440">
        <v>0.33333333333333331</v>
      </c>
      <c r="G114" s="439">
        <v>0.45833333333333331</v>
      </c>
      <c r="H114" s="439">
        <v>0.66666666666666663</v>
      </c>
      <c r="I114" s="470">
        <f t="shared" si="49"/>
        <v>0.20833333333333331</v>
      </c>
      <c r="J114" s="439">
        <v>0.70833333333333337</v>
      </c>
      <c r="K114" s="439">
        <v>0.83333333333333337</v>
      </c>
      <c r="L114" s="474">
        <f t="shared" si="50"/>
        <v>0.125</v>
      </c>
      <c r="M114" s="470">
        <f t="shared" si="51"/>
        <v>0.33333333333333331</v>
      </c>
      <c r="N114" s="445">
        <f t="shared" si="52"/>
        <v>43.84</v>
      </c>
      <c r="O114" s="446">
        <f t="shared" si="53"/>
        <v>0</v>
      </c>
      <c r="P114" s="445">
        <f t="shared" si="54"/>
        <v>43.84</v>
      </c>
    </row>
    <row r="115" spans="1:16" s="447" customFormat="1" ht="15.95" customHeight="1">
      <c r="A115" s="442" t="s">
        <v>996</v>
      </c>
      <c r="B115" s="442" t="s">
        <v>1683</v>
      </c>
      <c r="C115" s="454" t="s">
        <v>1669</v>
      </c>
      <c r="D115" s="444">
        <v>42017</v>
      </c>
      <c r="E115" s="445">
        <v>5.48</v>
      </c>
      <c r="F115" s="440">
        <v>0.33333333333333331</v>
      </c>
      <c r="G115" s="439">
        <v>0.45833333333333331</v>
      </c>
      <c r="H115" s="439">
        <v>0.66666666666666663</v>
      </c>
      <c r="I115" s="470">
        <f t="shared" si="49"/>
        <v>0.20833333333333331</v>
      </c>
      <c r="J115" s="439">
        <v>0.70833333333333337</v>
      </c>
      <c r="K115" s="439">
        <v>0.83333333333333337</v>
      </c>
      <c r="L115" s="474">
        <f t="shared" si="50"/>
        <v>0.125</v>
      </c>
      <c r="M115" s="470">
        <f t="shared" si="51"/>
        <v>0.33333333333333331</v>
      </c>
      <c r="N115" s="445">
        <f t="shared" si="52"/>
        <v>43.84</v>
      </c>
      <c r="O115" s="446">
        <f t="shared" si="53"/>
        <v>0</v>
      </c>
      <c r="P115" s="445">
        <f t="shared" si="54"/>
        <v>43.84</v>
      </c>
    </row>
    <row r="116" spans="1:16" s="447" customFormat="1" ht="15.95" customHeight="1">
      <c r="A116" s="442" t="s">
        <v>996</v>
      </c>
      <c r="B116" s="442" t="s">
        <v>1683</v>
      </c>
      <c r="C116" s="454" t="s">
        <v>1669</v>
      </c>
      <c r="D116" s="444">
        <v>42018</v>
      </c>
      <c r="E116" s="445">
        <v>5.48</v>
      </c>
      <c r="F116" s="440">
        <v>0.33333333333333331</v>
      </c>
      <c r="G116" s="439">
        <v>0.45833333333333331</v>
      </c>
      <c r="H116" s="439">
        <v>0.66666666666666663</v>
      </c>
      <c r="I116" s="470">
        <f t="shared" si="49"/>
        <v>0.20833333333333331</v>
      </c>
      <c r="J116" s="439">
        <v>0.70833333333333337</v>
      </c>
      <c r="K116" s="439">
        <v>0.83333333333333337</v>
      </c>
      <c r="L116" s="474">
        <f t="shared" si="50"/>
        <v>0.125</v>
      </c>
      <c r="M116" s="470">
        <f t="shared" si="51"/>
        <v>0.33333333333333331</v>
      </c>
      <c r="N116" s="445">
        <f t="shared" si="52"/>
        <v>43.84</v>
      </c>
      <c r="O116" s="446">
        <f t="shared" si="53"/>
        <v>0</v>
      </c>
      <c r="P116" s="445">
        <f t="shared" si="54"/>
        <v>43.84</v>
      </c>
    </row>
    <row r="117" spans="1:16" s="447" customFormat="1" ht="15.95" customHeight="1">
      <c r="A117" s="442" t="s">
        <v>996</v>
      </c>
      <c r="B117" s="442" t="s">
        <v>1683</v>
      </c>
      <c r="C117" s="454" t="s">
        <v>1669</v>
      </c>
      <c r="D117" s="444">
        <v>42019</v>
      </c>
      <c r="E117" s="445">
        <v>5.48</v>
      </c>
      <c r="F117" s="440">
        <v>0.33333333333333331</v>
      </c>
      <c r="G117" s="439">
        <v>0.45833333333333331</v>
      </c>
      <c r="H117" s="439">
        <v>0.66666666666666663</v>
      </c>
      <c r="I117" s="470">
        <f t="shared" si="49"/>
        <v>0.20833333333333331</v>
      </c>
      <c r="J117" s="439">
        <v>0.70833333333333337</v>
      </c>
      <c r="K117" s="439">
        <v>0.83333333333333337</v>
      </c>
      <c r="L117" s="474">
        <f t="shared" si="50"/>
        <v>0.125</v>
      </c>
      <c r="M117" s="470">
        <f t="shared" si="51"/>
        <v>0.33333333333333331</v>
      </c>
      <c r="N117" s="445">
        <f t="shared" si="52"/>
        <v>43.84</v>
      </c>
      <c r="O117" s="446">
        <f t="shared" si="53"/>
        <v>0</v>
      </c>
      <c r="P117" s="445">
        <f t="shared" si="54"/>
        <v>43.84</v>
      </c>
    </row>
    <row r="118" spans="1:16" s="447" customFormat="1" ht="15.95" customHeight="1">
      <c r="A118" s="442" t="s">
        <v>996</v>
      </c>
      <c r="B118" s="442" t="s">
        <v>1683</v>
      </c>
      <c r="C118" s="454" t="s">
        <v>1669</v>
      </c>
      <c r="D118" s="444">
        <v>42020</v>
      </c>
      <c r="E118" s="445">
        <v>5.48</v>
      </c>
      <c r="F118" s="440">
        <v>0.33333333333333331</v>
      </c>
      <c r="G118" s="439">
        <v>0.45833333333333331</v>
      </c>
      <c r="H118" s="439">
        <v>0.66666666666666663</v>
      </c>
      <c r="I118" s="470">
        <f t="shared" si="49"/>
        <v>0.20833333333333331</v>
      </c>
      <c r="J118" s="439">
        <v>0.70833333333333337</v>
      </c>
      <c r="K118" s="439">
        <v>0.83333333333333337</v>
      </c>
      <c r="L118" s="474">
        <f t="shared" si="50"/>
        <v>0.125</v>
      </c>
      <c r="M118" s="470">
        <f t="shared" si="51"/>
        <v>0.33333333333333331</v>
      </c>
      <c r="N118" s="445">
        <f t="shared" si="52"/>
        <v>43.84</v>
      </c>
      <c r="O118" s="446">
        <f t="shared" si="53"/>
        <v>0</v>
      </c>
      <c r="P118" s="445">
        <f t="shared" si="54"/>
        <v>43.84</v>
      </c>
    </row>
    <row r="119" spans="1:16" s="447" customFormat="1" ht="15.95" customHeight="1">
      <c r="A119" s="442" t="s">
        <v>996</v>
      </c>
      <c r="B119" s="442" t="s">
        <v>1683</v>
      </c>
      <c r="C119" s="454" t="s">
        <v>1669</v>
      </c>
      <c r="D119" s="444">
        <v>42021</v>
      </c>
      <c r="E119" s="445">
        <v>5.48</v>
      </c>
      <c r="F119" s="440">
        <v>0.33333333333333331</v>
      </c>
      <c r="G119" s="439">
        <v>0.45833333333333331</v>
      </c>
      <c r="H119" s="439">
        <v>0.66666666666666663</v>
      </c>
      <c r="I119" s="470">
        <f t="shared" si="49"/>
        <v>0.20833333333333331</v>
      </c>
      <c r="J119" s="439">
        <v>0.70833333333333337</v>
      </c>
      <c r="K119" s="439">
        <v>0.83333333333333337</v>
      </c>
      <c r="L119" s="474">
        <f t="shared" si="50"/>
        <v>0.125</v>
      </c>
      <c r="M119" s="470">
        <f t="shared" si="51"/>
        <v>0.33333333333333331</v>
      </c>
      <c r="N119" s="445">
        <f t="shared" si="52"/>
        <v>43.84</v>
      </c>
      <c r="O119" s="446">
        <f t="shared" si="53"/>
        <v>0</v>
      </c>
      <c r="P119" s="445">
        <f t="shared" si="54"/>
        <v>43.84</v>
      </c>
    </row>
    <row r="120" spans="1:16" s="447" customFormat="1" ht="15.95" customHeight="1">
      <c r="A120" s="442" t="s">
        <v>996</v>
      </c>
      <c r="B120" s="442" t="s">
        <v>1683</v>
      </c>
      <c r="C120" s="454" t="s">
        <v>1669</v>
      </c>
      <c r="D120" s="444">
        <v>42022</v>
      </c>
      <c r="E120" s="445">
        <v>5.48</v>
      </c>
      <c r="F120" s="440">
        <v>0.33333333333333331</v>
      </c>
      <c r="G120" s="439">
        <v>0.45833333333333331</v>
      </c>
      <c r="H120" s="439">
        <v>0.66666666666666663</v>
      </c>
      <c r="I120" s="470">
        <f t="shared" si="49"/>
        <v>0.20833333333333331</v>
      </c>
      <c r="J120" s="439">
        <v>0.70833333333333337</v>
      </c>
      <c r="K120" s="439">
        <v>0.83333333333333337</v>
      </c>
      <c r="L120" s="474">
        <f t="shared" si="50"/>
        <v>0.125</v>
      </c>
      <c r="M120" s="470">
        <f t="shared" si="51"/>
        <v>0.33333333333333331</v>
      </c>
      <c r="N120" s="445">
        <f t="shared" si="52"/>
        <v>43.84</v>
      </c>
      <c r="O120" s="446">
        <f t="shared" si="53"/>
        <v>0</v>
      </c>
      <c r="P120" s="445">
        <f t="shared" si="54"/>
        <v>43.84</v>
      </c>
    </row>
    <row r="121" spans="1:16" s="447" customFormat="1" ht="15.95" customHeight="1">
      <c r="A121" s="442" t="s">
        <v>996</v>
      </c>
      <c r="B121" s="442" t="s">
        <v>1683</v>
      </c>
      <c r="C121" s="454" t="s">
        <v>1669</v>
      </c>
      <c r="D121" s="444">
        <v>42023</v>
      </c>
      <c r="E121" s="445">
        <v>5.48</v>
      </c>
      <c r="F121" s="440">
        <v>0.33333333333333331</v>
      </c>
      <c r="G121" s="439">
        <v>0.45833333333333331</v>
      </c>
      <c r="H121" s="439">
        <v>0.66666666666666663</v>
      </c>
      <c r="I121" s="470">
        <f t="shared" si="49"/>
        <v>0.20833333333333331</v>
      </c>
      <c r="J121" s="439">
        <v>0.70833333333333337</v>
      </c>
      <c r="K121" s="439">
        <v>0.83333333333333337</v>
      </c>
      <c r="L121" s="474">
        <f t="shared" si="50"/>
        <v>0.125</v>
      </c>
      <c r="M121" s="470">
        <f t="shared" si="51"/>
        <v>0.33333333333333331</v>
      </c>
      <c r="N121" s="445">
        <f t="shared" si="52"/>
        <v>43.84</v>
      </c>
      <c r="O121" s="446">
        <f t="shared" si="53"/>
        <v>0</v>
      </c>
      <c r="P121" s="445">
        <f t="shared" si="54"/>
        <v>43.84</v>
      </c>
    </row>
    <row r="122" spans="1:16" s="447" customFormat="1" ht="15.95" customHeight="1">
      <c r="A122" s="442" t="s">
        <v>996</v>
      </c>
      <c r="B122" s="442" t="s">
        <v>1683</v>
      </c>
      <c r="C122" s="454" t="s">
        <v>1669</v>
      </c>
      <c r="D122" s="444">
        <v>42024</v>
      </c>
      <c r="E122" s="445">
        <v>5.48</v>
      </c>
      <c r="F122" s="440">
        <v>0.33333333333333331</v>
      </c>
      <c r="G122" s="439">
        <v>0.45833333333333331</v>
      </c>
      <c r="H122" s="439">
        <v>0.66666666666666663</v>
      </c>
      <c r="I122" s="470">
        <f t="shared" si="49"/>
        <v>0.20833333333333331</v>
      </c>
      <c r="J122" s="439">
        <v>0.70833333333333337</v>
      </c>
      <c r="K122" s="439">
        <v>0.83333333333333337</v>
      </c>
      <c r="L122" s="474">
        <f t="shared" si="50"/>
        <v>0.125</v>
      </c>
      <c r="M122" s="470">
        <f t="shared" si="51"/>
        <v>0.33333333333333331</v>
      </c>
      <c r="N122" s="445">
        <f t="shared" si="52"/>
        <v>43.84</v>
      </c>
      <c r="O122" s="446">
        <f t="shared" si="53"/>
        <v>0</v>
      </c>
      <c r="P122" s="445">
        <f t="shared" si="54"/>
        <v>43.84</v>
      </c>
    </row>
    <row r="123" spans="1:16" s="447" customFormat="1" ht="15.95" customHeight="1">
      <c r="A123" s="442" t="s">
        <v>996</v>
      </c>
      <c r="B123" s="442" t="s">
        <v>1683</v>
      </c>
      <c r="C123" s="454" t="s">
        <v>1668</v>
      </c>
      <c r="D123" s="444">
        <v>42025</v>
      </c>
      <c r="E123" s="445">
        <v>4.6900000000000004</v>
      </c>
      <c r="F123" s="440">
        <v>0.33333333333333331</v>
      </c>
      <c r="G123" s="439">
        <v>0.45833333333333331</v>
      </c>
      <c r="H123" s="439">
        <v>0.66666666666666663</v>
      </c>
      <c r="I123" s="470">
        <f t="shared" si="49"/>
        <v>0.20833333333333331</v>
      </c>
      <c r="J123" s="439">
        <v>0.70833333333333337</v>
      </c>
      <c r="K123" s="439">
        <v>0.83333333333333337</v>
      </c>
      <c r="L123" s="474">
        <f t="shared" si="50"/>
        <v>0.125</v>
      </c>
      <c r="M123" s="470">
        <f t="shared" si="51"/>
        <v>0.33333333333333331</v>
      </c>
      <c r="N123" s="445">
        <f t="shared" si="52"/>
        <v>37.520000000000003</v>
      </c>
      <c r="O123" s="446">
        <f t="shared" si="53"/>
        <v>0</v>
      </c>
      <c r="P123" s="445">
        <f t="shared" si="54"/>
        <v>37.520000000000003</v>
      </c>
    </row>
    <row r="124" spans="1:16" s="447" customFormat="1" ht="15.95" customHeight="1">
      <c r="A124" s="442" t="s">
        <v>996</v>
      </c>
      <c r="B124" s="442" t="s">
        <v>1683</v>
      </c>
      <c r="C124" s="454" t="s">
        <v>1668</v>
      </c>
      <c r="D124" s="444">
        <v>42026</v>
      </c>
      <c r="E124" s="445">
        <v>4.6900000000000004</v>
      </c>
      <c r="F124" s="440">
        <v>0.33333333333333331</v>
      </c>
      <c r="G124" s="439">
        <v>0.45833333333333331</v>
      </c>
      <c r="H124" s="439">
        <v>0.66666666666666663</v>
      </c>
      <c r="I124" s="470">
        <f t="shared" si="49"/>
        <v>0.20833333333333331</v>
      </c>
      <c r="J124" s="439">
        <v>0.70833333333333337</v>
      </c>
      <c r="K124" s="439">
        <v>0.83333333333333337</v>
      </c>
      <c r="L124" s="474">
        <f t="shared" si="50"/>
        <v>0.125</v>
      </c>
      <c r="M124" s="470">
        <f t="shared" si="51"/>
        <v>0.33333333333333331</v>
      </c>
      <c r="N124" s="445">
        <f t="shared" si="52"/>
        <v>37.520000000000003</v>
      </c>
      <c r="O124" s="446">
        <f t="shared" si="53"/>
        <v>0</v>
      </c>
      <c r="P124" s="445">
        <f t="shared" si="54"/>
        <v>37.520000000000003</v>
      </c>
    </row>
    <row r="125" spans="1:16" s="447" customFormat="1" ht="15.95" customHeight="1">
      <c r="A125" s="442" t="s">
        <v>996</v>
      </c>
      <c r="B125" s="442" t="s">
        <v>1683</v>
      </c>
      <c r="C125" s="454" t="s">
        <v>1668</v>
      </c>
      <c r="D125" s="444">
        <v>42027</v>
      </c>
      <c r="E125" s="445">
        <v>4.6900000000000004</v>
      </c>
      <c r="F125" s="440">
        <v>0.33333333333333331</v>
      </c>
      <c r="G125" s="439">
        <v>0.45833333333333331</v>
      </c>
      <c r="H125" s="439">
        <v>0.66666666666666663</v>
      </c>
      <c r="I125" s="470">
        <f t="shared" si="49"/>
        <v>0.20833333333333331</v>
      </c>
      <c r="J125" s="439">
        <v>0.70833333333333337</v>
      </c>
      <c r="K125" s="439">
        <v>0.83333333333333337</v>
      </c>
      <c r="L125" s="474">
        <f t="shared" si="50"/>
        <v>0.125</v>
      </c>
      <c r="M125" s="470">
        <f t="shared" si="51"/>
        <v>0.33333333333333331</v>
      </c>
      <c r="N125" s="445">
        <f t="shared" si="52"/>
        <v>37.520000000000003</v>
      </c>
      <c r="O125" s="446">
        <f t="shared" si="53"/>
        <v>0</v>
      </c>
      <c r="P125" s="445">
        <f t="shared" si="54"/>
        <v>37.520000000000003</v>
      </c>
    </row>
    <row r="126" spans="1:16" s="447" customFormat="1" ht="15.95" customHeight="1">
      <c r="A126" s="442" t="s">
        <v>996</v>
      </c>
      <c r="B126" s="442" t="s">
        <v>1683</v>
      </c>
      <c r="C126" s="454" t="s">
        <v>1668</v>
      </c>
      <c r="D126" s="444">
        <v>42028</v>
      </c>
      <c r="E126" s="445">
        <v>4.6900000000000004</v>
      </c>
      <c r="F126" s="440">
        <v>0.33333333333333331</v>
      </c>
      <c r="G126" s="439">
        <v>0.45833333333333331</v>
      </c>
      <c r="H126" s="439">
        <v>0.66666666666666663</v>
      </c>
      <c r="I126" s="470">
        <f t="shared" si="49"/>
        <v>0.20833333333333331</v>
      </c>
      <c r="J126" s="439">
        <v>0.70833333333333337</v>
      </c>
      <c r="K126" s="439">
        <v>0.83333333333333337</v>
      </c>
      <c r="L126" s="474">
        <f t="shared" si="50"/>
        <v>0.125</v>
      </c>
      <c r="M126" s="470">
        <f t="shared" si="51"/>
        <v>0.33333333333333331</v>
      </c>
      <c r="N126" s="445">
        <f t="shared" si="52"/>
        <v>37.520000000000003</v>
      </c>
      <c r="O126" s="446">
        <f t="shared" si="53"/>
        <v>0</v>
      </c>
      <c r="P126" s="445">
        <f t="shared" si="54"/>
        <v>37.520000000000003</v>
      </c>
    </row>
    <row r="127" spans="1:16" s="447" customFormat="1" ht="15.95" customHeight="1">
      <c r="A127" s="442" t="s">
        <v>996</v>
      </c>
      <c r="B127" s="442" t="s">
        <v>1683</v>
      </c>
      <c r="C127" s="454" t="s">
        <v>1668</v>
      </c>
      <c r="D127" s="444">
        <v>42029</v>
      </c>
      <c r="E127" s="445">
        <v>4.6900000000000004</v>
      </c>
      <c r="F127" s="440">
        <v>0.33333333333333331</v>
      </c>
      <c r="G127" s="439">
        <v>0.45833333333333331</v>
      </c>
      <c r="H127" s="439">
        <v>0.66666666666666663</v>
      </c>
      <c r="I127" s="470">
        <f t="shared" si="49"/>
        <v>0.20833333333333331</v>
      </c>
      <c r="J127" s="439">
        <v>0.70833333333333337</v>
      </c>
      <c r="K127" s="439">
        <v>0.83333333333333337</v>
      </c>
      <c r="L127" s="474">
        <f t="shared" si="50"/>
        <v>0.125</v>
      </c>
      <c r="M127" s="470">
        <f t="shared" si="51"/>
        <v>0.33333333333333331</v>
      </c>
      <c r="N127" s="445">
        <f t="shared" si="52"/>
        <v>37.520000000000003</v>
      </c>
      <c r="O127" s="446">
        <f t="shared" si="53"/>
        <v>0</v>
      </c>
      <c r="P127" s="445">
        <f t="shared" si="54"/>
        <v>37.520000000000003</v>
      </c>
    </row>
    <row r="128" spans="1:16" s="447" customFormat="1" ht="15.95" customHeight="1">
      <c r="A128" s="442" t="s">
        <v>996</v>
      </c>
      <c r="B128" s="442" t="s">
        <v>1683</v>
      </c>
      <c r="C128" s="454" t="s">
        <v>1668</v>
      </c>
      <c r="D128" s="444">
        <v>42030</v>
      </c>
      <c r="E128" s="445">
        <v>4.6900000000000004</v>
      </c>
      <c r="F128" s="440">
        <v>0.33333333333333331</v>
      </c>
      <c r="G128" s="439">
        <v>0.45833333333333331</v>
      </c>
      <c r="H128" s="439">
        <v>0.66666666666666663</v>
      </c>
      <c r="I128" s="470">
        <f t="shared" si="49"/>
        <v>0.20833333333333331</v>
      </c>
      <c r="J128" s="439">
        <v>0.70833333333333337</v>
      </c>
      <c r="K128" s="439">
        <v>0.83333333333333337</v>
      </c>
      <c r="L128" s="474">
        <f t="shared" si="50"/>
        <v>0.125</v>
      </c>
      <c r="M128" s="470">
        <f t="shared" si="51"/>
        <v>0.33333333333333331</v>
      </c>
      <c r="N128" s="445">
        <f t="shared" si="52"/>
        <v>37.520000000000003</v>
      </c>
      <c r="O128" s="446">
        <f t="shared" si="53"/>
        <v>0</v>
      </c>
      <c r="P128" s="445">
        <f t="shared" si="54"/>
        <v>37.520000000000003</v>
      </c>
    </row>
    <row r="129" spans="1:16" s="447" customFormat="1" ht="15.95" customHeight="1">
      <c r="A129" s="442" t="s">
        <v>996</v>
      </c>
      <c r="B129" s="442" t="s">
        <v>1683</v>
      </c>
      <c r="C129" s="454" t="s">
        <v>1668</v>
      </c>
      <c r="D129" s="444">
        <v>42023</v>
      </c>
      <c r="E129" s="445">
        <v>4.6900000000000004</v>
      </c>
      <c r="F129" s="440">
        <v>0.33333333333333331</v>
      </c>
      <c r="G129" s="439">
        <v>0.45833333333333331</v>
      </c>
      <c r="H129" s="439">
        <v>0.66666666666666663</v>
      </c>
      <c r="I129" s="470">
        <f t="shared" si="49"/>
        <v>0.20833333333333331</v>
      </c>
      <c r="J129" s="439">
        <v>0.70833333333333337</v>
      </c>
      <c r="K129" s="439">
        <v>0.83333333333333337</v>
      </c>
      <c r="L129" s="474">
        <f t="shared" si="50"/>
        <v>0.125</v>
      </c>
      <c r="M129" s="470">
        <f t="shared" si="51"/>
        <v>0.33333333333333331</v>
      </c>
      <c r="N129" s="445">
        <f t="shared" si="52"/>
        <v>37.520000000000003</v>
      </c>
      <c r="O129" s="446">
        <f t="shared" si="53"/>
        <v>0</v>
      </c>
      <c r="P129" s="445">
        <f t="shared" si="54"/>
        <v>37.520000000000003</v>
      </c>
    </row>
    <row r="130" spans="1:16" s="447" customFormat="1" ht="15.95" customHeight="1">
      <c r="A130" s="442" t="s">
        <v>996</v>
      </c>
      <c r="B130" s="442" t="s">
        <v>1683</v>
      </c>
      <c r="C130" s="454" t="s">
        <v>1668</v>
      </c>
      <c r="D130" s="444">
        <v>42032</v>
      </c>
      <c r="E130" s="445">
        <v>4.6900000000000004</v>
      </c>
      <c r="F130" s="440">
        <v>0.33333333333333331</v>
      </c>
      <c r="G130" s="439">
        <v>0.45833333333333331</v>
      </c>
      <c r="H130" s="439">
        <v>0.66666666666666663</v>
      </c>
      <c r="I130" s="470">
        <f t="shared" si="49"/>
        <v>0.20833333333333331</v>
      </c>
      <c r="J130" s="439">
        <v>0.70833333333333337</v>
      </c>
      <c r="K130" s="439">
        <v>0.83333333333333337</v>
      </c>
      <c r="L130" s="474">
        <f t="shared" si="50"/>
        <v>0.125</v>
      </c>
      <c r="M130" s="470">
        <f t="shared" si="51"/>
        <v>0.33333333333333331</v>
      </c>
      <c r="N130" s="445">
        <f t="shared" si="52"/>
        <v>37.520000000000003</v>
      </c>
      <c r="O130" s="446">
        <f t="shared" si="53"/>
        <v>0</v>
      </c>
      <c r="P130" s="445">
        <f t="shared" si="54"/>
        <v>37.520000000000003</v>
      </c>
    </row>
    <row r="131" spans="1:16" s="447" customFormat="1" ht="15.95" customHeight="1">
      <c r="A131" s="442" t="s">
        <v>996</v>
      </c>
      <c r="B131" s="442" t="s">
        <v>1683</v>
      </c>
      <c r="C131" s="454" t="s">
        <v>1668</v>
      </c>
      <c r="D131" s="444">
        <v>42033</v>
      </c>
      <c r="E131" s="445">
        <v>4.6900000000000004</v>
      </c>
      <c r="F131" s="440">
        <v>0.33333333333333331</v>
      </c>
      <c r="G131" s="439">
        <v>0.45833333333333331</v>
      </c>
      <c r="H131" s="439">
        <v>0.66666666666666663</v>
      </c>
      <c r="I131" s="470">
        <f t="shared" si="49"/>
        <v>0.20833333333333331</v>
      </c>
      <c r="J131" s="439">
        <v>0.70833333333333337</v>
      </c>
      <c r="K131" s="439">
        <v>0.83333333333333337</v>
      </c>
      <c r="L131" s="474">
        <f t="shared" si="50"/>
        <v>0.125</v>
      </c>
      <c r="M131" s="470">
        <f t="shared" si="51"/>
        <v>0.33333333333333331</v>
      </c>
      <c r="N131" s="445">
        <f t="shared" si="52"/>
        <v>37.520000000000003</v>
      </c>
      <c r="O131" s="446">
        <f t="shared" si="53"/>
        <v>0</v>
      </c>
      <c r="P131" s="445">
        <f t="shared" si="54"/>
        <v>37.520000000000003</v>
      </c>
    </row>
    <row r="132" spans="1:16" s="447" customFormat="1" ht="15.95" customHeight="1">
      <c r="A132" s="442" t="s">
        <v>996</v>
      </c>
      <c r="B132" s="442" t="s">
        <v>1683</v>
      </c>
      <c r="C132" s="454" t="s">
        <v>1668</v>
      </c>
      <c r="D132" s="444">
        <v>42034</v>
      </c>
      <c r="E132" s="445">
        <v>4.6900000000000004</v>
      </c>
      <c r="F132" s="440">
        <v>0.33333333333333331</v>
      </c>
      <c r="G132" s="439">
        <v>0.45833333333333331</v>
      </c>
      <c r="H132" s="439">
        <v>0.66666666666666663</v>
      </c>
      <c r="I132" s="470">
        <f t="shared" si="49"/>
        <v>0.20833333333333331</v>
      </c>
      <c r="J132" s="439">
        <v>0.70833333333333337</v>
      </c>
      <c r="K132" s="439">
        <v>0.83333333333333337</v>
      </c>
      <c r="L132" s="474">
        <f t="shared" si="50"/>
        <v>0.125</v>
      </c>
      <c r="M132" s="470">
        <f t="shared" si="51"/>
        <v>0.33333333333333331</v>
      </c>
      <c r="N132" s="445">
        <f t="shared" si="52"/>
        <v>37.520000000000003</v>
      </c>
      <c r="O132" s="446">
        <f t="shared" si="53"/>
        <v>0</v>
      </c>
      <c r="P132" s="445">
        <f t="shared" si="54"/>
        <v>37.520000000000003</v>
      </c>
    </row>
    <row r="133" spans="1:16" s="447" customFormat="1" ht="15.95" customHeight="1">
      <c r="A133" s="442" t="s">
        <v>996</v>
      </c>
      <c r="B133" s="442" t="s">
        <v>1683</v>
      </c>
      <c r="C133" s="454" t="s">
        <v>1668</v>
      </c>
      <c r="D133" s="444">
        <v>42035</v>
      </c>
      <c r="E133" s="445">
        <v>4.6900000000000004</v>
      </c>
      <c r="F133" s="440">
        <v>0.33333333333333331</v>
      </c>
      <c r="G133" s="439">
        <v>0.45833333333333331</v>
      </c>
      <c r="H133" s="439">
        <v>0.66666666666666663</v>
      </c>
      <c r="I133" s="470">
        <f t="shared" si="49"/>
        <v>0.20833333333333331</v>
      </c>
      <c r="J133" s="439">
        <v>0.70833333333333337</v>
      </c>
      <c r="K133" s="439">
        <v>0.83333333333333337</v>
      </c>
      <c r="L133" s="474">
        <f t="shared" si="50"/>
        <v>0.125</v>
      </c>
      <c r="M133" s="470">
        <f t="shared" si="51"/>
        <v>0.33333333333333331</v>
      </c>
      <c r="N133" s="445">
        <f t="shared" si="52"/>
        <v>37.520000000000003</v>
      </c>
      <c r="O133" s="446">
        <f t="shared" si="53"/>
        <v>0</v>
      </c>
      <c r="P133" s="445">
        <f t="shared" si="54"/>
        <v>37.520000000000003</v>
      </c>
    </row>
    <row r="134" spans="1:16" s="447" customFormat="1" ht="15.95" customHeight="1">
      <c r="A134" s="442" t="s">
        <v>996</v>
      </c>
      <c r="B134" s="442" t="s">
        <v>1683</v>
      </c>
      <c r="C134" s="454" t="s">
        <v>1668</v>
      </c>
      <c r="D134" s="444">
        <v>42036</v>
      </c>
      <c r="E134" s="445">
        <v>4.6900000000000004</v>
      </c>
      <c r="F134" s="440">
        <v>0.33333333333333331</v>
      </c>
      <c r="G134" s="439">
        <v>0.45833333333333331</v>
      </c>
      <c r="H134" s="439">
        <v>0.66666666666666663</v>
      </c>
      <c r="I134" s="470">
        <f t="shared" si="49"/>
        <v>0.20833333333333331</v>
      </c>
      <c r="J134" s="439">
        <v>0.70833333333333337</v>
      </c>
      <c r="K134" s="439">
        <v>0.83333333333333337</v>
      </c>
      <c r="L134" s="474">
        <f t="shared" si="50"/>
        <v>0.125</v>
      </c>
      <c r="M134" s="470">
        <f t="shared" si="51"/>
        <v>0.33333333333333331</v>
      </c>
      <c r="N134" s="445">
        <f t="shared" si="52"/>
        <v>37.520000000000003</v>
      </c>
      <c r="O134" s="446">
        <f t="shared" si="53"/>
        <v>0</v>
      </c>
      <c r="P134" s="445">
        <f t="shared" si="54"/>
        <v>37.520000000000003</v>
      </c>
    </row>
    <row r="135" spans="1:16" s="447" customFormat="1" ht="15.95" customHeight="1">
      <c r="A135" s="442" t="s">
        <v>996</v>
      </c>
      <c r="B135" s="442" t="s">
        <v>1682</v>
      </c>
      <c r="C135" s="454" t="s">
        <v>1669</v>
      </c>
      <c r="D135" s="444">
        <v>42007</v>
      </c>
      <c r="E135" s="445">
        <v>4.6900000000000004</v>
      </c>
      <c r="F135" s="440">
        <v>0.33333333333333331</v>
      </c>
      <c r="G135" s="439">
        <v>0.70833333333333337</v>
      </c>
      <c r="H135" s="439">
        <v>0.79166666666666663</v>
      </c>
      <c r="I135" s="470">
        <f t="shared" ref="I135:I164" si="55">MOD(H135-G135,1)</f>
        <v>8.3333333333333259E-2</v>
      </c>
      <c r="J135" s="439">
        <v>0.83333333333333337</v>
      </c>
      <c r="K135" s="439">
        <v>4.1666666666666664E-2</v>
      </c>
      <c r="L135" s="474">
        <f t="shared" ref="L135:L164" si="56">MOD(K135-J135,1)</f>
        <v>0.20833333333333326</v>
      </c>
      <c r="M135" s="470">
        <f t="shared" ref="M135:M164" si="57">I135+L135</f>
        <v>0.29166666666666652</v>
      </c>
      <c r="N135" s="445">
        <f t="shared" ref="N135:N164" si="58">(M135*24)*E135</f>
        <v>32.829999999999984</v>
      </c>
      <c r="O135" s="446">
        <f t="shared" ref="O135:O164" si="59">IF(M135&gt;F135,M135-F135,0)</f>
        <v>0</v>
      </c>
      <c r="P135" s="445">
        <f t="shared" ref="P135:P164" si="60">N135+O135*24*1.5*E135</f>
        <v>32.829999999999984</v>
      </c>
    </row>
    <row r="136" spans="1:16" s="447" customFormat="1" ht="15.95" customHeight="1">
      <c r="A136" s="442" t="s">
        <v>996</v>
      </c>
      <c r="B136" s="442" t="s">
        <v>1682</v>
      </c>
      <c r="C136" s="454" t="s">
        <v>1669</v>
      </c>
      <c r="D136" s="444">
        <v>42008</v>
      </c>
      <c r="E136" s="445">
        <v>4.6900000000000004</v>
      </c>
      <c r="F136" s="440">
        <v>0.33333333333333331</v>
      </c>
      <c r="G136" s="439">
        <v>0.70833333333333337</v>
      </c>
      <c r="H136" s="439">
        <v>0.79166666666666663</v>
      </c>
      <c r="I136" s="470">
        <f t="shared" si="55"/>
        <v>8.3333333333333259E-2</v>
      </c>
      <c r="J136" s="439">
        <v>0.83333333333333337</v>
      </c>
      <c r="K136" s="439">
        <v>4.1666666666666664E-2</v>
      </c>
      <c r="L136" s="474">
        <f t="shared" si="56"/>
        <v>0.20833333333333326</v>
      </c>
      <c r="M136" s="470">
        <f t="shared" si="57"/>
        <v>0.29166666666666652</v>
      </c>
      <c r="N136" s="445">
        <f t="shared" si="58"/>
        <v>32.829999999999984</v>
      </c>
      <c r="O136" s="446">
        <f t="shared" si="59"/>
        <v>0</v>
      </c>
      <c r="P136" s="445">
        <f t="shared" si="60"/>
        <v>32.829999999999984</v>
      </c>
    </row>
    <row r="137" spans="1:16" s="447" customFormat="1" ht="15.95" customHeight="1">
      <c r="A137" s="442" t="s">
        <v>996</v>
      </c>
      <c r="B137" s="442" t="s">
        <v>1682</v>
      </c>
      <c r="C137" s="454" t="s">
        <v>1669</v>
      </c>
      <c r="D137" s="444">
        <v>42009</v>
      </c>
      <c r="E137" s="445">
        <v>4.6900000000000004</v>
      </c>
      <c r="F137" s="440">
        <v>0.33333333333333331</v>
      </c>
      <c r="G137" s="439">
        <v>0.70833333333333337</v>
      </c>
      <c r="H137" s="439">
        <v>0.79166666666666663</v>
      </c>
      <c r="I137" s="470">
        <f t="shared" si="55"/>
        <v>8.3333333333333259E-2</v>
      </c>
      <c r="J137" s="439">
        <v>0.83333333333333337</v>
      </c>
      <c r="K137" s="439">
        <v>4.1666666666666664E-2</v>
      </c>
      <c r="L137" s="474">
        <f t="shared" si="56"/>
        <v>0.20833333333333326</v>
      </c>
      <c r="M137" s="470">
        <f t="shared" si="57"/>
        <v>0.29166666666666652</v>
      </c>
      <c r="N137" s="445">
        <f t="shared" si="58"/>
        <v>32.829999999999984</v>
      </c>
      <c r="O137" s="446">
        <f t="shared" si="59"/>
        <v>0</v>
      </c>
      <c r="P137" s="445">
        <f t="shared" si="60"/>
        <v>32.829999999999984</v>
      </c>
    </row>
    <row r="138" spans="1:16" s="447" customFormat="1" ht="15.95" customHeight="1">
      <c r="A138" s="442" t="s">
        <v>996</v>
      </c>
      <c r="B138" s="442" t="s">
        <v>1682</v>
      </c>
      <c r="C138" s="454" t="s">
        <v>1669</v>
      </c>
      <c r="D138" s="444">
        <v>42010</v>
      </c>
      <c r="E138" s="445">
        <v>4.6900000000000004</v>
      </c>
      <c r="F138" s="440">
        <v>0.33333333333333331</v>
      </c>
      <c r="G138" s="439">
        <v>0.70833333333333337</v>
      </c>
      <c r="H138" s="439">
        <v>0.79166666666666663</v>
      </c>
      <c r="I138" s="470">
        <f t="shared" si="55"/>
        <v>8.3333333333333259E-2</v>
      </c>
      <c r="J138" s="439">
        <v>0.83333333333333337</v>
      </c>
      <c r="K138" s="439">
        <v>4.1666666666666664E-2</v>
      </c>
      <c r="L138" s="474">
        <f t="shared" si="56"/>
        <v>0.20833333333333326</v>
      </c>
      <c r="M138" s="470">
        <f t="shared" si="57"/>
        <v>0.29166666666666652</v>
      </c>
      <c r="N138" s="445">
        <f t="shared" si="58"/>
        <v>32.829999999999984</v>
      </c>
      <c r="O138" s="446">
        <f t="shared" si="59"/>
        <v>0</v>
      </c>
      <c r="P138" s="445">
        <f t="shared" si="60"/>
        <v>32.829999999999984</v>
      </c>
    </row>
    <row r="139" spans="1:16" s="447" customFormat="1" ht="15.95" customHeight="1">
      <c r="A139" s="442" t="s">
        <v>996</v>
      </c>
      <c r="B139" s="442" t="s">
        <v>1682</v>
      </c>
      <c r="C139" s="454" t="s">
        <v>1669</v>
      </c>
      <c r="D139" s="444">
        <v>42011</v>
      </c>
      <c r="E139" s="445">
        <v>4.6900000000000004</v>
      </c>
      <c r="F139" s="440">
        <v>0.33333333333333331</v>
      </c>
      <c r="G139" s="439">
        <v>0.70833333333333337</v>
      </c>
      <c r="H139" s="439">
        <v>0.79166666666666663</v>
      </c>
      <c r="I139" s="470">
        <f t="shared" si="55"/>
        <v>8.3333333333333259E-2</v>
      </c>
      <c r="J139" s="439">
        <v>0.83333333333333337</v>
      </c>
      <c r="K139" s="439">
        <v>4.1666666666666664E-2</v>
      </c>
      <c r="L139" s="474">
        <f t="shared" si="56"/>
        <v>0.20833333333333326</v>
      </c>
      <c r="M139" s="470">
        <f t="shared" si="57"/>
        <v>0.29166666666666652</v>
      </c>
      <c r="N139" s="445">
        <f t="shared" si="58"/>
        <v>32.829999999999984</v>
      </c>
      <c r="O139" s="446">
        <f t="shared" si="59"/>
        <v>0</v>
      </c>
      <c r="P139" s="445">
        <f t="shared" si="60"/>
        <v>32.829999999999984</v>
      </c>
    </row>
    <row r="140" spans="1:16" s="447" customFormat="1" ht="15.95" customHeight="1">
      <c r="A140" s="442" t="s">
        <v>996</v>
      </c>
      <c r="B140" s="442" t="s">
        <v>1682</v>
      </c>
      <c r="C140" s="454" t="s">
        <v>1669</v>
      </c>
      <c r="D140" s="444">
        <v>42012</v>
      </c>
      <c r="E140" s="445">
        <v>4.6900000000000004</v>
      </c>
      <c r="F140" s="440">
        <v>0.33333333333333331</v>
      </c>
      <c r="G140" s="439">
        <v>0.70833333333333337</v>
      </c>
      <c r="H140" s="439">
        <v>0.79166666666666663</v>
      </c>
      <c r="I140" s="470">
        <f t="shared" si="55"/>
        <v>8.3333333333333259E-2</v>
      </c>
      <c r="J140" s="439">
        <v>0.83333333333333337</v>
      </c>
      <c r="K140" s="439">
        <v>4.1666666666666664E-2</v>
      </c>
      <c r="L140" s="474">
        <f t="shared" si="56"/>
        <v>0.20833333333333326</v>
      </c>
      <c r="M140" s="470">
        <f t="shared" si="57"/>
        <v>0.29166666666666652</v>
      </c>
      <c r="N140" s="445">
        <f t="shared" si="58"/>
        <v>32.829999999999984</v>
      </c>
      <c r="O140" s="446">
        <f t="shared" si="59"/>
        <v>0</v>
      </c>
      <c r="P140" s="445">
        <f t="shared" si="60"/>
        <v>32.829999999999984</v>
      </c>
    </row>
    <row r="141" spans="1:16" s="447" customFormat="1" ht="15.95" customHeight="1">
      <c r="A141" s="442" t="s">
        <v>996</v>
      </c>
      <c r="B141" s="442" t="s">
        <v>1682</v>
      </c>
      <c r="C141" s="454" t="s">
        <v>1669</v>
      </c>
      <c r="D141" s="444">
        <v>42013</v>
      </c>
      <c r="E141" s="445">
        <v>4.6900000000000004</v>
      </c>
      <c r="F141" s="440">
        <v>0.33333333333333331</v>
      </c>
      <c r="G141" s="439">
        <v>0.70833333333333337</v>
      </c>
      <c r="H141" s="439">
        <v>0.79166666666666663</v>
      </c>
      <c r="I141" s="470">
        <f t="shared" si="55"/>
        <v>8.3333333333333259E-2</v>
      </c>
      <c r="J141" s="439">
        <v>0.83333333333333337</v>
      </c>
      <c r="K141" s="439">
        <v>4.1666666666666664E-2</v>
      </c>
      <c r="L141" s="474">
        <f t="shared" si="56"/>
        <v>0.20833333333333326</v>
      </c>
      <c r="M141" s="470">
        <f t="shared" si="57"/>
        <v>0.29166666666666652</v>
      </c>
      <c r="N141" s="445">
        <f t="shared" si="58"/>
        <v>32.829999999999984</v>
      </c>
      <c r="O141" s="446">
        <f t="shared" si="59"/>
        <v>0</v>
      </c>
      <c r="P141" s="445">
        <f t="shared" si="60"/>
        <v>32.829999999999984</v>
      </c>
    </row>
    <row r="142" spans="1:16" s="447" customFormat="1" ht="15.95" customHeight="1">
      <c r="A142" s="442" t="s">
        <v>996</v>
      </c>
      <c r="B142" s="442" t="s">
        <v>1682</v>
      </c>
      <c r="C142" s="454" t="s">
        <v>1669</v>
      </c>
      <c r="D142" s="444">
        <v>42014</v>
      </c>
      <c r="E142" s="445">
        <v>4.6900000000000004</v>
      </c>
      <c r="F142" s="440">
        <v>0.33333333333333331</v>
      </c>
      <c r="G142" s="439">
        <v>0.70833333333333337</v>
      </c>
      <c r="H142" s="439">
        <v>0.79166666666666663</v>
      </c>
      <c r="I142" s="470">
        <f t="shared" si="55"/>
        <v>8.3333333333333259E-2</v>
      </c>
      <c r="J142" s="439">
        <v>0.83333333333333337</v>
      </c>
      <c r="K142" s="439">
        <v>4.1666666666666664E-2</v>
      </c>
      <c r="L142" s="474">
        <f t="shared" si="56"/>
        <v>0.20833333333333326</v>
      </c>
      <c r="M142" s="470">
        <f t="shared" si="57"/>
        <v>0.29166666666666652</v>
      </c>
      <c r="N142" s="445">
        <f t="shared" si="58"/>
        <v>32.829999999999984</v>
      </c>
      <c r="O142" s="446">
        <f t="shared" si="59"/>
        <v>0</v>
      </c>
      <c r="P142" s="445">
        <f t="shared" si="60"/>
        <v>32.829999999999984</v>
      </c>
    </row>
    <row r="143" spans="1:16" s="447" customFormat="1" ht="15.95" customHeight="1">
      <c r="A143" s="442" t="s">
        <v>996</v>
      </c>
      <c r="B143" s="442" t="s">
        <v>1682</v>
      </c>
      <c r="C143" s="454" t="s">
        <v>1669</v>
      </c>
      <c r="D143" s="444">
        <v>42015</v>
      </c>
      <c r="E143" s="445">
        <v>4.6900000000000004</v>
      </c>
      <c r="F143" s="440">
        <v>0.33333333333333331</v>
      </c>
      <c r="G143" s="439">
        <v>0.70833333333333337</v>
      </c>
      <c r="H143" s="439">
        <v>0.79166666666666663</v>
      </c>
      <c r="I143" s="470">
        <f t="shared" si="55"/>
        <v>8.3333333333333259E-2</v>
      </c>
      <c r="J143" s="439">
        <v>0.83333333333333337</v>
      </c>
      <c r="K143" s="439">
        <v>4.1666666666666664E-2</v>
      </c>
      <c r="L143" s="474">
        <f t="shared" si="56"/>
        <v>0.20833333333333326</v>
      </c>
      <c r="M143" s="470">
        <f t="shared" si="57"/>
        <v>0.29166666666666652</v>
      </c>
      <c r="N143" s="445">
        <f t="shared" si="58"/>
        <v>32.829999999999984</v>
      </c>
      <c r="O143" s="446">
        <f t="shared" si="59"/>
        <v>0</v>
      </c>
      <c r="P143" s="445">
        <f t="shared" si="60"/>
        <v>32.829999999999984</v>
      </c>
    </row>
    <row r="144" spans="1:16" s="447" customFormat="1" ht="15.95" customHeight="1">
      <c r="A144" s="442" t="s">
        <v>996</v>
      </c>
      <c r="B144" s="442" t="s">
        <v>1682</v>
      </c>
      <c r="C144" s="454" t="s">
        <v>1669</v>
      </c>
      <c r="D144" s="444">
        <v>42016</v>
      </c>
      <c r="E144" s="445">
        <v>4.6900000000000004</v>
      </c>
      <c r="F144" s="440">
        <v>0.33333333333333331</v>
      </c>
      <c r="G144" s="439">
        <v>0.70833333333333337</v>
      </c>
      <c r="H144" s="439">
        <v>0.79166666666666663</v>
      </c>
      <c r="I144" s="470">
        <f t="shared" si="55"/>
        <v>8.3333333333333259E-2</v>
      </c>
      <c r="J144" s="439">
        <v>0.83333333333333337</v>
      </c>
      <c r="K144" s="439">
        <v>4.1666666666666664E-2</v>
      </c>
      <c r="L144" s="474">
        <f t="shared" si="56"/>
        <v>0.20833333333333326</v>
      </c>
      <c r="M144" s="470">
        <f t="shared" si="57"/>
        <v>0.29166666666666652</v>
      </c>
      <c r="N144" s="445">
        <f t="shared" si="58"/>
        <v>32.829999999999984</v>
      </c>
      <c r="O144" s="446">
        <f t="shared" si="59"/>
        <v>0</v>
      </c>
      <c r="P144" s="445">
        <f t="shared" si="60"/>
        <v>32.829999999999984</v>
      </c>
    </row>
    <row r="145" spans="1:16" s="447" customFormat="1" ht="15.95" customHeight="1">
      <c r="A145" s="442" t="s">
        <v>996</v>
      </c>
      <c r="B145" s="442" t="s">
        <v>1682</v>
      </c>
      <c r="C145" s="454" t="s">
        <v>1669</v>
      </c>
      <c r="D145" s="444">
        <v>42017</v>
      </c>
      <c r="E145" s="445">
        <v>4.6900000000000004</v>
      </c>
      <c r="F145" s="440">
        <v>0.33333333333333331</v>
      </c>
      <c r="G145" s="439">
        <v>0.70833333333333337</v>
      </c>
      <c r="H145" s="439">
        <v>0.79166666666666663</v>
      </c>
      <c r="I145" s="470">
        <f t="shared" si="55"/>
        <v>8.3333333333333259E-2</v>
      </c>
      <c r="J145" s="439">
        <v>0.83333333333333337</v>
      </c>
      <c r="K145" s="439">
        <v>4.1666666666666664E-2</v>
      </c>
      <c r="L145" s="474">
        <f t="shared" si="56"/>
        <v>0.20833333333333326</v>
      </c>
      <c r="M145" s="470">
        <f t="shared" si="57"/>
        <v>0.29166666666666652</v>
      </c>
      <c r="N145" s="445">
        <f t="shared" si="58"/>
        <v>32.829999999999984</v>
      </c>
      <c r="O145" s="446">
        <f t="shared" si="59"/>
        <v>0</v>
      </c>
      <c r="P145" s="445">
        <f t="shared" si="60"/>
        <v>32.829999999999984</v>
      </c>
    </row>
    <row r="146" spans="1:16" s="447" customFormat="1" ht="15.95" customHeight="1">
      <c r="A146" s="442" t="s">
        <v>996</v>
      </c>
      <c r="B146" s="442" t="s">
        <v>1682</v>
      </c>
      <c r="C146" s="454" t="s">
        <v>1669</v>
      </c>
      <c r="D146" s="444">
        <v>42018</v>
      </c>
      <c r="E146" s="445">
        <v>4.6900000000000004</v>
      </c>
      <c r="F146" s="440">
        <v>0.33333333333333331</v>
      </c>
      <c r="G146" s="439">
        <v>0.70833333333333337</v>
      </c>
      <c r="H146" s="439">
        <v>0.79166666666666663</v>
      </c>
      <c r="I146" s="470">
        <f t="shared" si="55"/>
        <v>8.3333333333333259E-2</v>
      </c>
      <c r="J146" s="439">
        <v>0.83333333333333337</v>
      </c>
      <c r="K146" s="439">
        <v>4.1666666666666664E-2</v>
      </c>
      <c r="L146" s="474">
        <f t="shared" si="56"/>
        <v>0.20833333333333326</v>
      </c>
      <c r="M146" s="470">
        <f t="shared" si="57"/>
        <v>0.29166666666666652</v>
      </c>
      <c r="N146" s="445">
        <f t="shared" si="58"/>
        <v>32.829999999999984</v>
      </c>
      <c r="O146" s="446">
        <f t="shared" si="59"/>
        <v>0</v>
      </c>
      <c r="P146" s="445">
        <f t="shared" si="60"/>
        <v>32.829999999999984</v>
      </c>
    </row>
    <row r="147" spans="1:16" s="447" customFormat="1" ht="15.95" customHeight="1">
      <c r="A147" s="442" t="s">
        <v>996</v>
      </c>
      <c r="B147" s="442" t="s">
        <v>1682</v>
      </c>
      <c r="C147" s="454" t="s">
        <v>1669</v>
      </c>
      <c r="D147" s="444">
        <v>42019</v>
      </c>
      <c r="E147" s="445">
        <v>4.6900000000000004</v>
      </c>
      <c r="F147" s="440">
        <v>0.33333333333333331</v>
      </c>
      <c r="G147" s="439">
        <v>0.70833333333333337</v>
      </c>
      <c r="H147" s="439">
        <v>0.79166666666666663</v>
      </c>
      <c r="I147" s="470">
        <f t="shared" si="55"/>
        <v>8.3333333333333259E-2</v>
      </c>
      <c r="J147" s="439">
        <v>0.83333333333333337</v>
      </c>
      <c r="K147" s="439">
        <v>4.1666666666666664E-2</v>
      </c>
      <c r="L147" s="474">
        <f t="shared" si="56"/>
        <v>0.20833333333333326</v>
      </c>
      <c r="M147" s="470">
        <f t="shared" si="57"/>
        <v>0.29166666666666652</v>
      </c>
      <c r="N147" s="445">
        <f t="shared" si="58"/>
        <v>32.829999999999984</v>
      </c>
      <c r="O147" s="446">
        <f t="shared" si="59"/>
        <v>0</v>
      </c>
      <c r="P147" s="445">
        <f t="shared" si="60"/>
        <v>32.829999999999984</v>
      </c>
    </row>
    <row r="148" spans="1:16" s="447" customFormat="1" ht="15.95" customHeight="1">
      <c r="A148" s="442" t="s">
        <v>996</v>
      </c>
      <c r="B148" s="442" t="s">
        <v>1682</v>
      </c>
      <c r="C148" s="454" t="s">
        <v>1669</v>
      </c>
      <c r="D148" s="444">
        <v>42020</v>
      </c>
      <c r="E148" s="445">
        <v>4.6900000000000004</v>
      </c>
      <c r="F148" s="440">
        <v>0.33333333333333331</v>
      </c>
      <c r="G148" s="439">
        <v>0.70833333333333337</v>
      </c>
      <c r="H148" s="439">
        <v>0.79166666666666663</v>
      </c>
      <c r="I148" s="470">
        <f t="shared" si="55"/>
        <v>8.3333333333333259E-2</v>
      </c>
      <c r="J148" s="439">
        <v>0.83333333333333337</v>
      </c>
      <c r="K148" s="439">
        <v>4.1666666666666664E-2</v>
      </c>
      <c r="L148" s="474">
        <f t="shared" si="56"/>
        <v>0.20833333333333326</v>
      </c>
      <c r="M148" s="470">
        <f t="shared" si="57"/>
        <v>0.29166666666666652</v>
      </c>
      <c r="N148" s="445">
        <f t="shared" si="58"/>
        <v>32.829999999999984</v>
      </c>
      <c r="O148" s="446">
        <f t="shared" si="59"/>
        <v>0</v>
      </c>
      <c r="P148" s="445">
        <f t="shared" si="60"/>
        <v>32.829999999999984</v>
      </c>
    </row>
    <row r="149" spans="1:16" s="447" customFormat="1" ht="15.95" customHeight="1">
      <c r="A149" s="442" t="s">
        <v>996</v>
      </c>
      <c r="B149" s="442" t="s">
        <v>1682</v>
      </c>
      <c r="C149" s="454" t="s">
        <v>1669</v>
      </c>
      <c r="D149" s="444">
        <v>42021</v>
      </c>
      <c r="E149" s="445">
        <v>4.6900000000000004</v>
      </c>
      <c r="F149" s="440">
        <v>0.33333333333333331</v>
      </c>
      <c r="G149" s="439">
        <v>0.70833333333333337</v>
      </c>
      <c r="H149" s="439">
        <v>0.79166666666666663</v>
      </c>
      <c r="I149" s="470">
        <f t="shared" si="55"/>
        <v>8.3333333333333259E-2</v>
      </c>
      <c r="J149" s="439">
        <v>0.83333333333333337</v>
      </c>
      <c r="K149" s="439">
        <v>4.1666666666666664E-2</v>
      </c>
      <c r="L149" s="474">
        <f t="shared" si="56"/>
        <v>0.20833333333333326</v>
      </c>
      <c r="M149" s="470">
        <f t="shared" si="57"/>
        <v>0.29166666666666652</v>
      </c>
      <c r="N149" s="445">
        <f t="shared" si="58"/>
        <v>32.829999999999984</v>
      </c>
      <c r="O149" s="446">
        <f t="shared" si="59"/>
        <v>0</v>
      </c>
      <c r="P149" s="445">
        <f t="shared" si="60"/>
        <v>32.829999999999984</v>
      </c>
    </row>
    <row r="150" spans="1:16" s="447" customFormat="1" ht="15.95" customHeight="1">
      <c r="A150" s="442" t="s">
        <v>996</v>
      </c>
      <c r="B150" s="442" t="s">
        <v>1682</v>
      </c>
      <c r="C150" s="454" t="s">
        <v>1669</v>
      </c>
      <c r="D150" s="444">
        <v>42022</v>
      </c>
      <c r="E150" s="445">
        <v>4.6900000000000004</v>
      </c>
      <c r="F150" s="440">
        <v>0.33333333333333331</v>
      </c>
      <c r="G150" s="439">
        <v>0.70833333333333337</v>
      </c>
      <c r="H150" s="439">
        <v>0.79166666666666663</v>
      </c>
      <c r="I150" s="470">
        <f t="shared" si="55"/>
        <v>8.3333333333333259E-2</v>
      </c>
      <c r="J150" s="439">
        <v>0.83333333333333337</v>
      </c>
      <c r="K150" s="439">
        <v>4.1666666666666664E-2</v>
      </c>
      <c r="L150" s="474">
        <f t="shared" si="56"/>
        <v>0.20833333333333326</v>
      </c>
      <c r="M150" s="470">
        <f t="shared" si="57"/>
        <v>0.29166666666666652</v>
      </c>
      <c r="N150" s="445">
        <f t="shared" si="58"/>
        <v>32.829999999999984</v>
      </c>
      <c r="O150" s="446">
        <f t="shared" si="59"/>
        <v>0</v>
      </c>
      <c r="P150" s="445">
        <f t="shared" si="60"/>
        <v>32.829999999999984</v>
      </c>
    </row>
    <row r="151" spans="1:16" s="447" customFormat="1" ht="15.95" customHeight="1">
      <c r="A151" s="442" t="s">
        <v>996</v>
      </c>
      <c r="B151" s="442" t="s">
        <v>1682</v>
      </c>
      <c r="C151" s="454" t="s">
        <v>1669</v>
      </c>
      <c r="D151" s="444">
        <v>42023</v>
      </c>
      <c r="E151" s="445">
        <v>4.6900000000000004</v>
      </c>
      <c r="F151" s="440">
        <v>0.33333333333333331</v>
      </c>
      <c r="G151" s="439">
        <v>0.70833333333333337</v>
      </c>
      <c r="H151" s="439">
        <v>0.79166666666666663</v>
      </c>
      <c r="I151" s="470">
        <f t="shared" si="55"/>
        <v>8.3333333333333259E-2</v>
      </c>
      <c r="J151" s="439">
        <v>0.83333333333333337</v>
      </c>
      <c r="K151" s="439">
        <v>4.1666666666666664E-2</v>
      </c>
      <c r="L151" s="474">
        <f t="shared" si="56"/>
        <v>0.20833333333333326</v>
      </c>
      <c r="M151" s="470">
        <f t="shared" si="57"/>
        <v>0.29166666666666652</v>
      </c>
      <c r="N151" s="445">
        <f t="shared" si="58"/>
        <v>32.829999999999984</v>
      </c>
      <c r="O151" s="446">
        <f t="shared" si="59"/>
        <v>0</v>
      </c>
      <c r="P151" s="445">
        <f t="shared" si="60"/>
        <v>32.829999999999984</v>
      </c>
    </row>
    <row r="152" spans="1:16" s="447" customFormat="1" ht="15.95" customHeight="1">
      <c r="A152" s="442" t="s">
        <v>996</v>
      </c>
      <c r="B152" s="442" t="s">
        <v>1682</v>
      </c>
      <c r="C152" s="454" t="s">
        <v>1669</v>
      </c>
      <c r="D152" s="444">
        <v>42024</v>
      </c>
      <c r="E152" s="445">
        <v>4.6900000000000004</v>
      </c>
      <c r="F152" s="440">
        <v>0.33333333333333331</v>
      </c>
      <c r="G152" s="439">
        <v>0.70833333333333337</v>
      </c>
      <c r="H152" s="439">
        <v>0.79166666666666663</v>
      </c>
      <c r="I152" s="470">
        <f t="shared" si="55"/>
        <v>8.3333333333333259E-2</v>
      </c>
      <c r="J152" s="439">
        <v>0.83333333333333337</v>
      </c>
      <c r="K152" s="439">
        <v>4.1666666666666664E-2</v>
      </c>
      <c r="L152" s="474">
        <f t="shared" si="56"/>
        <v>0.20833333333333326</v>
      </c>
      <c r="M152" s="470">
        <f t="shared" si="57"/>
        <v>0.29166666666666652</v>
      </c>
      <c r="N152" s="445">
        <f t="shared" si="58"/>
        <v>32.829999999999984</v>
      </c>
      <c r="O152" s="446">
        <f t="shared" si="59"/>
        <v>0</v>
      </c>
      <c r="P152" s="445">
        <f t="shared" si="60"/>
        <v>32.829999999999984</v>
      </c>
    </row>
    <row r="153" spans="1:16" s="447" customFormat="1" ht="15.95" customHeight="1">
      <c r="A153" s="442" t="s">
        <v>996</v>
      </c>
      <c r="B153" s="442" t="s">
        <v>1682</v>
      </c>
      <c r="C153" s="454" t="s">
        <v>1668</v>
      </c>
      <c r="D153" s="444">
        <v>42025</v>
      </c>
      <c r="E153" s="445">
        <v>4.6900000000000004</v>
      </c>
      <c r="F153" s="440">
        <v>0.33333333333333331</v>
      </c>
      <c r="G153" s="439">
        <v>0.70833333333333337</v>
      </c>
      <c r="H153" s="439">
        <v>0.79166666666666663</v>
      </c>
      <c r="I153" s="470">
        <f t="shared" si="55"/>
        <v>8.3333333333333259E-2</v>
      </c>
      <c r="J153" s="439">
        <v>0.83333333333333337</v>
      </c>
      <c r="K153" s="439">
        <v>4.1666666666666664E-2</v>
      </c>
      <c r="L153" s="474">
        <f t="shared" si="56"/>
        <v>0.20833333333333326</v>
      </c>
      <c r="M153" s="470">
        <f t="shared" si="57"/>
        <v>0.29166666666666652</v>
      </c>
      <c r="N153" s="445">
        <f t="shared" si="58"/>
        <v>32.829999999999984</v>
      </c>
      <c r="O153" s="446">
        <f t="shared" si="59"/>
        <v>0</v>
      </c>
      <c r="P153" s="445">
        <f t="shared" si="60"/>
        <v>32.829999999999984</v>
      </c>
    </row>
    <row r="154" spans="1:16" s="447" customFormat="1" ht="15.95" customHeight="1">
      <c r="A154" s="442" t="s">
        <v>996</v>
      </c>
      <c r="B154" s="442" t="s">
        <v>1682</v>
      </c>
      <c r="C154" s="454" t="s">
        <v>1668</v>
      </c>
      <c r="D154" s="444">
        <v>42026</v>
      </c>
      <c r="E154" s="445">
        <v>4.6900000000000004</v>
      </c>
      <c r="F154" s="440">
        <v>0.33333333333333331</v>
      </c>
      <c r="G154" s="439">
        <v>0.70833333333333337</v>
      </c>
      <c r="H154" s="439">
        <v>0.79166666666666663</v>
      </c>
      <c r="I154" s="470">
        <f t="shared" si="55"/>
        <v>8.3333333333333259E-2</v>
      </c>
      <c r="J154" s="439">
        <v>0.83333333333333337</v>
      </c>
      <c r="K154" s="439">
        <v>4.1666666666666664E-2</v>
      </c>
      <c r="L154" s="474">
        <f t="shared" si="56"/>
        <v>0.20833333333333326</v>
      </c>
      <c r="M154" s="470">
        <f t="shared" si="57"/>
        <v>0.29166666666666652</v>
      </c>
      <c r="N154" s="445">
        <f t="shared" si="58"/>
        <v>32.829999999999984</v>
      </c>
      <c r="O154" s="446">
        <f t="shared" si="59"/>
        <v>0</v>
      </c>
      <c r="P154" s="445">
        <f t="shared" si="60"/>
        <v>32.829999999999984</v>
      </c>
    </row>
    <row r="155" spans="1:16" s="447" customFormat="1" ht="15.95" customHeight="1">
      <c r="A155" s="442" t="s">
        <v>996</v>
      </c>
      <c r="B155" s="442" t="s">
        <v>1682</v>
      </c>
      <c r="C155" s="454" t="s">
        <v>1668</v>
      </c>
      <c r="D155" s="444">
        <v>42027</v>
      </c>
      <c r="E155" s="445">
        <v>4.6900000000000004</v>
      </c>
      <c r="F155" s="440">
        <v>0.33333333333333331</v>
      </c>
      <c r="G155" s="439">
        <v>0.70833333333333337</v>
      </c>
      <c r="H155" s="439">
        <v>0.79166666666666663</v>
      </c>
      <c r="I155" s="470">
        <f t="shared" si="55"/>
        <v>8.3333333333333259E-2</v>
      </c>
      <c r="J155" s="439">
        <v>0.83333333333333337</v>
      </c>
      <c r="K155" s="439">
        <v>4.1666666666666664E-2</v>
      </c>
      <c r="L155" s="474">
        <f t="shared" si="56"/>
        <v>0.20833333333333326</v>
      </c>
      <c r="M155" s="470">
        <f t="shared" si="57"/>
        <v>0.29166666666666652</v>
      </c>
      <c r="N155" s="445">
        <f t="shared" si="58"/>
        <v>32.829999999999984</v>
      </c>
      <c r="O155" s="446">
        <f t="shared" si="59"/>
        <v>0</v>
      </c>
      <c r="P155" s="445">
        <f t="shared" si="60"/>
        <v>32.829999999999984</v>
      </c>
    </row>
    <row r="156" spans="1:16" s="447" customFormat="1" ht="15.95" customHeight="1">
      <c r="A156" s="442" t="s">
        <v>996</v>
      </c>
      <c r="B156" s="442" t="s">
        <v>1682</v>
      </c>
      <c r="C156" s="454" t="s">
        <v>1668</v>
      </c>
      <c r="D156" s="444">
        <v>42028</v>
      </c>
      <c r="E156" s="445">
        <v>4.6900000000000004</v>
      </c>
      <c r="F156" s="440">
        <v>0.33333333333333331</v>
      </c>
      <c r="G156" s="439">
        <v>0.70833333333333337</v>
      </c>
      <c r="H156" s="439">
        <v>0.79166666666666663</v>
      </c>
      <c r="I156" s="470">
        <f t="shared" si="55"/>
        <v>8.3333333333333259E-2</v>
      </c>
      <c r="J156" s="439">
        <v>0.83333333333333337</v>
      </c>
      <c r="K156" s="439">
        <v>4.1666666666666664E-2</v>
      </c>
      <c r="L156" s="474">
        <f t="shared" si="56"/>
        <v>0.20833333333333326</v>
      </c>
      <c r="M156" s="470">
        <f t="shared" si="57"/>
        <v>0.29166666666666652</v>
      </c>
      <c r="N156" s="445">
        <f t="shared" si="58"/>
        <v>32.829999999999984</v>
      </c>
      <c r="O156" s="446">
        <f t="shared" si="59"/>
        <v>0</v>
      </c>
      <c r="P156" s="445">
        <f t="shared" si="60"/>
        <v>32.829999999999984</v>
      </c>
    </row>
    <row r="157" spans="1:16" s="447" customFormat="1" ht="15.95" customHeight="1">
      <c r="A157" s="442" t="s">
        <v>996</v>
      </c>
      <c r="B157" s="442" t="s">
        <v>1682</v>
      </c>
      <c r="C157" s="454" t="s">
        <v>1668</v>
      </c>
      <c r="D157" s="444">
        <v>42029</v>
      </c>
      <c r="E157" s="445">
        <v>4.6900000000000004</v>
      </c>
      <c r="F157" s="440">
        <v>0.33333333333333331</v>
      </c>
      <c r="G157" s="439">
        <v>0.70833333333333337</v>
      </c>
      <c r="H157" s="439">
        <v>0.79166666666666663</v>
      </c>
      <c r="I157" s="470">
        <f t="shared" si="55"/>
        <v>8.3333333333333259E-2</v>
      </c>
      <c r="J157" s="439">
        <v>0.83333333333333337</v>
      </c>
      <c r="K157" s="439">
        <v>4.1666666666666664E-2</v>
      </c>
      <c r="L157" s="474">
        <f t="shared" si="56"/>
        <v>0.20833333333333326</v>
      </c>
      <c r="M157" s="470">
        <f t="shared" si="57"/>
        <v>0.29166666666666652</v>
      </c>
      <c r="N157" s="445">
        <f t="shared" si="58"/>
        <v>32.829999999999984</v>
      </c>
      <c r="O157" s="446">
        <f t="shared" si="59"/>
        <v>0</v>
      </c>
      <c r="P157" s="445">
        <f t="shared" si="60"/>
        <v>32.829999999999984</v>
      </c>
    </row>
    <row r="158" spans="1:16" s="447" customFormat="1" ht="15.95" customHeight="1">
      <c r="A158" s="442" t="s">
        <v>996</v>
      </c>
      <c r="B158" s="442" t="s">
        <v>1682</v>
      </c>
      <c r="C158" s="454" t="s">
        <v>1668</v>
      </c>
      <c r="D158" s="444">
        <v>42030</v>
      </c>
      <c r="E158" s="445">
        <v>4.6900000000000004</v>
      </c>
      <c r="F158" s="440">
        <v>0.33333333333333331</v>
      </c>
      <c r="G158" s="439">
        <v>0.70833333333333337</v>
      </c>
      <c r="H158" s="439">
        <v>0.79166666666666663</v>
      </c>
      <c r="I158" s="470">
        <f t="shared" si="55"/>
        <v>8.3333333333333259E-2</v>
      </c>
      <c r="J158" s="439">
        <v>0.83333333333333337</v>
      </c>
      <c r="K158" s="439">
        <v>4.1666666666666664E-2</v>
      </c>
      <c r="L158" s="474">
        <f t="shared" si="56"/>
        <v>0.20833333333333326</v>
      </c>
      <c r="M158" s="470">
        <f t="shared" si="57"/>
        <v>0.29166666666666652</v>
      </c>
      <c r="N158" s="445">
        <f t="shared" si="58"/>
        <v>32.829999999999984</v>
      </c>
      <c r="O158" s="446">
        <f t="shared" si="59"/>
        <v>0</v>
      </c>
      <c r="P158" s="445">
        <f t="shared" si="60"/>
        <v>32.829999999999984</v>
      </c>
    </row>
    <row r="159" spans="1:16" s="447" customFormat="1" ht="15.95" customHeight="1">
      <c r="A159" s="442" t="s">
        <v>996</v>
      </c>
      <c r="B159" s="442" t="s">
        <v>1682</v>
      </c>
      <c r="C159" s="454" t="s">
        <v>1668</v>
      </c>
      <c r="D159" s="444">
        <v>42023</v>
      </c>
      <c r="E159" s="445">
        <v>4.6900000000000004</v>
      </c>
      <c r="F159" s="440">
        <v>0.33333333333333331</v>
      </c>
      <c r="G159" s="439">
        <v>0.70833333333333337</v>
      </c>
      <c r="H159" s="439">
        <v>0.79166666666666663</v>
      </c>
      <c r="I159" s="470">
        <f t="shared" si="55"/>
        <v>8.3333333333333259E-2</v>
      </c>
      <c r="J159" s="439">
        <v>0.83333333333333337</v>
      </c>
      <c r="K159" s="439">
        <v>4.1666666666666664E-2</v>
      </c>
      <c r="L159" s="474">
        <f t="shared" si="56"/>
        <v>0.20833333333333326</v>
      </c>
      <c r="M159" s="470">
        <f t="shared" si="57"/>
        <v>0.29166666666666652</v>
      </c>
      <c r="N159" s="445">
        <f t="shared" si="58"/>
        <v>32.829999999999984</v>
      </c>
      <c r="O159" s="446">
        <f t="shared" si="59"/>
        <v>0</v>
      </c>
      <c r="P159" s="445">
        <f t="shared" si="60"/>
        <v>32.829999999999984</v>
      </c>
    </row>
    <row r="160" spans="1:16" s="447" customFormat="1" ht="15.95" customHeight="1">
      <c r="A160" s="442" t="s">
        <v>996</v>
      </c>
      <c r="B160" s="442" t="s">
        <v>1682</v>
      </c>
      <c r="C160" s="454" t="s">
        <v>1668</v>
      </c>
      <c r="D160" s="444">
        <v>42032</v>
      </c>
      <c r="E160" s="445">
        <v>4.6900000000000004</v>
      </c>
      <c r="F160" s="440">
        <v>0.33333333333333331</v>
      </c>
      <c r="G160" s="439">
        <v>0.70833333333333337</v>
      </c>
      <c r="H160" s="439">
        <v>0.79166666666666663</v>
      </c>
      <c r="I160" s="470">
        <f t="shared" si="55"/>
        <v>8.3333333333333259E-2</v>
      </c>
      <c r="J160" s="439">
        <v>0.83333333333333337</v>
      </c>
      <c r="K160" s="439">
        <v>4.1666666666666664E-2</v>
      </c>
      <c r="L160" s="474">
        <f t="shared" si="56"/>
        <v>0.20833333333333326</v>
      </c>
      <c r="M160" s="470">
        <f t="shared" si="57"/>
        <v>0.29166666666666652</v>
      </c>
      <c r="N160" s="445">
        <f t="shared" si="58"/>
        <v>32.829999999999984</v>
      </c>
      <c r="O160" s="446">
        <f t="shared" si="59"/>
        <v>0</v>
      </c>
      <c r="P160" s="445">
        <f t="shared" si="60"/>
        <v>32.829999999999984</v>
      </c>
    </row>
    <row r="161" spans="1:16" s="447" customFormat="1" ht="15.95" customHeight="1">
      <c r="A161" s="442" t="s">
        <v>996</v>
      </c>
      <c r="B161" s="442" t="s">
        <v>1682</v>
      </c>
      <c r="C161" s="454" t="s">
        <v>1668</v>
      </c>
      <c r="D161" s="444">
        <v>42033</v>
      </c>
      <c r="E161" s="445">
        <v>4.6900000000000004</v>
      </c>
      <c r="F161" s="440">
        <v>0.33333333333333331</v>
      </c>
      <c r="G161" s="439">
        <v>0.70833333333333337</v>
      </c>
      <c r="H161" s="439">
        <v>0.79166666666666663</v>
      </c>
      <c r="I161" s="470">
        <f t="shared" si="55"/>
        <v>8.3333333333333259E-2</v>
      </c>
      <c r="J161" s="439">
        <v>0.83333333333333337</v>
      </c>
      <c r="K161" s="439">
        <v>4.1666666666666664E-2</v>
      </c>
      <c r="L161" s="474">
        <f t="shared" si="56"/>
        <v>0.20833333333333326</v>
      </c>
      <c r="M161" s="470">
        <f t="shared" si="57"/>
        <v>0.29166666666666652</v>
      </c>
      <c r="N161" s="445">
        <f t="shared" si="58"/>
        <v>32.829999999999984</v>
      </c>
      <c r="O161" s="446">
        <f t="shared" si="59"/>
        <v>0</v>
      </c>
      <c r="P161" s="445">
        <f t="shared" si="60"/>
        <v>32.829999999999984</v>
      </c>
    </row>
    <row r="162" spans="1:16" s="447" customFormat="1" ht="15.95" customHeight="1">
      <c r="A162" s="442" t="s">
        <v>996</v>
      </c>
      <c r="B162" s="442" t="s">
        <v>1682</v>
      </c>
      <c r="C162" s="454" t="s">
        <v>1668</v>
      </c>
      <c r="D162" s="444">
        <v>42034</v>
      </c>
      <c r="E162" s="445">
        <v>4.6900000000000004</v>
      </c>
      <c r="F162" s="440">
        <v>0.33333333333333331</v>
      </c>
      <c r="G162" s="439">
        <v>0.70833333333333337</v>
      </c>
      <c r="H162" s="439">
        <v>0.79166666666666663</v>
      </c>
      <c r="I162" s="470">
        <f t="shared" si="55"/>
        <v>8.3333333333333259E-2</v>
      </c>
      <c r="J162" s="439">
        <v>0.83333333333333337</v>
      </c>
      <c r="K162" s="439">
        <v>4.1666666666666664E-2</v>
      </c>
      <c r="L162" s="474">
        <f t="shared" si="56"/>
        <v>0.20833333333333326</v>
      </c>
      <c r="M162" s="470">
        <f t="shared" si="57"/>
        <v>0.29166666666666652</v>
      </c>
      <c r="N162" s="445">
        <f t="shared" si="58"/>
        <v>32.829999999999984</v>
      </c>
      <c r="O162" s="446">
        <f t="shared" si="59"/>
        <v>0</v>
      </c>
      <c r="P162" s="445">
        <f t="shared" si="60"/>
        <v>32.829999999999984</v>
      </c>
    </row>
    <row r="163" spans="1:16" s="447" customFormat="1" ht="15.95" customHeight="1">
      <c r="A163" s="442" t="s">
        <v>996</v>
      </c>
      <c r="B163" s="442" t="s">
        <v>1682</v>
      </c>
      <c r="C163" s="454" t="s">
        <v>1668</v>
      </c>
      <c r="D163" s="444">
        <v>42035</v>
      </c>
      <c r="E163" s="445">
        <v>4.6900000000000004</v>
      </c>
      <c r="F163" s="440">
        <v>0.33333333333333331</v>
      </c>
      <c r="G163" s="439">
        <v>0.70833333333333337</v>
      </c>
      <c r="H163" s="439">
        <v>0.79166666666666663</v>
      </c>
      <c r="I163" s="470">
        <f t="shared" si="55"/>
        <v>8.3333333333333259E-2</v>
      </c>
      <c r="J163" s="439">
        <v>0.83333333333333337</v>
      </c>
      <c r="K163" s="439">
        <v>4.1666666666666664E-2</v>
      </c>
      <c r="L163" s="474">
        <f t="shared" si="56"/>
        <v>0.20833333333333326</v>
      </c>
      <c r="M163" s="470">
        <f t="shared" si="57"/>
        <v>0.29166666666666652</v>
      </c>
      <c r="N163" s="445">
        <f t="shared" si="58"/>
        <v>32.829999999999984</v>
      </c>
      <c r="O163" s="446">
        <f t="shared" si="59"/>
        <v>0</v>
      </c>
      <c r="P163" s="445">
        <f t="shared" si="60"/>
        <v>32.829999999999984</v>
      </c>
    </row>
    <row r="164" spans="1:16" s="447" customFormat="1" ht="15.95" customHeight="1">
      <c r="A164" s="442" t="s">
        <v>996</v>
      </c>
      <c r="B164" s="442" t="s">
        <v>1682</v>
      </c>
      <c r="C164" s="454" t="s">
        <v>1668</v>
      </c>
      <c r="D164" s="444">
        <v>42036</v>
      </c>
      <c r="E164" s="445">
        <v>4.6900000000000004</v>
      </c>
      <c r="F164" s="440">
        <v>0.33333333333333331</v>
      </c>
      <c r="G164" s="439">
        <v>0.70833333333333337</v>
      </c>
      <c r="H164" s="439">
        <v>0.79166666666666663</v>
      </c>
      <c r="I164" s="470">
        <f t="shared" si="55"/>
        <v>8.3333333333333259E-2</v>
      </c>
      <c r="J164" s="439">
        <v>0.83333333333333337</v>
      </c>
      <c r="K164" s="439">
        <v>4.1666666666666664E-2</v>
      </c>
      <c r="L164" s="474">
        <f t="shared" si="56"/>
        <v>0.20833333333333326</v>
      </c>
      <c r="M164" s="470">
        <f t="shared" si="57"/>
        <v>0.29166666666666652</v>
      </c>
      <c r="N164" s="445">
        <f t="shared" si="58"/>
        <v>32.829999999999984</v>
      </c>
      <c r="O164" s="446">
        <f t="shared" si="59"/>
        <v>0</v>
      </c>
      <c r="P164" s="445">
        <f t="shared" si="60"/>
        <v>32.829999999999984</v>
      </c>
    </row>
    <row r="165" spans="1:16" s="447" customFormat="1" ht="15.95" customHeight="1">
      <c r="A165" s="442"/>
      <c r="B165" s="442"/>
      <c r="C165" s="454"/>
      <c r="D165" s="444"/>
      <c r="E165" s="445"/>
      <c r="F165" s="439">
        <v>0</v>
      </c>
      <c r="G165" s="439">
        <v>0</v>
      </c>
      <c r="H165" s="439">
        <v>0</v>
      </c>
      <c r="I165" s="470">
        <f t="shared" ref="I165:I180" si="61">MOD(H165-G165,1)</f>
        <v>0</v>
      </c>
      <c r="J165" s="439">
        <v>0</v>
      </c>
      <c r="K165" s="439">
        <v>0</v>
      </c>
      <c r="L165" s="474">
        <f t="shared" ref="L165:L180" si="62">MOD(K165-J165,1)</f>
        <v>0</v>
      </c>
      <c r="M165" s="470">
        <f t="shared" ref="M165:M180" si="63">I165+L165</f>
        <v>0</v>
      </c>
      <c r="N165" s="445">
        <f t="shared" ref="N165:N180" si="64">(M165*24)*E165</f>
        <v>0</v>
      </c>
      <c r="O165" s="446">
        <f t="shared" ref="O165:O180" si="65">IF(M165&gt;F165,M165-F165,0)</f>
        <v>0</v>
      </c>
      <c r="P165" s="445">
        <f t="shared" ref="P165:P180" si="66">N165+O165*24*1.5*E165</f>
        <v>0</v>
      </c>
    </row>
    <row r="166" spans="1:16" s="447" customFormat="1" ht="15.95" customHeight="1">
      <c r="A166" s="442"/>
      <c r="B166" s="442"/>
      <c r="C166" s="454"/>
      <c r="D166" s="444"/>
      <c r="E166" s="445"/>
      <c r="F166" s="439">
        <v>0</v>
      </c>
      <c r="G166" s="439">
        <v>0</v>
      </c>
      <c r="H166" s="439">
        <v>0</v>
      </c>
      <c r="I166" s="470">
        <f t="shared" si="61"/>
        <v>0</v>
      </c>
      <c r="J166" s="439">
        <v>0</v>
      </c>
      <c r="K166" s="439">
        <v>0</v>
      </c>
      <c r="L166" s="474">
        <f t="shared" si="62"/>
        <v>0</v>
      </c>
      <c r="M166" s="470">
        <f t="shared" si="63"/>
        <v>0</v>
      </c>
      <c r="N166" s="445">
        <f t="shared" si="64"/>
        <v>0</v>
      </c>
      <c r="O166" s="446">
        <f t="shared" si="65"/>
        <v>0</v>
      </c>
      <c r="P166" s="445">
        <f t="shared" si="66"/>
        <v>0</v>
      </c>
    </row>
    <row r="167" spans="1:16" s="447" customFormat="1" ht="15.95" customHeight="1">
      <c r="A167" s="442"/>
      <c r="B167" s="442"/>
      <c r="C167" s="454"/>
      <c r="D167" s="444"/>
      <c r="E167" s="445"/>
      <c r="F167" s="439">
        <v>0</v>
      </c>
      <c r="G167" s="439">
        <v>0</v>
      </c>
      <c r="H167" s="439">
        <v>0</v>
      </c>
      <c r="I167" s="470">
        <f t="shared" si="61"/>
        <v>0</v>
      </c>
      <c r="J167" s="439">
        <v>0</v>
      </c>
      <c r="K167" s="439">
        <v>0</v>
      </c>
      <c r="L167" s="474">
        <f t="shared" si="62"/>
        <v>0</v>
      </c>
      <c r="M167" s="470">
        <f t="shared" si="63"/>
        <v>0</v>
      </c>
      <c r="N167" s="445">
        <f t="shared" si="64"/>
        <v>0</v>
      </c>
      <c r="O167" s="446">
        <f t="shared" si="65"/>
        <v>0</v>
      </c>
      <c r="P167" s="445">
        <f t="shared" si="66"/>
        <v>0</v>
      </c>
    </row>
    <row r="168" spans="1:16" s="447" customFormat="1" ht="15.95" customHeight="1">
      <c r="A168" s="442"/>
      <c r="B168" s="442"/>
      <c r="C168" s="454"/>
      <c r="D168" s="444"/>
      <c r="E168" s="445"/>
      <c r="F168" s="439">
        <v>0</v>
      </c>
      <c r="G168" s="439">
        <v>0</v>
      </c>
      <c r="H168" s="439">
        <v>0</v>
      </c>
      <c r="I168" s="470">
        <f t="shared" si="61"/>
        <v>0</v>
      </c>
      <c r="J168" s="439">
        <v>0</v>
      </c>
      <c r="K168" s="439">
        <v>0</v>
      </c>
      <c r="L168" s="474">
        <f t="shared" si="62"/>
        <v>0</v>
      </c>
      <c r="M168" s="470">
        <f t="shared" si="63"/>
        <v>0</v>
      </c>
      <c r="N168" s="445">
        <f t="shared" si="64"/>
        <v>0</v>
      </c>
      <c r="O168" s="446">
        <f t="shared" si="65"/>
        <v>0</v>
      </c>
      <c r="P168" s="445">
        <f t="shared" si="66"/>
        <v>0</v>
      </c>
    </row>
    <row r="169" spans="1:16" s="447" customFormat="1" ht="15.95" customHeight="1">
      <c r="A169" s="442"/>
      <c r="B169" s="442"/>
      <c r="C169" s="454"/>
      <c r="D169" s="444"/>
      <c r="E169" s="445"/>
      <c r="F169" s="439">
        <v>0</v>
      </c>
      <c r="G169" s="439">
        <v>0</v>
      </c>
      <c r="H169" s="439">
        <v>0</v>
      </c>
      <c r="I169" s="470">
        <f t="shared" si="61"/>
        <v>0</v>
      </c>
      <c r="J169" s="439">
        <v>0</v>
      </c>
      <c r="K169" s="439">
        <v>0</v>
      </c>
      <c r="L169" s="474">
        <f t="shared" si="62"/>
        <v>0</v>
      </c>
      <c r="M169" s="470">
        <f t="shared" si="63"/>
        <v>0</v>
      </c>
      <c r="N169" s="445">
        <f t="shared" si="64"/>
        <v>0</v>
      </c>
      <c r="O169" s="446">
        <f t="shared" si="65"/>
        <v>0</v>
      </c>
      <c r="P169" s="445">
        <f t="shared" si="66"/>
        <v>0</v>
      </c>
    </row>
    <row r="170" spans="1:16" s="447" customFormat="1" ht="15.95" customHeight="1">
      <c r="A170" s="442"/>
      <c r="B170" s="442"/>
      <c r="C170" s="454"/>
      <c r="D170" s="444"/>
      <c r="E170" s="445"/>
      <c r="F170" s="439">
        <v>0</v>
      </c>
      <c r="G170" s="439">
        <v>0</v>
      </c>
      <c r="H170" s="439">
        <v>0</v>
      </c>
      <c r="I170" s="470">
        <f t="shared" si="61"/>
        <v>0</v>
      </c>
      <c r="J170" s="439">
        <v>0</v>
      </c>
      <c r="K170" s="439">
        <v>0</v>
      </c>
      <c r="L170" s="474">
        <f t="shared" si="62"/>
        <v>0</v>
      </c>
      <c r="M170" s="470">
        <f t="shared" si="63"/>
        <v>0</v>
      </c>
      <c r="N170" s="445">
        <f t="shared" si="64"/>
        <v>0</v>
      </c>
      <c r="O170" s="446">
        <f t="shared" si="65"/>
        <v>0</v>
      </c>
      <c r="P170" s="445">
        <f t="shared" si="66"/>
        <v>0</v>
      </c>
    </row>
    <row r="171" spans="1:16" s="447" customFormat="1" ht="15.95" customHeight="1">
      <c r="A171" s="442"/>
      <c r="B171" s="442"/>
      <c r="C171" s="454"/>
      <c r="D171" s="444"/>
      <c r="E171" s="445"/>
      <c r="F171" s="439">
        <v>0</v>
      </c>
      <c r="G171" s="439">
        <v>0</v>
      </c>
      <c r="H171" s="439">
        <v>0</v>
      </c>
      <c r="I171" s="470">
        <f t="shared" si="61"/>
        <v>0</v>
      </c>
      <c r="J171" s="439">
        <v>0</v>
      </c>
      <c r="K171" s="439">
        <v>0</v>
      </c>
      <c r="L171" s="474">
        <f t="shared" si="62"/>
        <v>0</v>
      </c>
      <c r="M171" s="470">
        <f t="shared" si="63"/>
        <v>0</v>
      </c>
      <c r="N171" s="445">
        <f t="shared" si="64"/>
        <v>0</v>
      </c>
      <c r="O171" s="446">
        <f t="shared" si="65"/>
        <v>0</v>
      </c>
      <c r="P171" s="445">
        <f t="shared" si="66"/>
        <v>0</v>
      </c>
    </row>
    <row r="172" spans="1:16" s="447" customFormat="1" ht="15.95" customHeight="1">
      <c r="A172" s="442"/>
      <c r="B172" s="442"/>
      <c r="C172" s="454"/>
      <c r="D172" s="444"/>
      <c r="E172" s="445"/>
      <c r="F172" s="439">
        <v>0</v>
      </c>
      <c r="G172" s="439">
        <v>0</v>
      </c>
      <c r="H172" s="439">
        <v>0</v>
      </c>
      <c r="I172" s="470">
        <f t="shared" si="61"/>
        <v>0</v>
      </c>
      <c r="J172" s="439">
        <v>0</v>
      </c>
      <c r="K172" s="439">
        <v>0</v>
      </c>
      <c r="L172" s="474">
        <f t="shared" si="62"/>
        <v>0</v>
      </c>
      <c r="M172" s="470">
        <f t="shared" si="63"/>
        <v>0</v>
      </c>
      <c r="N172" s="445">
        <f t="shared" si="64"/>
        <v>0</v>
      </c>
      <c r="O172" s="446">
        <f t="shared" si="65"/>
        <v>0</v>
      </c>
      <c r="P172" s="445">
        <f t="shared" si="66"/>
        <v>0</v>
      </c>
    </row>
    <row r="173" spans="1:16" s="447" customFormat="1" ht="15.95" customHeight="1">
      <c r="A173" s="442"/>
      <c r="B173" s="442"/>
      <c r="C173" s="454"/>
      <c r="D173" s="444"/>
      <c r="E173" s="445"/>
      <c r="F173" s="439">
        <v>0</v>
      </c>
      <c r="G173" s="439">
        <v>0</v>
      </c>
      <c r="H173" s="439">
        <v>0</v>
      </c>
      <c r="I173" s="470">
        <f t="shared" si="61"/>
        <v>0</v>
      </c>
      <c r="J173" s="439">
        <v>0</v>
      </c>
      <c r="K173" s="439">
        <v>0</v>
      </c>
      <c r="L173" s="474">
        <f t="shared" si="62"/>
        <v>0</v>
      </c>
      <c r="M173" s="470">
        <f t="shared" si="63"/>
        <v>0</v>
      </c>
      <c r="N173" s="445">
        <f t="shared" si="64"/>
        <v>0</v>
      </c>
      <c r="O173" s="446">
        <f t="shared" si="65"/>
        <v>0</v>
      </c>
      <c r="P173" s="445">
        <f t="shared" si="66"/>
        <v>0</v>
      </c>
    </row>
    <row r="174" spans="1:16" s="447" customFormat="1" ht="15.95" customHeight="1">
      <c r="A174" s="442"/>
      <c r="B174" s="442"/>
      <c r="C174" s="454"/>
      <c r="D174" s="444"/>
      <c r="E174" s="445"/>
      <c r="F174" s="439">
        <v>0</v>
      </c>
      <c r="G174" s="439">
        <v>0</v>
      </c>
      <c r="H174" s="439">
        <v>0</v>
      </c>
      <c r="I174" s="470">
        <f t="shared" si="61"/>
        <v>0</v>
      </c>
      <c r="J174" s="439">
        <v>0</v>
      </c>
      <c r="K174" s="439">
        <v>0</v>
      </c>
      <c r="L174" s="474">
        <f t="shared" si="62"/>
        <v>0</v>
      </c>
      <c r="M174" s="470">
        <f t="shared" si="63"/>
        <v>0</v>
      </c>
      <c r="N174" s="445">
        <f t="shared" si="64"/>
        <v>0</v>
      </c>
      <c r="O174" s="446">
        <f t="shared" si="65"/>
        <v>0</v>
      </c>
      <c r="P174" s="445">
        <f t="shared" si="66"/>
        <v>0</v>
      </c>
    </row>
    <row r="175" spans="1:16" s="447" customFormat="1" ht="15.95" customHeight="1">
      <c r="A175" s="442"/>
      <c r="B175" s="442"/>
      <c r="C175" s="454"/>
      <c r="D175" s="444"/>
      <c r="E175" s="445"/>
      <c r="F175" s="439">
        <v>0</v>
      </c>
      <c r="G175" s="439">
        <v>0</v>
      </c>
      <c r="H175" s="439">
        <v>0</v>
      </c>
      <c r="I175" s="470">
        <f t="shared" si="61"/>
        <v>0</v>
      </c>
      <c r="J175" s="439">
        <v>0</v>
      </c>
      <c r="K175" s="439">
        <v>0</v>
      </c>
      <c r="L175" s="474">
        <f t="shared" si="62"/>
        <v>0</v>
      </c>
      <c r="M175" s="470">
        <f t="shared" si="63"/>
        <v>0</v>
      </c>
      <c r="N175" s="445">
        <f t="shared" si="64"/>
        <v>0</v>
      </c>
      <c r="O175" s="446">
        <f t="shared" si="65"/>
        <v>0</v>
      </c>
      <c r="P175" s="445">
        <f t="shared" si="66"/>
        <v>0</v>
      </c>
    </row>
    <row r="176" spans="1:16" s="447" customFormat="1" ht="15.95" customHeight="1">
      <c r="A176" s="442"/>
      <c r="B176" s="442"/>
      <c r="C176" s="454"/>
      <c r="D176" s="444"/>
      <c r="E176" s="445"/>
      <c r="F176" s="439">
        <v>0</v>
      </c>
      <c r="G176" s="439">
        <v>0</v>
      </c>
      <c r="H176" s="439">
        <v>0</v>
      </c>
      <c r="I176" s="470">
        <f t="shared" si="61"/>
        <v>0</v>
      </c>
      <c r="J176" s="439">
        <v>0</v>
      </c>
      <c r="K176" s="439">
        <v>0</v>
      </c>
      <c r="L176" s="474">
        <f t="shared" si="62"/>
        <v>0</v>
      </c>
      <c r="M176" s="470">
        <f t="shared" si="63"/>
        <v>0</v>
      </c>
      <c r="N176" s="445">
        <f t="shared" si="64"/>
        <v>0</v>
      </c>
      <c r="O176" s="446">
        <f t="shared" si="65"/>
        <v>0</v>
      </c>
      <c r="P176" s="445">
        <f t="shared" si="66"/>
        <v>0</v>
      </c>
    </row>
    <row r="177" spans="1:16" s="447" customFormat="1" ht="15.95" customHeight="1">
      <c r="A177" s="442"/>
      <c r="B177" s="442"/>
      <c r="C177" s="454"/>
      <c r="D177" s="444"/>
      <c r="E177" s="445"/>
      <c r="F177" s="439">
        <v>0</v>
      </c>
      <c r="G177" s="439">
        <v>0</v>
      </c>
      <c r="H177" s="439">
        <v>0</v>
      </c>
      <c r="I177" s="470">
        <f t="shared" si="61"/>
        <v>0</v>
      </c>
      <c r="J177" s="439">
        <v>0</v>
      </c>
      <c r="K177" s="439">
        <v>0</v>
      </c>
      <c r="L177" s="474">
        <f t="shared" si="62"/>
        <v>0</v>
      </c>
      <c r="M177" s="470">
        <f t="shared" si="63"/>
        <v>0</v>
      </c>
      <c r="N177" s="445">
        <f t="shared" si="64"/>
        <v>0</v>
      </c>
      <c r="O177" s="446">
        <f t="shared" si="65"/>
        <v>0</v>
      </c>
      <c r="P177" s="445">
        <f t="shared" si="66"/>
        <v>0</v>
      </c>
    </row>
    <row r="178" spans="1:16" s="447" customFormat="1" ht="15.95" customHeight="1">
      <c r="A178" s="442"/>
      <c r="B178" s="442"/>
      <c r="C178" s="454"/>
      <c r="D178" s="444"/>
      <c r="E178" s="445"/>
      <c r="F178" s="439">
        <v>0</v>
      </c>
      <c r="G178" s="439">
        <v>0</v>
      </c>
      <c r="H178" s="439">
        <v>0</v>
      </c>
      <c r="I178" s="470">
        <f t="shared" si="61"/>
        <v>0</v>
      </c>
      <c r="J178" s="439">
        <v>0</v>
      </c>
      <c r="K178" s="439">
        <v>0</v>
      </c>
      <c r="L178" s="474">
        <f t="shared" si="62"/>
        <v>0</v>
      </c>
      <c r="M178" s="470">
        <f t="shared" si="63"/>
        <v>0</v>
      </c>
      <c r="N178" s="445">
        <f t="shared" si="64"/>
        <v>0</v>
      </c>
      <c r="O178" s="446">
        <f t="shared" si="65"/>
        <v>0</v>
      </c>
      <c r="P178" s="445">
        <f t="shared" si="66"/>
        <v>0</v>
      </c>
    </row>
    <row r="179" spans="1:16" s="447" customFormat="1" ht="15.95" customHeight="1">
      <c r="A179" s="442"/>
      <c r="B179" s="442"/>
      <c r="C179" s="454"/>
      <c r="D179" s="444"/>
      <c r="E179" s="445"/>
      <c r="F179" s="439">
        <v>0</v>
      </c>
      <c r="G179" s="439">
        <v>0</v>
      </c>
      <c r="H179" s="439">
        <v>0</v>
      </c>
      <c r="I179" s="470">
        <f t="shared" si="61"/>
        <v>0</v>
      </c>
      <c r="J179" s="439">
        <v>0</v>
      </c>
      <c r="K179" s="439">
        <v>0</v>
      </c>
      <c r="L179" s="474">
        <f t="shared" si="62"/>
        <v>0</v>
      </c>
      <c r="M179" s="470">
        <f t="shared" si="63"/>
        <v>0</v>
      </c>
      <c r="N179" s="445">
        <f t="shared" si="64"/>
        <v>0</v>
      </c>
      <c r="O179" s="446">
        <f t="shared" si="65"/>
        <v>0</v>
      </c>
      <c r="P179" s="445">
        <f t="shared" si="66"/>
        <v>0</v>
      </c>
    </row>
    <row r="180" spans="1:16" s="447" customFormat="1" ht="15.95" customHeight="1">
      <c r="A180" s="442"/>
      <c r="B180" s="442"/>
      <c r="C180" s="443"/>
      <c r="D180" s="444"/>
      <c r="E180" s="445"/>
      <c r="F180" s="440">
        <v>0</v>
      </c>
      <c r="G180" s="439">
        <v>0</v>
      </c>
      <c r="H180" s="439">
        <v>0</v>
      </c>
      <c r="I180" s="470">
        <f t="shared" si="61"/>
        <v>0</v>
      </c>
      <c r="J180" s="439">
        <v>0</v>
      </c>
      <c r="K180" s="439">
        <v>0</v>
      </c>
      <c r="L180" s="474">
        <f t="shared" si="62"/>
        <v>0</v>
      </c>
      <c r="M180" s="470">
        <f t="shared" si="63"/>
        <v>0</v>
      </c>
      <c r="N180" s="445">
        <f t="shared" si="64"/>
        <v>0</v>
      </c>
      <c r="O180" s="446">
        <f t="shared" si="65"/>
        <v>0</v>
      </c>
      <c r="P180" s="445">
        <f t="shared" si="66"/>
        <v>0</v>
      </c>
    </row>
    <row r="181" spans="1:16" s="447" customFormat="1" ht="15.95" customHeight="1" thickBot="1">
      <c r="A181" s="441"/>
      <c r="B181" s="457"/>
      <c r="C181" s="458"/>
      <c r="D181" s="457"/>
      <c r="E181" s="457"/>
      <c r="F181" s="457"/>
      <c r="G181" s="457"/>
      <c r="H181" s="457"/>
      <c r="I181" s="471"/>
      <c r="J181" s="457"/>
      <c r="K181" s="457"/>
      <c r="L181" s="471"/>
      <c r="M181" s="471"/>
      <c r="N181" s="456"/>
      <c r="O181" s="456"/>
      <c r="P181" s="456"/>
    </row>
    <row r="182" spans="1:16" s="459" customFormat="1" ht="15.95" customHeight="1" thickBot="1">
      <c r="B182" s="460" t="s">
        <v>1664</v>
      </c>
      <c r="C182" s="461"/>
      <c r="D182" s="462"/>
      <c r="E182" s="475">
        <f>SUBTOTAL(3,Tabela1[Salário/Hora])</f>
        <v>152</v>
      </c>
      <c r="F182" s="463"/>
      <c r="G182" s="461"/>
      <c r="H182" s="462"/>
      <c r="I182" s="473"/>
      <c r="J182" s="462"/>
      <c r="K182" s="462"/>
      <c r="L182" s="473"/>
      <c r="M182" s="468">
        <f>SUBTOTAL(9,Tabela1[Total Hora/Dia])</f>
        <v>38.752777777777695</v>
      </c>
      <c r="N182" s="465" t="s">
        <v>1667</v>
      </c>
      <c r="O182" s="467">
        <f>SUBTOTAL(9,Tabela1[Hora-Extra])</f>
        <v>1.2180555555555554</v>
      </c>
      <c r="P182" s="466">
        <f>SUBTOTAL(9,Tabela1[Salário/Dia Final])</f>
        <v>12267.954166666683</v>
      </c>
    </row>
    <row r="183" spans="1:16" ht="15.95" customHeight="1" thickBot="1">
      <c r="E183" s="476" t="s">
        <v>1665</v>
      </c>
      <c r="M183" s="551">
        <f>SUM(M182,O182)</f>
        <v>39.970833333333253</v>
      </c>
      <c r="N183" s="552"/>
      <c r="O183" s="553"/>
    </row>
    <row r="184" spans="1:16" ht="15.95" customHeight="1" thickBot="1">
      <c r="M184" s="554" t="s">
        <v>1666</v>
      </c>
      <c r="N184" s="555"/>
      <c r="O184" s="556"/>
    </row>
    <row r="185" spans="1:16" ht="15.95" customHeight="1">
      <c r="M185" s="500"/>
      <c r="N185" s="500"/>
      <c r="O185" s="500"/>
    </row>
    <row r="186" spans="1:16" ht="15.95" customHeight="1">
      <c r="A186" s="494" t="s">
        <v>814</v>
      </c>
      <c r="B186" s="494" t="s">
        <v>1042</v>
      </c>
      <c r="C186" s="495" t="s">
        <v>1228</v>
      </c>
      <c r="D186" s="494" t="s">
        <v>1688</v>
      </c>
      <c r="M186" s="500"/>
      <c r="N186" s="500"/>
      <c r="O186" s="500"/>
    </row>
    <row r="187" spans="1:16" ht="15.95" customHeight="1">
      <c r="A187" s="312" t="s">
        <v>1669</v>
      </c>
      <c r="B187" s="494" t="s">
        <v>1684</v>
      </c>
      <c r="M187" s="500"/>
      <c r="N187" s="500"/>
      <c r="O187" s="500"/>
    </row>
    <row r="188" spans="1:16" ht="15.95" customHeight="1">
      <c r="A188" s="501" t="s">
        <v>1663</v>
      </c>
      <c r="B188" s="494" t="s">
        <v>1685</v>
      </c>
      <c r="C188" s="502">
        <v>42018</v>
      </c>
      <c r="M188" s="500"/>
      <c r="N188" s="500"/>
      <c r="O188" s="500"/>
    </row>
    <row r="189" spans="1:16" ht="15.95" customHeight="1">
      <c r="A189" s="494" t="s">
        <v>1686</v>
      </c>
      <c r="B189" s="494" t="s">
        <v>1687</v>
      </c>
      <c r="C189" s="502">
        <v>42018</v>
      </c>
      <c r="D189" s="503">
        <v>4.09</v>
      </c>
      <c r="M189" s="500"/>
      <c r="N189" s="500"/>
      <c r="O189" s="500"/>
    </row>
    <row r="190" spans="1:16" ht="15.75" customHeight="1"/>
    <row r="191" spans="1:16" ht="15.95" customHeight="1">
      <c r="O191" s="481"/>
    </row>
    <row r="192" spans="1:16" ht="15.95" customHeight="1">
      <c r="A192" s="464" t="s">
        <v>1662</v>
      </c>
      <c r="O192" s="481"/>
    </row>
    <row r="193" spans="9:16" ht="15.95" customHeight="1">
      <c r="P193" s="482"/>
    </row>
    <row r="194" spans="9:16" ht="15.95" customHeight="1"/>
    <row r="195" spans="9:16" s="313" customFormat="1" ht="15.95" customHeight="1">
      <c r="I195" s="496"/>
      <c r="L195" s="496"/>
      <c r="M195" s="496"/>
      <c r="N195" s="497"/>
      <c r="O195" s="497"/>
      <c r="P195" s="498"/>
    </row>
    <row r="196" spans="9:16">
      <c r="O196" s="495" t="s">
        <v>1681</v>
      </c>
      <c r="P196" s="495" t="s">
        <v>838</v>
      </c>
    </row>
    <row r="197" spans="9:16">
      <c r="O197" s="312">
        <v>70810</v>
      </c>
      <c r="P197" s="494" t="s">
        <v>51</v>
      </c>
    </row>
    <row r="198" spans="9:16">
      <c r="O198" s="499">
        <v>100</v>
      </c>
      <c r="P198" s="499" t="s">
        <v>1682</v>
      </c>
    </row>
    <row r="199" spans="9:16">
      <c r="O199" s="499">
        <v>200</v>
      </c>
      <c r="P199" s="499" t="s">
        <v>1683</v>
      </c>
    </row>
    <row r="207" spans="9:16" ht="14.25">
      <c r="O207" s="484" t="s">
        <v>908</v>
      </c>
      <c r="P207" s="485" t="s">
        <v>688</v>
      </c>
    </row>
    <row r="208" spans="9:16" ht="14.25">
      <c r="O208" s="487" t="s">
        <v>1660</v>
      </c>
      <c r="P208" s="488">
        <f>SUMIF(Tabela1[ORDEM DE SERVIÇO],O208,Tabela1[Salário/Dia Final])</f>
        <v>553.5763333333332</v>
      </c>
    </row>
    <row r="209" spans="15:18" ht="14.25">
      <c r="O209" s="487" t="s">
        <v>1663</v>
      </c>
      <c r="P209" s="488">
        <f>SUMIF(Tabela1[ORDEM DE SERVIÇO],O209,Tabela1[Salário/Dia Final])</f>
        <v>407.05291666666682</v>
      </c>
    </row>
    <row r="210" spans="15:18" ht="14.25">
      <c r="O210" s="487" t="s">
        <v>1669</v>
      </c>
      <c r="P210" s="488">
        <f>SUMIF(Tabela1[ORDEM DE SERVIÇO],O210,Tabela1[Salário/Dia Final])</f>
        <v>2026.7328333333314</v>
      </c>
    </row>
    <row r="211" spans="15:18" ht="14.25">
      <c r="O211" s="487" t="s">
        <v>1668</v>
      </c>
      <c r="P211" s="488">
        <f>SUMIF(Tabela1[ORDEM DE SERVIÇO],O211,Tabela1[Salário/Dia Final])</f>
        <v>1330.5920833333323</v>
      </c>
    </row>
    <row r="212" spans="15:18" ht="14.25">
      <c r="O212" s="489"/>
      <c r="P212" s="490">
        <f>SUMIF(Tabela1[ORDEM DE SERVIÇO],O212,Tabela1[Salário/Dia Final])</f>
        <v>0</v>
      </c>
    </row>
    <row r="213" spans="15:18" ht="15">
      <c r="O213" s="491"/>
      <c r="P213" s="488"/>
    </row>
    <row r="214" spans="15:18" ht="15">
      <c r="O214"/>
      <c r="P214" s="486">
        <f>SUM(P208:P213)</f>
        <v>4317.9541666666637</v>
      </c>
    </row>
    <row r="215" spans="15:18" ht="15">
      <c r="O215"/>
    </row>
    <row r="216" spans="15:18" ht="15">
      <c r="O216"/>
      <c r="P216" s="350">
        <v>3850</v>
      </c>
      <c r="Q216" s="493">
        <v>42024</v>
      </c>
      <c r="R216" s="494" t="s">
        <v>1480</v>
      </c>
    </row>
    <row r="217" spans="15:18" ht="15">
      <c r="O217"/>
      <c r="P217" s="350">
        <v>350</v>
      </c>
      <c r="Q217" s="493">
        <v>41983</v>
      </c>
      <c r="R217" s="494" t="s">
        <v>1480</v>
      </c>
    </row>
    <row r="218" spans="15:18" ht="15">
      <c r="O218"/>
      <c r="P218" s="350">
        <v>350</v>
      </c>
      <c r="Q218" s="493">
        <v>42014</v>
      </c>
      <c r="R218" s="494" t="s">
        <v>1480</v>
      </c>
    </row>
    <row r="219" spans="15:18" ht="15">
      <c r="O219"/>
      <c r="P219" s="350">
        <v>100</v>
      </c>
      <c r="Q219" s="493">
        <v>42024</v>
      </c>
      <c r="R219" s="494" t="s">
        <v>1678</v>
      </c>
    </row>
    <row r="220" spans="15:18" ht="15">
      <c r="O220"/>
      <c r="P220" s="350">
        <v>87.14</v>
      </c>
      <c r="Q220" s="493">
        <v>42024</v>
      </c>
      <c r="R220" s="494" t="s">
        <v>1679</v>
      </c>
    </row>
    <row r="221" spans="15:18" ht="15">
      <c r="O221"/>
      <c r="P221" s="350">
        <v>67.849999999999994</v>
      </c>
      <c r="Q221" s="493">
        <v>42024</v>
      </c>
      <c r="R221" s="494" t="s">
        <v>1680</v>
      </c>
    </row>
    <row r="222" spans="15:18" ht="15">
      <c r="O222"/>
      <c r="P222" s="492">
        <v>0</v>
      </c>
      <c r="Q222" s="493"/>
    </row>
    <row r="223" spans="15:18" ht="15">
      <c r="O223"/>
      <c r="P223" s="492">
        <v>0</v>
      </c>
      <c r="Q223" s="493"/>
    </row>
    <row r="224" spans="15:18" ht="15">
      <c r="O224"/>
      <c r="P224" s="482">
        <f>SUM(P216:P223)</f>
        <v>4804.9900000000007</v>
      </c>
    </row>
    <row r="225" spans="15:15" ht="15">
      <c r="O225"/>
    </row>
    <row r="226" spans="15:15" ht="15">
      <c r="O226"/>
    </row>
    <row r="227" spans="15:15" ht="15">
      <c r="O227"/>
    </row>
    <row r="228" spans="15:15" ht="15">
      <c r="O228"/>
    </row>
    <row r="229" spans="15:15" ht="15">
      <c r="O229"/>
    </row>
    <row r="230" spans="15:15" ht="15">
      <c r="O230"/>
    </row>
    <row r="231" spans="15:15" ht="15">
      <c r="O231"/>
    </row>
    <row r="232" spans="15:15" ht="15">
      <c r="O232"/>
    </row>
    <row r="233" spans="15:15" ht="15">
      <c r="O233"/>
    </row>
    <row r="234" spans="15:15" ht="15">
      <c r="O234"/>
    </row>
    <row r="235" spans="15:15" ht="15">
      <c r="O235"/>
    </row>
    <row r="236" spans="15:15" ht="15">
      <c r="O236"/>
    </row>
    <row r="237" spans="15:15" ht="15">
      <c r="O237"/>
    </row>
    <row r="238" spans="15:15" ht="15">
      <c r="O238"/>
    </row>
    <row r="239" spans="15:15" ht="15">
      <c r="O239"/>
    </row>
    <row r="240" spans="15:15" ht="15">
      <c r="O240"/>
    </row>
    <row r="241" spans="15:15" ht="15">
      <c r="O241"/>
    </row>
    <row r="242" spans="15:15" ht="15">
      <c r="O242"/>
    </row>
    <row r="243" spans="15:15" ht="15">
      <c r="O243"/>
    </row>
    <row r="244" spans="15:15" ht="15">
      <c r="O244"/>
    </row>
    <row r="245" spans="15:15" ht="15">
      <c r="O245"/>
    </row>
    <row r="246" spans="15:15" ht="15">
      <c r="O246"/>
    </row>
    <row r="247" spans="15:15" ht="15">
      <c r="O247"/>
    </row>
    <row r="248" spans="15:15" ht="15">
      <c r="O248"/>
    </row>
    <row r="249" spans="15:15" ht="15">
      <c r="O249"/>
    </row>
    <row r="250" spans="15:15" ht="15">
      <c r="O250"/>
    </row>
    <row r="251" spans="15:15" ht="15">
      <c r="O251"/>
    </row>
    <row r="252" spans="15:15" ht="15">
      <c r="O252"/>
    </row>
    <row r="253" spans="15:15" ht="15">
      <c r="O253"/>
    </row>
    <row r="254" spans="15:15" ht="15">
      <c r="O254"/>
    </row>
    <row r="255" spans="15:15" ht="15">
      <c r="O255"/>
    </row>
    <row r="256" spans="15:15" ht="15">
      <c r="O256"/>
    </row>
    <row r="257" spans="15:15" ht="15">
      <c r="O257"/>
    </row>
    <row r="258" spans="15:15" ht="15">
      <c r="O258"/>
    </row>
    <row r="259" spans="15:15" ht="15">
      <c r="O259"/>
    </row>
    <row r="260" spans="15:15" ht="15">
      <c r="O260"/>
    </row>
    <row r="261" spans="15:15" ht="15">
      <c r="O261"/>
    </row>
    <row r="262" spans="15:15" ht="15">
      <c r="O262"/>
    </row>
    <row r="263" spans="15:15" ht="15">
      <c r="O263"/>
    </row>
    <row r="264" spans="15:15" ht="15">
      <c r="O264"/>
    </row>
    <row r="265" spans="15:15" ht="15">
      <c r="O265"/>
    </row>
    <row r="266" spans="15:15" ht="15">
      <c r="O266"/>
    </row>
    <row r="267" spans="15:15" ht="15">
      <c r="O267"/>
    </row>
  </sheetData>
  <protectedRanges>
    <protectedRange sqref="A1:A56 O207:O267 B1:H54 B56:H56 A55:H55 A58:A59 A61:A62 A60:H60 B64:H64 A64:A67 B66:H67 A69:A70 A72:A73 A71:H71 A57:H57 B58:H62 A63:H63 A65:H65 A68:H68 B69:H73 O196:P197 A208:B1048576 A197:B206 B165:B194 A165:A183 C165:H1048576 A191:A194 J1:K1048576 A74:H164" name="EDITAR"/>
  </protectedRanges>
  <mergeCells count="5">
    <mergeCell ref="A1:P1"/>
    <mergeCell ref="G3:I3"/>
    <mergeCell ref="J3:L3"/>
    <mergeCell ref="M183:O183"/>
    <mergeCell ref="M184:O184"/>
  </mergeCells>
  <conditionalFormatting sqref="O5:O180">
    <cfRule type="cellIs" dxfId="151" priority="4" stopIfTrue="1" operator="greaterThan">
      <formula>0</formula>
    </cfRule>
  </conditionalFormatting>
  <conditionalFormatting sqref="O207:O212 A4:P181">
    <cfRule type="cellIs" dxfId="150" priority="8" operator="equal">
      <formula>$A$192</formula>
    </cfRule>
  </conditionalFormatting>
  <printOptions horizontalCentered="1"/>
  <pageMargins left="0.15748031496062992" right="0.15748031496062992" top="0.39370078740157483" bottom="0.43307086614173229" header="0.23622047244094491" footer="0.23622047244094491"/>
  <pageSetup paperSize="9" scale="62" orientation="landscape" horizontalDpi="300" verticalDpi="300" r:id="rId1"/>
  <headerFooter alignWithMargins="0">
    <oddFooter>&amp;L&amp;A&amp;C&amp;F&amp;R&amp;P - &amp;N</oddFooter>
  </headerFooter>
  <tableParts count="4">
    <tablePart r:id="rId2"/>
    <tablePart r:id="rId3"/>
    <tablePart r:id="rId4"/>
    <tablePart r:id="rId5"/>
  </tableParts>
</worksheet>
</file>

<file path=xl/worksheets/sheet6.xml><?xml version="1.0" encoding="utf-8"?>
<worksheet xmlns="http://schemas.openxmlformats.org/spreadsheetml/2006/main" xmlns:r="http://schemas.openxmlformats.org/officeDocument/2006/relationships">
  <sheetPr codeName="Plan13">
    <pageSetUpPr fitToPage="1"/>
  </sheetPr>
  <dimension ref="A1:AT29"/>
  <sheetViews>
    <sheetView view="pageBreakPreview" zoomScale="55" zoomScaleSheetLayoutView="55"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AI26" sqref="AI26:AK26"/>
    </sheetView>
  </sheetViews>
  <sheetFormatPr defaultColWidth="4.5703125" defaultRowHeight="21"/>
  <cols>
    <col min="1" max="1" width="3.85546875" style="56" bestFit="1" customWidth="1"/>
    <col min="2" max="2" width="25" bestFit="1" customWidth="1"/>
    <col min="3" max="3" width="6.85546875" style="82" bestFit="1" customWidth="1"/>
    <col min="4" max="4" width="10.85546875" style="82" bestFit="1" customWidth="1"/>
    <col min="5" max="33" width="5.7109375" style="82" bestFit="1" customWidth="1"/>
    <col min="35" max="35" width="19.28515625" style="272" bestFit="1" customWidth="1"/>
    <col min="36" max="36" width="35.28515625" style="276" bestFit="1" customWidth="1"/>
    <col min="37" max="37" width="10.42578125" style="274" bestFit="1" customWidth="1"/>
    <col min="40" max="40" width="11.5703125" style="56" bestFit="1" customWidth="1"/>
    <col min="41" max="41" width="20.140625" style="56" bestFit="1" customWidth="1"/>
    <col min="42" max="42" width="23" style="56" bestFit="1" customWidth="1"/>
    <col min="43" max="43" width="3.42578125" style="56" bestFit="1" customWidth="1"/>
    <col min="44" max="44" width="11.5703125" style="56" bestFit="1" customWidth="1"/>
    <col min="45" max="45" width="20.140625" style="56" bestFit="1" customWidth="1"/>
    <col min="46" max="46" width="23" style="56" bestFit="1" customWidth="1"/>
  </cols>
  <sheetData>
    <row r="1" spans="1:46">
      <c r="B1" s="269">
        <v>2015</v>
      </c>
      <c r="C1" s="270">
        <v>1</v>
      </c>
      <c r="D1" s="270">
        <v>2</v>
      </c>
      <c r="E1" s="270">
        <v>3</v>
      </c>
      <c r="F1" s="270">
        <v>4</v>
      </c>
      <c r="G1" s="270">
        <v>5</v>
      </c>
      <c r="H1" s="270">
        <v>6</v>
      </c>
      <c r="I1" s="270">
        <v>7</v>
      </c>
      <c r="J1" s="270">
        <v>8</v>
      </c>
      <c r="K1" s="270">
        <v>9</v>
      </c>
      <c r="L1" s="270">
        <v>10</v>
      </c>
      <c r="M1" s="270">
        <v>11</v>
      </c>
      <c r="N1" s="270">
        <v>12</v>
      </c>
      <c r="O1" s="270">
        <v>13</v>
      </c>
      <c r="P1" s="270">
        <v>14</v>
      </c>
      <c r="Q1" s="270">
        <v>15</v>
      </c>
      <c r="R1" s="270">
        <v>16</v>
      </c>
      <c r="S1" s="270">
        <v>17</v>
      </c>
      <c r="T1" s="270">
        <v>18</v>
      </c>
      <c r="U1" s="270">
        <v>19</v>
      </c>
      <c r="V1" s="270">
        <v>20</v>
      </c>
      <c r="W1" s="270">
        <v>21</v>
      </c>
      <c r="X1" s="270">
        <v>22</v>
      </c>
      <c r="Y1" s="270">
        <v>23</v>
      </c>
      <c r="Z1" s="270">
        <v>24</v>
      </c>
      <c r="AA1" s="270">
        <v>25</v>
      </c>
      <c r="AB1" s="270">
        <v>26</v>
      </c>
      <c r="AC1" s="270">
        <v>27</v>
      </c>
      <c r="AD1" s="270">
        <v>28</v>
      </c>
      <c r="AE1" s="270">
        <v>29</v>
      </c>
      <c r="AF1" s="270">
        <v>30</v>
      </c>
      <c r="AG1" s="270">
        <v>31</v>
      </c>
      <c r="AI1" s="272" t="s">
        <v>1080</v>
      </c>
      <c r="AJ1" s="273" t="s">
        <v>908</v>
      </c>
      <c r="AK1" s="274" t="s">
        <v>48</v>
      </c>
      <c r="AN1" s="334" t="s">
        <v>1263</v>
      </c>
      <c r="AO1" s="334" t="s">
        <v>1264</v>
      </c>
      <c r="AP1" s="334" t="s">
        <v>1265</v>
      </c>
      <c r="AQ1" s="334" t="s">
        <v>1004</v>
      </c>
      <c r="AR1" s="334" t="s">
        <v>1263</v>
      </c>
      <c r="AS1" s="334" t="s">
        <v>1264</v>
      </c>
      <c r="AT1" s="334" t="s">
        <v>1265</v>
      </c>
    </row>
    <row r="2" spans="1:46">
      <c r="A2" s="56">
        <v>1</v>
      </c>
      <c r="B2" s="271" t="s">
        <v>675</v>
      </c>
      <c r="C2" s="270" t="str">
        <f t="shared" ref="C2:AG2" si="0">IF(ISERROR(VLOOKUP(DATEVALUE(C$1 &amp; "/" &amp; $A2 &amp; "/" &amp;$B$1),$AI:$AK,2,FALSE)),CHOOSE(WEEKDAY(DATEVALUE(C$1 &amp; "/" &amp; $A2 &amp; "/" &amp;$B$1)),"Dom","Seg","Ter","Qua","Qui","Sex","Sab"),VLOOKUP(DATEVALUE(C$1 &amp; "/" &amp; $A2 &amp; "/" &amp;$B$1),$AI:$AK,3,FALSE))</f>
        <v>F</v>
      </c>
      <c r="D2" s="270" t="str">
        <f t="shared" si="0"/>
        <v>Sex</v>
      </c>
      <c r="E2" s="270" t="str">
        <f t="shared" si="0"/>
        <v>Sab</v>
      </c>
      <c r="F2" s="270" t="str">
        <f t="shared" si="0"/>
        <v>Dom</v>
      </c>
      <c r="G2" s="270" t="str">
        <f t="shared" si="0"/>
        <v>Seg</v>
      </c>
      <c r="H2" s="270" t="str">
        <f t="shared" si="0"/>
        <v>Ter</v>
      </c>
      <c r="I2" s="270" t="str">
        <f t="shared" si="0"/>
        <v>Qua</v>
      </c>
      <c r="J2" s="270" t="str">
        <f t="shared" si="0"/>
        <v>Qui</v>
      </c>
      <c r="K2" s="270" t="str">
        <f t="shared" si="0"/>
        <v>Sex</v>
      </c>
      <c r="L2" s="270" t="str">
        <f t="shared" si="0"/>
        <v>Sab</v>
      </c>
      <c r="M2" s="270" t="str">
        <f t="shared" si="0"/>
        <v>Dom</v>
      </c>
      <c r="N2" s="270" t="str">
        <f t="shared" si="0"/>
        <v>Seg</v>
      </c>
      <c r="O2" s="270" t="str">
        <f t="shared" si="0"/>
        <v>Ter</v>
      </c>
      <c r="P2" s="270" t="str">
        <f t="shared" si="0"/>
        <v>Qua</v>
      </c>
      <c r="Q2" s="270" t="str">
        <f t="shared" si="0"/>
        <v>Qui</v>
      </c>
      <c r="R2" s="270" t="str">
        <f t="shared" si="0"/>
        <v>Sex</v>
      </c>
      <c r="S2" s="270" t="str">
        <f t="shared" si="0"/>
        <v>Sab</v>
      </c>
      <c r="T2" s="270" t="str">
        <f t="shared" si="0"/>
        <v>Dom</v>
      </c>
      <c r="U2" s="270" t="str">
        <f t="shared" si="0"/>
        <v>Seg</v>
      </c>
      <c r="V2" s="270" t="str">
        <f t="shared" si="0"/>
        <v>Ter</v>
      </c>
      <c r="W2" s="270" t="str">
        <f t="shared" si="0"/>
        <v>Qua</v>
      </c>
      <c r="X2" s="270" t="str">
        <f t="shared" si="0"/>
        <v>Qui</v>
      </c>
      <c r="Y2" s="270" t="str">
        <f t="shared" si="0"/>
        <v>Sex</v>
      </c>
      <c r="Z2" s="270" t="str">
        <f t="shared" si="0"/>
        <v>A</v>
      </c>
      <c r="AA2" s="270" t="str">
        <f t="shared" si="0"/>
        <v>Dom</v>
      </c>
      <c r="AB2" s="270" t="str">
        <f t="shared" si="0"/>
        <v>Seg</v>
      </c>
      <c r="AC2" s="270" t="str">
        <f t="shared" si="0"/>
        <v>Ter</v>
      </c>
      <c r="AD2" s="270" t="str">
        <f t="shared" si="0"/>
        <v>Qua</v>
      </c>
      <c r="AE2" s="270" t="str">
        <f t="shared" si="0"/>
        <v>Qui</v>
      </c>
      <c r="AF2" s="270" t="str">
        <f t="shared" si="0"/>
        <v>Sex</v>
      </c>
      <c r="AG2" s="270" t="str">
        <f t="shared" si="0"/>
        <v>Sab</v>
      </c>
      <c r="AI2" s="272">
        <v>42005</v>
      </c>
      <c r="AJ2" s="275" t="s">
        <v>1025</v>
      </c>
      <c r="AK2" s="274" t="s">
        <v>1090</v>
      </c>
      <c r="AN2" s="60">
        <v>1</v>
      </c>
      <c r="AO2" s="335">
        <f>AN2</f>
        <v>1</v>
      </c>
      <c r="AP2" s="336">
        <f>AO2</f>
        <v>1</v>
      </c>
      <c r="AQ2" s="334" t="s">
        <v>1004</v>
      </c>
      <c r="AR2" s="60">
        <v>27</v>
      </c>
      <c r="AS2" s="335">
        <f>AR2</f>
        <v>27</v>
      </c>
      <c r="AT2" s="336">
        <f>AP27+AS2</f>
        <v>378</v>
      </c>
    </row>
    <row r="3" spans="1:46">
      <c r="A3" s="56">
        <v>2</v>
      </c>
      <c r="B3" s="271" t="s">
        <v>676</v>
      </c>
      <c r="C3" s="270" t="str">
        <f t="shared" ref="C3:L13" si="1">IF(ISERROR(VLOOKUP(DATEVALUE(C$1 &amp; "/" &amp; $A3 &amp; "/" &amp;$B$1),$AI:$AK,2,FALSE)),CHOOSE(WEEKDAY(DATEVALUE(C$1 &amp; "/" &amp; $A3 &amp; "/" &amp;$B$1)),"Dom","Seg","Ter","Qua","Qui","Sex","Sab"),VLOOKUP(DATEVALUE(C$1 &amp; "/" &amp; $A3 &amp; "/" &amp;$B$1),$AI:$AK,3,FALSE))</f>
        <v>Dom</v>
      </c>
      <c r="D3" s="270" t="str">
        <f t="shared" si="1"/>
        <v>Seg</v>
      </c>
      <c r="E3" s="270" t="str">
        <f t="shared" si="1"/>
        <v>Ter</v>
      </c>
      <c r="F3" s="270" t="str">
        <f t="shared" si="1"/>
        <v>Qua</v>
      </c>
      <c r="G3" s="270" t="str">
        <f t="shared" si="1"/>
        <v>Qui</v>
      </c>
      <c r="H3" s="270" t="str">
        <f t="shared" si="1"/>
        <v>Sex</v>
      </c>
      <c r="I3" s="270" t="str">
        <f t="shared" si="1"/>
        <v>Sab</v>
      </c>
      <c r="J3" s="270" t="str">
        <f t="shared" si="1"/>
        <v>Dom</v>
      </c>
      <c r="K3" s="270" t="str">
        <f t="shared" si="1"/>
        <v>A</v>
      </c>
      <c r="L3" s="270" t="str">
        <f t="shared" si="1"/>
        <v>Ter</v>
      </c>
      <c r="M3" s="270" t="str">
        <f t="shared" ref="M3:V13" si="2">IF(ISERROR(VLOOKUP(DATEVALUE(M$1 &amp; "/" &amp; $A3 &amp; "/" &amp;$B$1),$AI:$AK,2,FALSE)),CHOOSE(WEEKDAY(DATEVALUE(M$1 &amp; "/" &amp; $A3 &amp; "/" &amp;$B$1)),"Dom","Seg","Ter","Qua","Qui","Sex","Sab"),VLOOKUP(DATEVALUE(M$1 &amp; "/" &amp; $A3 &amp; "/" &amp;$B$1),$AI:$AK,3,FALSE))</f>
        <v>Qua</v>
      </c>
      <c r="N3" s="270" t="str">
        <f t="shared" si="2"/>
        <v>Qui</v>
      </c>
      <c r="O3" s="270" t="str">
        <f t="shared" si="2"/>
        <v>Sex</v>
      </c>
      <c r="P3" s="270" t="str">
        <f t="shared" si="2"/>
        <v>Sab</v>
      </c>
      <c r="Q3" s="270" t="str">
        <f t="shared" si="2"/>
        <v>Dom</v>
      </c>
      <c r="R3" s="270" t="str">
        <f t="shared" si="2"/>
        <v>Seg</v>
      </c>
      <c r="S3" s="270" t="str">
        <f t="shared" si="2"/>
        <v>Ter</v>
      </c>
      <c r="T3" s="270" t="str">
        <f t="shared" si="2"/>
        <v>Qua</v>
      </c>
      <c r="U3" s="270" t="str">
        <f t="shared" si="2"/>
        <v>Qui</v>
      </c>
      <c r="V3" s="270" t="str">
        <f t="shared" si="2"/>
        <v>Sex</v>
      </c>
      <c r="W3" s="270" t="str">
        <f t="shared" ref="W3:AD13" si="3">IF(ISERROR(VLOOKUP(DATEVALUE(W$1 &amp; "/" &amp; $A3 &amp; "/" &amp;$B$1),$AI:$AK,2,FALSE)),CHOOSE(WEEKDAY(DATEVALUE(W$1 &amp; "/" &amp; $A3 &amp; "/" &amp;$B$1)),"Dom","Seg","Ter","Qua","Qui","Sex","Sab"),VLOOKUP(DATEVALUE(W$1 &amp; "/" &amp; $A3 &amp; "/" &amp;$B$1),$AI:$AK,3,FALSE))</f>
        <v>Sab</v>
      </c>
      <c r="X3" s="270" t="str">
        <f t="shared" si="3"/>
        <v>Dom</v>
      </c>
      <c r="Y3" s="270" t="str">
        <f t="shared" si="3"/>
        <v>Seg</v>
      </c>
      <c r="Z3" s="270" t="str">
        <f t="shared" si="3"/>
        <v>Ter</v>
      </c>
      <c r="AA3" s="270" t="str">
        <f t="shared" si="3"/>
        <v>Qua</v>
      </c>
      <c r="AB3" s="270" t="str">
        <f t="shared" si="3"/>
        <v>Qui</v>
      </c>
      <c r="AC3" s="270" t="str">
        <f t="shared" si="3"/>
        <v>Sex</v>
      </c>
      <c r="AD3" s="270" t="str">
        <f t="shared" si="3"/>
        <v>Sab</v>
      </c>
      <c r="AE3" s="270"/>
      <c r="AF3" s="270"/>
      <c r="AG3" s="270"/>
      <c r="AI3" s="272">
        <v>42028</v>
      </c>
      <c r="AJ3" s="275" t="s">
        <v>471</v>
      </c>
      <c r="AK3" s="274" t="s">
        <v>1091</v>
      </c>
      <c r="AN3" s="60">
        <v>2</v>
      </c>
      <c r="AO3" s="335">
        <f t="shared" ref="AO3:AO27" si="4">AN3</f>
        <v>2</v>
      </c>
      <c r="AP3" s="336">
        <f>AO3+AP2</f>
        <v>3</v>
      </c>
      <c r="AQ3" s="334" t="s">
        <v>1004</v>
      </c>
      <c r="AR3" s="60">
        <v>28</v>
      </c>
      <c r="AS3" s="335">
        <f t="shared" ref="AS3:AS27" si="5">AR3</f>
        <v>28</v>
      </c>
      <c r="AT3" s="336">
        <f>AS3+AT2</f>
        <v>406</v>
      </c>
    </row>
    <row r="4" spans="1:46">
      <c r="A4" s="56">
        <v>3</v>
      </c>
      <c r="B4" s="271" t="s">
        <v>677</v>
      </c>
      <c r="C4" s="270" t="str">
        <f t="shared" si="1"/>
        <v>Dom</v>
      </c>
      <c r="D4" s="270" t="str">
        <f t="shared" si="1"/>
        <v>Seg</v>
      </c>
      <c r="E4" s="270" t="str">
        <f t="shared" si="1"/>
        <v>F</v>
      </c>
      <c r="F4" s="270" t="str">
        <f t="shared" si="1"/>
        <v>F</v>
      </c>
      <c r="G4" s="270" t="str">
        <f t="shared" si="1"/>
        <v>Qui</v>
      </c>
      <c r="H4" s="270" t="str">
        <f t="shared" si="1"/>
        <v>Sex</v>
      </c>
      <c r="I4" s="270" t="str">
        <f t="shared" si="1"/>
        <v>Sab</v>
      </c>
      <c r="J4" s="270" t="str">
        <f t="shared" si="1"/>
        <v>Dom</v>
      </c>
      <c r="K4" s="270" t="str">
        <f t="shared" si="1"/>
        <v>Seg</v>
      </c>
      <c r="L4" s="270" t="str">
        <f t="shared" si="1"/>
        <v>Ter</v>
      </c>
      <c r="M4" s="270" t="str">
        <f t="shared" si="2"/>
        <v>Qua</v>
      </c>
      <c r="N4" s="270" t="str">
        <f t="shared" si="2"/>
        <v>Qui</v>
      </c>
      <c r="O4" s="270" t="str">
        <f t="shared" si="2"/>
        <v>Sex</v>
      </c>
      <c r="P4" s="270" t="str">
        <f t="shared" si="2"/>
        <v>Sab</v>
      </c>
      <c r="Q4" s="270" t="str">
        <f t="shared" si="2"/>
        <v>Dom</v>
      </c>
      <c r="R4" s="270" t="str">
        <f t="shared" si="2"/>
        <v>Seg</v>
      </c>
      <c r="S4" s="270" t="str">
        <f t="shared" si="2"/>
        <v>Ter</v>
      </c>
      <c r="T4" s="270" t="str">
        <f t="shared" si="2"/>
        <v>Qua</v>
      </c>
      <c r="U4" s="270" t="str">
        <f t="shared" si="2"/>
        <v>Qui</v>
      </c>
      <c r="V4" s="270" t="str">
        <f t="shared" si="2"/>
        <v>Sex</v>
      </c>
      <c r="W4" s="270" t="str">
        <f t="shared" si="3"/>
        <v>Sab</v>
      </c>
      <c r="X4" s="270" t="str">
        <f t="shared" si="3"/>
        <v>Dom</v>
      </c>
      <c r="Y4" s="270" t="str">
        <f t="shared" si="3"/>
        <v>Seg</v>
      </c>
      <c r="Z4" s="270" t="str">
        <f t="shared" si="3"/>
        <v>Ter</v>
      </c>
      <c r="AA4" s="270" t="str">
        <f t="shared" si="3"/>
        <v>Qua</v>
      </c>
      <c r="AB4" s="270" t="str">
        <f t="shared" si="3"/>
        <v>Qui</v>
      </c>
      <c r="AC4" s="270" t="str">
        <f t="shared" si="3"/>
        <v>Sex</v>
      </c>
      <c r="AD4" s="270" t="str">
        <f t="shared" si="3"/>
        <v>Sab</v>
      </c>
      <c r="AE4" s="270" t="str">
        <f>IF(ISERROR(VLOOKUP(DATEVALUE(AE$1 &amp; "/" &amp; $A4 &amp; "/" &amp;$B$1),$AI:$AK,2,FALSE)),CHOOSE(WEEKDAY(DATEVALUE(AE$1 &amp; "/" &amp; $A4 &amp; "/" &amp;$B$1)),"Dom","Seg","Ter","Qua","Qui","Sex","Sab"),VLOOKUP(DATEVALUE(AE$1 &amp; "/" &amp; $A4 &amp; "/" &amp;$B$1),$AI:$AK,3,FALSE))</f>
        <v>Dom</v>
      </c>
      <c r="AF4" s="270" t="str">
        <f>IF(ISERROR(VLOOKUP(DATEVALUE(AF$1 &amp; "/" &amp; $A4 &amp; "/" &amp;$B$1),$AI:$AK,2,FALSE)),CHOOSE(WEEKDAY(DATEVALUE(AF$1 &amp; "/" &amp; $A4 &amp; "/" &amp;$B$1)),"Dom","Seg","Ter","Qua","Qui","Sex","Sab"),VLOOKUP(DATEVALUE(AF$1 &amp; "/" &amp; $A4 &amp; "/" &amp;$B$1),$AI:$AK,3,FALSE))</f>
        <v>Seg</v>
      </c>
      <c r="AG4" s="270" t="str">
        <f>IF(ISERROR(VLOOKUP(DATEVALUE(AG$1 &amp; "/" &amp; $A4 &amp; "/" &amp;$B$1),$AI:$AK,2,FALSE)),CHOOSE(WEEKDAY(DATEVALUE(AG$1 &amp; "/" &amp; $A4 &amp; "/" &amp;$B$1)),"Dom","Seg","Ter","Qua","Qui","Sex","Sab"),VLOOKUP(DATEVALUE(AG$1 &amp; "/" &amp; $A4 &amp; "/" &amp;$B$1),$AI:$AK,3,FALSE))</f>
        <v>Ter</v>
      </c>
      <c r="AI4" s="272">
        <v>42044</v>
      </c>
      <c r="AJ4" s="275" t="s">
        <v>651</v>
      </c>
      <c r="AK4" s="274" t="s">
        <v>1091</v>
      </c>
      <c r="AN4" s="60">
        <v>3</v>
      </c>
      <c r="AO4" s="335">
        <f t="shared" si="4"/>
        <v>3</v>
      </c>
      <c r="AP4" s="336">
        <f t="shared" ref="AP4:AP27" si="6">AO4+AP3</f>
        <v>6</v>
      </c>
      <c r="AQ4" s="334" t="s">
        <v>1004</v>
      </c>
      <c r="AR4" s="60">
        <v>29</v>
      </c>
      <c r="AS4" s="335">
        <f t="shared" si="5"/>
        <v>29</v>
      </c>
      <c r="AT4" s="336">
        <f t="shared" ref="AT4:AT27" si="7">AS4+AT3</f>
        <v>435</v>
      </c>
    </row>
    <row r="5" spans="1:46">
      <c r="A5" s="56">
        <v>4</v>
      </c>
      <c r="B5" s="271" t="s">
        <v>678</v>
      </c>
      <c r="C5" s="270" t="str">
        <f t="shared" si="1"/>
        <v>Qua</v>
      </c>
      <c r="D5" s="270" t="str">
        <f t="shared" si="1"/>
        <v>A</v>
      </c>
      <c r="E5" s="270" t="str">
        <f t="shared" si="1"/>
        <v>Sex</v>
      </c>
      <c r="F5" s="270" t="str">
        <f t="shared" si="1"/>
        <v>Sab</v>
      </c>
      <c r="G5" s="270" t="str">
        <f t="shared" si="1"/>
        <v>Dom</v>
      </c>
      <c r="H5" s="270" t="str">
        <f t="shared" si="1"/>
        <v>Seg</v>
      </c>
      <c r="I5" s="270" t="str">
        <f t="shared" si="1"/>
        <v>Ter</v>
      </c>
      <c r="J5" s="270" t="str">
        <f t="shared" si="1"/>
        <v>Qua</v>
      </c>
      <c r="K5" s="270" t="str">
        <f t="shared" si="1"/>
        <v>Qui</v>
      </c>
      <c r="L5" s="270" t="str">
        <f t="shared" si="1"/>
        <v>Sex</v>
      </c>
      <c r="M5" s="270" t="str">
        <f t="shared" si="2"/>
        <v>Sab</v>
      </c>
      <c r="N5" s="270" t="str">
        <f t="shared" si="2"/>
        <v>Dom</v>
      </c>
      <c r="O5" s="270" t="str">
        <f t="shared" si="2"/>
        <v>Seg</v>
      </c>
      <c r="P5" s="270" t="str">
        <f t="shared" si="2"/>
        <v>Ter</v>
      </c>
      <c r="Q5" s="270" t="str">
        <f t="shared" si="2"/>
        <v>Qua</v>
      </c>
      <c r="R5" s="270" t="str">
        <f t="shared" si="2"/>
        <v>Qui</v>
      </c>
      <c r="S5" s="270" t="str">
        <f t="shared" si="2"/>
        <v>Sex</v>
      </c>
      <c r="T5" s="270" t="str">
        <f t="shared" si="2"/>
        <v>F</v>
      </c>
      <c r="U5" s="270" t="str">
        <f t="shared" si="2"/>
        <v>Dom</v>
      </c>
      <c r="V5" s="270" t="str">
        <f t="shared" si="2"/>
        <v>Seg</v>
      </c>
      <c r="W5" s="270" t="str">
        <f t="shared" si="3"/>
        <v>F</v>
      </c>
      <c r="X5" s="270" t="str">
        <f t="shared" si="3"/>
        <v>Qua</v>
      </c>
      <c r="Y5" s="270" t="str">
        <f t="shared" si="3"/>
        <v>Qui</v>
      </c>
      <c r="Z5" s="270" t="str">
        <f t="shared" si="3"/>
        <v>Sex</v>
      </c>
      <c r="AA5" s="270" t="str">
        <f t="shared" si="3"/>
        <v>Sab</v>
      </c>
      <c r="AB5" s="270" t="str">
        <f t="shared" si="3"/>
        <v>Dom</v>
      </c>
      <c r="AC5" s="270" t="str">
        <f t="shared" si="3"/>
        <v>Seg</v>
      </c>
      <c r="AD5" s="270" t="str">
        <f t="shared" si="3"/>
        <v>Ter</v>
      </c>
      <c r="AE5" s="270" t="str">
        <f t="shared" ref="AE5:AF13" si="8">IF(ISERROR(VLOOKUP(DATEVALUE(AE$1 &amp; "/" &amp; $A5 &amp; "/" &amp;$B$1),$AI:$AK,2,FALSE)),CHOOSE(WEEKDAY(DATEVALUE(AE$1 &amp; "/" &amp; $A5 &amp; "/" &amp;$B$1)),"Dom","Seg","Ter","Qua","Qui","Sex","Sab"),VLOOKUP(DATEVALUE(AE$1 &amp; "/" &amp; $A5 &amp; "/" &amp;$B$1),$AI:$AK,3,FALSE))</f>
        <v>Qua</v>
      </c>
      <c r="AF5" s="270" t="str">
        <f t="shared" si="8"/>
        <v>Qui</v>
      </c>
      <c r="AG5" s="270"/>
      <c r="AI5" s="272">
        <v>42066</v>
      </c>
      <c r="AJ5" s="275" t="s">
        <v>1026</v>
      </c>
      <c r="AK5" s="274" t="s">
        <v>1090</v>
      </c>
      <c r="AN5" s="60">
        <v>4</v>
      </c>
      <c r="AO5" s="335">
        <f t="shared" si="4"/>
        <v>4</v>
      </c>
      <c r="AP5" s="336">
        <f t="shared" si="6"/>
        <v>10</v>
      </c>
      <c r="AQ5" s="334" t="s">
        <v>1004</v>
      </c>
      <c r="AR5" s="60">
        <v>30</v>
      </c>
      <c r="AS5" s="335">
        <f t="shared" si="5"/>
        <v>30</v>
      </c>
      <c r="AT5" s="336">
        <f t="shared" si="7"/>
        <v>465</v>
      </c>
    </row>
    <row r="6" spans="1:46">
      <c r="A6" s="56">
        <v>5</v>
      </c>
      <c r="B6" s="271" t="s">
        <v>679</v>
      </c>
      <c r="C6" s="270" t="str">
        <f t="shared" si="1"/>
        <v>F</v>
      </c>
      <c r="D6" s="270" t="str">
        <f t="shared" si="1"/>
        <v>Sab</v>
      </c>
      <c r="E6" s="270" t="str">
        <f t="shared" si="1"/>
        <v>Dom</v>
      </c>
      <c r="F6" s="270" t="str">
        <f t="shared" si="1"/>
        <v>Seg</v>
      </c>
      <c r="G6" s="270" t="str">
        <f t="shared" si="1"/>
        <v>Ter</v>
      </c>
      <c r="H6" s="270" t="str">
        <f t="shared" si="1"/>
        <v>Qua</v>
      </c>
      <c r="I6" s="270" t="str">
        <f t="shared" si="1"/>
        <v>Qui</v>
      </c>
      <c r="J6" s="270" t="str">
        <f t="shared" si="1"/>
        <v>Sex</v>
      </c>
      <c r="K6" s="270" t="str">
        <f t="shared" si="1"/>
        <v>Sab</v>
      </c>
      <c r="L6" s="270" t="str">
        <f t="shared" si="1"/>
        <v>Dom</v>
      </c>
      <c r="M6" s="270" t="str">
        <f t="shared" si="2"/>
        <v>E</v>
      </c>
      <c r="N6" s="270" t="str">
        <f t="shared" si="2"/>
        <v>Ter</v>
      </c>
      <c r="O6" s="270" t="str">
        <f t="shared" si="2"/>
        <v>Qua</v>
      </c>
      <c r="P6" s="270" t="str">
        <f t="shared" si="2"/>
        <v>Qui</v>
      </c>
      <c r="Q6" s="270" t="str">
        <f t="shared" si="2"/>
        <v>Sex</v>
      </c>
      <c r="R6" s="270" t="str">
        <f t="shared" si="2"/>
        <v>Sab</v>
      </c>
      <c r="S6" s="270" t="str">
        <f t="shared" si="2"/>
        <v>Dom</v>
      </c>
      <c r="T6" s="270" t="str">
        <f t="shared" si="2"/>
        <v>Seg</v>
      </c>
      <c r="U6" s="270" t="str">
        <f t="shared" si="2"/>
        <v>Ter</v>
      </c>
      <c r="V6" s="270" t="str">
        <f t="shared" si="2"/>
        <v>Qua</v>
      </c>
      <c r="W6" s="270" t="str">
        <f t="shared" si="3"/>
        <v>Qui</v>
      </c>
      <c r="X6" s="270" t="str">
        <f t="shared" si="3"/>
        <v>Sex</v>
      </c>
      <c r="Y6" s="270" t="str">
        <f t="shared" si="3"/>
        <v>Sab</v>
      </c>
      <c r="Z6" s="270" t="str">
        <f t="shared" si="3"/>
        <v>Dom</v>
      </c>
      <c r="AA6" s="270" t="str">
        <f t="shared" si="3"/>
        <v>A</v>
      </c>
      <c r="AB6" s="270" t="str">
        <f t="shared" si="3"/>
        <v>Ter</v>
      </c>
      <c r="AC6" s="270" t="str">
        <f t="shared" si="3"/>
        <v>Qua</v>
      </c>
      <c r="AD6" s="270" t="str">
        <f t="shared" si="3"/>
        <v>Qui</v>
      </c>
      <c r="AE6" s="270" t="str">
        <f t="shared" si="8"/>
        <v>Sex</v>
      </c>
      <c r="AF6" s="270" t="str">
        <f t="shared" si="8"/>
        <v>Sab</v>
      </c>
      <c r="AG6" s="270" t="str">
        <f>IF(ISERROR(VLOOKUP(DATEVALUE(AG$1 &amp; "/" &amp; $A6 &amp; "/" &amp;$B$1),$AI:$AK,2,FALSE)),CHOOSE(WEEKDAY(DATEVALUE(AG$1 &amp; "/" &amp; $A6 &amp; "/" &amp;$B$1)),"Dom","Seg","Ter","Qua","Qui","Sex","Sab"),VLOOKUP(DATEVALUE(AG$1 &amp; "/" &amp; $A6 &amp; "/" &amp;$B$1),$AI:$AK,3,FALSE))</f>
        <v>Dom</v>
      </c>
      <c r="AI6" s="272">
        <v>42067</v>
      </c>
      <c r="AJ6" s="275" t="s">
        <v>1026</v>
      </c>
      <c r="AK6" s="274" t="s">
        <v>1090</v>
      </c>
      <c r="AN6" s="60">
        <v>5</v>
      </c>
      <c r="AO6" s="335">
        <f t="shared" si="4"/>
        <v>5</v>
      </c>
      <c r="AP6" s="336">
        <f t="shared" si="6"/>
        <v>15</v>
      </c>
      <c r="AQ6" s="334" t="s">
        <v>1004</v>
      </c>
      <c r="AR6" s="60">
        <v>31</v>
      </c>
      <c r="AS6" s="335">
        <f t="shared" si="5"/>
        <v>31</v>
      </c>
      <c r="AT6" s="336">
        <f t="shared" si="7"/>
        <v>496</v>
      </c>
    </row>
    <row r="7" spans="1:46">
      <c r="A7" s="56">
        <v>6</v>
      </c>
      <c r="B7" s="271" t="s">
        <v>680</v>
      </c>
      <c r="C7" s="270" t="str">
        <f t="shared" si="1"/>
        <v>Seg</v>
      </c>
      <c r="D7" s="270" t="str">
        <f t="shared" si="1"/>
        <v>Ter</v>
      </c>
      <c r="E7" s="270" t="str">
        <f t="shared" si="1"/>
        <v>Qua</v>
      </c>
      <c r="F7" s="270" t="str">
        <f t="shared" si="1"/>
        <v>Qui</v>
      </c>
      <c r="G7" s="270" t="str">
        <f t="shared" si="1"/>
        <v>Sex</v>
      </c>
      <c r="H7" s="270" t="str">
        <f t="shared" si="1"/>
        <v>Sab</v>
      </c>
      <c r="I7" s="270" t="str">
        <f t="shared" si="1"/>
        <v>Dom</v>
      </c>
      <c r="J7" s="270" t="str">
        <f t="shared" si="1"/>
        <v>Seg</v>
      </c>
      <c r="K7" s="270" t="str">
        <f t="shared" si="1"/>
        <v>Ter</v>
      </c>
      <c r="L7" s="270" t="str">
        <f t="shared" si="1"/>
        <v>Qua</v>
      </c>
      <c r="M7" s="270" t="str">
        <f t="shared" si="2"/>
        <v>Qui</v>
      </c>
      <c r="N7" s="270" t="str">
        <f t="shared" si="2"/>
        <v>Sex</v>
      </c>
      <c r="O7" s="270" t="str">
        <f t="shared" si="2"/>
        <v>Sab</v>
      </c>
      <c r="P7" s="270" t="str">
        <f t="shared" si="2"/>
        <v>Dom</v>
      </c>
      <c r="Q7" s="270" t="str">
        <f t="shared" si="2"/>
        <v>Seg</v>
      </c>
      <c r="R7" s="270" t="str">
        <f t="shared" si="2"/>
        <v>Ter</v>
      </c>
      <c r="S7" s="270" t="str">
        <f t="shared" si="2"/>
        <v>Qua</v>
      </c>
      <c r="T7" s="270" t="str">
        <f t="shared" si="2"/>
        <v>Qui</v>
      </c>
      <c r="U7" s="270" t="str">
        <f t="shared" si="2"/>
        <v>F</v>
      </c>
      <c r="V7" s="270" t="str">
        <f t="shared" si="2"/>
        <v>Sab</v>
      </c>
      <c r="W7" s="270" t="str">
        <f t="shared" si="3"/>
        <v>Dom</v>
      </c>
      <c r="X7" s="270" t="str">
        <f t="shared" si="3"/>
        <v>Seg</v>
      </c>
      <c r="Y7" s="270" t="str">
        <f t="shared" si="3"/>
        <v>Ter</v>
      </c>
      <c r="Z7" s="270" t="str">
        <f t="shared" si="3"/>
        <v>Qua</v>
      </c>
      <c r="AA7" s="270" t="str">
        <f t="shared" si="3"/>
        <v>Qui</v>
      </c>
      <c r="AB7" s="270" t="str">
        <f t="shared" si="3"/>
        <v>Sex</v>
      </c>
      <c r="AC7" s="270" t="str">
        <f t="shared" si="3"/>
        <v>Sab</v>
      </c>
      <c r="AD7" s="270" t="str">
        <f t="shared" si="3"/>
        <v>Dom</v>
      </c>
      <c r="AE7" s="270" t="str">
        <f t="shared" si="8"/>
        <v>Seg</v>
      </c>
      <c r="AF7" s="270" t="str">
        <f t="shared" si="8"/>
        <v>Ter</v>
      </c>
      <c r="AG7" s="270"/>
      <c r="AI7" s="272">
        <v>42067</v>
      </c>
      <c r="AJ7" s="275" t="s">
        <v>1114</v>
      </c>
      <c r="AK7" s="274" t="s">
        <v>1091</v>
      </c>
      <c r="AN7" s="60">
        <v>6</v>
      </c>
      <c r="AO7" s="335">
        <f t="shared" si="4"/>
        <v>6</v>
      </c>
      <c r="AP7" s="336">
        <f t="shared" si="6"/>
        <v>21</v>
      </c>
      <c r="AQ7" s="334" t="s">
        <v>1004</v>
      </c>
      <c r="AR7" s="60">
        <v>32</v>
      </c>
      <c r="AS7" s="335">
        <f t="shared" si="5"/>
        <v>32</v>
      </c>
      <c r="AT7" s="336">
        <f t="shared" si="7"/>
        <v>528</v>
      </c>
    </row>
    <row r="8" spans="1:46">
      <c r="A8" s="56">
        <v>7</v>
      </c>
      <c r="B8" s="271" t="s">
        <v>681</v>
      </c>
      <c r="C8" s="270" t="str">
        <f t="shared" si="1"/>
        <v>Qua</v>
      </c>
      <c r="D8" s="270" t="str">
        <f t="shared" si="1"/>
        <v>Qui</v>
      </c>
      <c r="E8" s="270" t="str">
        <f t="shared" si="1"/>
        <v>Sex</v>
      </c>
      <c r="F8" s="270" t="str">
        <f t="shared" si="1"/>
        <v>Sab</v>
      </c>
      <c r="G8" s="270" t="str">
        <f t="shared" si="1"/>
        <v>Dom</v>
      </c>
      <c r="H8" s="270" t="str">
        <f t="shared" si="1"/>
        <v>Seg</v>
      </c>
      <c r="I8" s="270" t="str">
        <f t="shared" si="1"/>
        <v>Ter</v>
      </c>
      <c r="J8" s="270" t="str">
        <f t="shared" si="1"/>
        <v>Qua</v>
      </c>
      <c r="K8" s="270" t="str">
        <f t="shared" si="1"/>
        <v>Qui</v>
      </c>
      <c r="L8" s="270" t="str">
        <f t="shared" si="1"/>
        <v>Sex</v>
      </c>
      <c r="M8" s="270" t="str">
        <f t="shared" si="2"/>
        <v>Sab</v>
      </c>
      <c r="N8" s="270" t="str">
        <f t="shared" si="2"/>
        <v>Dom</v>
      </c>
      <c r="O8" s="270" t="str">
        <f t="shared" si="2"/>
        <v>Seg</v>
      </c>
      <c r="P8" s="270" t="str">
        <f t="shared" si="2"/>
        <v>Ter</v>
      </c>
      <c r="Q8" s="270" t="str">
        <f t="shared" si="2"/>
        <v>Qua</v>
      </c>
      <c r="R8" s="270" t="str">
        <f t="shared" si="2"/>
        <v>Qui</v>
      </c>
      <c r="S8" s="270" t="str">
        <f t="shared" si="2"/>
        <v>Sex</v>
      </c>
      <c r="T8" s="270" t="str">
        <f t="shared" si="2"/>
        <v>Sab</v>
      </c>
      <c r="U8" s="270" t="str">
        <f t="shared" si="2"/>
        <v>Dom</v>
      </c>
      <c r="V8" s="270" t="str">
        <f t="shared" si="2"/>
        <v>A</v>
      </c>
      <c r="W8" s="270" t="str">
        <f t="shared" si="3"/>
        <v>Ter</v>
      </c>
      <c r="X8" s="270" t="str">
        <f t="shared" si="3"/>
        <v>Qua</v>
      </c>
      <c r="Y8" s="270" t="str">
        <f t="shared" si="3"/>
        <v>Qui</v>
      </c>
      <c r="Z8" s="270" t="str">
        <f t="shared" si="3"/>
        <v>Sex</v>
      </c>
      <c r="AA8" s="270" t="str">
        <f t="shared" si="3"/>
        <v>Sab</v>
      </c>
      <c r="AB8" s="270" t="str">
        <f t="shared" si="3"/>
        <v>Dom</v>
      </c>
      <c r="AC8" s="270" t="str">
        <f t="shared" si="3"/>
        <v>A</v>
      </c>
      <c r="AD8" s="270" t="str">
        <f t="shared" si="3"/>
        <v>Ter</v>
      </c>
      <c r="AE8" s="270" t="str">
        <f t="shared" si="8"/>
        <v>Qua</v>
      </c>
      <c r="AF8" s="270" t="str">
        <f t="shared" si="8"/>
        <v>Qui</v>
      </c>
      <c r="AG8" s="270" t="str">
        <f>IF(ISERROR(VLOOKUP(DATEVALUE(AG$1 &amp; "/" &amp; $A8 &amp; "/" &amp;$B$1),$AI:$AK,2,FALSE)),CHOOSE(WEEKDAY(DATEVALUE(AG$1 &amp; "/" &amp; $A8 &amp; "/" &amp;$B$1)),"Dom","Seg","Ter","Qua","Qui","Sex","Sab"),VLOOKUP(DATEVALUE(AG$1 &amp; "/" &amp; $A8 &amp; "/" &amp;$B$1),$AI:$AK,3,FALSE))</f>
        <v>Sex</v>
      </c>
      <c r="AI8" s="272">
        <v>42096</v>
      </c>
      <c r="AJ8" s="275" t="s">
        <v>51</v>
      </c>
      <c r="AK8" s="274" t="s">
        <v>1091</v>
      </c>
      <c r="AN8" s="60">
        <v>7</v>
      </c>
      <c r="AO8" s="335">
        <f t="shared" si="4"/>
        <v>7</v>
      </c>
      <c r="AP8" s="336">
        <f t="shared" si="6"/>
        <v>28</v>
      </c>
      <c r="AQ8" s="334" t="s">
        <v>1004</v>
      </c>
      <c r="AR8" s="60">
        <v>33</v>
      </c>
      <c r="AS8" s="335">
        <f t="shared" si="5"/>
        <v>33</v>
      </c>
      <c r="AT8" s="336">
        <f t="shared" si="7"/>
        <v>561</v>
      </c>
    </row>
    <row r="9" spans="1:46">
      <c r="A9" s="56">
        <v>8</v>
      </c>
      <c r="B9" s="271" t="s">
        <v>682</v>
      </c>
      <c r="C9" s="270" t="str">
        <f t="shared" si="1"/>
        <v>Sab</v>
      </c>
      <c r="D9" s="270" t="str">
        <f t="shared" si="1"/>
        <v>Dom</v>
      </c>
      <c r="E9" s="270" t="str">
        <f t="shared" si="1"/>
        <v>Seg</v>
      </c>
      <c r="F9" s="270" t="str">
        <f t="shared" si="1"/>
        <v>Ter</v>
      </c>
      <c r="G9" s="270" t="str">
        <f t="shared" si="1"/>
        <v>Qua</v>
      </c>
      <c r="H9" s="270" t="str">
        <f t="shared" si="1"/>
        <v>Qui</v>
      </c>
      <c r="I9" s="270" t="str">
        <f t="shared" si="1"/>
        <v>Sex</v>
      </c>
      <c r="J9" s="270" t="str">
        <f t="shared" si="1"/>
        <v>A</v>
      </c>
      <c r="K9" s="270" t="str">
        <f t="shared" si="1"/>
        <v>Dom</v>
      </c>
      <c r="L9" s="270" t="str">
        <f t="shared" si="1"/>
        <v>E</v>
      </c>
      <c r="M9" s="270" t="str">
        <f t="shared" si="2"/>
        <v>Ter</v>
      </c>
      <c r="N9" s="270" t="str">
        <f t="shared" si="2"/>
        <v>Qua</v>
      </c>
      <c r="O9" s="270" t="str">
        <f t="shared" si="2"/>
        <v>Qui</v>
      </c>
      <c r="P9" s="270" t="str">
        <f t="shared" si="2"/>
        <v>Sex</v>
      </c>
      <c r="Q9" s="270" t="str">
        <f t="shared" si="2"/>
        <v>Sab</v>
      </c>
      <c r="R9" s="270" t="str">
        <f t="shared" si="2"/>
        <v>Dom</v>
      </c>
      <c r="S9" s="270" t="str">
        <f t="shared" si="2"/>
        <v>Seg</v>
      </c>
      <c r="T9" s="270" t="str">
        <f t="shared" si="2"/>
        <v>Ter</v>
      </c>
      <c r="U9" s="270" t="str">
        <f t="shared" si="2"/>
        <v>Qua</v>
      </c>
      <c r="V9" s="270" t="str">
        <f t="shared" si="2"/>
        <v>Qui</v>
      </c>
      <c r="W9" s="270" t="str">
        <f t="shared" si="3"/>
        <v>Sex</v>
      </c>
      <c r="X9" s="270" t="str">
        <f t="shared" si="3"/>
        <v>Sab</v>
      </c>
      <c r="Y9" s="270" t="str">
        <f t="shared" si="3"/>
        <v>Dom</v>
      </c>
      <c r="Z9" s="270" t="str">
        <f t="shared" si="3"/>
        <v>Seg</v>
      </c>
      <c r="AA9" s="270" t="str">
        <f t="shared" si="3"/>
        <v>Ter</v>
      </c>
      <c r="AB9" s="270" t="str">
        <f t="shared" si="3"/>
        <v>Qua</v>
      </c>
      <c r="AC9" s="270" t="str">
        <f t="shared" si="3"/>
        <v>Qui</v>
      </c>
      <c r="AD9" s="270" t="str">
        <f t="shared" si="3"/>
        <v>Sex</v>
      </c>
      <c r="AE9" s="270" t="str">
        <f t="shared" si="8"/>
        <v>Sab</v>
      </c>
      <c r="AF9" s="270" t="str">
        <f t="shared" si="8"/>
        <v>Dom</v>
      </c>
      <c r="AG9" s="270" t="str">
        <f>IF(ISERROR(VLOOKUP(DATEVALUE(AG$1 &amp; "/" &amp; $A9 &amp; "/" &amp;$B$1),$AI:$AK,2,FALSE)),CHOOSE(WEEKDAY(DATEVALUE(AG$1 &amp; "/" &amp; $A9 &amp; "/" &amp;$B$1)),"Dom","Seg","Ter","Qua","Qui","Sex","Sab"),VLOOKUP(DATEVALUE(AG$1 &amp; "/" &amp; $A9 &amp; "/" &amp;$B$1),$AI:$AK,3,FALSE))</f>
        <v>Seg</v>
      </c>
      <c r="AI9" s="272">
        <v>42112</v>
      </c>
      <c r="AJ9" s="275" t="s">
        <v>1027</v>
      </c>
      <c r="AK9" s="274" t="s">
        <v>1090</v>
      </c>
      <c r="AN9" s="60">
        <v>8</v>
      </c>
      <c r="AO9" s="335">
        <f t="shared" si="4"/>
        <v>8</v>
      </c>
      <c r="AP9" s="336">
        <f t="shared" si="6"/>
        <v>36</v>
      </c>
      <c r="AQ9" s="334" t="s">
        <v>1004</v>
      </c>
      <c r="AR9" s="60">
        <v>34</v>
      </c>
      <c r="AS9" s="335">
        <f t="shared" si="5"/>
        <v>34</v>
      </c>
      <c r="AT9" s="336">
        <f t="shared" si="7"/>
        <v>595</v>
      </c>
    </row>
    <row r="10" spans="1:46">
      <c r="A10" s="56">
        <v>9</v>
      </c>
      <c r="B10" s="271" t="s">
        <v>683</v>
      </c>
      <c r="C10" s="270" t="str">
        <f t="shared" si="1"/>
        <v>Ter</v>
      </c>
      <c r="D10" s="270" t="str">
        <f t="shared" si="1"/>
        <v>Qua</v>
      </c>
      <c r="E10" s="270" t="str">
        <f t="shared" si="1"/>
        <v>Qui</v>
      </c>
      <c r="F10" s="270" t="str">
        <f t="shared" si="1"/>
        <v>Sex</v>
      </c>
      <c r="G10" s="270" t="str">
        <f t="shared" si="1"/>
        <v>Sab</v>
      </c>
      <c r="H10" s="270" t="str">
        <f t="shared" si="1"/>
        <v>Dom</v>
      </c>
      <c r="I10" s="270" t="str">
        <f t="shared" si="1"/>
        <v>F</v>
      </c>
      <c r="J10" s="270" t="str">
        <f t="shared" si="1"/>
        <v>Ter</v>
      </c>
      <c r="K10" s="270" t="str">
        <f t="shared" si="1"/>
        <v>A</v>
      </c>
      <c r="L10" s="270" t="str">
        <f t="shared" si="1"/>
        <v>Qui</v>
      </c>
      <c r="M10" s="270" t="str">
        <f t="shared" si="2"/>
        <v>Sex</v>
      </c>
      <c r="N10" s="270" t="str">
        <f t="shared" si="2"/>
        <v>Sab</v>
      </c>
      <c r="O10" s="270" t="str">
        <f t="shared" si="2"/>
        <v>Dom</v>
      </c>
      <c r="P10" s="270" t="str">
        <f t="shared" si="2"/>
        <v>Seg</v>
      </c>
      <c r="Q10" s="270" t="str">
        <f t="shared" si="2"/>
        <v>Ter</v>
      </c>
      <c r="R10" s="270" t="str">
        <f t="shared" si="2"/>
        <v>Qua</v>
      </c>
      <c r="S10" s="270" t="str">
        <f t="shared" si="2"/>
        <v>Qui</v>
      </c>
      <c r="T10" s="270" t="str">
        <f t="shared" si="2"/>
        <v>Sex</v>
      </c>
      <c r="U10" s="270" t="str">
        <f t="shared" si="2"/>
        <v>Sab</v>
      </c>
      <c r="V10" s="270" t="str">
        <f t="shared" si="2"/>
        <v>Dom</v>
      </c>
      <c r="W10" s="270" t="str">
        <f t="shared" si="3"/>
        <v>Seg</v>
      </c>
      <c r="X10" s="270" t="str">
        <f t="shared" si="3"/>
        <v>Ter</v>
      </c>
      <c r="Y10" s="270" t="str">
        <f t="shared" si="3"/>
        <v>Qua</v>
      </c>
      <c r="Z10" s="270" t="str">
        <f t="shared" si="3"/>
        <v>Qui</v>
      </c>
      <c r="AA10" s="270" t="str">
        <f t="shared" si="3"/>
        <v>Sex</v>
      </c>
      <c r="AB10" s="270" t="str">
        <f t="shared" si="3"/>
        <v>Sab</v>
      </c>
      <c r="AC10" s="270" t="str">
        <f t="shared" si="3"/>
        <v>Dom</v>
      </c>
      <c r="AD10" s="270" t="str">
        <f t="shared" si="3"/>
        <v>Seg</v>
      </c>
      <c r="AE10" s="270" t="str">
        <f t="shared" si="8"/>
        <v>Ter</v>
      </c>
      <c r="AF10" s="270" t="str">
        <f t="shared" si="8"/>
        <v>Qua</v>
      </c>
      <c r="AG10" s="270"/>
      <c r="AI10" s="272">
        <v>42115</v>
      </c>
      <c r="AJ10" s="275" t="s">
        <v>1028</v>
      </c>
      <c r="AK10" s="274" t="s">
        <v>1090</v>
      </c>
      <c r="AN10" s="60">
        <v>9</v>
      </c>
      <c r="AO10" s="335">
        <f t="shared" si="4"/>
        <v>9</v>
      </c>
      <c r="AP10" s="336">
        <f t="shared" si="6"/>
        <v>45</v>
      </c>
      <c r="AQ10" s="334" t="s">
        <v>1004</v>
      </c>
      <c r="AR10" s="60">
        <v>35</v>
      </c>
      <c r="AS10" s="335">
        <f t="shared" si="5"/>
        <v>35</v>
      </c>
      <c r="AT10" s="336">
        <f t="shared" si="7"/>
        <v>630</v>
      </c>
    </row>
    <row r="11" spans="1:46">
      <c r="A11" s="56">
        <v>10</v>
      </c>
      <c r="B11" s="271" t="s">
        <v>684</v>
      </c>
      <c r="C11" s="270" t="str">
        <f t="shared" si="1"/>
        <v>Qui</v>
      </c>
      <c r="D11" s="270" t="str">
        <f t="shared" si="1"/>
        <v>A</v>
      </c>
      <c r="E11" s="270" t="str">
        <f t="shared" si="1"/>
        <v>Sab</v>
      </c>
      <c r="F11" s="270" t="str">
        <f t="shared" si="1"/>
        <v>Dom</v>
      </c>
      <c r="G11" s="270" t="str">
        <f t="shared" si="1"/>
        <v>Seg</v>
      </c>
      <c r="H11" s="270" t="str">
        <f t="shared" si="1"/>
        <v>Ter</v>
      </c>
      <c r="I11" s="270" t="str">
        <f t="shared" si="1"/>
        <v>Qua</v>
      </c>
      <c r="J11" s="270" t="str">
        <f t="shared" si="1"/>
        <v>Qui</v>
      </c>
      <c r="K11" s="270" t="str">
        <f t="shared" si="1"/>
        <v>Sex</v>
      </c>
      <c r="L11" s="270" t="str">
        <f t="shared" si="1"/>
        <v>Sab</v>
      </c>
      <c r="M11" s="270" t="str">
        <f t="shared" si="2"/>
        <v>Dom</v>
      </c>
      <c r="N11" s="270" t="str">
        <f t="shared" si="2"/>
        <v>F</v>
      </c>
      <c r="O11" s="270" t="str">
        <f t="shared" si="2"/>
        <v>Ter</v>
      </c>
      <c r="P11" s="270" t="str">
        <f t="shared" si="2"/>
        <v>Qua</v>
      </c>
      <c r="Q11" s="270" t="str">
        <f t="shared" si="2"/>
        <v>Qui</v>
      </c>
      <c r="R11" s="270" t="str">
        <f t="shared" si="2"/>
        <v>Sex</v>
      </c>
      <c r="S11" s="270" t="str">
        <f t="shared" si="2"/>
        <v>Sab</v>
      </c>
      <c r="T11" s="270" t="str">
        <f t="shared" si="2"/>
        <v>Dom</v>
      </c>
      <c r="U11" s="270" t="str">
        <f t="shared" si="2"/>
        <v>Seg</v>
      </c>
      <c r="V11" s="270" t="str">
        <f t="shared" si="2"/>
        <v>Ter</v>
      </c>
      <c r="W11" s="270" t="str">
        <f t="shared" si="3"/>
        <v>Qua</v>
      </c>
      <c r="X11" s="270" t="str">
        <f t="shared" si="3"/>
        <v>Qui</v>
      </c>
      <c r="Y11" s="270" t="str">
        <f t="shared" si="3"/>
        <v>Sex</v>
      </c>
      <c r="Z11" s="270" t="str">
        <f t="shared" si="3"/>
        <v>Sab</v>
      </c>
      <c r="AA11" s="270" t="str">
        <f t="shared" si="3"/>
        <v>Dom</v>
      </c>
      <c r="AB11" s="270" t="str">
        <f t="shared" si="3"/>
        <v>Seg</v>
      </c>
      <c r="AC11" s="270" t="str">
        <f t="shared" si="3"/>
        <v>Ter</v>
      </c>
      <c r="AD11" s="270" t="str">
        <f t="shared" si="3"/>
        <v>Qua</v>
      </c>
      <c r="AE11" s="270" t="str">
        <f t="shared" si="8"/>
        <v>Qui</v>
      </c>
      <c r="AF11" s="270" t="str">
        <f t="shared" si="8"/>
        <v>Sex</v>
      </c>
      <c r="AG11" s="270" t="str">
        <f>IF(ISERROR(VLOOKUP(DATEVALUE(AG$1 &amp; "/" &amp; $A11 &amp; "/" &amp;$B$1),$AI:$AK,2,FALSE)),CHOOSE(WEEKDAY(DATEVALUE(AG$1 &amp; "/" &amp; $A11 &amp; "/" &amp;$B$1)),"Dom","Seg","Ter","Qua","Qui","Sex","Sab"),VLOOKUP(DATEVALUE(AG$1 &amp; "/" &amp; $A11 &amp; "/" &amp;$B$1),$AI:$AK,3,FALSE))</f>
        <v>Sab</v>
      </c>
      <c r="AI11" s="272">
        <v>42125</v>
      </c>
      <c r="AJ11" s="275" t="s">
        <v>1029</v>
      </c>
      <c r="AK11" s="274" t="s">
        <v>1090</v>
      </c>
      <c r="AN11" s="60">
        <v>10</v>
      </c>
      <c r="AO11" s="335">
        <f t="shared" si="4"/>
        <v>10</v>
      </c>
      <c r="AP11" s="336">
        <f t="shared" si="6"/>
        <v>55</v>
      </c>
      <c r="AQ11" s="334" t="s">
        <v>1004</v>
      </c>
      <c r="AR11" s="60">
        <v>36</v>
      </c>
      <c r="AS11" s="335">
        <f t="shared" si="5"/>
        <v>36</v>
      </c>
      <c r="AT11" s="336">
        <f t="shared" si="7"/>
        <v>666</v>
      </c>
    </row>
    <row r="12" spans="1:46">
      <c r="A12" s="56">
        <v>11</v>
      </c>
      <c r="B12" s="271" t="s">
        <v>685</v>
      </c>
      <c r="C12" s="270" t="str">
        <f t="shared" si="1"/>
        <v>Dom</v>
      </c>
      <c r="D12" s="270" t="str">
        <f t="shared" si="1"/>
        <v>F</v>
      </c>
      <c r="E12" s="270" t="str">
        <f t="shared" si="1"/>
        <v>Ter</v>
      </c>
      <c r="F12" s="270" t="str">
        <f t="shared" si="1"/>
        <v>Qua</v>
      </c>
      <c r="G12" s="270" t="str">
        <f t="shared" si="1"/>
        <v>Qui</v>
      </c>
      <c r="H12" s="270" t="str">
        <f t="shared" si="1"/>
        <v>Sex</v>
      </c>
      <c r="I12" s="270" t="str">
        <f t="shared" si="1"/>
        <v>Sab</v>
      </c>
      <c r="J12" s="270" t="str">
        <f t="shared" si="1"/>
        <v>Dom</v>
      </c>
      <c r="K12" s="270" t="str">
        <f t="shared" si="1"/>
        <v>Seg</v>
      </c>
      <c r="L12" s="270" t="str">
        <f t="shared" si="1"/>
        <v>Ter</v>
      </c>
      <c r="M12" s="270" t="str">
        <f t="shared" si="2"/>
        <v>Qua</v>
      </c>
      <c r="N12" s="270" t="str">
        <f t="shared" si="2"/>
        <v>Qui</v>
      </c>
      <c r="O12" s="270" t="str">
        <f t="shared" si="2"/>
        <v>Sex</v>
      </c>
      <c r="P12" s="270" t="str">
        <f t="shared" si="2"/>
        <v>Sab</v>
      </c>
      <c r="Q12" s="270" t="str">
        <f t="shared" si="2"/>
        <v>F</v>
      </c>
      <c r="R12" s="270" t="str">
        <f t="shared" si="2"/>
        <v>Seg</v>
      </c>
      <c r="S12" s="270" t="str">
        <f t="shared" si="2"/>
        <v>Ter</v>
      </c>
      <c r="T12" s="270" t="str">
        <f t="shared" si="2"/>
        <v>Qua</v>
      </c>
      <c r="U12" s="270" t="str">
        <f t="shared" si="2"/>
        <v>Qui</v>
      </c>
      <c r="V12" s="270" t="str">
        <f t="shared" si="2"/>
        <v>Sex</v>
      </c>
      <c r="W12" s="270" t="str">
        <f t="shared" si="3"/>
        <v>Sab</v>
      </c>
      <c r="X12" s="270" t="str">
        <f t="shared" si="3"/>
        <v>Dom</v>
      </c>
      <c r="Y12" s="270" t="str">
        <f t="shared" si="3"/>
        <v>Seg</v>
      </c>
      <c r="Z12" s="270" t="str">
        <f t="shared" si="3"/>
        <v>Ter</v>
      </c>
      <c r="AA12" s="270" t="str">
        <f t="shared" si="3"/>
        <v>Qua</v>
      </c>
      <c r="AB12" s="270" t="str">
        <f t="shared" si="3"/>
        <v>Qui</v>
      </c>
      <c r="AC12" s="270" t="str">
        <f t="shared" si="3"/>
        <v>Sex</v>
      </c>
      <c r="AD12" s="270" t="str">
        <f t="shared" si="3"/>
        <v>Sab</v>
      </c>
      <c r="AE12" s="270" t="str">
        <f t="shared" si="8"/>
        <v>Dom</v>
      </c>
      <c r="AF12" s="270" t="str">
        <f t="shared" si="8"/>
        <v>Seg</v>
      </c>
      <c r="AG12" s="270"/>
      <c r="AI12" s="272">
        <v>42135</v>
      </c>
      <c r="AJ12" s="275" t="s">
        <v>1067</v>
      </c>
      <c r="AK12" s="274" t="s">
        <v>1092</v>
      </c>
      <c r="AN12" s="60">
        <v>11</v>
      </c>
      <c r="AO12" s="335">
        <f t="shared" si="4"/>
        <v>11</v>
      </c>
      <c r="AP12" s="336">
        <f t="shared" si="6"/>
        <v>66</v>
      </c>
      <c r="AQ12" s="334" t="s">
        <v>1004</v>
      </c>
      <c r="AR12" s="60">
        <v>37</v>
      </c>
      <c r="AS12" s="335">
        <f t="shared" si="5"/>
        <v>37</v>
      </c>
      <c r="AT12" s="336">
        <f t="shared" si="7"/>
        <v>703</v>
      </c>
    </row>
    <row r="13" spans="1:46">
      <c r="A13" s="56">
        <v>12</v>
      </c>
      <c r="B13" s="271" t="s">
        <v>686</v>
      </c>
      <c r="C13" s="270" t="str">
        <f t="shared" si="1"/>
        <v>Ter</v>
      </c>
      <c r="D13" s="270" t="str">
        <f t="shared" si="1"/>
        <v>Qua</v>
      </c>
      <c r="E13" s="270" t="str">
        <f t="shared" si="1"/>
        <v>Qui</v>
      </c>
      <c r="F13" s="270" t="str">
        <f t="shared" si="1"/>
        <v>Sex</v>
      </c>
      <c r="G13" s="270" t="str">
        <f t="shared" si="1"/>
        <v>Sab</v>
      </c>
      <c r="H13" s="270" t="str">
        <f t="shared" si="1"/>
        <v>Dom</v>
      </c>
      <c r="I13" s="270" t="str">
        <f t="shared" si="1"/>
        <v>Seg</v>
      </c>
      <c r="J13" s="270" t="str">
        <f t="shared" si="1"/>
        <v>Ter</v>
      </c>
      <c r="K13" s="270" t="str">
        <f t="shared" si="1"/>
        <v>Qua</v>
      </c>
      <c r="L13" s="270" t="str">
        <f t="shared" si="1"/>
        <v>Qui</v>
      </c>
      <c r="M13" s="270" t="str">
        <f t="shared" si="2"/>
        <v>Sex</v>
      </c>
      <c r="N13" s="270" t="str">
        <f t="shared" si="2"/>
        <v>Sab</v>
      </c>
      <c r="O13" s="270" t="str">
        <f t="shared" si="2"/>
        <v>Dom</v>
      </c>
      <c r="P13" s="270" t="str">
        <f t="shared" si="2"/>
        <v>Seg</v>
      </c>
      <c r="Q13" s="270" t="str">
        <f t="shared" si="2"/>
        <v>Ter</v>
      </c>
      <c r="R13" s="270" t="str">
        <f t="shared" si="2"/>
        <v>Qua</v>
      </c>
      <c r="S13" s="270" t="str">
        <f t="shared" si="2"/>
        <v>Qui</v>
      </c>
      <c r="T13" s="270" t="str">
        <f t="shared" si="2"/>
        <v>Sex</v>
      </c>
      <c r="U13" s="270" t="str">
        <f t="shared" si="2"/>
        <v>Sab</v>
      </c>
      <c r="V13" s="270" t="str">
        <f t="shared" si="2"/>
        <v>Dom</v>
      </c>
      <c r="W13" s="270" t="str">
        <f t="shared" si="3"/>
        <v>Seg</v>
      </c>
      <c r="X13" s="270" t="str">
        <f t="shared" si="3"/>
        <v>Ter</v>
      </c>
      <c r="Y13" s="270" t="str">
        <f t="shared" si="3"/>
        <v>Qua</v>
      </c>
      <c r="Z13" s="270" t="str">
        <f t="shared" si="3"/>
        <v>Qui</v>
      </c>
      <c r="AA13" s="270" t="str">
        <f t="shared" si="3"/>
        <v>F</v>
      </c>
      <c r="AB13" s="270" t="str">
        <f t="shared" si="3"/>
        <v>Sab</v>
      </c>
      <c r="AC13" s="270" t="str">
        <f t="shared" si="3"/>
        <v>Dom</v>
      </c>
      <c r="AD13" s="270" t="str">
        <f t="shared" si="3"/>
        <v>Seg</v>
      </c>
      <c r="AE13" s="270" t="str">
        <f t="shared" si="8"/>
        <v>Ter</v>
      </c>
      <c r="AF13" s="270" t="str">
        <f t="shared" si="8"/>
        <v>Qua</v>
      </c>
      <c r="AG13" s="270" t="str">
        <f>IF(ISERROR(VLOOKUP(DATEVALUE(AG$1 &amp; "/" &amp; $A13 &amp; "/" &amp;$B$1),$AI:$AK,2,FALSE)),CHOOSE(WEEKDAY(DATEVALUE(AG$1 &amp; "/" &amp; $A13 &amp; "/" &amp;$B$1)),"Dom","Seg","Ter","Qua","Qui","Sex","Sab"),VLOOKUP(DATEVALUE(AG$1 &amp; "/" &amp; $A13 &amp; "/" &amp;$B$1),$AI:$AK,3,FALSE))</f>
        <v>Qui</v>
      </c>
      <c r="AI13" s="272">
        <v>42149</v>
      </c>
      <c r="AJ13" s="275" t="s">
        <v>1083</v>
      </c>
      <c r="AK13" s="274" t="s">
        <v>1091</v>
      </c>
      <c r="AN13" s="60">
        <v>12</v>
      </c>
      <c r="AO13" s="335">
        <f t="shared" si="4"/>
        <v>12</v>
      </c>
      <c r="AP13" s="336">
        <f t="shared" si="6"/>
        <v>78</v>
      </c>
      <c r="AQ13" s="334" t="s">
        <v>1004</v>
      </c>
      <c r="AR13" s="60">
        <v>38</v>
      </c>
      <c r="AS13" s="335">
        <f t="shared" si="5"/>
        <v>38</v>
      </c>
      <c r="AT13" s="336">
        <f t="shared" si="7"/>
        <v>741</v>
      </c>
    </row>
    <row r="14" spans="1:46">
      <c r="AI14" s="272">
        <v>42174</v>
      </c>
      <c r="AJ14" s="275" t="s">
        <v>1030</v>
      </c>
      <c r="AK14" s="274" t="s">
        <v>1090</v>
      </c>
      <c r="AN14" s="60">
        <v>13</v>
      </c>
      <c r="AO14" s="335">
        <f t="shared" si="4"/>
        <v>13</v>
      </c>
      <c r="AP14" s="336">
        <f t="shared" si="6"/>
        <v>91</v>
      </c>
      <c r="AQ14" s="334" t="s">
        <v>1004</v>
      </c>
      <c r="AR14" s="60">
        <v>39</v>
      </c>
      <c r="AS14" s="335">
        <f t="shared" si="5"/>
        <v>39</v>
      </c>
      <c r="AT14" s="336">
        <f t="shared" si="7"/>
        <v>780</v>
      </c>
    </row>
    <row r="15" spans="1:46">
      <c r="B15" s="1" t="s">
        <v>1071</v>
      </c>
      <c r="C15" s="244" t="s">
        <v>1072</v>
      </c>
      <c r="D15" s="244" t="s">
        <v>1073</v>
      </c>
      <c r="AI15" s="272">
        <v>42205</v>
      </c>
      <c r="AJ15" s="275" t="s">
        <v>1035</v>
      </c>
      <c r="AK15" s="274" t="s">
        <v>1091</v>
      </c>
      <c r="AN15" s="60">
        <v>14</v>
      </c>
      <c r="AO15" s="335">
        <f t="shared" si="4"/>
        <v>14</v>
      </c>
      <c r="AP15" s="336">
        <f t="shared" si="6"/>
        <v>105</v>
      </c>
      <c r="AQ15" s="334" t="s">
        <v>1004</v>
      </c>
      <c r="AR15" s="60">
        <v>40</v>
      </c>
      <c r="AS15" s="335">
        <f t="shared" si="5"/>
        <v>40</v>
      </c>
      <c r="AT15" s="336">
        <f t="shared" si="7"/>
        <v>820</v>
      </c>
    </row>
    <row r="16" spans="1:46">
      <c r="B16" t="s">
        <v>1068</v>
      </c>
      <c r="C16" s="82" t="s">
        <v>1090</v>
      </c>
      <c r="D16" s="82">
        <f>COUNTIF(C2:AG13,C16)</f>
        <v>12</v>
      </c>
      <c r="AI16" s="272">
        <v>42212</v>
      </c>
      <c r="AJ16" s="275" t="s">
        <v>34</v>
      </c>
      <c r="AK16" s="274" t="s">
        <v>1091</v>
      </c>
      <c r="AN16" s="60">
        <v>15</v>
      </c>
      <c r="AO16" s="335">
        <f t="shared" si="4"/>
        <v>15</v>
      </c>
      <c r="AP16" s="336">
        <f t="shared" si="6"/>
        <v>120</v>
      </c>
      <c r="AQ16" s="334" t="s">
        <v>1004</v>
      </c>
      <c r="AR16" s="60">
        <v>41</v>
      </c>
      <c r="AS16" s="335">
        <f t="shared" si="5"/>
        <v>41</v>
      </c>
      <c r="AT16" s="336">
        <f t="shared" si="7"/>
        <v>861</v>
      </c>
    </row>
    <row r="17" spans="2:46">
      <c r="B17" t="s">
        <v>1070</v>
      </c>
      <c r="C17" s="82" t="s">
        <v>1092</v>
      </c>
      <c r="D17" s="82">
        <f>COUNTIF(C3:AG14,C17)</f>
        <v>2</v>
      </c>
      <c r="AI17" s="272">
        <v>42224</v>
      </c>
      <c r="AJ17" s="275" t="s">
        <v>1084</v>
      </c>
      <c r="AK17" s="274" t="s">
        <v>1091</v>
      </c>
      <c r="AN17" s="60">
        <v>16</v>
      </c>
      <c r="AO17" s="335">
        <f t="shared" si="4"/>
        <v>16</v>
      </c>
      <c r="AP17" s="336">
        <f t="shared" si="6"/>
        <v>136</v>
      </c>
      <c r="AQ17" s="334" t="s">
        <v>1004</v>
      </c>
      <c r="AR17" s="60">
        <v>42</v>
      </c>
      <c r="AS17" s="335">
        <f t="shared" si="5"/>
        <v>42</v>
      </c>
      <c r="AT17" s="336">
        <f t="shared" si="7"/>
        <v>903</v>
      </c>
    </row>
    <row r="18" spans="2:46">
      <c r="B18" t="s">
        <v>1069</v>
      </c>
      <c r="C18" s="82" t="s">
        <v>1091</v>
      </c>
      <c r="D18" s="82">
        <f>COUNTIF(C4:AG15,C18)</f>
        <v>7</v>
      </c>
      <c r="AI18" s="272">
        <v>42226</v>
      </c>
      <c r="AJ18" s="275" t="s">
        <v>1066</v>
      </c>
      <c r="AK18" s="274" t="s">
        <v>1092</v>
      </c>
      <c r="AN18" s="60">
        <v>17</v>
      </c>
      <c r="AO18" s="335">
        <f t="shared" si="4"/>
        <v>17</v>
      </c>
      <c r="AP18" s="336">
        <f t="shared" si="6"/>
        <v>153</v>
      </c>
      <c r="AQ18" s="334" t="s">
        <v>1004</v>
      </c>
      <c r="AR18" s="60">
        <v>43</v>
      </c>
      <c r="AS18" s="335">
        <f t="shared" si="5"/>
        <v>43</v>
      </c>
      <c r="AT18" s="336">
        <f t="shared" si="7"/>
        <v>946</v>
      </c>
    </row>
    <row r="19" spans="2:46">
      <c r="AI19" s="272">
        <v>42254</v>
      </c>
      <c r="AJ19" s="275" t="s">
        <v>1031</v>
      </c>
      <c r="AK19" s="274" t="s">
        <v>1090</v>
      </c>
      <c r="AN19" s="60">
        <v>18</v>
      </c>
      <c r="AO19" s="335">
        <f t="shared" si="4"/>
        <v>18</v>
      </c>
      <c r="AP19" s="336">
        <f t="shared" si="6"/>
        <v>171</v>
      </c>
      <c r="AQ19" s="334" t="s">
        <v>1004</v>
      </c>
      <c r="AR19" s="60">
        <v>44</v>
      </c>
      <c r="AS19" s="335">
        <f t="shared" si="5"/>
        <v>44</v>
      </c>
      <c r="AT19" s="336">
        <f t="shared" si="7"/>
        <v>990</v>
      </c>
    </row>
    <row r="20" spans="2:46">
      <c r="B20" t="s">
        <v>1263</v>
      </c>
      <c r="C20" s="82">
        <f ca="1">INT((NOW()-DATEVALUE("1/1/15"))/7)</f>
        <v>28</v>
      </c>
      <c r="D20" s="330"/>
      <c r="AI20" s="272">
        <v>42256</v>
      </c>
      <c r="AJ20" s="275" t="s">
        <v>1082</v>
      </c>
      <c r="AK20" s="274" t="s">
        <v>1091</v>
      </c>
      <c r="AN20" s="60">
        <v>19</v>
      </c>
      <c r="AO20" s="335">
        <f t="shared" si="4"/>
        <v>19</v>
      </c>
      <c r="AP20" s="336">
        <f t="shared" si="6"/>
        <v>190</v>
      </c>
      <c r="AQ20" s="334" t="s">
        <v>1004</v>
      </c>
      <c r="AR20" s="60">
        <v>45</v>
      </c>
      <c r="AS20" s="335">
        <f t="shared" si="5"/>
        <v>45</v>
      </c>
      <c r="AT20" s="336">
        <f t="shared" si="7"/>
        <v>1035</v>
      </c>
    </row>
    <row r="21" spans="2:46">
      <c r="AI21" s="272">
        <v>42279</v>
      </c>
      <c r="AJ21" s="275" t="s">
        <v>1081</v>
      </c>
      <c r="AK21" s="274" t="s">
        <v>1091</v>
      </c>
      <c r="AN21" s="60">
        <v>20</v>
      </c>
      <c r="AO21" s="335">
        <f t="shared" si="4"/>
        <v>20</v>
      </c>
      <c r="AP21" s="336">
        <f t="shared" si="6"/>
        <v>210</v>
      </c>
      <c r="AQ21" s="334" t="s">
        <v>1004</v>
      </c>
      <c r="AR21" s="60">
        <v>46</v>
      </c>
      <c r="AS21" s="335">
        <f t="shared" si="5"/>
        <v>46</v>
      </c>
      <c r="AT21" s="336">
        <f t="shared" si="7"/>
        <v>1081</v>
      </c>
    </row>
    <row r="22" spans="2:46">
      <c r="C22" s="329"/>
      <c r="AI22" s="272">
        <v>42289</v>
      </c>
      <c r="AJ22" s="275" t="s">
        <v>1065</v>
      </c>
      <c r="AK22" s="274" t="s">
        <v>1090</v>
      </c>
      <c r="AN22" s="60">
        <v>21</v>
      </c>
      <c r="AO22" s="335">
        <f t="shared" si="4"/>
        <v>21</v>
      </c>
      <c r="AP22" s="336">
        <f t="shared" si="6"/>
        <v>231</v>
      </c>
      <c r="AQ22" s="334" t="s">
        <v>1004</v>
      </c>
      <c r="AR22" s="60">
        <v>47</v>
      </c>
      <c r="AS22" s="335">
        <f t="shared" si="5"/>
        <v>47</v>
      </c>
      <c r="AT22" s="336">
        <f t="shared" si="7"/>
        <v>1128</v>
      </c>
    </row>
    <row r="23" spans="2:46">
      <c r="C23" s="329"/>
      <c r="AI23" s="272">
        <v>42310</v>
      </c>
      <c r="AJ23" s="275" t="s">
        <v>1032</v>
      </c>
      <c r="AK23" s="274" t="s">
        <v>1090</v>
      </c>
      <c r="AN23" s="60">
        <v>22</v>
      </c>
      <c r="AO23" s="335">
        <f t="shared" si="4"/>
        <v>22</v>
      </c>
      <c r="AP23" s="336">
        <f t="shared" si="6"/>
        <v>253</v>
      </c>
      <c r="AQ23" s="334" t="s">
        <v>1004</v>
      </c>
      <c r="AR23" s="60">
        <v>48</v>
      </c>
      <c r="AS23" s="335">
        <f t="shared" si="5"/>
        <v>48</v>
      </c>
      <c r="AT23" s="336">
        <f t="shared" si="7"/>
        <v>1176</v>
      </c>
    </row>
    <row r="24" spans="2:46">
      <c r="AI24" s="272">
        <v>42323</v>
      </c>
      <c r="AJ24" s="275" t="s">
        <v>1033</v>
      </c>
      <c r="AK24" s="274" t="s">
        <v>1090</v>
      </c>
      <c r="AN24" s="60">
        <v>23</v>
      </c>
      <c r="AO24" s="335">
        <f t="shared" si="4"/>
        <v>23</v>
      </c>
      <c r="AP24" s="336">
        <f t="shared" si="6"/>
        <v>276</v>
      </c>
      <c r="AQ24" s="334" t="s">
        <v>1004</v>
      </c>
      <c r="AR24" s="60">
        <v>49</v>
      </c>
      <c r="AS24" s="335">
        <f t="shared" si="5"/>
        <v>49</v>
      </c>
      <c r="AT24" s="336">
        <f t="shared" si="7"/>
        <v>1225</v>
      </c>
    </row>
    <row r="25" spans="2:46">
      <c r="AI25" s="272">
        <v>42363</v>
      </c>
      <c r="AJ25" s="275" t="s">
        <v>1034</v>
      </c>
      <c r="AK25" s="274" t="s">
        <v>1090</v>
      </c>
      <c r="AN25" s="60">
        <v>24</v>
      </c>
      <c r="AO25" s="335">
        <f t="shared" si="4"/>
        <v>24</v>
      </c>
      <c r="AP25" s="336">
        <f t="shared" si="6"/>
        <v>300</v>
      </c>
      <c r="AQ25" s="334" t="s">
        <v>1004</v>
      </c>
      <c r="AR25" s="60">
        <v>50</v>
      </c>
      <c r="AS25" s="335">
        <f t="shared" si="5"/>
        <v>50</v>
      </c>
      <c r="AT25" s="336">
        <f t="shared" si="7"/>
        <v>1275</v>
      </c>
    </row>
    <row r="26" spans="2:46">
      <c r="AJ26" s="275"/>
      <c r="AN26" s="60">
        <v>25</v>
      </c>
      <c r="AO26" s="335">
        <f t="shared" si="4"/>
        <v>25</v>
      </c>
      <c r="AP26" s="336">
        <f t="shared" si="6"/>
        <v>325</v>
      </c>
      <c r="AQ26" s="334" t="s">
        <v>1004</v>
      </c>
      <c r="AR26" s="60">
        <v>51</v>
      </c>
      <c r="AS26" s="335">
        <f t="shared" si="5"/>
        <v>51</v>
      </c>
      <c r="AT26" s="336">
        <f t="shared" si="7"/>
        <v>1326</v>
      </c>
    </row>
    <row r="27" spans="2:46">
      <c r="AJ27" s="275"/>
      <c r="AN27" s="60">
        <v>26</v>
      </c>
      <c r="AO27" s="335">
        <f t="shared" si="4"/>
        <v>26</v>
      </c>
      <c r="AP27" s="336">
        <f t="shared" si="6"/>
        <v>351</v>
      </c>
      <c r="AQ27" s="334" t="s">
        <v>1004</v>
      </c>
      <c r="AR27" s="60">
        <v>52</v>
      </c>
      <c r="AS27" s="335">
        <f t="shared" si="5"/>
        <v>52</v>
      </c>
      <c r="AT27" s="336">
        <f t="shared" si="7"/>
        <v>1378</v>
      </c>
    </row>
    <row r="28" spans="2:46">
      <c r="AJ28" s="275"/>
    </row>
    <row r="29" spans="2:46">
      <c r="AJ29" s="275"/>
    </row>
  </sheetData>
  <sortState ref="AI2:AK25">
    <sortCondition ref="AI2:AI25"/>
  </sortState>
  <conditionalFormatting sqref="C2:AG13">
    <cfRule type="cellIs" dxfId="123" priority="2" operator="equal">
      <formula>"F"</formula>
    </cfRule>
    <cfRule type="cellIs" dxfId="122" priority="3" operator="equal">
      <formula>"A"</formula>
    </cfRule>
    <cfRule type="cellIs" dxfId="121" priority="4" operator="equal">
      <formula>"Sab"</formula>
    </cfRule>
    <cfRule type="cellIs" dxfId="120" priority="5" operator="equal">
      <formula>"Dom"</formula>
    </cfRule>
    <cfRule type="cellIs" dxfId="119" priority="1" operator="equal">
      <formula>"E"</formula>
    </cfRule>
  </conditionalFormatting>
  <pageMargins left="0.27559055118110237" right="0.27559055118110237" top="0.47244094488188981" bottom="0.47244094488188981" header="0.31496062992125984" footer="0.31496062992125984"/>
  <pageSetup paperSize="9" scale="51" orientation="landscape" horizontalDpi="300" verticalDpi="300" r:id="rId1"/>
  <headerFooter>
    <oddFooter xml:space="preserve">&amp;L&amp;A&amp;C&amp;F&amp;R&amp;P - &amp;N </oddFooter>
  </headerFooter>
</worksheet>
</file>

<file path=xl/worksheets/sheet7.xml><?xml version="1.0" encoding="utf-8"?>
<worksheet xmlns="http://schemas.openxmlformats.org/spreadsheetml/2006/main" xmlns:r="http://schemas.openxmlformats.org/officeDocument/2006/relationships">
  <sheetPr codeName="Plan9"/>
  <dimension ref="A1:I27"/>
  <sheetViews>
    <sheetView zoomScale="95" zoomScaleNormal="95" workbookViewId="0">
      <pane ySplit="1" topLeftCell="A2" activePane="bottomLeft" state="frozen"/>
      <selection pane="bottomLeft"/>
    </sheetView>
  </sheetViews>
  <sheetFormatPr defaultRowHeight="15"/>
  <cols>
    <col min="1" max="1" width="5.5703125" bestFit="1" customWidth="1"/>
    <col min="2" max="2" width="8.7109375" style="56" bestFit="1" customWidth="1"/>
    <col min="3" max="3" width="14.42578125" bestFit="1" customWidth="1"/>
    <col min="4" max="4" width="16.85546875" bestFit="1" customWidth="1"/>
    <col min="5" max="5" width="2.140625" bestFit="1" customWidth="1"/>
    <col min="6" max="6" width="8.7109375" style="56" bestFit="1" customWidth="1"/>
    <col min="7" max="7" width="14.42578125" bestFit="1" customWidth="1"/>
    <col min="8" max="8" width="16.85546875" bestFit="1" customWidth="1"/>
  </cols>
  <sheetData>
    <row r="1" spans="1:9" s="1" customFormat="1" ht="26.25">
      <c r="A1" s="358">
        <f ca="1">INT((NOW()-DATEVALUE("1/1/15"))/7)</f>
        <v>28</v>
      </c>
      <c r="B1" s="334" t="s">
        <v>1263</v>
      </c>
      <c r="C1" s="334" t="s">
        <v>1264</v>
      </c>
      <c r="D1" s="334" t="s">
        <v>1265</v>
      </c>
      <c r="E1" s="334" t="s">
        <v>1004</v>
      </c>
      <c r="F1" s="334" t="s">
        <v>1263</v>
      </c>
      <c r="G1" s="334" t="s">
        <v>1264</v>
      </c>
      <c r="H1" s="334" t="s">
        <v>1265</v>
      </c>
      <c r="I1" s="483"/>
    </row>
    <row r="2" spans="1:9">
      <c r="B2" s="60">
        <v>1</v>
      </c>
      <c r="C2" s="332">
        <f>B2</f>
        <v>1</v>
      </c>
      <c r="D2" s="333">
        <f>C2</f>
        <v>1</v>
      </c>
      <c r="E2" s="331" t="s">
        <v>1004</v>
      </c>
      <c r="F2" s="60">
        <v>27</v>
      </c>
      <c r="G2" s="332">
        <f>F2</f>
        <v>27</v>
      </c>
      <c r="H2" s="333">
        <f>D27+G2</f>
        <v>378</v>
      </c>
    </row>
    <row r="3" spans="1:9">
      <c r="B3" s="60">
        <v>2</v>
      </c>
      <c r="C3" s="332">
        <f t="shared" ref="C3:C27" si="0">B3</f>
        <v>2</v>
      </c>
      <c r="D3" s="333">
        <f>C3+D2</f>
        <v>3</v>
      </c>
      <c r="E3" s="331" t="s">
        <v>1004</v>
      </c>
      <c r="F3" s="60">
        <v>28</v>
      </c>
      <c r="G3" s="332">
        <f t="shared" ref="G3:G27" si="1">F3</f>
        <v>28</v>
      </c>
      <c r="H3" s="333">
        <f>G3+H2</f>
        <v>406</v>
      </c>
    </row>
    <row r="4" spans="1:9">
      <c r="B4" s="60">
        <v>3</v>
      </c>
      <c r="C4" s="332">
        <f t="shared" si="0"/>
        <v>3</v>
      </c>
      <c r="D4" s="333">
        <f t="shared" ref="D4:D27" si="2">C4+D3</f>
        <v>6</v>
      </c>
      <c r="E4" s="331" t="s">
        <v>1004</v>
      </c>
      <c r="F4" s="60">
        <v>29</v>
      </c>
      <c r="G4" s="332">
        <f t="shared" si="1"/>
        <v>29</v>
      </c>
      <c r="H4" s="333">
        <f t="shared" ref="H4:H27" si="3">G4+H3</f>
        <v>435</v>
      </c>
    </row>
    <row r="5" spans="1:9">
      <c r="B5" s="60">
        <v>4</v>
      </c>
      <c r="C5" s="332">
        <f t="shared" si="0"/>
        <v>4</v>
      </c>
      <c r="D5" s="333">
        <f t="shared" si="2"/>
        <v>10</v>
      </c>
      <c r="E5" s="331" t="s">
        <v>1004</v>
      </c>
      <c r="F5" s="60">
        <v>30</v>
      </c>
      <c r="G5" s="332">
        <f t="shared" si="1"/>
        <v>30</v>
      </c>
      <c r="H5" s="333">
        <f t="shared" si="3"/>
        <v>465</v>
      </c>
    </row>
    <row r="6" spans="1:9">
      <c r="B6" s="60">
        <v>5</v>
      </c>
      <c r="C6" s="332">
        <f t="shared" si="0"/>
        <v>5</v>
      </c>
      <c r="D6" s="333">
        <f t="shared" si="2"/>
        <v>15</v>
      </c>
      <c r="E6" s="331" t="s">
        <v>1004</v>
      </c>
      <c r="F6" s="60">
        <v>31</v>
      </c>
      <c r="G6" s="332">
        <f t="shared" si="1"/>
        <v>31</v>
      </c>
      <c r="H6" s="333">
        <f t="shared" si="3"/>
        <v>496</v>
      </c>
    </row>
    <row r="7" spans="1:9">
      <c r="B7" s="60">
        <v>6</v>
      </c>
      <c r="C7" s="332">
        <f t="shared" si="0"/>
        <v>6</v>
      </c>
      <c r="D7" s="333">
        <f t="shared" si="2"/>
        <v>21</v>
      </c>
      <c r="E7" s="331" t="s">
        <v>1004</v>
      </c>
      <c r="F7" s="60">
        <v>32</v>
      </c>
      <c r="G7" s="332">
        <f t="shared" si="1"/>
        <v>32</v>
      </c>
      <c r="H7" s="333">
        <f t="shared" si="3"/>
        <v>528</v>
      </c>
    </row>
    <row r="8" spans="1:9">
      <c r="B8" s="60">
        <v>7</v>
      </c>
      <c r="C8" s="332">
        <f t="shared" si="0"/>
        <v>7</v>
      </c>
      <c r="D8" s="333">
        <f t="shared" si="2"/>
        <v>28</v>
      </c>
      <c r="E8" s="331" t="s">
        <v>1004</v>
      </c>
      <c r="F8" s="60">
        <v>33</v>
      </c>
      <c r="G8" s="332">
        <f t="shared" si="1"/>
        <v>33</v>
      </c>
      <c r="H8" s="333">
        <f t="shared" si="3"/>
        <v>561</v>
      </c>
    </row>
    <row r="9" spans="1:9">
      <c r="B9" s="60">
        <v>8</v>
      </c>
      <c r="C9" s="332">
        <f t="shared" si="0"/>
        <v>8</v>
      </c>
      <c r="D9" s="333">
        <f t="shared" si="2"/>
        <v>36</v>
      </c>
      <c r="E9" s="331" t="s">
        <v>1004</v>
      </c>
      <c r="F9" s="60">
        <v>34</v>
      </c>
      <c r="G9" s="332">
        <f t="shared" si="1"/>
        <v>34</v>
      </c>
      <c r="H9" s="333">
        <f t="shared" si="3"/>
        <v>595</v>
      </c>
    </row>
    <row r="10" spans="1:9">
      <c r="B10" s="60">
        <v>9</v>
      </c>
      <c r="C10" s="332">
        <f t="shared" si="0"/>
        <v>9</v>
      </c>
      <c r="D10" s="333">
        <f t="shared" si="2"/>
        <v>45</v>
      </c>
      <c r="E10" s="331" t="s">
        <v>1004</v>
      </c>
      <c r="F10" s="60">
        <v>35</v>
      </c>
      <c r="G10" s="332">
        <f t="shared" si="1"/>
        <v>35</v>
      </c>
      <c r="H10" s="333">
        <f t="shared" si="3"/>
        <v>630</v>
      </c>
    </row>
    <row r="11" spans="1:9">
      <c r="B11" s="60">
        <v>10</v>
      </c>
      <c r="C11" s="332">
        <f t="shared" si="0"/>
        <v>10</v>
      </c>
      <c r="D11" s="333">
        <f t="shared" si="2"/>
        <v>55</v>
      </c>
      <c r="E11" s="331" t="s">
        <v>1004</v>
      </c>
      <c r="F11" s="60">
        <v>36</v>
      </c>
      <c r="G11" s="332">
        <f t="shared" si="1"/>
        <v>36</v>
      </c>
      <c r="H11" s="333">
        <f t="shared" si="3"/>
        <v>666</v>
      </c>
    </row>
    <row r="12" spans="1:9">
      <c r="B12" s="60">
        <v>11</v>
      </c>
      <c r="C12" s="332">
        <f t="shared" si="0"/>
        <v>11</v>
      </c>
      <c r="D12" s="333">
        <f t="shared" si="2"/>
        <v>66</v>
      </c>
      <c r="E12" s="331" t="s">
        <v>1004</v>
      </c>
      <c r="F12" s="60">
        <v>37</v>
      </c>
      <c r="G12" s="332">
        <f t="shared" si="1"/>
        <v>37</v>
      </c>
      <c r="H12" s="333">
        <f t="shared" si="3"/>
        <v>703</v>
      </c>
    </row>
    <row r="13" spans="1:9">
      <c r="B13" s="60">
        <v>12</v>
      </c>
      <c r="C13" s="332">
        <f t="shared" si="0"/>
        <v>12</v>
      </c>
      <c r="D13" s="333">
        <f t="shared" si="2"/>
        <v>78</v>
      </c>
      <c r="E13" s="331" t="s">
        <v>1004</v>
      </c>
      <c r="F13" s="60">
        <v>38</v>
      </c>
      <c r="G13" s="332">
        <f t="shared" si="1"/>
        <v>38</v>
      </c>
      <c r="H13" s="333">
        <f t="shared" si="3"/>
        <v>741</v>
      </c>
    </row>
    <row r="14" spans="1:9">
      <c r="B14" s="60">
        <v>13</v>
      </c>
      <c r="C14" s="332">
        <f t="shared" si="0"/>
        <v>13</v>
      </c>
      <c r="D14" s="333">
        <f t="shared" si="2"/>
        <v>91</v>
      </c>
      <c r="E14" s="331" t="s">
        <v>1004</v>
      </c>
      <c r="F14" s="60">
        <v>39</v>
      </c>
      <c r="G14" s="332">
        <f t="shared" si="1"/>
        <v>39</v>
      </c>
      <c r="H14" s="333">
        <f t="shared" si="3"/>
        <v>780</v>
      </c>
    </row>
    <row r="15" spans="1:9">
      <c r="B15" s="60">
        <v>14</v>
      </c>
      <c r="C15" s="332">
        <f t="shared" si="0"/>
        <v>14</v>
      </c>
      <c r="D15" s="333">
        <f t="shared" si="2"/>
        <v>105</v>
      </c>
      <c r="E15" s="331" t="s">
        <v>1004</v>
      </c>
      <c r="F15" s="60">
        <v>40</v>
      </c>
      <c r="G15" s="332">
        <f t="shared" si="1"/>
        <v>40</v>
      </c>
      <c r="H15" s="333">
        <f t="shared" si="3"/>
        <v>820</v>
      </c>
    </row>
    <row r="16" spans="1:9">
      <c r="B16" s="60">
        <v>15</v>
      </c>
      <c r="C16" s="332">
        <f t="shared" si="0"/>
        <v>15</v>
      </c>
      <c r="D16" s="333">
        <f>C16+D15</f>
        <v>120</v>
      </c>
      <c r="E16" s="331" t="s">
        <v>1004</v>
      </c>
      <c r="F16" s="60">
        <v>41</v>
      </c>
      <c r="G16" s="332">
        <f t="shared" si="1"/>
        <v>41</v>
      </c>
      <c r="H16" s="333">
        <f>G16+H15</f>
        <v>861</v>
      </c>
    </row>
    <row r="17" spans="2:8">
      <c r="B17" s="60">
        <v>16</v>
      </c>
      <c r="C17" s="332">
        <f t="shared" si="0"/>
        <v>16</v>
      </c>
      <c r="D17" s="333">
        <f t="shared" si="2"/>
        <v>136</v>
      </c>
      <c r="E17" s="331" t="s">
        <v>1004</v>
      </c>
      <c r="F17" s="60">
        <v>42</v>
      </c>
      <c r="G17" s="332">
        <f t="shared" si="1"/>
        <v>42</v>
      </c>
      <c r="H17" s="333">
        <f t="shared" si="3"/>
        <v>903</v>
      </c>
    </row>
    <row r="18" spans="2:8">
      <c r="B18" s="60">
        <v>17</v>
      </c>
      <c r="C18" s="332">
        <f t="shared" si="0"/>
        <v>17</v>
      </c>
      <c r="D18" s="333">
        <f t="shared" si="2"/>
        <v>153</v>
      </c>
      <c r="E18" s="331" t="s">
        <v>1004</v>
      </c>
      <c r="F18" s="60">
        <v>43</v>
      </c>
      <c r="G18" s="332">
        <f t="shared" si="1"/>
        <v>43</v>
      </c>
      <c r="H18" s="333">
        <f t="shared" si="3"/>
        <v>946</v>
      </c>
    </row>
    <row r="19" spans="2:8">
      <c r="B19" s="60">
        <v>18</v>
      </c>
      <c r="C19" s="332">
        <f t="shared" si="0"/>
        <v>18</v>
      </c>
      <c r="D19" s="333">
        <f t="shared" si="2"/>
        <v>171</v>
      </c>
      <c r="E19" s="331" t="s">
        <v>1004</v>
      </c>
      <c r="F19" s="60">
        <v>44</v>
      </c>
      <c r="G19" s="332">
        <f t="shared" si="1"/>
        <v>44</v>
      </c>
      <c r="H19" s="333">
        <f t="shared" si="3"/>
        <v>990</v>
      </c>
    </row>
    <row r="20" spans="2:8">
      <c r="B20" s="60">
        <v>19</v>
      </c>
      <c r="C20" s="332">
        <f t="shared" si="0"/>
        <v>19</v>
      </c>
      <c r="D20" s="333">
        <f t="shared" si="2"/>
        <v>190</v>
      </c>
      <c r="E20" s="331" t="s">
        <v>1004</v>
      </c>
      <c r="F20" s="60">
        <v>45</v>
      </c>
      <c r="G20" s="332">
        <f t="shared" si="1"/>
        <v>45</v>
      </c>
      <c r="H20" s="333">
        <f t="shared" si="3"/>
        <v>1035</v>
      </c>
    </row>
    <row r="21" spans="2:8">
      <c r="B21" s="60">
        <v>20</v>
      </c>
      <c r="C21" s="332">
        <f t="shared" si="0"/>
        <v>20</v>
      </c>
      <c r="D21" s="333">
        <f t="shared" si="2"/>
        <v>210</v>
      </c>
      <c r="E21" s="331" t="s">
        <v>1004</v>
      </c>
      <c r="F21" s="60">
        <v>46</v>
      </c>
      <c r="G21" s="332">
        <f t="shared" si="1"/>
        <v>46</v>
      </c>
      <c r="H21" s="333">
        <f t="shared" si="3"/>
        <v>1081</v>
      </c>
    </row>
    <row r="22" spans="2:8">
      <c r="B22" s="60">
        <v>21</v>
      </c>
      <c r="C22" s="332">
        <f t="shared" si="0"/>
        <v>21</v>
      </c>
      <c r="D22" s="333">
        <f t="shared" si="2"/>
        <v>231</v>
      </c>
      <c r="E22" s="331" t="s">
        <v>1004</v>
      </c>
      <c r="F22" s="60">
        <v>47</v>
      </c>
      <c r="G22" s="332">
        <f t="shared" si="1"/>
        <v>47</v>
      </c>
      <c r="H22" s="333">
        <f t="shared" si="3"/>
        <v>1128</v>
      </c>
    </row>
    <row r="23" spans="2:8">
      <c r="B23" s="60">
        <v>22</v>
      </c>
      <c r="C23" s="332">
        <f t="shared" si="0"/>
        <v>22</v>
      </c>
      <c r="D23" s="333">
        <f t="shared" si="2"/>
        <v>253</v>
      </c>
      <c r="E23" s="331" t="s">
        <v>1004</v>
      </c>
      <c r="F23" s="60">
        <v>48</v>
      </c>
      <c r="G23" s="332">
        <f t="shared" si="1"/>
        <v>48</v>
      </c>
      <c r="H23" s="333">
        <f t="shared" si="3"/>
        <v>1176</v>
      </c>
    </row>
    <row r="24" spans="2:8">
      <c r="B24" s="60">
        <v>23</v>
      </c>
      <c r="C24" s="332">
        <f t="shared" si="0"/>
        <v>23</v>
      </c>
      <c r="D24" s="333">
        <f t="shared" si="2"/>
        <v>276</v>
      </c>
      <c r="E24" s="331" t="s">
        <v>1004</v>
      </c>
      <c r="F24" s="60">
        <v>49</v>
      </c>
      <c r="G24" s="332">
        <f t="shared" si="1"/>
        <v>49</v>
      </c>
      <c r="H24" s="333">
        <f t="shared" si="3"/>
        <v>1225</v>
      </c>
    </row>
    <row r="25" spans="2:8">
      <c r="B25" s="60">
        <v>24</v>
      </c>
      <c r="C25" s="332">
        <f t="shared" si="0"/>
        <v>24</v>
      </c>
      <c r="D25" s="333">
        <f t="shared" si="2"/>
        <v>300</v>
      </c>
      <c r="E25" s="331" t="s">
        <v>1004</v>
      </c>
      <c r="F25" s="60">
        <v>50</v>
      </c>
      <c r="G25" s="332">
        <f t="shared" si="1"/>
        <v>50</v>
      </c>
      <c r="H25" s="333">
        <f t="shared" si="3"/>
        <v>1275</v>
      </c>
    </row>
    <row r="26" spans="2:8">
      <c r="B26" s="60">
        <v>25</v>
      </c>
      <c r="C26" s="332">
        <f t="shared" si="0"/>
        <v>25</v>
      </c>
      <c r="D26" s="333">
        <f t="shared" si="2"/>
        <v>325</v>
      </c>
      <c r="E26" s="331" t="s">
        <v>1004</v>
      </c>
      <c r="F26" s="60">
        <v>51</v>
      </c>
      <c r="G26" s="332">
        <f t="shared" si="1"/>
        <v>51</v>
      </c>
      <c r="H26" s="333">
        <f t="shared" si="3"/>
        <v>1326</v>
      </c>
    </row>
    <row r="27" spans="2:8">
      <c r="B27" s="60">
        <v>26</v>
      </c>
      <c r="C27" s="332">
        <f t="shared" si="0"/>
        <v>26</v>
      </c>
      <c r="D27" s="333">
        <f t="shared" si="2"/>
        <v>351</v>
      </c>
      <c r="E27" s="331" t="s">
        <v>1004</v>
      </c>
      <c r="F27" s="60">
        <v>52</v>
      </c>
      <c r="G27" s="332">
        <f t="shared" si="1"/>
        <v>52</v>
      </c>
      <c r="H27" s="333">
        <f t="shared" si="3"/>
        <v>1378</v>
      </c>
    </row>
  </sheetData>
  <conditionalFormatting sqref="B2:D27 F2:H27">
    <cfRule type="cellIs" dxfId="118" priority="2" operator="equal">
      <formula>$A$1</formula>
    </cfRule>
  </conditionalFormatting>
  <pageMargins left="0.51181102362204722" right="0.51181102362204722" top="0.78740157480314965" bottom="0.78740157480314965" header="0.31496062992125984" footer="0.31496062992125984"/>
  <pageSetup scale="70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>
  <sheetPr codeName="Plan12">
    <pageSetUpPr fitToPage="1"/>
  </sheetPr>
  <dimension ref="A1:K158"/>
  <sheetViews>
    <sheetView workbookViewId="0">
      <pane ySplit="1" topLeftCell="A95" activePane="bottomLeft" state="frozen"/>
      <selection pane="bottomLeft" activeCell="A2" sqref="A2"/>
    </sheetView>
  </sheetViews>
  <sheetFormatPr defaultRowHeight="15"/>
  <cols>
    <col min="1" max="1" width="15.42578125" customWidth="1"/>
    <col min="2" max="2" width="19.7109375" customWidth="1"/>
    <col min="3" max="3" width="20.42578125" bestFit="1" customWidth="1"/>
    <col min="4" max="5" width="7.42578125" style="285" bestFit="1" customWidth="1"/>
    <col min="6" max="6" width="70.140625" customWidth="1"/>
    <col min="8" max="8" width="9.28515625" customWidth="1"/>
    <col min="9" max="9" width="12.140625" style="3" bestFit="1" customWidth="1"/>
    <col min="10" max="10" width="9.140625" style="291"/>
    <col min="11" max="11" width="23" bestFit="1" customWidth="1"/>
    <col min="12" max="12" width="6.42578125" bestFit="1" customWidth="1"/>
  </cols>
  <sheetData>
    <row r="1" spans="1:11" s="56" customFormat="1">
      <c r="B1" s="341" t="s">
        <v>438</v>
      </c>
      <c r="C1" s="342" t="s">
        <v>1136</v>
      </c>
      <c r="D1" s="343" t="s">
        <v>1137</v>
      </c>
      <c r="E1" s="344" t="s">
        <v>1138</v>
      </c>
      <c r="F1" s="342" t="s">
        <v>1139</v>
      </c>
      <c r="G1" s="56" t="s">
        <v>1193</v>
      </c>
      <c r="I1" s="348">
        <f>SUM(I2:I33)</f>
        <v>299.67999999999995</v>
      </c>
      <c r="J1" s="346" t="s">
        <v>1203</v>
      </c>
      <c r="K1" s="318" t="s">
        <v>1202</v>
      </c>
    </row>
    <row r="2" spans="1:11">
      <c r="A2" s="292"/>
      <c r="B2" s="293">
        <v>41605</v>
      </c>
      <c r="C2" s="277" t="s">
        <v>1118</v>
      </c>
      <c r="D2" s="281"/>
      <c r="E2" s="281">
        <v>3.32</v>
      </c>
      <c r="F2" s="280"/>
      <c r="I2" s="349">
        <v>16.899999999999999</v>
      </c>
      <c r="J2" s="347">
        <v>41701</v>
      </c>
      <c r="K2" s="328" t="s">
        <v>1430</v>
      </c>
    </row>
    <row r="3" spans="1:11">
      <c r="A3" s="292"/>
      <c r="B3" s="294">
        <v>41610</v>
      </c>
      <c r="C3" s="278" t="s">
        <v>1140</v>
      </c>
      <c r="D3" s="282">
        <v>-40</v>
      </c>
      <c r="E3" s="282"/>
      <c r="F3" s="280" t="s">
        <v>1322</v>
      </c>
      <c r="I3" s="349">
        <v>17.3</v>
      </c>
      <c r="J3" s="347">
        <v>41704</v>
      </c>
      <c r="K3" s="328" t="s">
        <v>1430</v>
      </c>
    </row>
    <row r="4" spans="1:11">
      <c r="A4" s="292"/>
      <c r="B4" s="293">
        <v>41610</v>
      </c>
      <c r="C4" s="277" t="s">
        <v>1141</v>
      </c>
      <c r="D4" s="281">
        <v>-49.9</v>
      </c>
      <c r="E4" s="281"/>
      <c r="F4" s="280" t="s">
        <v>1301</v>
      </c>
      <c r="I4" s="349">
        <v>18</v>
      </c>
      <c r="J4" s="347">
        <v>41704</v>
      </c>
      <c r="K4" s="328" t="s">
        <v>1431</v>
      </c>
    </row>
    <row r="5" spans="1:11">
      <c r="A5" s="292"/>
      <c r="B5" s="294">
        <v>41610</v>
      </c>
      <c r="C5" s="278" t="s">
        <v>1142</v>
      </c>
      <c r="D5" s="282">
        <v>-164.26</v>
      </c>
      <c r="E5" s="282"/>
      <c r="F5" s="280" t="s">
        <v>1294</v>
      </c>
      <c r="I5" s="349">
        <v>42.27</v>
      </c>
      <c r="J5" s="347">
        <v>41704</v>
      </c>
      <c r="K5" s="328" t="s">
        <v>1432</v>
      </c>
    </row>
    <row r="6" spans="1:11">
      <c r="A6" s="292"/>
      <c r="B6" s="293">
        <v>41610</v>
      </c>
      <c r="C6" s="277" t="s">
        <v>1143</v>
      </c>
      <c r="D6" s="281">
        <v>10</v>
      </c>
      <c r="E6" s="281"/>
      <c r="F6" s="280" t="s">
        <v>1322</v>
      </c>
      <c r="I6" s="349">
        <v>24.79</v>
      </c>
      <c r="J6" s="347">
        <v>41705</v>
      </c>
      <c r="K6" s="328" t="s">
        <v>1432</v>
      </c>
    </row>
    <row r="7" spans="1:11">
      <c r="A7" s="292"/>
      <c r="B7" s="294">
        <v>41610</v>
      </c>
      <c r="C7" s="278" t="s">
        <v>1134</v>
      </c>
      <c r="D7" s="282">
        <v>100</v>
      </c>
      <c r="E7" s="282"/>
      <c r="F7" s="280" t="s">
        <v>1327</v>
      </c>
      <c r="I7" s="349">
        <v>29.76</v>
      </c>
      <c r="J7" s="347">
        <v>41704</v>
      </c>
      <c r="K7" s="328" t="s">
        <v>1432</v>
      </c>
    </row>
    <row r="8" spans="1:11">
      <c r="A8" s="292"/>
      <c r="B8" s="293">
        <v>41610</v>
      </c>
      <c r="C8" s="277" t="s">
        <v>1144</v>
      </c>
      <c r="D8" s="281">
        <v>200</v>
      </c>
      <c r="E8" s="281"/>
      <c r="F8" s="280" t="s">
        <v>1328</v>
      </c>
      <c r="I8" s="349">
        <v>18.54</v>
      </c>
      <c r="J8" s="347">
        <v>41706</v>
      </c>
      <c r="K8" s="328" t="s">
        <v>1432</v>
      </c>
    </row>
    <row r="9" spans="1:11">
      <c r="A9" s="292"/>
      <c r="B9" s="294">
        <v>41610</v>
      </c>
      <c r="C9" s="278" t="s">
        <v>1123</v>
      </c>
      <c r="D9" s="282"/>
      <c r="E9" s="282">
        <v>59.16</v>
      </c>
      <c r="F9" s="280"/>
      <c r="I9" s="349">
        <v>12.5</v>
      </c>
      <c r="J9" s="347">
        <v>41699</v>
      </c>
      <c r="K9" s="328" t="s">
        <v>1430</v>
      </c>
    </row>
    <row r="10" spans="1:11">
      <c r="A10" s="292"/>
      <c r="B10" s="293">
        <v>41611</v>
      </c>
      <c r="C10" s="277" t="s">
        <v>1145</v>
      </c>
      <c r="D10" s="281">
        <v>-19.5</v>
      </c>
      <c r="E10" s="281"/>
      <c r="F10" s="280" t="s">
        <v>1311</v>
      </c>
      <c r="I10" s="349">
        <v>30</v>
      </c>
      <c r="J10" s="347">
        <v>41710</v>
      </c>
      <c r="K10" s="328" t="s">
        <v>1432</v>
      </c>
    </row>
    <row r="11" spans="1:11">
      <c r="A11" s="292"/>
      <c r="B11" s="294">
        <v>41611</v>
      </c>
      <c r="C11" s="278" t="s">
        <v>1123</v>
      </c>
      <c r="D11" s="282"/>
      <c r="E11" s="282">
        <v>39.659999999999997</v>
      </c>
      <c r="F11" s="280"/>
      <c r="I11" s="349">
        <v>13</v>
      </c>
      <c r="J11" s="347">
        <v>41710</v>
      </c>
      <c r="K11" s="328" t="s">
        <v>1435</v>
      </c>
    </row>
    <row r="12" spans="1:11">
      <c r="A12" s="292"/>
      <c r="B12" s="293">
        <v>41612</v>
      </c>
      <c r="C12" s="277" t="s">
        <v>1146</v>
      </c>
      <c r="D12" s="281">
        <v>-63.21</v>
      </c>
      <c r="E12" s="281"/>
      <c r="F12" t="s">
        <v>1308</v>
      </c>
      <c r="I12" s="349">
        <v>35.67</v>
      </c>
      <c r="J12" s="347">
        <v>41710</v>
      </c>
      <c r="K12" s="328" t="s">
        <v>1436</v>
      </c>
    </row>
    <row r="13" spans="1:11">
      <c r="A13" s="292"/>
      <c r="B13" s="294">
        <v>41612</v>
      </c>
      <c r="C13" s="278" t="s">
        <v>1147</v>
      </c>
      <c r="D13" s="282">
        <v>87.14</v>
      </c>
      <c r="E13" s="282"/>
      <c r="F13" s="340" t="s">
        <v>1329</v>
      </c>
      <c r="I13" s="349">
        <v>40.950000000000003</v>
      </c>
      <c r="J13" s="347">
        <v>41711</v>
      </c>
      <c r="K13" s="328" t="s">
        <v>1430</v>
      </c>
    </row>
    <row r="14" spans="1:11">
      <c r="A14" s="292"/>
      <c r="B14" s="293">
        <v>41612</v>
      </c>
      <c r="C14" s="277" t="s">
        <v>1123</v>
      </c>
      <c r="D14" s="281"/>
      <c r="E14" s="281">
        <v>63.59</v>
      </c>
      <c r="F14" s="280"/>
      <c r="I14" s="349"/>
      <c r="J14" s="347"/>
      <c r="K14" s="328"/>
    </row>
    <row r="15" spans="1:11">
      <c r="A15" s="292"/>
      <c r="B15" s="294">
        <v>41612</v>
      </c>
      <c r="C15" s="278" t="s">
        <v>1148</v>
      </c>
      <c r="D15" s="282"/>
      <c r="E15" s="282">
        <v>87.14</v>
      </c>
      <c r="F15" s="280"/>
      <c r="I15" s="349"/>
      <c r="J15" s="347"/>
      <c r="K15" s="328"/>
    </row>
    <row r="16" spans="1:11">
      <c r="A16" s="292"/>
      <c r="B16" s="293">
        <v>41612</v>
      </c>
      <c r="C16" s="277" t="s">
        <v>1149</v>
      </c>
      <c r="D16" s="281"/>
      <c r="E16" s="281">
        <v>-23.55</v>
      </c>
      <c r="F16" s="280"/>
      <c r="I16" s="349"/>
      <c r="J16" s="347"/>
      <c r="K16" s="328"/>
    </row>
    <row r="17" spans="1:11">
      <c r="A17" s="292"/>
      <c r="B17" s="294">
        <v>41614</v>
      </c>
      <c r="C17" s="278" t="s">
        <v>1150</v>
      </c>
      <c r="D17" s="282">
        <v>-20</v>
      </c>
      <c r="E17" s="282"/>
      <c r="F17" s="280" t="s">
        <v>1322</v>
      </c>
      <c r="I17" s="349"/>
      <c r="J17" s="347"/>
      <c r="K17" s="328"/>
    </row>
    <row r="18" spans="1:11">
      <c r="A18" s="292"/>
      <c r="B18" s="293">
        <v>41614</v>
      </c>
      <c r="C18" s="277" t="s">
        <v>1123</v>
      </c>
      <c r="D18" s="281"/>
      <c r="E18" s="281">
        <v>43.59</v>
      </c>
      <c r="F18" s="280"/>
      <c r="I18" s="349"/>
      <c r="J18" s="347"/>
      <c r="K18" s="328"/>
    </row>
    <row r="19" spans="1:11">
      <c r="A19" s="292"/>
      <c r="B19" s="294">
        <v>41617</v>
      </c>
      <c r="C19" s="278" t="s">
        <v>1151</v>
      </c>
      <c r="D19" s="282">
        <v>-20</v>
      </c>
      <c r="E19" s="282"/>
      <c r="F19" s="280" t="s">
        <v>1322</v>
      </c>
      <c r="I19" s="349"/>
      <c r="J19" s="347"/>
      <c r="K19" s="328"/>
    </row>
    <row r="20" spans="1:11">
      <c r="A20" s="292"/>
      <c r="B20" s="293">
        <v>41617</v>
      </c>
      <c r="C20" s="277" t="s">
        <v>1152</v>
      </c>
      <c r="D20" s="281">
        <v>-20</v>
      </c>
      <c r="E20" s="281"/>
      <c r="F20" t="s">
        <v>1308</v>
      </c>
      <c r="I20" s="349"/>
      <c r="J20" s="347"/>
      <c r="K20" s="328"/>
    </row>
    <row r="21" spans="1:11">
      <c r="A21" s="292"/>
      <c r="B21" s="294">
        <v>41617</v>
      </c>
      <c r="C21" s="278" t="s">
        <v>1123</v>
      </c>
      <c r="D21" s="282"/>
      <c r="E21" s="282">
        <v>3.59</v>
      </c>
      <c r="F21" s="280"/>
      <c r="I21" s="349"/>
      <c r="J21" s="347"/>
      <c r="K21" s="328"/>
    </row>
    <row r="22" spans="1:11">
      <c r="A22" s="292"/>
      <c r="B22" s="293">
        <v>41618</v>
      </c>
      <c r="C22" s="277" t="s">
        <v>1125</v>
      </c>
      <c r="D22" s="281">
        <v>-7.44</v>
      </c>
      <c r="E22" s="281"/>
      <c r="F22" t="s">
        <v>1315</v>
      </c>
      <c r="I22" s="349"/>
      <c r="J22" s="347"/>
      <c r="K22" s="328"/>
    </row>
    <row r="23" spans="1:11">
      <c r="A23" s="292"/>
      <c r="B23" s="294">
        <v>41618</v>
      </c>
      <c r="C23" s="278" t="s">
        <v>1153</v>
      </c>
      <c r="D23" s="282">
        <v>100</v>
      </c>
      <c r="E23" s="282"/>
      <c r="F23" s="280" t="s">
        <v>1330</v>
      </c>
      <c r="I23" s="349"/>
      <c r="J23" s="347"/>
      <c r="K23" s="328"/>
    </row>
    <row r="24" spans="1:11">
      <c r="A24" s="292"/>
      <c r="B24" s="293">
        <v>41618</v>
      </c>
      <c r="C24" s="277" t="s">
        <v>1123</v>
      </c>
      <c r="D24" s="281"/>
      <c r="E24" s="281">
        <v>96.15</v>
      </c>
      <c r="F24" s="280"/>
      <c r="I24" s="349"/>
      <c r="J24" s="347"/>
      <c r="K24" s="328"/>
    </row>
    <row r="25" spans="1:11">
      <c r="A25" s="292"/>
      <c r="B25" s="294">
        <v>41618</v>
      </c>
      <c r="C25" s="278" t="s">
        <v>1148</v>
      </c>
      <c r="D25" s="282"/>
      <c r="E25" s="282">
        <v>100</v>
      </c>
      <c r="F25" s="280"/>
      <c r="I25" s="349"/>
      <c r="J25" s="347"/>
      <c r="K25" s="328"/>
    </row>
    <row r="26" spans="1:11">
      <c r="A26" s="292"/>
      <c r="B26" s="293">
        <v>41618</v>
      </c>
      <c r="C26" s="277" t="s">
        <v>1149</v>
      </c>
      <c r="D26" s="281"/>
      <c r="E26" s="281">
        <v>-3.85</v>
      </c>
      <c r="F26" s="280"/>
      <c r="I26" s="349"/>
      <c r="J26" s="347"/>
      <c r="K26" s="328"/>
    </row>
    <row r="27" spans="1:11">
      <c r="A27" s="292"/>
      <c r="B27" s="294">
        <v>41619</v>
      </c>
      <c r="C27" s="278" t="s">
        <v>1154</v>
      </c>
      <c r="D27" s="282">
        <v>120</v>
      </c>
      <c r="E27" s="282"/>
      <c r="F27" s="280" t="s">
        <v>1349</v>
      </c>
      <c r="I27" s="349"/>
      <c r="J27" s="347"/>
      <c r="K27" s="328"/>
    </row>
    <row r="28" spans="1:11">
      <c r="A28" s="292"/>
      <c r="B28" s="293">
        <v>41619</v>
      </c>
      <c r="C28" s="277" t="s">
        <v>1155</v>
      </c>
      <c r="D28" s="281">
        <v>-21.46</v>
      </c>
      <c r="E28" s="281"/>
      <c r="F28" s="280" t="s">
        <v>1302</v>
      </c>
      <c r="I28" s="349"/>
      <c r="J28" s="347"/>
      <c r="K28" s="328"/>
    </row>
    <row r="29" spans="1:11">
      <c r="A29" s="292"/>
      <c r="B29" s="294">
        <v>41619</v>
      </c>
      <c r="C29" s="278" t="s">
        <v>1123</v>
      </c>
      <c r="D29" s="282"/>
      <c r="E29" s="282">
        <v>194.69</v>
      </c>
      <c r="F29" s="280"/>
      <c r="I29" s="349"/>
      <c r="J29" s="347"/>
      <c r="K29" s="328"/>
    </row>
    <row r="30" spans="1:11">
      <c r="A30" s="292"/>
      <c r="B30" s="293">
        <v>41620</v>
      </c>
      <c r="C30" s="277" t="s">
        <v>1156</v>
      </c>
      <c r="D30" s="281">
        <v>-20</v>
      </c>
      <c r="E30" s="281"/>
      <c r="F30" s="280" t="s">
        <v>1322</v>
      </c>
      <c r="I30" s="349"/>
      <c r="J30" s="347"/>
      <c r="K30" s="328"/>
    </row>
    <row r="31" spans="1:11">
      <c r="A31" s="292"/>
      <c r="B31" s="294">
        <v>41620</v>
      </c>
      <c r="C31" s="278" t="s">
        <v>1157</v>
      </c>
      <c r="D31" s="282">
        <v>-19.32</v>
      </c>
      <c r="E31" s="282"/>
      <c r="F31" t="s">
        <v>1308</v>
      </c>
      <c r="I31" s="349"/>
      <c r="J31" s="347"/>
      <c r="K31" s="328"/>
    </row>
    <row r="32" spans="1:11">
      <c r="A32" s="292"/>
      <c r="B32" s="293">
        <v>41620</v>
      </c>
      <c r="C32" s="277" t="s">
        <v>1158</v>
      </c>
      <c r="D32" s="281">
        <v>550</v>
      </c>
      <c r="E32" s="281"/>
      <c r="F32" s="280" t="s">
        <v>1331</v>
      </c>
      <c r="I32" s="349"/>
      <c r="J32" s="347"/>
      <c r="K32" s="328"/>
    </row>
    <row r="33" spans="1:11">
      <c r="A33" s="292"/>
      <c r="B33" s="294">
        <v>41620</v>
      </c>
      <c r="C33" s="278" t="s">
        <v>1159</v>
      </c>
      <c r="D33" s="282"/>
      <c r="E33" s="282">
        <v>705.37</v>
      </c>
      <c r="F33" s="280"/>
      <c r="I33" s="349"/>
      <c r="J33" s="347"/>
      <c r="K33" s="328"/>
    </row>
    <row r="34" spans="1:11">
      <c r="A34" s="292"/>
      <c r="B34" s="293">
        <v>41621</v>
      </c>
      <c r="C34" s="277" t="s">
        <v>1160</v>
      </c>
      <c r="D34" s="281">
        <v>-490</v>
      </c>
      <c r="E34" s="281"/>
      <c r="F34" s="280" t="s">
        <v>1322</v>
      </c>
    </row>
    <row r="35" spans="1:11">
      <c r="A35" s="292"/>
      <c r="B35" s="294">
        <v>41621</v>
      </c>
      <c r="C35" s="278" t="s">
        <v>1161</v>
      </c>
      <c r="D35" s="282">
        <v>-20</v>
      </c>
      <c r="E35" s="282"/>
      <c r="F35" s="280" t="s">
        <v>1322</v>
      </c>
    </row>
    <row r="36" spans="1:11">
      <c r="A36" s="292"/>
      <c r="B36" s="293">
        <v>41621</v>
      </c>
      <c r="C36" s="277" t="s">
        <v>1162</v>
      </c>
      <c r="D36" s="281">
        <v>-8.15</v>
      </c>
      <c r="E36" s="281"/>
      <c r="F36" t="s">
        <v>1308</v>
      </c>
    </row>
    <row r="37" spans="1:11">
      <c r="A37" s="292"/>
      <c r="B37" s="294">
        <v>41621</v>
      </c>
      <c r="C37" s="278" t="s">
        <v>1163</v>
      </c>
      <c r="D37" s="282">
        <v>-17.11</v>
      </c>
      <c r="E37" s="282"/>
      <c r="F37" t="s">
        <v>1308</v>
      </c>
    </row>
    <row r="38" spans="1:11">
      <c r="A38" s="292"/>
      <c r="B38" s="293">
        <v>41621</v>
      </c>
      <c r="C38" s="277" t="s">
        <v>1130</v>
      </c>
      <c r="D38" s="281">
        <v>-16.899999999999999</v>
      </c>
      <c r="E38" s="281"/>
      <c r="F38" t="s">
        <v>1316</v>
      </c>
    </row>
    <row r="39" spans="1:11">
      <c r="A39" s="292"/>
      <c r="B39" s="294">
        <v>41621</v>
      </c>
      <c r="C39" s="278" t="s">
        <v>1159</v>
      </c>
      <c r="D39" s="282"/>
      <c r="E39" s="282">
        <v>153.21</v>
      </c>
      <c r="F39" s="280"/>
    </row>
    <row r="40" spans="1:11">
      <c r="A40" s="292"/>
      <c r="B40" s="293">
        <v>41624</v>
      </c>
      <c r="C40" s="277" t="s">
        <v>1164</v>
      </c>
      <c r="D40" s="281">
        <v>-36.71</v>
      </c>
      <c r="E40" s="281"/>
      <c r="F40" s="280" t="s">
        <v>1322</v>
      </c>
    </row>
    <row r="41" spans="1:11">
      <c r="A41" s="292"/>
      <c r="B41" s="294">
        <v>41624</v>
      </c>
      <c r="C41" s="278" t="s">
        <v>1165</v>
      </c>
      <c r="D41" s="282">
        <v>-36.020000000000003</v>
      </c>
      <c r="E41" s="282"/>
      <c r="F41" s="280" t="s">
        <v>1322</v>
      </c>
    </row>
    <row r="42" spans="1:11">
      <c r="A42" s="292"/>
      <c r="B42" s="293">
        <v>41624</v>
      </c>
      <c r="C42" s="277" t="s">
        <v>1166</v>
      </c>
      <c r="D42" s="281">
        <v>-10.66</v>
      </c>
      <c r="E42" s="281"/>
      <c r="F42" s="280" t="s">
        <v>1322</v>
      </c>
    </row>
    <row r="43" spans="1:11">
      <c r="A43" s="292"/>
      <c r="B43" s="294">
        <v>41624</v>
      </c>
      <c r="C43" s="278" t="s">
        <v>1167</v>
      </c>
      <c r="D43" s="282">
        <v>-8.5</v>
      </c>
      <c r="E43" s="282"/>
      <c r="F43" s="280" t="s">
        <v>1322</v>
      </c>
    </row>
    <row r="44" spans="1:11">
      <c r="A44" s="292"/>
      <c r="B44" s="293">
        <v>41624</v>
      </c>
      <c r="C44" s="277" t="s">
        <v>1159</v>
      </c>
      <c r="D44" s="281"/>
      <c r="E44" s="281">
        <v>61.32</v>
      </c>
      <c r="F44" s="280"/>
    </row>
    <row r="45" spans="1:11">
      <c r="A45" s="292"/>
      <c r="B45" s="294">
        <v>41625</v>
      </c>
      <c r="C45" s="278" t="s">
        <v>1168</v>
      </c>
      <c r="D45" s="282">
        <v>-44</v>
      </c>
      <c r="E45" s="282"/>
      <c r="F45" s="280" t="s">
        <v>1350</v>
      </c>
    </row>
    <row r="46" spans="1:11">
      <c r="A46" s="292"/>
      <c r="B46" s="293">
        <v>41625</v>
      </c>
      <c r="C46" s="277" t="s">
        <v>1123</v>
      </c>
      <c r="D46" s="281"/>
      <c r="E46" s="281">
        <v>17.32</v>
      </c>
      <c r="F46" s="280"/>
    </row>
    <row r="47" spans="1:11">
      <c r="A47" s="292"/>
      <c r="B47" s="294">
        <v>41626</v>
      </c>
      <c r="C47" s="278" t="s">
        <v>1169</v>
      </c>
      <c r="D47" s="282">
        <v>-550</v>
      </c>
      <c r="E47" s="282"/>
      <c r="F47" s="280" t="s">
        <v>1322</v>
      </c>
    </row>
    <row r="48" spans="1:11">
      <c r="A48" s="292"/>
      <c r="B48" s="293">
        <v>41626</v>
      </c>
      <c r="C48" s="277" t="s">
        <v>1170</v>
      </c>
      <c r="D48" s="281">
        <v>-40</v>
      </c>
      <c r="E48" s="281"/>
      <c r="F48" s="280" t="s">
        <v>1322</v>
      </c>
    </row>
    <row r="49" spans="1:6">
      <c r="A49" s="292"/>
      <c r="B49" s="294">
        <v>41626</v>
      </c>
      <c r="C49" s="278" t="s">
        <v>1171</v>
      </c>
      <c r="D49" s="282">
        <v>-20</v>
      </c>
      <c r="E49" s="282"/>
      <c r="F49" s="280" t="s">
        <v>1322</v>
      </c>
    </row>
    <row r="50" spans="1:6">
      <c r="A50" s="292"/>
      <c r="B50" s="293">
        <v>41626</v>
      </c>
      <c r="C50" s="277" t="s">
        <v>1172</v>
      </c>
      <c r="D50" s="281">
        <v>-11</v>
      </c>
      <c r="E50" s="281"/>
      <c r="F50" s="280" t="s">
        <v>1312</v>
      </c>
    </row>
    <row r="51" spans="1:6">
      <c r="A51" s="292"/>
      <c r="B51" s="294">
        <v>41626</v>
      </c>
      <c r="C51" s="278" t="s">
        <v>1173</v>
      </c>
      <c r="D51" s="282">
        <v>-13</v>
      </c>
      <c r="E51" s="282"/>
      <c r="F51" s="280" t="s">
        <v>1192</v>
      </c>
    </row>
    <row r="52" spans="1:6">
      <c r="A52" s="292"/>
      <c r="B52" s="293">
        <v>41626</v>
      </c>
      <c r="C52" s="277" t="s">
        <v>1174</v>
      </c>
      <c r="D52" s="281">
        <v>350</v>
      </c>
      <c r="E52" s="281"/>
      <c r="F52" s="280" t="s">
        <v>1332</v>
      </c>
    </row>
    <row r="53" spans="1:6">
      <c r="A53" s="292"/>
      <c r="B53" s="294">
        <v>41626</v>
      </c>
      <c r="C53" s="278" t="s">
        <v>1175</v>
      </c>
      <c r="D53" s="282">
        <v>323.92</v>
      </c>
      <c r="E53" s="282"/>
      <c r="F53" t="s">
        <v>1333</v>
      </c>
    </row>
    <row r="54" spans="1:6">
      <c r="A54" s="292"/>
      <c r="B54" s="293">
        <v>41626</v>
      </c>
      <c r="C54" s="277" t="s">
        <v>1123</v>
      </c>
      <c r="D54" s="281"/>
      <c r="E54" s="281">
        <v>57.24</v>
      </c>
      <c r="F54" s="280"/>
    </row>
    <row r="55" spans="1:6">
      <c r="A55" s="292"/>
      <c r="B55" s="294">
        <v>41627</v>
      </c>
      <c r="C55" s="278" t="s">
        <v>1176</v>
      </c>
      <c r="D55" s="282">
        <v>-79.98</v>
      </c>
      <c r="E55" s="282"/>
      <c r="F55" t="s">
        <v>1321</v>
      </c>
    </row>
    <row r="56" spans="1:6">
      <c r="A56" s="292"/>
      <c r="B56" s="293">
        <v>41627</v>
      </c>
      <c r="C56" s="277" t="s">
        <v>1177</v>
      </c>
      <c r="D56" s="281">
        <v>67.849999999999994</v>
      </c>
      <c r="E56" s="281"/>
      <c r="F56" t="s">
        <v>1334</v>
      </c>
    </row>
    <row r="57" spans="1:6">
      <c r="A57" s="292"/>
      <c r="B57" s="294">
        <v>41627</v>
      </c>
      <c r="C57" s="278" t="s">
        <v>1132</v>
      </c>
      <c r="D57" s="282">
        <v>100</v>
      </c>
      <c r="E57" s="282"/>
      <c r="F57" s="280" t="s">
        <v>1335</v>
      </c>
    </row>
    <row r="58" spans="1:6">
      <c r="A58" s="292"/>
      <c r="B58" s="293">
        <v>41627</v>
      </c>
      <c r="C58" s="277" t="s">
        <v>1123</v>
      </c>
      <c r="D58" s="281"/>
      <c r="E58" s="281">
        <v>145.11000000000001</v>
      </c>
      <c r="F58" s="280"/>
    </row>
    <row r="59" spans="1:6">
      <c r="A59" s="292"/>
      <c r="B59" s="294">
        <v>41628</v>
      </c>
      <c r="C59" s="278" t="s">
        <v>1178</v>
      </c>
      <c r="D59" s="282">
        <v>-250</v>
      </c>
      <c r="E59" s="282"/>
      <c r="F59" s="280" t="s">
        <v>1322</v>
      </c>
    </row>
    <row r="60" spans="1:6">
      <c r="A60" s="292"/>
      <c r="B60" s="293">
        <v>41628</v>
      </c>
      <c r="C60" s="277" t="s">
        <v>1179</v>
      </c>
      <c r="D60" s="281">
        <v>-16.079999999999998</v>
      </c>
      <c r="E60" s="281"/>
      <c r="F60" s="280" t="s">
        <v>1322</v>
      </c>
    </row>
    <row r="61" spans="1:6">
      <c r="A61" s="292"/>
      <c r="B61" s="294">
        <v>41628</v>
      </c>
      <c r="C61" s="278" t="s">
        <v>1180</v>
      </c>
      <c r="D61" s="282">
        <v>-20</v>
      </c>
      <c r="E61" s="282"/>
      <c r="F61" s="280" t="s">
        <v>1305</v>
      </c>
    </row>
    <row r="62" spans="1:6">
      <c r="A62" s="292"/>
      <c r="B62" s="293">
        <v>41628</v>
      </c>
      <c r="C62" s="277" t="s">
        <v>1181</v>
      </c>
      <c r="D62" s="281">
        <v>-51.46</v>
      </c>
      <c r="E62" s="281"/>
      <c r="F62" s="280" t="s">
        <v>1292</v>
      </c>
    </row>
    <row r="63" spans="1:6">
      <c r="A63" s="292"/>
      <c r="B63" s="294">
        <v>41628</v>
      </c>
      <c r="C63" s="278" t="s">
        <v>1181</v>
      </c>
      <c r="D63" s="282">
        <v>-51.46</v>
      </c>
      <c r="E63" s="282"/>
      <c r="F63" s="280" t="s">
        <v>1293</v>
      </c>
    </row>
    <row r="64" spans="1:6">
      <c r="A64" s="292"/>
      <c r="B64" s="293">
        <v>41628</v>
      </c>
      <c r="C64" s="277" t="s">
        <v>1182</v>
      </c>
      <c r="D64" s="281">
        <v>350</v>
      </c>
      <c r="E64" s="281"/>
      <c r="F64" s="280" t="s">
        <v>1336</v>
      </c>
    </row>
    <row r="65" spans="1:6">
      <c r="A65" s="292"/>
      <c r="B65" s="294">
        <v>41628</v>
      </c>
      <c r="C65" s="278" t="s">
        <v>1144</v>
      </c>
      <c r="D65" s="282">
        <v>60</v>
      </c>
      <c r="E65" s="282"/>
      <c r="F65" s="280" t="s">
        <v>1337</v>
      </c>
    </row>
    <row r="66" spans="1:6">
      <c r="A66" s="292"/>
      <c r="B66" s="293">
        <v>41628</v>
      </c>
      <c r="C66" s="277" t="s">
        <v>1123</v>
      </c>
      <c r="D66" s="281"/>
      <c r="E66" s="281">
        <v>166.11</v>
      </c>
      <c r="F66" s="280"/>
    </row>
    <row r="67" spans="1:6">
      <c r="A67" s="292"/>
      <c r="B67" s="294">
        <v>41631</v>
      </c>
      <c r="C67" s="278" t="s">
        <v>1183</v>
      </c>
      <c r="D67" s="282">
        <v>-27.88</v>
      </c>
      <c r="E67" s="282"/>
      <c r="F67" t="s">
        <v>1308</v>
      </c>
    </row>
    <row r="68" spans="1:6">
      <c r="A68" s="292"/>
      <c r="B68" s="293">
        <v>41631</v>
      </c>
      <c r="C68" s="277" t="s">
        <v>1184</v>
      </c>
      <c r="D68" s="281">
        <v>87.14</v>
      </c>
      <c r="E68" s="281"/>
      <c r="F68" s="280" t="s">
        <v>1338</v>
      </c>
    </row>
    <row r="69" spans="1:6">
      <c r="A69" s="292"/>
      <c r="B69" s="294">
        <v>41631</v>
      </c>
      <c r="C69" s="278" t="s">
        <v>1123</v>
      </c>
      <c r="D69" s="282"/>
      <c r="E69" s="282">
        <v>225.37</v>
      </c>
      <c r="F69" s="280"/>
    </row>
    <row r="70" spans="1:6">
      <c r="A70" s="292"/>
      <c r="B70" s="293">
        <v>41631</v>
      </c>
      <c r="C70" s="277" t="s">
        <v>1148</v>
      </c>
      <c r="D70" s="281"/>
      <c r="E70" s="281">
        <v>87.14</v>
      </c>
      <c r="F70" s="280"/>
    </row>
    <row r="71" spans="1:6">
      <c r="A71" s="292"/>
      <c r="B71" s="294">
        <v>41631</v>
      </c>
      <c r="C71" s="278" t="s">
        <v>1185</v>
      </c>
      <c r="D71" s="282"/>
      <c r="E71" s="282">
        <v>138.22999999999999</v>
      </c>
      <c r="F71" s="280"/>
    </row>
    <row r="72" spans="1:6">
      <c r="A72" s="292"/>
      <c r="B72" s="293">
        <v>41632</v>
      </c>
      <c r="C72" s="277" t="s">
        <v>1186</v>
      </c>
      <c r="D72" s="281">
        <v>-30.64</v>
      </c>
      <c r="E72" s="281"/>
      <c r="F72" t="s">
        <v>1308</v>
      </c>
    </row>
    <row r="73" spans="1:6">
      <c r="A73" s="292"/>
      <c r="B73" s="294">
        <v>41632</v>
      </c>
      <c r="C73" s="278" t="s">
        <v>1123</v>
      </c>
      <c r="D73" s="282"/>
      <c r="E73" s="282">
        <v>194.73</v>
      </c>
      <c r="F73" s="280"/>
    </row>
    <row r="74" spans="1:6">
      <c r="A74" s="292"/>
      <c r="B74" s="293">
        <v>41634</v>
      </c>
      <c r="C74" s="277" t="s">
        <v>1187</v>
      </c>
      <c r="D74" s="281">
        <v>-44.51</v>
      </c>
      <c r="E74" s="281"/>
      <c r="F74" s="280" t="s">
        <v>1325</v>
      </c>
    </row>
    <row r="75" spans="1:6">
      <c r="A75" s="292"/>
      <c r="B75" s="294">
        <v>41634</v>
      </c>
      <c r="C75" s="278" t="s">
        <v>1123</v>
      </c>
      <c r="D75" s="282"/>
      <c r="E75" s="282">
        <v>150.22</v>
      </c>
      <c r="F75" s="280"/>
    </row>
    <row r="76" spans="1:6">
      <c r="A76" s="292"/>
      <c r="B76" s="293">
        <v>41635</v>
      </c>
      <c r="C76" s="277" t="s">
        <v>1188</v>
      </c>
      <c r="D76" s="281">
        <v>-39.840000000000003</v>
      </c>
      <c r="E76" s="281"/>
      <c r="F76" t="s">
        <v>1308</v>
      </c>
    </row>
    <row r="77" spans="1:6">
      <c r="A77" s="292"/>
      <c r="B77" s="294">
        <v>41635</v>
      </c>
      <c r="C77" s="278" t="s">
        <v>1189</v>
      </c>
      <c r="D77" s="282">
        <v>-24.6</v>
      </c>
      <c r="E77" s="282"/>
      <c r="F77" s="280" t="s">
        <v>1322</v>
      </c>
    </row>
    <row r="78" spans="1:6">
      <c r="A78" s="292"/>
      <c r="B78" s="293">
        <v>41635</v>
      </c>
      <c r="C78" s="277" t="s">
        <v>1189</v>
      </c>
      <c r="D78" s="281">
        <v>-9</v>
      </c>
      <c r="E78" s="281"/>
      <c r="F78" s="280" t="s">
        <v>1322</v>
      </c>
    </row>
    <row r="79" spans="1:6">
      <c r="A79" s="292"/>
      <c r="B79" s="294">
        <v>41635</v>
      </c>
      <c r="C79" s="278" t="s">
        <v>1123</v>
      </c>
      <c r="D79" s="282"/>
      <c r="E79" s="282">
        <v>76.78</v>
      </c>
      <c r="F79" s="280"/>
    </row>
    <row r="80" spans="1:6">
      <c r="A80" s="292"/>
      <c r="B80" s="293">
        <v>41638</v>
      </c>
      <c r="C80" s="277" t="s">
        <v>1190</v>
      </c>
      <c r="D80" s="281">
        <v>-31.29</v>
      </c>
      <c r="E80" s="281"/>
      <c r="F80" t="s">
        <v>1308</v>
      </c>
    </row>
    <row r="81" spans="1:6">
      <c r="A81" s="292"/>
      <c r="B81" s="294">
        <v>41638</v>
      </c>
      <c r="C81" s="278" t="s">
        <v>1191</v>
      </c>
      <c r="D81" s="282">
        <v>-29.42</v>
      </c>
      <c r="E81" s="282"/>
      <c r="F81" t="s">
        <v>1308</v>
      </c>
    </row>
    <row r="82" spans="1:6">
      <c r="A82" s="292"/>
      <c r="B82" s="293">
        <v>41638</v>
      </c>
      <c r="C82" s="277" t="s">
        <v>1118</v>
      </c>
      <c r="D82" s="283"/>
      <c r="E82" s="283">
        <v>16.07</v>
      </c>
    </row>
    <row r="83" spans="1:6">
      <c r="A83" s="345"/>
      <c r="B83" s="294">
        <v>41648</v>
      </c>
      <c r="C83" s="278" t="s">
        <v>1119</v>
      </c>
      <c r="D83" s="284">
        <v>-49.91</v>
      </c>
      <c r="E83" s="284"/>
      <c r="F83" s="280" t="s">
        <v>1300</v>
      </c>
    </row>
    <row r="84" spans="1:6">
      <c r="A84" s="295"/>
      <c r="B84" s="293">
        <v>41648</v>
      </c>
      <c r="C84" s="277" t="s">
        <v>1120</v>
      </c>
      <c r="D84" s="283">
        <v>-270.33999999999997</v>
      </c>
      <c r="E84" s="283"/>
      <c r="F84" t="s">
        <v>1298</v>
      </c>
    </row>
    <row r="85" spans="1:6">
      <c r="A85" s="295"/>
      <c r="B85" s="294">
        <v>41648</v>
      </c>
      <c r="C85" s="278" t="s">
        <v>1121</v>
      </c>
      <c r="D85" s="284">
        <v>500</v>
      </c>
      <c r="E85" s="284"/>
      <c r="F85" t="s">
        <v>1339</v>
      </c>
    </row>
    <row r="86" spans="1:6">
      <c r="A86" s="295"/>
      <c r="B86" s="293">
        <v>41648</v>
      </c>
      <c r="C86" s="277" t="s">
        <v>1122</v>
      </c>
      <c r="D86" s="283">
        <v>-19.5</v>
      </c>
      <c r="E86" s="283"/>
      <c r="F86" s="280" t="s">
        <v>1310</v>
      </c>
    </row>
    <row r="87" spans="1:6">
      <c r="A87" s="295"/>
      <c r="B87" s="294">
        <v>41648</v>
      </c>
      <c r="C87" s="278" t="s">
        <v>1123</v>
      </c>
      <c r="D87" s="284"/>
      <c r="E87" s="284">
        <v>176.32</v>
      </c>
    </row>
    <row r="88" spans="1:6">
      <c r="A88" s="295"/>
      <c r="B88" s="293">
        <v>41649</v>
      </c>
      <c r="C88" s="277" t="s">
        <v>1124</v>
      </c>
      <c r="D88" s="283">
        <v>-4.12</v>
      </c>
      <c r="E88" s="283"/>
      <c r="F88" t="s">
        <v>1307</v>
      </c>
    </row>
    <row r="89" spans="1:6">
      <c r="A89" s="295"/>
      <c r="B89" s="294">
        <v>41649</v>
      </c>
      <c r="C89" s="278" t="s">
        <v>1125</v>
      </c>
      <c r="D89" s="284">
        <v>-3.72</v>
      </c>
      <c r="E89" s="284"/>
      <c r="F89" t="s">
        <v>1314</v>
      </c>
    </row>
    <row r="90" spans="1:6">
      <c r="A90" s="295"/>
      <c r="B90" s="293">
        <v>41649</v>
      </c>
      <c r="C90" s="277" t="s">
        <v>1126</v>
      </c>
      <c r="D90" s="283">
        <v>-21.45</v>
      </c>
      <c r="E90" s="283"/>
      <c r="F90" s="280" t="s">
        <v>1303</v>
      </c>
    </row>
    <row r="91" spans="1:6">
      <c r="A91" s="295"/>
      <c r="B91" s="294">
        <v>41649</v>
      </c>
      <c r="C91" s="278" t="s">
        <v>1123</v>
      </c>
      <c r="D91" s="284"/>
      <c r="E91" s="284">
        <v>147.03</v>
      </c>
    </row>
    <row r="92" spans="1:6">
      <c r="A92" s="295"/>
      <c r="B92" s="293">
        <v>41652</v>
      </c>
      <c r="C92" s="277" t="s">
        <v>1127</v>
      </c>
      <c r="D92" s="283">
        <v>-50</v>
      </c>
      <c r="E92" s="283"/>
      <c r="F92" s="280" t="s">
        <v>1323</v>
      </c>
    </row>
    <row r="93" spans="1:6">
      <c r="A93" s="295"/>
      <c r="B93" s="294">
        <v>41652</v>
      </c>
      <c r="C93" s="278" t="s">
        <v>1128</v>
      </c>
      <c r="D93" s="284">
        <v>-42.15</v>
      </c>
      <c r="E93" s="284"/>
      <c r="F93" t="s">
        <v>1307</v>
      </c>
    </row>
    <row r="94" spans="1:6">
      <c r="A94" s="295"/>
      <c r="B94" s="293">
        <v>41652</v>
      </c>
      <c r="C94" s="277" t="s">
        <v>1123</v>
      </c>
      <c r="D94" s="283"/>
      <c r="E94" s="283">
        <v>54.88</v>
      </c>
    </row>
    <row r="95" spans="1:6">
      <c r="A95" s="295"/>
      <c r="B95" s="294">
        <v>41653</v>
      </c>
      <c r="C95" s="278" t="s">
        <v>1129</v>
      </c>
      <c r="D95" s="284">
        <v>-16.55</v>
      </c>
      <c r="E95" s="284"/>
      <c r="F95" s="280" t="s">
        <v>1323</v>
      </c>
    </row>
    <row r="96" spans="1:6">
      <c r="A96" s="295"/>
      <c r="B96" s="293">
        <v>41653</v>
      </c>
      <c r="C96" s="277" t="s">
        <v>1123</v>
      </c>
      <c r="D96" s="283"/>
      <c r="E96" s="283">
        <v>38.33</v>
      </c>
    </row>
    <row r="97" spans="1:6">
      <c r="A97" s="295"/>
      <c r="B97" s="294">
        <v>41654</v>
      </c>
      <c r="C97" s="278" t="s">
        <v>1130</v>
      </c>
      <c r="D97" s="284">
        <v>-16.899999999999999</v>
      </c>
      <c r="E97" s="284"/>
      <c r="F97" t="s">
        <v>1317</v>
      </c>
    </row>
    <row r="98" spans="1:6">
      <c r="A98" s="295"/>
      <c r="B98" s="293">
        <v>41654</v>
      </c>
      <c r="C98" s="277" t="s">
        <v>1123</v>
      </c>
      <c r="D98" s="283"/>
      <c r="E98" s="283">
        <v>21.43</v>
      </c>
    </row>
    <row r="99" spans="1:6">
      <c r="A99" s="295"/>
      <c r="B99" s="294">
        <v>41656</v>
      </c>
      <c r="C99" s="278" t="s">
        <v>1131</v>
      </c>
      <c r="D99" s="284">
        <v>-20</v>
      </c>
      <c r="E99" s="284"/>
      <c r="F99" s="280" t="s">
        <v>1323</v>
      </c>
    </row>
    <row r="100" spans="1:6">
      <c r="A100" s="295"/>
      <c r="B100" s="293">
        <v>41656</v>
      </c>
      <c r="C100" s="277" t="s">
        <v>1123</v>
      </c>
      <c r="D100" s="283"/>
      <c r="E100" s="283">
        <v>1.43</v>
      </c>
    </row>
    <row r="101" spans="1:6">
      <c r="A101" s="295"/>
      <c r="B101" s="294">
        <v>41659</v>
      </c>
      <c r="C101" s="278" t="s">
        <v>1132</v>
      </c>
      <c r="D101" s="284">
        <v>100</v>
      </c>
      <c r="E101" s="284"/>
      <c r="F101" t="s">
        <v>1340</v>
      </c>
    </row>
    <row r="102" spans="1:6">
      <c r="A102" s="295"/>
      <c r="B102" s="293">
        <v>41659</v>
      </c>
      <c r="C102" s="277" t="s">
        <v>1123</v>
      </c>
      <c r="D102" s="283"/>
      <c r="E102" s="283">
        <v>101.43</v>
      </c>
    </row>
    <row r="103" spans="1:6">
      <c r="A103" s="295"/>
      <c r="B103" s="294">
        <v>41660</v>
      </c>
      <c r="C103" s="278" t="s">
        <v>1133</v>
      </c>
      <c r="D103" s="284">
        <v>-50</v>
      </c>
      <c r="E103" s="284"/>
      <c r="F103" s="280" t="s">
        <v>1323</v>
      </c>
    </row>
    <row r="104" spans="1:6">
      <c r="A104" s="295"/>
      <c r="B104" s="293">
        <v>41660</v>
      </c>
      <c r="C104" s="277" t="s">
        <v>1134</v>
      </c>
      <c r="D104" s="283">
        <v>350</v>
      </c>
      <c r="E104" s="283"/>
      <c r="F104" t="s">
        <v>1341</v>
      </c>
    </row>
    <row r="105" spans="1:6">
      <c r="A105" s="295"/>
      <c r="B105" s="294">
        <v>41660</v>
      </c>
      <c r="C105" s="278" t="s">
        <v>1135</v>
      </c>
      <c r="D105" s="284">
        <v>-300</v>
      </c>
      <c r="E105" s="284"/>
      <c r="F105" t="s">
        <v>1342</v>
      </c>
    </row>
    <row r="106" spans="1:6">
      <c r="A106" s="295"/>
      <c r="B106" s="293">
        <v>41660</v>
      </c>
      <c r="C106" s="277" t="s">
        <v>1123</v>
      </c>
      <c r="D106" s="286"/>
      <c r="E106" s="286">
        <v>101.43</v>
      </c>
    </row>
    <row r="107" spans="1:6">
      <c r="A107" s="295"/>
      <c r="B107" s="294">
        <v>41662</v>
      </c>
      <c r="C107" s="278" t="s">
        <v>1194</v>
      </c>
      <c r="D107" s="287">
        <v>-50</v>
      </c>
      <c r="E107" s="287"/>
      <c r="F107" s="280" t="s">
        <v>1323</v>
      </c>
    </row>
    <row r="108" spans="1:6">
      <c r="A108" s="295"/>
      <c r="B108" s="293">
        <v>41662</v>
      </c>
      <c r="C108" s="277" t="s">
        <v>1195</v>
      </c>
      <c r="D108" s="286">
        <v>-4.99</v>
      </c>
      <c r="E108" s="286"/>
      <c r="F108" s="280" t="s">
        <v>1323</v>
      </c>
    </row>
    <row r="109" spans="1:6">
      <c r="A109" s="295"/>
      <c r="B109" s="294">
        <v>41662</v>
      </c>
      <c r="C109" s="278" t="s">
        <v>1196</v>
      </c>
      <c r="D109" s="287">
        <v>-23.46</v>
      </c>
      <c r="E109" s="287"/>
      <c r="F109" s="280" t="s">
        <v>1323</v>
      </c>
    </row>
    <row r="110" spans="1:6">
      <c r="A110" s="295"/>
      <c r="B110" s="293">
        <v>41662</v>
      </c>
      <c r="C110" s="277" t="s">
        <v>1197</v>
      </c>
      <c r="D110" s="286">
        <v>-15</v>
      </c>
      <c r="E110" s="286"/>
      <c r="F110" t="s">
        <v>1326</v>
      </c>
    </row>
    <row r="111" spans="1:6">
      <c r="A111" s="295"/>
      <c r="B111" s="294">
        <v>41662</v>
      </c>
      <c r="C111" s="278" t="s">
        <v>1123</v>
      </c>
      <c r="D111" s="287"/>
      <c r="E111" s="287">
        <v>7.98</v>
      </c>
    </row>
    <row r="112" spans="1:6">
      <c r="A112" s="295"/>
      <c r="B112" s="293">
        <v>41663</v>
      </c>
      <c r="C112" s="277" t="s">
        <v>1198</v>
      </c>
      <c r="D112" s="286">
        <v>-6.5</v>
      </c>
      <c r="E112" s="286"/>
      <c r="F112" s="280" t="s">
        <v>1323</v>
      </c>
    </row>
    <row r="113" spans="1:6">
      <c r="A113" s="295"/>
      <c r="B113" s="294">
        <v>41663</v>
      </c>
      <c r="C113" s="278" t="s">
        <v>1123</v>
      </c>
      <c r="D113" s="287"/>
      <c r="E113" s="287">
        <v>1.48</v>
      </c>
    </row>
    <row r="114" spans="1:6">
      <c r="A114" s="295"/>
      <c r="B114" s="293">
        <v>41669</v>
      </c>
      <c r="C114" s="277" t="s">
        <v>1199</v>
      </c>
      <c r="D114" s="286">
        <v>-50</v>
      </c>
      <c r="E114" s="286"/>
      <c r="F114" s="280" t="s">
        <v>1323</v>
      </c>
    </row>
    <row r="115" spans="1:6">
      <c r="A115" s="295"/>
      <c r="B115" s="294">
        <v>41669</v>
      </c>
      <c r="C115" s="278" t="s">
        <v>1144</v>
      </c>
      <c r="D115" s="287">
        <v>50</v>
      </c>
      <c r="E115" s="287"/>
      <c r="F115" t="s">
        <v>755</v>
      </c>
    </row>
    <row r="116" spans="1:6">
      <c r="A116" s="295"/>
      <c r="B116" s="293">
        <v>41669</v>
      </c>
      <c r="C116" s="277" t="s">
        <v>1123</v>
      </c>
      <c r="D116" s="286"/>
      <c r="E116" s="286">
        <v>1.48</v>
      </c>
    </row>
    <row r="117" spans="1:6">
      <c r="A117" s="295"/>
      <c r="B117" s="294">
        <v>41680</v>
      </c>
      <c r="C117" s="278" t="s">
        <v>1125</v>
      </c>
      <c r="D117" s="287">
        <v>-3.72</v>
      </c>
      <c r="E117" s="287"/>
      <c r="F117" t="s">
        <v>1313</v>
      </c>
    </row>
    <row r="118" spans="1:6">
      <c r="B118" s="337" t="s">
        <v>1351</v>
      </c>
      <c r="C118" s="277" t="s">
        <v>1123</v>
      </c>
      <c r="D118" s="286"/>
      <c r="E118" s="286">
        <v>-2.2400000000000002</v>
      </c>
    </row>
    <row r="119" spans="1:6">
      <c r="B119" s="338" t="s">
        <v>1352</v>
      </c>
      <c r="C119" s="278" t="s">
        <v>1130</v>
      </c>
      <c r="D119" s="287">
        <v>-16.899999999999999</v>
      </c>
      <c r="E119" s="287"/>
      <c r="F119" t="s">
        <v>1318</v>
      </c>
    </row>
    <row r="120" spans="1:6">
      <c r="B120" s="337" t="s">
        <v>1352</v>
      </c>
      <c r="C120" s="277" t="s">
        <v>1123</v>
      </c>
      <c r="D120" s="286"/>
      <c r="E120" s="286">
        <v>-19.14</v>
      </c>
    </row>
    <row r="121" spans="1:6">
      <c r="B121" s="338" t="s">
        <v>1353</v>
      </c>
      <c r="C121" s="278" t="s">
        <v>1266</v>
      </c>
      <c r="D121" s="287">
        <v>-50</v>
      </c>
      <c r="E121" s="287"/>
      <c r="F121" s="280" t="s">
        <v>1324</v>
      </c>
    </row>
    <row r="122" spans="1:6">
      <c r="B122" s="337" t="s">
        <v>1353</v>
      </c>
      <c r="C122" s="277" t="s">
        <v>1267</v>
      </c>
      <c r="D122" s="286">
        <v>-12.88</v>
      </c>
      <c r="E122" s="286"/>
      <c r="F122" t="s">
        <v>1306</v>
      </c>
    </row>
    <row r="123" spans="1:6">
      <c r="B123" s="338" t="s">
        <v>1353</v>
      </c>
      <c r="C123" s="278" t="s">
        <v>1268</v>
      </c>
      <c r="D123" s="287">
        <v>-24.87</v>
      </c>
      <c r="E123" s="287"/>
      <c r="F123" t="s">
        <v>1306</v>
      </c>
    </row>
    <row r="124" spans="1:6">
      <c r="B124" s="337" t="s">
        <v>1353</v>
      </c>
      <c r="C124" s="277" t="s">
        <v>1143</v>
      </c>
      <c r="D124" s="286">
        <v>-28</v>
      </c>
      <c r="E124" s="286"/>
      <c r="F124" s="280" t="s">
        <v>1324</v>
      </c>
    </row>
    <row r="125" spans="1:6">
      <c r="B125" s="338" t="s">
        <v>1353</v>
      </c>
      <c r="C125" s="278" t="s">
        <v>1269</v>
      </c>
      <c r="D125" s="287">
        <v>-50</v>
      </c>
      <c r="E125" s="287"/>
      <c r="F125" t="s">
        <v>755</v>
      </c>
    </row>
    <row r="126" spans="1:6">
      <c r="B126" s="337" t="s">
        <v>1353</v>
      </c>
      <c r="C126" s="277" t="s">
        <v>1181</v>
      </c>
      <c r="D126" s="286">
        <v>-51.08</v>
      </c>
      <c r="E126" s="286"/>
      <c r="F126" t="s">
        <v>1290</v>
      </c>
    </row>
    <row r="127" spans="1:6">
      <c r="B127" s="338" t="s">
        <v>1353</v>
      </c>
      <c r="C127" s="278" t="s">
        <v>1181</v>
      </c>
      <c r="D127" s="287">
        <v>-51.54</v>
      </c>
      <c r="E127" s="287"/>
      <c r="F127" t="s">
        <v>1291</v>
      </c>
    </row>
    <row r="128" spans="1:6">
      <c r="B128" s="337" t="s">
        <v>1353</v>
      </c>
      <c r="C128" s="277" t="s">
        <v>1270</v>
      </c>
      <c r="D128" s="286">
        <v>-160.69999999999999</v>
      </c>
      <c r="E128" s="286"/>
      <c r="F128" t="s">
        <v>1295</v>
      </c>
    </row>
    <row r="129" spans="2:6">
      <c r="B129" s="338" t="s">
        <v>1353</v>
      </c>
      <c r="C129" s="278" t="s">
        <v>1271</v>
      </c>
      <c r="D129" s="287">
        <v>-51.02</v>
      </c>
      <c r="E129" s="287"/>
      <c r="F129" s="280" t="s">
        <v>1299</v>
      </c>
    </row>
    <row r="130" spans="2:6">
      <c r="B130" s="337" t="s">
        <v>1353</v>
      </c>
      <c r="C130" s="277" t="s">
        <v>1272</v>
      </c>
      <c r="D130" s="286">
        <v>-165.41</v>
      </c>
      <c r="E130" s="286"/>
      <c r="F130" t="s">
        <v>1296</v>
      </c>
    </row>
    <row r="131" spans="2:6">
      <c r="B131" s="338" t="s">
        <v>1353</v>
      </c>
      <c r="C131" s="278" t="s">
        <v>1273</v>
      </c>
      <c r="D131" s="287">
        <v>-78.39</v>
      </c>
      <c r="E131" s="287"/>
      <c r="F131" t="s">
        <v>1320</v>
      </c>
    </row>
    <row r="132" spans="2:6">
      <c r="B132" s="337" t="s">
        <v>1353</v>
      </c>
      <c r="C132" s="277" t="s">
        <v>1274</v>
      </c>
      <c r="D132" s="286">
        <v>-87.62</v>
      </c>
      <c r="E132" s="286"/>
      <c r="F132" t="s">
        <v>1319</v>
      </c>
    </row>
    <row r="133" spans="2:6">
      <c r="B133" s="338" t="s">
        <v>1353</v>
      </c>
      <c r="C133" s="278" t="s">
        <v>1275</v>
      </c>
      <c r="D133" s="287">
        <v>-282.25</v>
      </c>
      <c r="E133" s="287"/>
      <c r="F133" t="s">
        <v>1297</v>
      </c>
    </row>
    <row r="134" spans="2:6">
      <c r="B134" s="337" t="s">
        <v>1353</v>
      </c>
      <c r="C134" s="277" t="s">
        <v>1158</v>
      </c>
      <c r="D134" s="286">
        <v>2175</v>
      </c>
      <c r="E134" s="286"/>
      <c r="F134" t="s">
        <v>1359</v>
      </c>
    </row>
    <row r="135" spans="2:6">
      <c r="B135" s="338" t="s">
        <v>1353</v>
      </c>
      <c r="C135" s="278" t="s">
        <v>1134</v>
      </c>
      <c r="D135" s="287">
        <v>590</v>
      </c>
      <c r="E135" s="287"/>
      <c r="F135" t="s">
        <v>1343</v>
      </c>
    </row>
    <row r="136" spans="2:6">
      <c r="B136" s="337" t="s">
        <v>1353</v>
      </c>
      <c r="C136" s="277" t="s">
        <v>1276</v>
      </c>
      <c r="D136" s="286">
        <v>100</v>
      </c>
      <c r="E136" s="286"/>
      <c r="F136" t="s">
        <v>1344</v>
      </c>
    </row>
    <row r="137" spans="2:6">
      <c r="B137" s="338" t="s">
        <v>1353</v>
      </c>
      <c r="C137" s="278" t="s">
        <v>1153</v>
      </c>
      <c r="D137" s="287">
        <v>100</v>
      </c>
      <c r="E137" s="287"/>
      <c r="F137" t="s">
        <v>1345</v>
      </c>
    </row>
    <row r="138" spans="2:6">
      <c r="B138" s="337" t="s">
        <v>1353</v>
      </c>
      <c r="C138" s="277" t="s">
        <v>1277</v>
      </c>
      <c r="D138" s="286">
        <v>-21.55</v>
      </c>
      <c r="E138" s="286"/>
      <c r="F138" s="280" t="s">
        <v>1304</v>
      </c>
    </row>
    <row r="139" spans="2:6">
      <c r="B139" s="338" t="s">
        <v>1353</v>
      </c>
      <c r="C139" s="278" t="s">
        <v>1278</v>
      </c>
      <c r="D139" s="287">
        <v>-19.5</v>
      </c>
      <c r="E139" s="287"/>
      <c r="F139" s="280" t="s">
        <v>1309</v>
      </c>
    </row>
    <row r="140" spans="2:6">
      <c r="B140" s="337" t="s">
        <v>1353</v>
      </c>
      <c r="C140" s="277" t="s">
        <v>1279</v>
      </c>
      <c r="D140" s="286">
        <v>-44.7</v>
      </c>
      <c r="E140" s="286"/>
      <c r="F140" t="s">
        <v>1193</v>
      </c>
    </row>
    <row r="141" spans="2:6">
      <c r="B141" s="338" t="s">
        <v>1353</v>
      </c>
      <c r="C141" s="278" t="s">
        <v>1159</v>
      </c>
      <c r="D141" s="287"/>
      <c r="E141" s="287">
        <v>1766.35</v>
      </c>
    </row>
    <row r="142" spans="2:6">
      <c r="B142" s="337" t="s">
        <v>1353</v>
      </c>
      <c r="C142" s="277" t="s">
        <v>1148</v>
      </c>
      <c r="D142" s="286"/>
      <c r="E142" s="286">
        <v>100</v>
      </c>
    </row>
    <row r="143" spans="2:6">
      <c r="B143" s="338" t="s">
        <v>1353</v>
      </c>
      <c r="C143" s="278" t="s">
        <v>1185</v>
      </c>
      <c r="D143" s="287"/>
      <c r="E143" s="287">
        <v>1666.35</v>
      </c>
    </row>
    <row r="144" spans="2:6">
      <c r="B144" s="337" t="s">
        <v>1354</v>
      </c>
      <c r="C144" s="277" t="s">
        <v>1280</v>
      </c>
      <c r="D144" s="286">
        <v>-400</v>
      </c>
      <c r="E144" s="286"/>
      <c r="F144" s="280" t="s">
        <v>1324</v>
      </c>
    </row>
    <row r="145" spans="2:6">
      <c r="B145" s="338" t="s">
        <v>1354</v>
      </c>
      <c r="C145" s="278" t="s">
        <v>1159</v>
      </c>
      <c r="D145" s="287"/>
      <c r="E145" s="287">
        <v>1366.35</v>
      </c>
    </row>
    <row r="146" spans="2:6">
      <c r="B146" s="337" t="s">
        <v>1355</v>
      </c>
      <c r="C146" s="277" t="s">
        <v>1281</v>
      </c>
      <c r="D146" s="286">
        <v>-24.91</v>
      </c>
      <c r="E146" s="286"/>
      <c r="F146" s="280" t="s">
        <v>1324</v>
      </c>
    </row>
    <row r="147" spans="2:6">
      <c r="B147" s="338" t="s">
        <v>1355</v>
      </c>
      <c r="C147" s="278" t="s">
        <v>1159</v>
      </c>
      <c r="D147" s="287"/>
      <c r="E147" s="287">
        <v>1341.44</v>
      </c>
    </row>
    <row r="148" spans="2:6">
      <c r="B148" s="337" t="s">
        <v>1356</v>
      </c>
      <c r="C148" s="277" t="s">
        <v>1282</v>
      </c>
      <c r="D148" s="286">
        <v>-100</v>
      </c>
      <c r="E148" s="286"/>
    </row>
    <row r="149" spans="2:6">
      <c r="B149" s="338" t="s">
        <v>1356</v>
      </c>
      <c r="C149" s="278" t="s">
        <v>1283</v>
      </c>
      <c r="D149" s="287">
        <v>-19</v>
      </c>
      <c r="E149" s="287"/>
      <c r="F149" s="280" t="s">
        <v>1324</v>
      </c>
    </row>
    <row r="150" spans="2:6">
      <c r="B150" s="337" t="s">
        <v>1356</v>
      </c>
      <c r="C150" s="277" t="s">
        <v>1284</v>
      </c>
      <c r="D150" s="286">
        <v>-30.1</v>
      </c>
      <c r="E150" s="286"/>
      <c r="F150" s="280" t="s">
        <v>1324</v>
      </c>
    </row>
    <row r="151" spans="2:6">
      <c r="B151" s="338" t="s">
        <v>1356</v>
      </c>
      <c r="C151" s="278" t="s">
        <v>1159</v>
      </c>
      <c r="D151" s="287"/>
      <c r="E151" s="287">
        <v>1192.3399999999999</v>
      </c>
    </row>
    <row r="152" spans="2:6">
      <c r="B152" s="337" t="s">
        <v>1357</v>
      </c>
      <c r="C152" s="277" t="s">
        <v>1285</v>
      </c>
      <c r="D152" s="286">
        <v>-49</v>
      </c>
      <c r="E152" s="286"/>
      <c r="F152" t="s">
        <v>1306</v>
      </c>
    </row>
    <row r="153" spans="2:6">
      <c r="B153" s="338" t="s">
        <v>1357</v>
      </c>
      <c r="C153" s="278" t="s">
        <v>1286</v>
      </c>
      <c r="D153" s="287">
        <v>-52.24</v>
      </c>
      <c r="E153" s="287"/>
      <c r="F153" t="s">
        <v>1306</v>
      </c>
    </row>
    <row r="154" spans="2:6">
      <c r="B154" s="337" t="s">
        <v>1357</v>
      </c>
      <c r="C154" s="277" t="s">
        <v>1287</v>
      </c>
      <c r="D154" s="286">
        <v>-32.270000000000003</v>
      </c>
      <c r="E154" s="286"/>
      <c r="F154" t="s">
        <v>1306</v>
      </c>
    </row>
    <row r="155" spans="2:6">
      <c r="B155" s="338" t="s">
        <v>1357</v>
      </c>
      <c r="C155" s="278" t="s">
        <v>1159</v>
      </c>
      <c r="D155" s="287"/>
      <c r="E155" s="287">
        <v>1058.83</v>
      </c>
    </row>
    <row r="156" spans="2:6">
      <c r="B156" s="337" t="s">
        <v>1358</v>
      </c>
      <c r="C156" s="277" t="s">
        <v>1288</v>
      </c>
      <c r="D156" s="286">
        <v>-12.5</v>
      </c>
      <c r="E156" s="286"/>
      <c r="F156" s="280" t="s">
        <v>1324</v>
      </c>
    </row>
    <row r="157" spans="2:6">
      <c r="B157" s="338" t="s">
        <v>1358</v>
      </c>
      <c r="C157" s="278" t="s">
        <v>1289</v>
      </c>
      <c r="D157" s="287">
        <v>-16.899999999999999</v>
      </c>
      <c r="E157" s="287"/>
      <c r="F157" s="280" t="s">
        <v>1324</v>
      </c>
    </row>
    <row r="158" spans="2:6">
      <c r="B158" s="339" t="s">
        <v>1358</v>
      </c>
      <c r="C158" s="277" t="s">
        <v>1123</v>
      </c>
      <c r="D158" s="286"/>
      <c r="E158" s="288">
        <v>-19.399999999999999</v>
      </c>
    </row>
  </sheetData>
  <autoFilter ref="B1:G158"/>
  <conditionalFormatting sqref="F1:F1048576">
    <cfRule type="cellIs" dxfId="117" priority="28" operator="equal">
      <formula>$G$1</formula>
    </cfRule>
  </conditionalFormatting>
  <printOptions horizontalCentered="1"/>
  <pageMargins left="0.51181102362204722" right="0.51181102362204722" top="0.78740157480314965" bottom="0.78740157480314965" header="0.31496062992125984" footer="0.31496062992125984"/>
  <pageSetup paperSize="9" orientation="portrait" horizontalDpi="300" verticalDpi="300" r:id="rId1"/>
</worksheet>
</file>

<file path=xl/worksheets/sheet9.xml><?xml version="1.0" encoding="utf-8"?>
<worksheet xmlns="http://schemas.openxmlformats.org/spreadsheetml/2006/main" xmlns:r="http://schemas.openxmlformats.org/officeDocument/2006/relationships">
  <sheetPr codeName="Plan19"/>
  <dimension ref="A1:M32"/>
  <sheetViews>
    <sheetView zoomScale="85" zoomScaleNormal="85" workbookViewId="0">
      <pane ySplit="3" topLeftCell="A4" activePane="bottomLeft" state="frozen"/>
      <selection pane="bottomLeft" activeCell="A4" sqref="A4"/>
    </sheetView>
  </sheetViews>
  <sheetFormatPr defaultRowHeight="15"/>
  <cols>
    <col min="1" max="1" width="12.28515625" bestFit="1" customWidth="1"/>
    <col min="2" max="2" width="14" bestFit="1" customWidth="1"/>
    <col min="3" max="3" width="9.5703125" bestFit="1" customWidth="1"/>
    <col min="4" max="4" width="12.5703125" style="56" customWidth="1"/>
    <col min="5" max="5" width="14.5703125" bestFit="1" customWidth="1"/>
    <col min="6" max="6" width="3.5703125" style="56" bestFit="1" customWidth="1"/>
    <col min="7" max="7" width="8.7109375" style="56" customWidth="1"/>
    <col min="8" max="8" width="13.28515625" style="295" bestFit="1" customWidth="1"/>
    <col min="9" max="9" width="14.28515625" style="297" bestFit="1" customWidth="1"/>
    <col min="10" max="10" width="26.7109375" bestFit="1" customWidth="1"/>
    <col min="11" max="11" width="12.28515625" bestFit="1" customWidth="1"/>
    <col min="12" max="12" width="4.140625" bestFit="1" customWidth="1"/>
    <col min="13" max="13" width="53.7109375" bestFit="1" customWidth="1"/>
  </cols>
  <sheetData>
    <row r="1" spans="1:13" s="351" customFormat="1">
      <c r="D1" s="148" t="s">
        <v>71</v>
      </c>
      <c r="E1" s="351" t="s">
        <v>1234</v>
      </c>
      <c r="H1" s="311"/>
      <c r="I1" s="310" t="s">
        <v>1233</v>
      </c>
      <c r="J1" s="351" t="s">
        <v>1232</v>
      </c>
      <c r="K1" s="309" t="s">
        <v>52</v>
      </c>
      <c r="M1" s="308">
        <v>41694</v>
      </c>
    </row>
    <row r="2" spans="1:13" s="302" customFormat="1">
      <c r="A2" s="73">
        <f>SUM(A4:A26)</f>
        <v>3237</v>
      </c>
      <c r="D2" s="72">
        <f>SUMIF(D4:D26,"OK",$A4:$A26)</f>
        <v>3237</v>
      </c>
      <c r="E2" s="307">
        <f>SUM(E4:E26)-D2</f>
        <v>-3237</v>
      </c>
      <c r="F2" s="306"/>
      <c r="G2" s="306"/>
      <c r="I2" s="305">
        <f>SUM(I4:I26)</f>
        <v>0</v>
      </c>
      <c r="J2" s="298">
        <f>SUM(D2,K2)</f>
        <v>3237</v>
      </c>
      <c r="K2" s="304">
        <f>SUMIF(F4:F26,"x",I4:I26)</f>
        <v>0</v>
      </c>
      <c r="M2" s="303">
        <f>SUM(A4,K2)</f>
        <v>1433.5</v>
      </c>
    </row>
    <row r="3" spans="1:13" s="300" customFormat="1" ht="30">
      <c r="A3" s="301" t="s">
        <v>1231</v>
      </c>
      <c r="B3" s="301" t="s">
        <v>656</v>
      </c>
      <c r="C3" s="301" t="s">
        <v>1230</v>
      </c>
      <c r="D3" s="301" t="s">
        <v>1229</v>
      </c>
      <c r="E3" s="301" t="s">
        <v>1228</v>
      </c>
      <c r="F3" s="314" t="s">
        <v>1222</v>
      </c>
      <c r="G3" s="315" t="s">
        <v>1227</v>
      </c>
      <c r="H3" s="316" t="s">
        <v>44</v>
      </c>
      <c r="I3" s="317" t="s">
        <v>1226</v>
      </c>
      <c r="J3" s="315" t="s">
        <v>908</v>
      </c>
      <c r="K3" s="315" t="s">
        <v>1225</v>
      </c>
      <c r="M3" s="300" t="s">
        <v>1224</v>
      </c>
    </row>
    <row r="4" spans="1:13" s="279" customFormat="1">
      <c r="A4" s="375">
        <v>1433.5</v>
      </c>
      <c r="B4" s="299" t="s">
        <v>1480</v>
      </c>
      <c r="C4" s="299" t="s">
        <v>1223</v>
      </c>
      <c r="D4" s="153" t="s">
        <v>1481</v>
      </c>
      <c r="E4" s="296"/>
      <c r="F4" s="318"/>
      <c r="G4" s="319">
        <f ca="1">IF(H4&lt;&gt;"",DAYS360(H4,NOW()),"0")</f>
        <v>397</v>
      </c>
      <c r="H4" s="320">
        <v>41800</v>
      </c>
      <c r="I4" s="321"/>
      <c r="J4" s="322"/>
      <c r="K4" s="322"/>
      <c r="L4"/>
    </row>
    <row r="5" spans="1:13" s="279" customFormat="1">
      <c r="A5" s="375">
        <v>1433.5</v>
      </c>
      <c r="B5" s="299" t="s">
        <v>1480</v>
      </c>
      <c r="C5" s="299" t="s">
        <v>1223</v>
      </c>
      <c r="D5" s="153" t="s">
        <v>1481</v>
      </c>
      <c r="E5" s="296"/>
      <c r="F5" s="318"/>
      <c r="G5" s="319" t="str">
        <f t="shared" ref="G5:G23" ca="1" si="0">IF(H5&lt;&gt;"",DAYS360(H5,NOW()),"0")</f>
        <v>0</v>
      </c>
      <c r="H5" s="320"/>
      <c r="I5" s="321"/>
      <c r="J5" s="322"/>
      <c r="K5" s="322"/>
      <c r="L5"/>
      <c r="M5" s="81"/>
    </row>
    <row r="6" spans="1:13">
      <c r="A6" s="375">
        <v>370</v>
      </c>
      <c r="B6" s="299" t="s">
        <v>1480</v>
      </c>
      <c r="C6" s="299" t="s">
        <v>1223</v>
      </c>
      <c r="D6" s="153" t="s">
        <v>1481</v>
      </c>
      <c r="E6" s="296"/>
      <c r="F6" s="318"/>
      <c r="G6" s="319" t="str">
        <f t="shared" ca="1" si="0"/>
        <v>0</v>
      </c>
      <c r="H6" s="320"/>
      <c r="I6" s="321"/>
      <c r="J6" s="322"/>
      <c r="K6" s="322"/>
      <c r="M6" s="81"/>
    </row>
    <row r="7" spans="1:13">
      <c r="A7" s="296"/>
      <c r="B7" s="299"/>
      <c r="C7" s="299"/>
      <c r="D7" s="153"/>
      <c r="E7" s="296"/>
      <c r="F7" s="318"/>
      <c r="G7" s="319" t="str">
        <f t="shared" ca="1" si="0"/>
        <v>0</v>
      </c>
      <c r="H7" s="320"/>
      <c r="I7" s="321"/>
      <c r="J7" s="322"/>
      <c r="K7" s="322"/>
    </row>
    <row r="8" spans="1:13">
      <c r="A8" s="296"/>
      <c r="B8" s="299"/>
      <c r="C8" s="299"/>
      <c r="D8" s="153"/>
      <c r="E8" s="296"/>
      <c r="F8" s="318"/>
      <c r="G8" s="319" t="str">
        <f t="shared" ca="1" si="0"/>
        <v>0</v>
      </c>
      <c r="H8" s="320"/>
      <c r="I8" s="321"/>
      <c r="J8" s="325"/>
      <c r="K8" s="322"/>
      <c r="M8" s="279"/>
    </row>
    <row r="9" spans="1:13">
      <c r="A9" s="296"/>
      <c r="B9" s="299"/>
      <c r="C9" s="299"/>
      <c r="D9" s="153"/>
      <c r="E9" s="296"/>
      <c r="F9" s="323"/>
      <c r="G9" s="319" t="str">
        <f t="shared" ca="1" si="0"/>
        <v>0</v>
      </c>
      <c r="H9" s="320"/>
      <c r="I9" s="321"/>
      <c r="J9" s="325"/>
      <c r="K9" s="322"/>
      <c r="L9" s="279"/>
    </row>
    <row r="10" spans="1:13">
      <c r="A10" s="296"/>
      <c r="B10" s="299"/>
      <c r="C10" s="299"/>
      <c r="D10" s="153"/>
      <c r="E10" s="296"/>
      <c r="F10" s="318"/>
      <c r="G10" s="319" t="str">
        <f t="shared" ca="1" si="0"/>
        <v>0</v>
      </c>
      <c r="H10" s="320"/>
      <c r="I10" s="321"/>
      <c r="J10" s="325"/>
      <c r="K10" s="322"/>
    </row>
    <row r="11" spans="1:13">
      <c r="A11" s="296"/>
      <c r="B11" s="299"/>
      <c r="C11" s="299"/>
      <c r="D11" s="153"/>
      <c r="E11" s="296"/>
      <c r="F11" s="318"/>
      <c r="G11" s="319" t="str">
        <f t="shared" ca="1" si="0"/>
        <v>0</v>
      </c>
      <c r="H11" s="320"/>
      <c r="I11" s="321"/>
      <c r="J11" s="325"/>
      <c r="K11" s="325"/>
    </row>
    <row r="12" spans="1:13">
      <c r="A12" s="296"/>
      <c r="B12" s="299"/>
      <c r="C12" s="299"/>
      <c r="D12" s="153"/>
      <c r="E12" s="296"/>
      <c r="F12" s="318"/>
      <c r="G12" s="319" t="str">
        <f t="shared" ca="1" si="0"/>
        <v>0</v>
      </c>
      <c r="H12" s="320"/>
      <c r="I12" s="321"/>
      <c r="J12" s="325"/>
      <c r="K12" s="322"/>
    </row>
    <row r="13" spans="1:13">
      <c r="A13" s="296"/>
      <c r="B13" s="299"/>
      <c r="C13" s="299"/>
      <c r="D13" s="153"/>
      <c r="E13" s="296"/>
      <c r="F13" s="318"/>
      <c r="G13" s="319" t="str">
        <f t="shared" ca="1" si="0"/>
        <v>0</v>
      </c>
      <c r="H13" s="320"/>
      <c r="I13" s="321"/>
      <c r="J13" s="325"/>
      <c r="K13" s="322"/>
    </row>
    <row r="14" spans="1:13">
      <c r="A14" s="296"/>
      <c r="B14" s="299"/>
      <c r="C14" s="299"/>
      <c r="D14" s="153"/>
      <c r="E14" s="296"/>
      <c r="F14" s="318"/>
      <c r="G14" s="319" t="str">
        <f t="shared" ca="1" si="0"/>
        <v>0</v>
      </c>
      <c r="H14" s="320"/>
      <c r="I14" s="321"/>
      <c r="J14" s="325"/>
      <c r="K14" s="322"/>
    </row>
    <row r="15" spans="1:13">
      <c r="A15" s="296"/>
      <c r="B15" s="299"/>
      <c r="C15" s="299"/>
      <c r="D15" s="153"/>
      <c r="E15" s="296"/>
      <c r="F15" s="318"/>
      <c r="G15" s="319" t="str">
        <f t="shared" ca="1" si="0"/>
        <v>0</v>
      </c>
      <c r="H15" s="320"/>
      <c r="I15" s="321"/>
      <c r="J15" s="325"/>
      <c r="K15" s="322"/>
    </row>
    <row r="16" spans="1:13">
      <c r="A16" s="296"/>
      <c r="B16" s="299"/>
      <c r="C16" s="299"/>
      <c r="D16" s="153"/>
      <c r="E16" s="296"/>
      <c r="F16" s="318"/>
      <c r="G16" s="319" t="str">
        <f t="shared" ca="1" si="0"/>
        <v>0</v>
      </c>
      <c r="H16" s="320"/>
      <c r="I16" s="321"/>
      <c r="J16" s="325"/>
      <c r="K16" s="322"/>
    </row>
    <row r="17" spans="1:12">
      <c r="A17" s="296"/>
      <c r="B17" s="299"/>
      <c r="C17" s="299"/>
      <c r="D17" s="153"/>
      <c r="E17" s="296"/>
      <c r="F17" s="318"/>
      <c r="G17" s="319" t="str">
        <f t="shared" ca="1" si="0"/>
        <v>0</v>
      </c>
      <c r="H17" s="320"/>
      <c r="I17" s="321"/>
      <c r="J17" s="325"/>
      <c r="K17" s="322"/>
    </row>
    <row r="18" spans="1:12">
      <c r="A18" s="296"/>
      <c r="B18" s="299"/>
      <c r="C18" s="299"/>
      <c r="D18" s="153"/>
      <c r="E18" s="296"/>
      <c r="F18" s="323"/>
      <c r="G18" s="319" t="str">
        <f t="shared" ca="1" si="0"/>
        <v>0</v>
      </c>
      <c r="H18" s="320"/>
      <c r="I18" s="321"/>
      <c r="J18" s="322"/>
      <c r="K18" s="322"/>
      <c r="L18" s="279"/>
    </row>
    <row r="19" spans="1:12">
      <c r="A19" s="296"/>
      <c r="B19" s="299"/>
      <c r="C19" s="299"/>
      <c r="D19" s="153"/>
      <c r="E19" s="296"/>
      <c r="F19" s="323"/>
      <c r="G19" s="319" t="str">
        <f t="shared" ca="1" si="0"/>
        <v>0</v>
      </c>
      <c r="H19" s="320"/>
      <c r="I19" s="321"/>
      <c r="J19" s="322"/>
      <c r="K19" s="322"/>
    </row>
    <row r="20" spans="1:12">
      <c r="A20" s="296"/>
      <c r="B20" s="299"/>
      <c r="C20" s="299"/>
      <c r="D20" s="153"/>
      <c r="E20" s="296"/>
      <c r="F20" s="323"/>
      <c r="G20" s="319" t="str">
        <f t="shared" ca="1" si="0"/>
        <v>0</v>
      </c>
      <c r="H20" s="320"/>
      <c r="I20" s="321"/>
      <c r="J20" s="322"/>
      <c r="K20" s="322"/>
      <c r="L20" s="279"/>
    </row>
    <row r="21" spans="1:12">
      <c r="A21" s="296"/>
      <c r="B21" s="299"/>
      <c r="C21" s="299"/>
      <c r="D21" s="153"/>
      <c r="E21" s="296"/>
      <c r="F21" s="323"/>
      <c r="G21" s="319" t="str">
        <f t="shared" ca="1" si="0"/>
        <v>0</v>
      </c>
      <c r="H21" s="320"/>
      <c r="I21" s="321"/>
      <c r="J21" s="322"/>
      <c r="K21" s="322"/>
      <c r="L21" s="279"/>
    </row>
    <row r="22" spans="1:12">
      <c r="A22" s="296"/>
      <c r="B22" s="299"/>
      <c r="C22" s="299"/>
      <c r="D22" s="153"/>
      <c r="E22" s="296"/>
      <c r="F22" s="323"/>
      <c r="G22" s="319" t="str">
        <f t="shared" ca="1" si="0"/>
        <v>0</v>
      </c>
      <c r="H22" s="320"/>
      <c r="I22" s="321"/>
      <c r="J22" s="322"/>
      <c r="K22" s="322"/>
      <c r="L22" s="279"/>
    </row>
    <row r="23" spans="1:12">
      <c r="A23" s="296"/>
      <c r="B23" s="299"/>
      <c r="C23" s="299"/>
      <c r="D23" s="153"/>
      <c r="E23" s="296"/>
      <c r="F23" s="318"/>
      <c r="G23" s="319" t="str">
        <f t="shared" ca="1" si="0"/>
        <v>0</v>
      </c>
      <c r="H23" s="320"/>
      <c r="I23" s="321"/>
      <c r="J23" s="322"/>
      <c r="K23" s="322"/>
      <c r="L23" s="279"/>
    </row>
    <row r="24" spans="1:12">
      <c r="A24" s="296"/>
      <c r="B24" s="299"/>
      <c r="C24" s="299"/>
      <c r="D24" s="153"/>
      <c r="E24" s="296"/>
      <c r="F24" s="323"/>
      <c r="G24" s="319"/>
      <c r="H24" s="320"/>
      <c r="I24" s="321"/>
      <c r="J24" s="322"/>
      <c r="K24" s="322"/>
      <c r="L24" s="279"/>
    </row>
    <row r="25" spans="1:12">
      <c r="A25" s="296"/>
      <c r="B25" s="299"/>
      <c r="C25" s="299"/>
      <c r="D25" s="153"/>
      <c r="E25" s="296"/>
      <c r="F25" s="323"/>
      <c r="G25" s="319"/>
      <c r="H25" s="320"/>
      <c r="I25" s="321"/>
      <c r="J25" s="322"/>
      <c r="K25" s="322"/>
      <c r="L25" s="279"/>
    </row>
    <row r="26" spans="1:12">
      <c r="A26" s="296"/>
      <c r="B26" s="299"/>
      <c r="C26" s="299"/>
      <c r="D26" s="153"/>
      <c r="E26" s="296"/>
      <c r="F26" s="323"/>
      <c r="G26" s="319"/>
      <c r="H26" s="320"/>
      <c r="I26" s="321"/>
      <c r="J26" s="324"/>
      <c r="K26" s="322"/>
      <c r="L26" s="279"/>
    </row>
    <row r="27" spans="1:12">
      <c r="D27"/>
      <c r="F27" s="323"/>
      <c r="G27" s="319"/>
      <c r="H27" s="320"/>
      <c r="I27" s="321"/>
      <c r="J27" s="324"/>
      <c r="K27" s="325"/>
      <c r="L27" s="279"/>
    </row>
    <row r="28" spans="1:12">
      <c r="F28" s="318"/>
      <c r="G28" s="318"/>
      <c r="H28" s="326"/>
      <c r="I28" s="327"/>
      <c r="J28" s="324"/>
      <c r="K28" s="328"/>
    </row>
    <row r="29" spans="1:12">
      <c r="F29" s="318"/>
      <c r="G29" s="318"/>
      <c r="H29" s="326"/>
      <c r="I29" s="327"/>
      <c r="J29" s="328"/>
      <c r="K29" s="328"/>
    </row>
    <row r="30" spans="1:12">
      <c r="F30" s="318"/>
      <c r="G30" s="318"/>
      <c r="H30" s="326"/>
      <c r="I30" s="327"/>
      <c r="J30" s="328"/>
      <c r="K30" s="328"/>
    </row>
    <row r="31" spans="1:12">
      <c r="F31" s="318"/>
      <c r="G31" s="318"/>
      <c r="H31" s="326"/>
      <c r="I31" s="327"/>
      <c r="J31" s="322"/>
      <c r="K31" s="322"/>
    </row>
    <row r="32" spans="1:12">
      <c r="F32" s="318"/>
      <c r="G32" s="318"/>
      <c r="H32" s="326"/>
      <c r="I32" s="327"/>
      <c r="J32" s="322"/>
      <c r="K32" s="328"/>
    </row>
  </sheetData>
  <conditionalFormatting sqref="G4:K27">
    <cfRule type="expression" dxfId="116" priority="6">
      <formula>IF($F4="x",TRUE,FALSE)</formula>
    </cfRule>
  </conditionalFormatting>
  <conditionalFormatting sqref="J28">
    <cfRule type="expression" dxfId="115" priority="5">
      <formula>IF($F28="x",TRUE,FALSE)</formula>
    </cfRule>
  </conditionalFormatting>
  <conditionalFormatting sqref="J28">
    <cfRule type="expression" dxfId="114" priority="4">
      <formula>IF($F28="x",TRUE,FALSE)</formula>
    </cfRule>
  </conditionalFormatting>
  <conditionalFormatting sqref="J31:K31">
    <cfRule type="expression" dxfId="113" priority="3">
      <formula>IF($F31="x",TRUE,FALSE)</formula>
    </cfRule>
  </conditionalFormatting>
  <conditionalFormatting sqref="J32">
    <cfRule type="expression" dxfId="112" priority="2">
      <formula>IF($F32="x",TRUE,FALSE)</formula>
    </cfRule>
  </conditionalFormatting>
  <conditionalFormatting sqref="J32">
    <cfRule type="expression" dxfId="111" priority="1">
      <formula>IF($F32="x",TRUE,FALSE)</formula>
    </cfRule>
  </conditionalFormatting>
  <printOptions horizontalCentered="1"/>
  <pageMargins left="0.51181102362204722" right="0.51181102362204722" top="0.78740157480314965" bottom="0.78740157480314965" header="0.31496062992125984" footer="0.31496062992125984"/>
  <pageSetup orientation="portrait" blackAndWhite="1" r:id="rId1"/>
</worksheet>
</file>

<file path=xl/worksheets/sheet10.xml><?xml version="1.0" encoding="utf-8"?>
<worksheet xmlns="http://schemas.openxmlformats.org/spreadsheetml/2006/main" xmlns:r="http://schemas.openxmlformats.org/officeDocument/2006/relationships">
  <sheetPr codeName="Plan2">
    <tabColor rgb="FFFFFF00"/>
  </sheetPr>
  <dimension ref="A1:M1202"/>
  <sheetViews>
    <sheetView zoomScale="85" zoomScaleNormal="85" zoomScaleSheetLayoutView="115" workbookViewId="0">
      <pane ySplit="1" topLeftCell="A2" activePane="bottomLeft" state="frozen"/>
      <selection activeCell="A825" activeCellId="19" sqref="A1072:XFD1072 A1059:XFD1059 A1046:XFD1046 A1033:XFD1033 A1020:XFD1020 A1007:XFD1007 A994:XFD994 A981:XFD981 A968:XFD968 A955:XFD955 A942:XFD942 A929:XFD929 A916:XFD916 A903:XFD903 A890:XFD890 A877:XFD877 A864:XFD864 A851:XFD851 A838:XFD838 A825:XFD825"/>
      <selection pane="bottomLeft" activeCell="D2" sqref="D2"/>
    </sheetView>
  </sheetViews>
  <sheetFormatPr defaultRowHeight="15"/>
  <cols>
    <col min="1" max="1" width="11.42578125" style="224" customWidth="1"/>
    <col min="2" max="2" width="11.42578125" style="229" customWidth="1"/>
    <col min="3" max="3" width="28.5703125" style="229" customWidth="1"/>
    <col min="4" max="4" width="11.42578125" style="224" customWidth="1"/>
    <col min="5" max="5" width="11.42578125" style="225" customWidth="1"/>
    <col min="6" max="6" width="12.140625" style="224" customWidth="1"/>
    <col min="7" max="7" width="14.7109375" style="225" bestFit="1" customWidth="1"/>
    <col min="8" max="8" width="16.7109375" style="226" bestFit="1" customWidth="1"/>
    <col min="9" max="9" width="14.140625" style="226" bestFit="1" customWidth="1"/>
    <col min="10" max="10" width="25.85546875" style="226" customWidth="1"/>
    <col min="11" max="11" width="12.7109375" style="227" bestFit="1" customWidth="1"/>
    <col min="12" max="12" width="12.7109375" style="228" bestFit="1" customWidth="1"/>
    <col min="13" max="13" width="11.42578125" style="228" customWidth="1"/>
    <col min="14" max="16384" width="9.140625" style="3"/>
  </cols>
  <sheetData>
    <row r="1" spans="1:13" s="235" customFormat="1" ht="12.75">
      <c r="A1" s="230" t="s">
        <v>42</v>
      </c>
      <c r="B1" s="231" t="s">
        <v>50</v>
      </c>
      <c r="C1" s="231" t="s">
        <v>99</v>
      </c>
      <c r="D1" s="230" t="s">
        <v>44</v>
      </c>
      <c r="E1" s="232" t="s">
        <v>991</v>
      </c>
      <c r="F1" s="230" t="s">
        <v>46</v>
      </c>
      <c r="G1" s="232" t="s">
        <v>992</v>
      </c>
      <c r="H1" s="233" t="s">
        <v>49</v>
      </c>
      <c r="I1" s="233" t="s">
        <v>0</v>
      </c>
      <c r="J1" s="233" t="s">
        <v>43</v>
      </c>
      <c r="K1" s="234" t="s">
        <v>1</v>
      </c>
      <c r="L1" s="234" t="s">
        <v>1112</v>
      </c>
      <c r="M1" s="234" t="s">
        <v>48</v>
      </c>
    </row>
    <row r="2" spans="1:13">
      <c r="A2" s="216">
        <v>40647</v>
      </c>
      <c r="B2" s="217"/>
      <c r="C2" s="217" t="s">
        <v>1086</v>
      </c>
      <c r="D2" s="216">
        <v>40647</v>
      </c>
      <c r="E2" s="218">
        <v>329</v>
      </c>
      <c r="F2" s="216">
        <v>40647</v>
      </c>
      <c r="G2" s="218">
        <v>-329</v>
      </c>
      <c r="H2" s="219" t="s">
        <v>52</v>
      </c>
      <c r="I2" s="219" t="s">
        <v>2</v>
      </c>
      <c r="J2" s="219" t="s">
        <v>1087</v>
      </c>
      <c r="K2" s="220" t="str">
        <f>IF(J2&lt;&gt;"",VLOOKUP(J2,PContas!A:B,2,FALSE),"")</f>
        <v>AILTON</v>
      </c>
      <c r="L2" s="221">
        <f t="shared" ref="L2:L65" si="0">DAY(D2)</f>
        <v>14</v>
      </c>
      <c r="M2" s="221" t="str">
        <f t="shared" ref="M2:M65" ca="1" si="1">IF(D2&lt;&gt;"",IF(F2="",IF(DAYS360(D2,NOW())&gt;0,"ATRASADO",YEAR(D2)&amp;"/"&amp;CHOOSE(MONTH(D2),"01","02","03","04","05","06","07","08","09","10","11","12")),YEAR(D2)&amp;"/"&amp;CHOOSE(MONTH(D2),"01","02","03","04","05","06","07","08","09","10","11","12")),"")</f>
        <v>2011/04</v>
      </c>
    </row>
    <row r="3" spans="1:13">
      <c r="A3" s="216">
        <v>40918</v>
      </c>
      <c r="B3" s="217" t="s">
        <v>773</v>
      </c>
      <c r="C3" s="217"/>
      <c r="D3" s="216">
        <v>40918</v>
      </c>
      <c r="E3" s="218">
        <v>4000</v>
      </c>
      <c r="F3" s="216">
        <v>40918</v>
      </c>
      <c r="G3" s="218">
        <v>4470</v>
      </c>
      <c r="H3" s="219" t="s">
        <v>71</v>
      </c>
      <c r="I3" s="219" t="s">
        <v>2</v>
      </c>
      <c r="J3" s="219" t="s">
        <v>63</v>
      </c>
      <c r="K3" s="220" t="str">
        <f>IF(J3&lt;&gt;"",VLOOKUP(J3,PContas!A:B,2,FALSE),"")</f>
        <v>CLIENTES</v>
      </c>
      <c r="L3" s="221">
        <f t="shared" si="0"/>
        <v>10</v>
      </c>
      <c r="M3" s="221" t="str">
        <f t="shared" ca="1" si="1"/>
        <v>2012/01</v>
      </c>
    </row>
    <row r="4" spans="1:13">
      <c r="A4" s="216">
        <v>41008</v>
      </c>
      <c r="B4" s="217" t="s">
        <v>773</v>
      </c>
      <c r="C4" s="217"/>
      <c r="D4" s="216">
        <v>41008</v>
      </c>
      <c r="E4" s="218">
        <v>3250</v>
      </c>
      <c r="F4" s="216">
        <v>41008</v>
      </c>
      <c r="G4" s="218">
        <v>3500</v>
      </c>
      <c r="H4" s="219" t="s">
        <v>71</v>
      </c>
      <c r="I4" s="219" t="s">
        <v>2</v>
      </c>
      <c r="J4" s="219" t="s">
        <v>63</v>
      </c>
      <c r="K4" s="220" t="str">
        <f>IF(J4&lt;&gt;"",VLOOKUP(J4,PContas!A:B,2,FALSE),"")</f>
        <v>CLIENTES</v>
      </c>
      <c r="L4" s="221">
        <f t="shared" si="0"/>
        <v>9</v>
      </c>
      <c r="M4" s="221" t="str">
        <f t="shared" ca="1" si="1"/>
        <v>2012/04</v>
      </c>
    </row>
    <row r="5" spans="1:13">
      <c r="A5" s="216">
        <v>41221</v>
      </c>
      <c r="B5" s="217" t="s">
        <v>773</v>
      </c>
      <c r="C5" s="217"/>
      <c r="D5" s="216">
        <v>41221</v>
      </c>
      <c r="E5" s="218">
        <v>6000</v>
      </c>
      <c r="F5" s="216">
        <v>41221</v>
      </c>
      <c r="G5" s="218">
        <v>6000</v>
      </c>
      <c r="H5" s="219" t="s">
        <v>71</v>
      </c>
      <c r="I5" s="219" t="s">
        <v>2</v>
      </c>
      <c r="J5" s="219" t="s">
        <v>63</v>
      </c>
      <c r="K5" s="220" t="str">
        <f>IF(J5&lt;&gt;"",VLOOKUP(J5,PContas!A:B,2,FALSE),"")</f>
        <v>CLIENTES</v>
      </c>
      <c r="L5" s="221">
        <f t="shared" si="0"/>
        <v>8</v>
      </c>
      <c r="M5" s="221" t="str">
        <f t="shared" ca="1" si="1"/>
        <v>2012/11</v>
      </c>
    </row>
    <row r="6" spans="1:13">
      <c r="A6" s="216">
        <v>41276</v>
      </c>
      <c r="B6" s="217"/>
      <c r="C6" s="217"/>
      <c r="D6" s="216">
        <v>41276</v>
      </c>
      <c r="E6" s="218">
        <v>19.760000000000002</v>
      </c>
      <c r="F6" s="216">
        <v>41276</v>
      </c>
      <c r="G6" s="218">
        <v>-19.760000000000002</v>
      </c>
      <c r="H6" s="219" t="s">
        <v>52</v>
      </c>
      <c r="I6" s="219" t="s">
        <v>2</v>
      </c>
      <c r="J6" s="219" t="s">
        <v>3</v>
      </c>
      <c r="K6" s="220" t="str">
        <f>IF(J6&lt;&gt;"",VLOOKUP(J6,PContas!A:B,2,FALSE),"")</f>
        <v>ALIMENTAÇÃO</v>
      </c>
      <c r="L6" s="221">
        <f t="shared" si="0"/>
        <v>2</v>
      </c>
      <c r="M6" s="221" t="str">
        <f t="shared" ca="1" si="1"/>
        <v>2013/01</v>
      </c>
    </row>
    <row r="7" spans="1:13">
      <c r="A7" s="216">
        <v>41276</v>
      </c>
      <c r="B7" s="217"/>
      <c r="C7" s="217"/>
      <c r="D7" s="216">
        <v>41276</v>
      </c>
      <c r="E7" s="218">
        <v>15.51</v>
      </c>
      <c r="F7" s="216">
        <v>41276</v>
      </c>
      <c r="G7" s="218">
        <v>-15.51</v>
      </c>
      <c r="H7" s="219" t="s">
        <v>52</v>
      </c>
      <c r="I7" s="219" t="s">
        <v>2</v>
      </c>
      <c r="J7" s="219" t="s">
        <v>488</v>
      </c>
      <c r="K7" s="220" t="str">
        <f>IF(J7&lt;&gt;"",VLOOKUP(J7,PContas!A:B,2,FALSE),"")</f>
        <v>ALIMENTAÇÃO</v>
      </c>
      <c r="L7" s="221">
        <f t="shared" si="0"/>
        <v>2</v>
      </c>
      <c r="M7" s="221" t="str">
        <f t="shared" ca="1" si="1"/>
        <v>2013/01</v>
      </c>
    </row>
    <row r="8" spans="1:13">
      <c r="A8" s="216">
        <v>41277</v>
      </c>
      <c r="B8" s="217"/>
      <c r="C8" s="217"/>
      <c r="D8" s="216">
        <v>41284</v>
      </c>
      <c r="E8" s="218">
        <v>19.5</v>
      </c>
      <c r="F8" s="216">
        <v>41277</v>
      </c>
      <c r="G8" s="218">
        <v>-19.5</v>
      </c>
      <c r="H8" s="219" t="s">
        <v>52</v>
      </c>
      <c r="I8" s="239" t="s">
        <v>1111</v>
      </c>
      <c r="J8" s="219" t="s">
        <v>96</v>
      </c>
      <c r="K8" s="220" t="str">
        <f>IF(J8&lt;&gt;"",VLOOKUP(J8,PContas!A:B,2,FALSE),"")</f>
        <v>TARIFAS</v>
      </c>
      <c r="L8" s="221">
        <f t="shared" si="0"/>
        <v>10</v>
      </c>
      <c r="M8" s="221" t="str">
        <f t="shared" ca="1" si="1"/>
        <v>2013/01</v>
      </c>
    </row>
    <row r="9" spans="1:13">
      <c r="A9" s="216">
        <v>41277</v>
      </c>
      <c r="B9" s="217"/>
      <c r="C9" s="217"/>
      <c r="D9" s="216">
        <v>41277</v>
      </c>
      <c r="E9" s="218">
        <v>5.68</v>
      </c>
      <c r="F9" s="216">
        <v>41277</v>
      </c>
      <c r="G9" s="218">
        <v>-5.68</v>
      </c>
      <c r="H9" s="219" t="s">
        <v>52</v>
      </c>
      <c r="I9" s="239" t="s">
        <v>1111</v>
      </c>
      <c r="J9" s="219" t="s">
        <v>23</v>
      </c>
      <c r="K9" s="220" t="str">
        <f>IF(J9&lt;&gt;"",VLOOKUP(J9,PContas!A:B,2,FALSE),"")</f>
        <v>SAUDE</v>
      </c>
      <c r="L9" s="221">
        <f t="shared" si="0"/>
        <v>3</v>
      </c>
      <c r="M9" s="221" t="str">
        <f t="shared" ca="1" si="1"/>
        <v>2013/01</v>
      </c>
    </row>
    <row r="10" spans="1:13">
      <c r="A10" s="216">
        <v>41278</v>
      </c>
      <c r="B10" s="217"/>
      <c r="C10" s="217"/>
      <c r="D10" s="216">
        <v>41278</v>
      </c>
      <c r="E10" s="218">
        <v>16.95</v>
      </c>
      <c r="F10" s="216">
        <v>41278</v>
      </c>
      <c r="G10" s="218">
        <v>-16.95</v>
      </c>
      <c r="H10" s="219" t="s">
        <v>52</v>
      </c>
      <c r="I10" s="219" t="s">
        <v>2</v>
      </c>
      <c r="J10" s="219" t="s">
        <v>3</v>
      </c>
      <c r="K10" s="220" t="str">
        <f>IF(J10&lt;&gt;"",VLOOKUP(J10,PContas!A:B,2,FALSE),"")</f>
        <v>ALIMENTAÇÃO</v>
      </c>
      <c r="L10" s="221">
        <f t="shared" si="0"/>
        <v>4</v>
      </c>
      <c r="M10" s="221" t="str">
        <f t="shared" ca="1" si="1"/>
        <v>2013/01</v>
      </c>
    </row>
    <row r="11" spans="1:13">
      <c r="A11" s="216">
        <v>41278</v>
      </c>
      <c r="B11" s="217"/>
      <c r="C11" s="217"/>
      <c r="D11" s="216">
        <v>41278</v>
      </c>
      <c r="E11" s="218">
        <v>3.72</v>
      </c>
      <c r="F11" s="216">
        <v>41278</v>
      </c>
      <c r="G11" s="218">
        <v>-3.72</v>
      </c>
      <c r="H11" s="219" t="s">
        <v>52</v>
      </c>
      <c r="I11" s="239" t="s">
        <v>1111</v>
      </c>
      <c r="J11" s="219" t="s">
        <v>40</v>
      </c>
      <c r="K11" s="220" t="str">
        <f>IF(J11&lt;&gt;"",VLOOKUP(J11,PContas!A:B,2,FALSE),"")</f>
        <v>TARIFAS</v>
      </c>
      <c r="L11" s="221">
        <f t="shared" si="0"/>
        <v>4</v>
      </c>
      <c r="M11" s="221" t="str">
        <f t="shared" ca="1" si="1"/>
        <v>2013/01</v>
      </c>
    </row>
    <row r="12" spans="1:13">
      <c r="A12" s="216">
        <v>41278</v>
      </c>
      <c r="B12" s="217"/>
      <c r="C12" s="217"/>
      <c r="D12" s="216">
        <v>41278</v>
      </c>
      <c r="E12" s="218">
        <v>5.78</v>
      </c>
      <c r="F12" s="216">
        <v>41278</v>
      </c>
      <c r="G12" s="218">
        <v>-5.78</v>
      </c>
      <c r="H12" s="219" t="s">
        <v>52</v>
      </c>
      <c r="I12" s="239" t="s">
        <v>1111</v>
      </c>
      <c r="J12" s="219" t="s">
        <v>23</v>
      </c>
      <c r="K12" s="220" t="str">
        <f>IF(J12&lt;&gt;"",VLOOKUP(J12,PContas!A:B,2,FALSE),"")</f>
        <v>SAUDE</v>
      </c>
      <c r="L12" s="221">
        <f t="shared" si="0"/>
        <v>4</v>
      </c>
      <c r="M12" s="221" t="str">
        <f t="shared" ca="1" si="1"/>
        <v>2013/01</v>
      </c>
    </row>
    <row r="13" spans="1:13">
      <c r="A13" s="216">
        <v>41279</v>
      </c>
      <c r="B13" s="217"/>
      <c r="C13" s="217"/>
      <c r="D13" s="216">
        <v>41279</v>
      </c>
      <c r="E13" s="218">
        <v>8.7100000000000009</v>
      </c>
      <c r="F13" s="216">
        <v>41279</v>
      </c>
      <c r="G13" s="218">
        <v>-8.7100000000000009</v>
      </c>
      <c r="H13" s="219" t="s">
        <v>52</v>
      </c>
      <c r="I13" s="219" t="s">
        <v>2</v>
      </c>
      <c r="J13" s="219" t="s">
        <v>488</v>
      </c>
      <c r="K13" s="220" t="str">
        <f>IF(J13&lt;&gt;"",VLOOKUP(J13,PContas!A:B,2,FALSE),"")</f>
        <v>ALIMENTAÇÃO</v>
      </c>
      <c r="L13" s="221">
        <f t="shared" si="0"/>
        <v>5</v>
      </c>
      <c r="M13" s="221" t="str">
        <f t="shared" ca="1" si="1"/>
        <v>2013/01</v>
      </c>
    </row>
    <row r="14" spans="1:13">
      <c r="A14" s="216">
        <v>41282</v>
      </c>
      <c r="B14" s="217"/>
      <c r="C14" s="217"/>
      <c r="D14" s="216">
        <v>41282</v>
      </c>
      <c r="E14" s="218">
        <v>24.44</v>
      </c>
      <c r="F14" s="216">
        <v>41282</v>
      </c>
      <c r="G14" s="218">
        <v>-24.44</v>
      </c>
      <c r="H14" s="219" t="s">
        <v>52</v>
      </c>
      <c r="I14" s="219" t="s">
        <v>2</v>
      </c>
      <c r="J14" s="219" t="s">
        <v>3</v>
      </c>
      <c r="K14" s="220" t="str">
        <f>IF(J14&lt;&gt;"",VLOOKUP(J14,PContas!A:B,2,FALSE),"")</f>
        <v>ALIMENTAÇÃO</v>
      </c>
      <c r="L14" s="221">
        <f t="shared" si="0"/>
        <v>8</v>
      </c>
      <c r="M14" s="221" t="str">
        <f t="shared" ca="1" si="1"/>
        <v>2013/01</v>
      </c>
    </row>
    <row r="15" spans="1:13">
      <c r="A15" s="216">
        <v>41282</v>
      </c>
      <c r="B15" s="217"/>
      <c r="C15" s="217"/>
      <c r="D15" s="216">
        <v>41282</v>
      </c>
      <c r="E15" s="218">
        <v>4.5</v>
      </c>
      <c r="F15" s="216">
        <v>41282</v>
      </c>
      <c r="G15" s="218">
        <v>-4.5</v>
      </c>
      <c r="H15" s="219" t="s">
        <v>52</v>
      </c>
      <c r="I15" s="239" t="s">
        <v>1111</v>
      </c>
      <c r="J15" s="219" t="s">
        <v>40</v>
      </c>
      <c r="K15" s="220" t="str">
        <f>IF(J15&lt;&gt;"",VLOOKUP(J15,PContas!A:B,2,FALSE),"")</f>
        <v>TARIFAS</v>
      </c>
      <c r="L15" s="221">
        <f t="shared" si="0"/>
        <v>8</v>
      </c>
      <c r="M15" s="221" t="str">
        <f t="shared" ca="1" si="1"/>
        <v>2013/01</v>
      </c>
    </row>
    <row r="16" spans="1:13">
      <c r="A16" s="216">
        <v>41283</v>
      </c>
      <c r="B16" s="217"/>
      <c r="C16" s="217"/>
      <c r="D16" s="216">
        <v>41283</v>
      </c>
      <c r="E16" s="218">
        <v>10.93</v>
      </c>
      <c r="F16" s="216">
        <v>41283</v>
      </c>
      <c r="G16" s="218">
        <v>-10.93</v>
      </c>
      <c r="H16" s="219" t="s">
        <v>52</v>
      </c>
      <c r="I16" s="219" t="s">
        <v>2</v>
      </c>
      <c r="J16" s="219" t="s">
        <v>3</v>
      </c>
      <c r="K16" s="220" t="str">
        <f>IF(J16&lt;&gt;"",VLOOKUP(J16,PContas!A:B,2,FALSE),"")</f>
        <v>ALIMENTAÇÃO</v>
      </c>
      <c r="L16" s="221">
        <f t="shared" si="0"/>
        <v>9</v>
      </c>
      <c r="M16" s="221" t="str">
        <f t="shared" ca="1" si="1"/>
        <v>2013/01</v>
      </c>
    </row>
    <row r="17" spans="1:13">
      <c r="A17" s="216">
        <v>41284</v>
      </c>
      <c r="B17" s="217"/>
      <c r="C17" s="217"/>
      <c r="D17" s="216">
        <v>41284</v>
      </c>
      <c r="E17" s="218">
        <v>2.4500000000000002</v>
      </c>
      <c r="F17" s="216">
        <v>41284</v>
      </c>
      <c r="G17" s="218">
        <v>-2.4500000000000002</v>
      </c>
      <c r="H17" s="219" t="s">
        <v>52</v>
      </c>
      <c r="I17" s="219" t="s">
        <v>2</v>
      </c>
      <c r="J17" s="219" t="s">
        <v>488</v>
      </c>
      <c r="K17" s="220" t="str">
        <f>IF(J17&lt;&gt;"",VLOOKUP(J17,PContas!A:B,2,FALSE),"")</f>
        <v>ALIMENTAÇÃO</v>
      </c>
      <c r="L17" s="221">
        <f t="shared" si="0"/>
        <v>10</v>
      </c>
      <c r="M17" s="221" t="str">
        <f t="shared" ca="1" si="1"/>
        <v>2013/01</v>
      </c>
    </row>
    <row r="18" spans="1:13">
      <c r="A18" s="216">
        <v>41284</v>
      </c>
      <c r="B18" s="217"/>
      <c r="C18" s="217"/>
      <c r="D18" s="216">
        <v>41284</v>
      </c>
      <c r="E18" s="218">
        <v>10.9</v>
      </c>
      <c r="F18" s="216">
        <v>41284</v>
      </c>
      <c r="G18" s="218">
        <v>-10.9</v>
      </c>
      <c r="H18" s="219" t="s">
        <v>52</v>
      </c>
      <c r="I18" s="219" t="s">
        <v>2</v>
      </c>
      <c r="J18" s="219" t="s">
        <v>488</v>
      </c>
      <c r="K18" s="220" t="str">
        <f>IF(J18&lt;&gt;"",VLOOKUP(J18,PContas!A:B,2,FALSE),"")</f>
        <v>ALIMENTAÇÃO</v>
      </c>
      <c r="L18" s="221">
        <f t="shared" si="0"/>
        <v>10</v>
      </c>
      <c r="M18" s="221" t="str">
        <f t="shared" ca="1" si="1"/>
        <v>2013/01</v>
      </c>
    </row>
    <row r="19" spans="1:13">
      <c r="A19" s="216">
        <v>41284</v>
      </c>
      <c r="B19" s="217"/>
      <c r="C19" s="217"/>
      <c r="D19" s="216">
        <v>41284</v>
      </c>
      <c r="E19" s="218">
        <v>9</v>
      </c>
      <c r="F19" s="216">
        <v>41284</v>
      </c>
      <c r="G19" s="218">
        <v>-9</v>
      </c>
      <c r="H19" s="219" t="s">
        <v>52</v>
      </c>
      <c r="I19" s="239" t="s">
        <v>1111</v>
      </c>
      <c r="J19" s="219" t="s">
        <v>40</v>
      </c>
      <c r="K19" s="220" t="str">
        <f>IF(J19&lt;&gt;"",VLOOKUP(J19,PContas!A:B,2,FALSE),"")</f>
        <v>TARIFAS</v>
      </c>
      <c r="L19" s="221">
        <f t="shared" si="0"/>
        <v>10</v>
      </c>
      <c r="M19" s="221" t="str">
        <f t="shared" ca="1" si="1"/>
        <v>2013/01</v>
      </c>
    </row>
    <row r="20" spans="1:13">
      <c r="A20" s="216">
        <v>41291</v>
      </c>
      <c r="B20" s="217"/>
      <c r="C20" s="217"/>
      <c r="D20" s="216">
        <v>41291</v>
      </c>
      <c r="E20" s="218">
        <v>4.04</v>
      </c>
      <c r="F20" s="216">
        <v>41291</v>
      </c>
      <c r="G20" s="218">
        <v>-4.04</v>
      </c>
      <c r="H20" s="219" t="s">
        <v>52</v>
      </c>
      <c r="I20" s="219" t="s">
        <v>2</v>
      </c>
      <c r="J20" s="219" t="s">
        <v>488</v>
      </c>
      <c r="K20" s="220" t="str">
        <f>IF(J20&lt;&gt;"",VLOOKUP(J20,PContas!A:B,2,FALSE),"")</f>
        <v>ALIMENTAÇÃO</v>
      </c>
      <c r="L20" s="221">
        <f t="shared" si="0"/>
        <v>17</v>
      </c>
      <c r="M20" s="221" t="str">
        <f t="shared" ca="1" si="1"/>
        <v>2013/01</v>
      </c>
    </row>
    <row r="21" spans="1:13">
      <c r="A21" s="216">
        <v>41291</v>
      </c>
      <c r="B21" s="217"/>
      <c r="C21" s="217"/>
      <c r="D21" s="216">
        <v>41291</v>
      </c>
      <c r="E21" s="218">
        <v>11.16</v>
      </c>
      <c r="F21" s="216">
        <v>41291</v>
      </c>
      <c r="G21" s="218">
        <v>-11.16</v>
      </c>
      <c r="H21" s="219" t="s">
        <v>52</v>
      </c>
      <c r="I21" s="239" t="s">
        <v>1111</v>
      </c>
      <c r="J21" s="219" t="s">
        <v>40</v>
      </c>
      <c r="K21" s="220" t="str">
        <f>IF(J21&lt;&gt;"",VLOOKUP(J21,PContas!A:B,2,FALSE),"")</f>
        <v>TARIFAS</v>
      </c>
      <c r="L21" s="221">
        <f t="shared" si="0"/>
        <v>17</v>
      </c>
      <c r="M21" s="221" t="str">
        <f t="shared" ca="1" si="1"/>
        <v>2013/01</v>
      </c>
    </row>
    <row r="22" spans="1:13">
      <c r="A22" s="216">
        <v>41292</v>
      </c>
      <c r="B22" s="217"/>
      <c r="C22" s="217"/>
      <c r="D22" s="216">
        <v>41292</v>
      </c>
      <c r="E22" s="218">
        <v>15.5</v>
      </c>
      <c r="F22" s="216">
        <v>41292</v>
      </c>
      <c r="G22" s="218">
        <v>-15.5</v>
      </c>
      <c r="H22" s="219" t="s">
        <v>52</v>
      </c>
      <c r="I22" s="219" t="s">
        <v>2</v>
      </c>
      <c r="J22" s="219" t="s">
        <v>488</v>
      </c>
      <c r="K22" s="220" t="str">
        <f>IF(J22&lt;&gt;"",VLOOKUP(J22,PContas!A:B,2,FALSE),"")</f>
        <v>ALIMENTAÇÃO</v>
      </c>
      <c r="L22" s="221">
        <f t="shared" si="0"/>
        <v>18</v>
      </c>
      <c r="M22" s="221" t="str">
        <f t="shared" ca="1" si="1"/>
        <v>2013/01</v>
      </c>
    </row>
    <row r="23" spans="1:13">
      <c r="A23" s="216">
        <v>41292</v>
      </c>
      <c r="B23" s="217"/>
      <c r="C23" s="217"/>
      <c r="D23" s="216">
        <v>41292</v>
      </c>
      <c r="E23" s="218">
        <v>3.09</v>
      </c>
      <c r="F23" s="216">
        <v>41292</v>
      </c>
      <c r="G23" s="218">
        <v>-3.09</v>
      </c>
      <c r="H23" s="219" t="s">
        <v>52</v>
      </c>
      <c r="I23" s="219" t="s">
        <v>2</v>
      </c>
      <c r="J23" s="219" t="s">
        <v>488</v>
      </c>
      <c r="K23" s="220" t="str">
        <f>IF(J23&lt;&gt;"",VLOOKUP(J23,PContas!A:B,2,FALSE),"")</f>
        <v>ALIMENTAÇÃO</v>
      </c>
      <c r="L23" s="221">
        <f t="shared" si="0"/>
        <v>18</v>
      </c>
      <c r="M23" s="221" t="str">
        <f t="shared" ca="1" si="1"/>
        <v>2013/01</v>
      </c>
    </row>
    <row r="24" spans="1:13">
      <c r="A24" s="216">
        <v>41294</v>
      </c>
      <c r="B24" s="217"/>
      <c r="C24" s="217"/>
      <c r="D24" s="216">
        <v>41294</v>
      </c>
      <c r="E24" s="218">
        <v>11.89</v>
      </c>
      <c r="F24" s="216">
        <v>41294</v>
      </c>
      <c r="G24" s="218">
        <v>-11.89</v>
      </c>
      <c r="H24" s="219" t="s">
        <v>52</v>
      </c>
      <c r="I24" s="219" t="s">
        <v>2</v>
      </c>
      <c r="J24" s="219" t="s">
        <v>488</v>
      </c>
      <c r="K24" s="220" t="str">
        <f>IF(J24&lt;&gt;"",VLOOKUP(J24,PContas!A:B,2,FALSE),"")</f>
        <v>ALIMENTAÇÃO</v>
      </c>
      <c r="L24" s="221">
        <f t="shared" si="0"/>
        <v>20</v>
      </c>
      <c r="M24" s="221" t="str">
        <f t="shared" ca="1" si="1"/>
        <v>2013/01</v>
      </c>
    </row>
    <row r="25" spans="1:13">
      <c r="A25" s="216">
        <v>41295</v>
      </c>
      <c r="B25" s="217"/>
      <c r="C25" s="217"/>
      <c r="D25" s="216">
        <v>41295</v>
      </c>
      <c r="E25" s="218">
        <v>34.450000000000003</v>
      </c>
      <c r="F25" s="216">
        <v>41295</v>
      </c>
      <c r="G25" s="218">
        <v>-34.450000000000003</v>
      </c>
      <c r="H25" s="219" t="s">
        <v>52</v>
      </c>
      <c r="I25" s="239" t="s">
        <v>1111</v>
      </c>
      <c r="J25" s="219" t="s">
        <v>23</v>
      </c>
      <c r="K25" s="220" t="str">
        <f>IF(J25&lt;&gt;"",VLOOKUP(J25,PContas!A:B,2,FALSE),"")</f>
        <v>SAUDE</v>
      </c>
      <c r="L25" s="221">
        <f t="shared" si="0"/>
        <v>21</v>
      </c>
      <c r="M25" s="221" t="str">
        <f t="shared" ca="1" si="1"/>
        <v>2013/01</v>
      </c>
    </row>
    <row r="26" spans="1:13">
      <c r="A26" s="216">
        <v>41296</v>
      </c>
      <c r="B26" s="217"/>
      <c r="C26" s="217"/>
      <c r="D26" s="216">
        <v>41296</v>
      </c>
      <c r="E26" s="218">
        <v>5.17</v>
      </c>
      <c r="F26" s="216">
        <v>41296</v>
      </c>
      <c r="G26" s="218">
        <v>-5.17</v>
      </c>
      <c r="H26" s="219" t="s">
        <v>52</v>
      </c>
      <c r="I26" s="219" t="s">
        <v>2</v>
      </c>
      <c r="J26" s="219" t="s">
        <v>488</v>
      </c>
      <c r="K26" s="220" t="str">
        <f>IF(J26&lt;&gt;"",VLOOKUP(J26,PContas!A:B,2,FALSE),"")</f>
        <v>ALIMENTAÇÃO</v>
      </c>
      <c r="L26" s="221">
        <f t="shared" si="0"/>
        <v>22</v>
      </c>
      <c r="M26" s="221" t="str">
        <f t="shared" ca="1" si="1"/>
        <v>2013/01</v>
      </c>
    </row>
    <row r="27" spans="1:13">
      <c r="A27" s="216">
        <v>41296</v>
      </c>
      <c r="B27" s="217"/>
      <c r="C27" s="217"/>
      <c r="D27" s="216">
        <v>41296</v>
      </c>
      <c r="E27" s="218">
        <v>16</v>
      </c>
      <c r="F27" s="216">
        <v>41296</v>
      </c>
      <c r="G27" s="218">
        <v>-16</v>
      </c>
      <c r="H27" s="219" t="s">
        <v>52</v>
      </c>
      <c r="I27" s="219" t="s">
        <v>2</v>
      </c>
      <c r="J27" s="219" t="s">
        <v>488</v>
      </c>
      <c r="K27" s="220" t="str">
        <f>IF(J27&lt;&gt;"",VLOOKUP(J27,PContas!A:B,2,FALSE),"")</f>
        <v>ALIMENTAÇÃO</v>
      </c>
      <c r="L27" s="221">
        <f t="shared" si="0"/>
        <v>22</v>
      </c>
      <c r="M27" s="221" t="str">
        <f t="shared" ca="1" si="1"/>
        <v>2013/01</v>
      </c>
    </row>
    <row r="28" spans="1:13">
      <c r="A28" s="216">
        <v>41296</v>
      </c>
      <c r="B28" s="217"/>
      <c r="C28" s="217"/>
      <c r="D28" s="216">
        <v>41296</v>
      </c>
      <c r="E28" s="218">
        <v>4</v>
      </c>
      <c r="F28" s="216">
        <v>41296</v>
      </c>
      <c r="G28" s="218">
        <v>-4</v>
      </c>
      <c r="H28" s="219" t="s">
        <v>52</v>
      </c>
      <c r="I28" s="219" t="s">
        <v>2</v>
      </c>
      <c r="J28" s="219" t="s">
        <v>488</v>
      </c>
      <c r="K28" s="220" t="str">
        <f>IF(J28&lt;&gt;"",VLOOKUP(J28,PContas!A:B,2,FALSE),"")</f>
        <v>ALIMENTAÇÃO</v>
      </c>
      <c r="L28" s="221">
        <f t="shared" si="0"/>
        <v>22</v>
      </c>
      <c r="M28" s="221" t="str">
        <f t="shared" ca="1" si="1"/>
        <v>2013/01</v>
      </c>
    </row>
    <row r="29" spans="1:13">
      <c r="A29" s="216">
        <v>41296</v>
      </c>
      <c r="B29" s="217"/>
      <c r="C29" s="217"/>
      <c r="D29" s="216">
        <v>41296</v>
      </c>
      <c r="E29" s="218">
        <v>5</v>
      </c>
      <c r="F29" s="216">
        <v>41296</v>
      </c>
      <c r="G29" s="218">
        <v>-5</v>
      </c>
      <c r="H29" s="219" t="s">
        <v>52</v>
      </c>
      <c r="I29" s="219" t="s">
        <v>2</v>
      </c>
      <c r="J29" s="219" t="s">
        <v>488</v>
      </c>
      <c r="K29" s="220" t="str">
        <f>IF(J29&lt;&gt;"",VLOOKUP(J29,PContas!A:B,2,FALSE),"")</f>
        <v>ALIMENTAÇÃO</v>
      </c>
      <c r="L29" s="221">
        <f t="shared" si="0"/>
        <v>22</v>
      </c>
      <c r="M29" s="221" t="str">
        <f t="shared" ca="1" si="1"/>
        <v>2013/01</v>
      </c>
    </row>
    <row r="30" spans="1:13">
      <c r="A30" s="216">
        <v>41296</v>
      </c>
      <c r="B30" s="217"/>
      <c r="C30" s="217"/>
      <c r="D30" s="216">
        <v>41296</v>
      </c>
      <c r="E30" s="218">
        <v>1.65</v>
      </c>
      <c r="F30" s="216">
        <v>41296</v>
      </c>
      <c r="G30" s="218">
        <v>-1.65</v>
      </c>
      <c r="H30" s="219" t="s">
        <v>52</v>
      </c>
      <c r="I30" s="219" t="s">
        <v>2</v>
      </c>
      <c r="J30" s="219" t="s">
        <v>488</v>
      </c>
      <c r="K30" s="220" t="str">
        <f>IF(J30&lt;&gt;"",VLOOKUP(J30,PContas!A:B,2,FALSE),"")</f>
        <v>ALIMENTAÇÃO</v>
      </c>
      <c r="L30" s="221">
        <f t="shared" si="0"/>
        <v>22</v>
      </c>
      <c r="M30" s="221" t="str">
        <f t="shared" ca="1" si="1"/>
        <v>2013/01</v>
      </c>
    </row>
    <row r="31" spans="1:13">
      <c r="A31" s="216">
        <v>41296</v>
      </c>
      <c r="B31" s="217"/>
      <c r="C31" s="217"/>
      <c r="D31" s="216">
        <v>41296</v>
      </c>
      <c r="E31" s="218">
        <v>3.72</v>
      </c>
      <c r="F31" s="216">
        <v>41296</v>
      </c>
      <c r="G31" s="218">
        <v>-3.72</v>
      </c>
      <c r="H31" s="219" t="s">
        <v>52</v>
      </c>
      <c r="I31" s="239" t="s">
        <v>1111</v>
      </c>
      <c r="J31" s="219" t="s">
        <v>40</v>
      </c>
      <c r="K31" s="220" t="str">
        <f>IF(J31&lt;&gt;"",VLOOKUP(J31,PContas!A:B,2,FALSE),"")</f>
        <v>TARIFAS</v>
      </c>
      <c r="L31" s="221">
        <f t="shared" si="0"/>
        <v>22</v>
      </c>
      <c r="M31" s="221" t="str">
        <f t="shared" ca="1" si="1"/>
        <v>2013/01</v>
      </c>
    </row>
    <row r="32" spans="1:13">
      <c r="A32" s="216">
        <v>41297</v>
      </c>
      <c r="B32" s="217"/>
      <c r="C32" s="217"/>
      <c r="D32" s="216">
        <v>41297</v>
      </c>
      <c r="E32" s="218">
        <v>3.72</v>
      </c>
      <c r="F32" s="216">
        <v>41297</v>
      </c>
      <c r="G32" s="218">
        <v>-3.72</v>
      </c>
      <c r="H32" s="219" t="s">
        <v>52</v>
      </c>
      <c r="I32" s="239" t="s">
        <v>1111</v>
      </c>
      <c r="J32" s="219" t="s">
        <v>40</v>
      </c>
      <c r="K32" s="220" t="str">
        <f>IF(J32&lt;&gt;"",VLOOKUP(J32,PContas!A:B,2,FALSE),"")</f>
        <v>TARIFAS</v>
      </c>
      <c r="L32" s="221">
        <f t="shared" si="0"/>
        <v>23</v>
      </c>
      <c r="M32" s="221" t="str">
        <f t="shared" ca="1" si="1"/>
        <v>2013/01</v>
      </c>
    </row>
    <row r="33" spans="1:13">
      <c r="A33" s="216">
        <v>41298</v>
      </c>
      <c r="B33" s="217"/>
      <c r="C33" s="217"/>
      <c r="D33" s="216">
        <v>41298</v>
      </c>
      <c r="E33" s="218">
        <v>15.66</v>
      </c>
      <c r="F33" s="216">
        <v>41298</v>
      </c>
      <c r="G33" s="218">
        <v>-15.66</v>
      </c>
      <c r="H33" s="219" t="s">
        <v>52</v>
      </c>
      <c r="I33" s="219" t="s">
        <v>2</v>
      </c>
      <c r="J33" s="219" t="s">
        <v>3</v>
      </c>
      <c r="K33" s="220" t="str">
        <f>IF(J33&lt;&gt;"",VLOOKUP(J33,PContas!A:B,2,FALSE),"")</f>
        <v>ALIMENTAÇÃO</v>
      </c>
      <c r="L33" s="221">
        <f t="shared" si="0"/>
        <v>24</v>
      </c>
      <c r="M33" s="221" t="str">
        <f t="shared" ca="1" si="1"/>
        <v>2013/01</v>
      </c>
    </row>
    <row r="34" spans="1:13">
      <c r="A34" s="216">
        <v>41298</v>
      </c>
      <c r="B34" s="217"/>
      <c r="C34" s="217"/>
      <c r="D34" s="216">
        <v>41298</v>
      </c>
      <c r="E34" s="218">
        <v>22</v>
      </c>
      <c r="F34" s="216">
        <v>41298</v>
      </c>
      <c r="G34" s="218">
        <v>-22</v>
      </c>
      <c r="H34" s="219" t="s">
        <v>52</v>
      </c>
      <c r="I34" s="219" t="s">
        <v>2</v>
      </c>
      <c r="J34" s="219" t="s">
        <v>488</v>
      </c>
      <c r="K34" s="220" t="str">
        <f>IF(J34&lt;&gt;"",VLOOKUP(J34,PContas!A:B,2,FALSE),"")</f>
        <v>ALIMENTAÇÃO</v>
      </c>
      <c r="L34" s="221">
        <f t="shared" si="0"/>
        <v>24</v>
      </c>
      <c r="M34" s="221" t="str">
        <f t="shared" ca="1" si="1"/>
        <v>2013/01</v>
      </c>
    </row>
    <row r="35" spans="1:13">
      <c r="A35" s="216">
        <v>41298</v>
      </c>
      <c r="B35" s="217"/>
      <c r="C35" s="217"/>
      <c r="D35" s="216">
        <v>41298</v>
      </c>
      <c r="E35" s="218">
        <v>5</v>
      </c>
      <c r="F35" s="216">
        <v>41298</v>
      </c>
      <c r="G35" s="218">
        <v>-5</v>
      </c>
      <c r="H35" s="219" t="s">
        <v>52</v>
      </c>
      <c r="I35" s="219" t="s">
        <v>2</v>
      </c>
      <c r="J35" s="219" t="s">
        <v>488</v>
      </c>
      <c r="K35" s="220" t="str">
        <f>IF(J35&lt;&gt;"",VLOOKUP(J35,PContas!A:B,2,FALSE),"")</f>
        <v>ALIMENTAÇÃO</v>
      </c>
      <c r="L35" s="221">
        <f t="shared" si="0"/>
        <v>24</v>
      </c>
      <c r="M35" s="221" t="str">
        <f t="shared" ca="1" si="1"/>
        <v>2013/01</v>
      </c>
    </row>
    <row r="36" spans="1:13">
      <c r="A36" s="216">
        <v>41302</v>
      </c>
      <c r="B36" s="217"/>
      <c r="C36" s="217"/>
      <c r="D36" s="216">
        <v>41302</v>
      </c>
      <c r="E36" s="218">
        <v>40</v>
      </c>
      <c r="F36" s="216">
        <v>41302</v>
      </c>
      <c r="G36" s="218">
        <v>-40</v>
      </c>
      <c r="H36" s="219" t="s">
        <v>52</v>
      </c>
      <c r="I36" s="219" t="s">
        <v>2</v>
      </c>
      <c r="J36" s="219" t="s">
        <v>3</v>
      </c>
      <c r="K36" s="220" t="str">
        <f>IF(J36&lt;&gt;"",VLOOKUP(J36,PContas!A:B,2,FALSE),"")</f>
        <v>ALIMENTAÇÃO</v>
      </c>
      <c r="L36" s="221">
        <f t="shared" si="0"/>
        <v>28</v>
      </c>
      <c r="M36" s="221" t="str">
        <f t="shared" ca="1" si="1"/>
        <v>2013/01</v>
      </c>
    </row>
    <row r="37" spans="1:13">
      <c r="A37" s="216">
        <v>41302</v>
      </c>
      <c r="B37" s="217"/>
      <c r="C37" s="217"/>
      <c r="D37" s="216">
        <v>41302</v>
      </c>
      <c r="E37" s="218">
        <v>22</v>
      </c>
      <c r="F37" s="216">
        <v>41302</v>
      </c>
      <c r="G37" s="218">
        <v>-22</v>
      </c>
      <c r="H37" s="219" t="s">
        <v>52</v>
      </c>
      <c r="I37" s="219" t="s">
        <v>2</v>
      </c>
      <c r="J37" s="219" t="s">
        <v>488</v>
      </c>
      <c r="K37" s="220" t="str">
        <f>IF(J37&lt;&gt;"",VLOOKUP(J37,PContas!A:B,2,FALSE),"")</f>
        <v>ALIMENTAÇÃO</v>
      </c>
      <c r="L37" s="221">
        <f t="shared" si="0"/>
        <v>28</v>
      </c>
      <c r="M37" s="221" t="str">
        <f t="shared" ca="1" si="1"/>
        <v>2013/01</v>
      </c>
    </row>
    <row r="38" spans="1:13">
      <c r="A38" s="216">
        <v>41305</v>
      </c>
      <c r="B38" s="217" t="s">
        <v>773</v>
      </c>
      <c r="C38" s="217"/>
      <c r="D38" s="216">
        <v>41305</v>
      </c>
      <c r="E38" s="218">
        <v>2000</v>
      </c>
      <c r="F38" s="216">
        <v>41305</v>
      </c>
      <c r="G38" s="218">
        <v>2000</v>
      </c>
      <c r="H38" s="219" t="s">
        <v>71</v>
      </c>
      <c r="I38" s="219" t="s">
        <v>2</v>
      </c>
      <c r="J38" s="219" t="s">
        <v>63</v>
      </c>
      <c r="K38" s="220" t="str">
        <f>IF(J38&lt;&gt;"",VLOOKUP(J38,PContas!A:B,2,FALSE),"")</f>
        <v>CLIENTES</v>
      </c>
      <c r="L38" s="221">
        <f t="shared" si="0"/>
        <v>31</v>
      </c>
      <c r="M38" s="221" t="str">
        <f t="shared" ca="1" si="1"/>
        <v>2013/01</v>
      </c>
    </row>
    <row r="39" spans="1:13">
      <c r="A39" s="216">
        <v>41305</v>
      </c>
      <c r="B39" s="217"/>
      <c r="C39" s="217"/>
      <c r="D39" s="216">
        <v>41305</v>
      </c>
      <c r="E39" s="218">
        <v>902.09</v>
      </c>
      <c r="F39" s="216">
        <v>41305</v>
      </c>
      <c r="G39" s="218">
        <v>-902.09</v>
      </c>
      <c r="H39" s="219" t="s">
        <v>52</v>
      </c>
      <c r="I39" s="219" t="s">
        <v>2</v>
      </c>
      <c r="J39" s="219" t="s">
        <v>3</v>
      </c>
      <c r="K39" s="220" t="str">
        <f>IF(J39&lt;&gt;"",VLOOKUP(J39,PContas!A:B,2,FALSE),"")</f>
        <v>ALIMENTAÇÃO</v>
      </c>
      <c r="L39" s="221">
        <f t="shared" si="0"/>
        <v>31</v>
      </c>
      <c r="M39" s="221" t="str">
        <f t="shared" ca="1" si="1"/>
        <v>2013/01</v>
      </c>
    </row>
    <row r="40" spans="1:13">
      <c r="A40" s="216">
        <v>41305</v>
      </c>
      <c r="B40" s="217"/>
      <c r="C40" s="217"/>
      <c r="D40" s="216">
        <v>41305</v>
      </c>
      <c r="E40" s="218">
        <v>22</v>
      </c>
      <c r="F40" s="216">
        <v>41305</v>
      </c>
      <c r="G40" s="218">
        <v>-22</v>
      </c>
      <c r="H40" s="219" t="s">
        <v>52</v>
      </c>
      <c r="I40" s="219" t="s">
        <v>2</v>
      </c>
      <c r="J40" s="219" t="s">
        <v>488</v>
      </c>
      <c r="K40" s="220" t="str">
        <f>IF(J40&lt;&gt;"",VLOOKUP(J40,PContas!A:B,2,FALSE),"")</f>
        <v>ALIMENTAÇÃO</v>
      </c>
      <c r="L40" s="221">
        <f t="shared" si="0"/>
        <v>31</v>
      </c>
      <c r="M40" s="221" t="str">
        <f t="shared" ca="1" si="1"/>
        <v>2013/01</v>
      </c>
    </row>
    <row r="41" spans="1:13">
      <c r="A41" s="216">
        <v>41305</v>
      </c>
      <c r="B41" s="217"/>
      <c r="C41" s="217"/>
      <c r="D41" s="216">
        <v>41305</v>
      </c>
      <c r="E41" s="218">
        <v>3.72</v>
      </c>
      <c r="F41" s="216">
        <v>41305</v>
      </c>
      <c r="G41" s="218">
        <v>-3.72</v>
      </c>
      <c r="H41" s="219" t="s">
        <v>52</v>
      </c>
      <c r="I41" s="239" t="s">
        <v>1111</v>
      </c>
      <c r="J41" s="219" t="s">
        <v>40</v>
      </c>
      <c r="K41" s="220" t="str">
        <f>IF(J41&lt;&gt;"",VLOOKUP(J41,PContas!A:B,2,FALSE),"")</f>
        <v>TARIFAS</v>
      </c>
      <c r="L41" s="221">
        <f t="shared" si="0"/>
        <v>31</v>
      </c>
      <c r="M41" s="221" t="str">
        <f t="shared" ca="1" si="1"/>
        <v>2013/01</v>
      </c>
    </row>
    <row r="42" spans="1:13">
      <c r="A42" s="216">
        <v>41305</v>
      </c>
      <c r="B42" s="217"/>
      <c r="C42" s="217"/>
      <c r="D42" s="216">
        <v>41275</v>
      </c>
      <c r="E42" s="218">
        <v>65</v>
      </c>
      <c r="F42" s="216">
        <v>41275</v>
      </c>
      <c r="G42" s="218">
        <v>-65</v>
      </c>
      <c r="H42" s="219" t="s">
        <v>52</v>
      </c>
      <c r="I42" s="219" t="s">
        <v>2</v>
      </c>
      <c r="J42" s="219" t="s">
        <v>90</v>
      </c>
      <c r="K42" s="220" t="str">
        <f>IF(J42&lt;&gt;"",VLOOKUP(J42,PContas!A:B,2,FALSE),"")</f>
        <v>ALIMENTAÇÃO</v>
      </c>
      <c r="L42" s="221">
        <f t="shared" si="0"/>
        <v>1</v>
      </c>
      <c r="M42" s="221" t="str">
        <f t="shared" ca="1" si="1"/>
        <v>2013/01</v>
      </c>
    </row>
    <row r="43" spans="1:13">
      <c r="A43" s="216">
        <v>41306</v>
      </c>
      <c r="B43" s="217"/>
      <c r="C43" s="217"/>
      <c r="D43" s="216">
        <v>41306</v>
      </c>
      <c r="E43" s="218">
        <v>67.8</v>
      </c>
      <c r="F43" s="216">
        <v>41306</v>
      </c>
      <c r="G43" s="218">
        <v>-67.8</v>
      </c>
      <c r="H43" s="219" t="s">
        <v>52</v>
      </c>
      <c r="I43" s="219" t="s">
        <v>2</v>
      </c>
      <c r="J43" s="219" t="s">
        <v>3</v>
      </c>
      <c r="K43" s="220" t="str">
        <f>IF(J43&lt;&gt;"",VLOOKUP(J43,PContas!A:B,2,FALSE),"")</f>
        <v>ALIMENTAÇÃO</v>
      </c>
      <c r="L43" s="221">
        <f t="shared" si="0"/>
        <v>1</v>
      </c>
      <c r="M43" s="221" t="str">
        <f t="shared" ca="1" si="1"/>
        <v>2013/02</v>
      </c>
    </row>
    <row r="44" spans="1:13">
      <c r="A44" s="216">
        <v>41306</v>
      </c>
      <c r="B44" s="217"/>
      <c r="C44" s="217"/>
      <c r="D44" s="216">
        <v>41306</v>
      </c>
      <c r="E44" s="218">
        <v>8.6</v>
      </c>
      <c r="F44" s="216">
        <v>41334</v>
      </c>
      <c r="G44" s="218">
        <v>-8.6</v>
      </c>
      <c r="H44" s="219" t="s">
        <v>52</v>
      </c>
      <c r="I44" s="219" t="s">
        <v>2</v>
      </c>
      <c r="J44" s="219" t="s">
        <v>488</v>
      </c>
      <c r="K44" s="220" t="str">
        <f>IF(J44&lt;&gt;"",VLOOKUP(J44,PContas!A:B,2,FALSE),"")</f>
        <v>ALIMENTAÇÃO</v>
      </c>
      <c r="L44" s="221">
        <f t="shared" si="0"/>
        <v>1</v>
      </c>
      <c r="M44" s="221" t="str">
        <f t="shared" ca="1" si="1"/>
        <v>2013/02</v>
      </c>
    </row>
    <row r="45" spans="1:13">
      <c r="A45" s="216">
        <v>41306</v>
      </c>
      <c r="B45" s="217"/>
      <c r="C45" s="217"/>
      <c r="D45" s="216">
        <v>41306</v>
      </c>
      <c r="E45" s="218">
        <v>0.05</v>
      </c>
      <c r="F45" s="216">
        <v>41365</v>
      </c>
      <c r="G45" s="218">
        <v>-0.05</v>
      </c>
      <c r="H45" s="219" t="s">
        <v>52</v>
      </c>
      <c r="I45" s="239" t="s">
        <v>1111</v>
      </c>
      <c r="J45" s="219" t="s">
        <v>40</v>
      </c>
      <c r="K45" s="220" t="str">
        <f>IF(J45&lt;&gt;"",VLOOKUP(J45,PContas!A:B,2,FALSE),"")</f>
        <v>TARIFAS</v>
      </c>
      <c r="L45" s="221">
        <f t="shared" si="0"/>
        <v>1</v>
      </c>
      <c r="M45" s="221" t="str">
        <f t="shared" ca="1" si="1"/>
        <v>2013/02</v>
      </c>
    </row>
    <row r="46" spans="1:13">
      <c r="A46" s="216">
        <v>41308</v>
      </c>
      <c r="B46" s="217"/>
      <c r="C46" s="217"/>
      <c r="D46" s="216">
        <v>41308</v>
      </c>
      <c r="E46" s="218">
        <v>19.690000000000001</v>
      </c>
      <c r="F46" s="216">
        <v>41395</v>
      </c>
      <c r="G46" s="218">
        <v>-19.690000000000001</v>
      </c>
      <c r="H46" s="219" t="s">
        <v>52</v>
      </c>
      <c r="I46" s="239" t="s">
        <v>1111</v>
      </c>
      <c r="J46" s="219" t="s">
        <v>23</v>
      </c>
      <c r="K46" s="220" t="str">
        <f>IF(J46&lt;&gt;"",VLOOKUP(J46,PContas!A:B,2,FALSE),"")</f>
        <v>SAUDE</v>
      </c>
      <c r="L46" s="221">
        <f t="shared" si="0"/>
        <v>3</v>
      </c>
      <c r="M46" s="221" t="str">
        <f t="shared" ca="1" si="1"/>
        <v>2013/02</v>
      </c>
    </row>
    <row r="47" spans="1:13">
      <c r="A47" s="216">
        <v>41309</v>
      </c>
      <c r="B47" s="217"/>
      <c r="C47" s="217"/>
      <c r="D47" s="216">
        <v>41309</v>
      </c>
      <c r="E47" s="218">
        <v>27.29</v>
      </c>
      <c r="F47" s="216">
        <v>41426</v>
      </c>
      <c r="G47" s="218">
        <v>-27.29</v>
      </c>
      <c r="H47" s="219" t="s">
        <v>52</v>
      </c>
      <c r="I47" s="219" t="s">
        <v>2</v>
      </c>
      <c r="J47" s="219" t="s">
        <v>3</v>
      </c>
      <c r="K47" s="220" t="str">
        <f>IF(J47&lt;&gt;"",VLOOKUP(J47,PContas!A:B,2,FALSE),"")</f>
        <v>ALIMENTAÇÃO</v>
      </c>
      <c r="L47" s="221">
        <f t="shared" si="0"/>
        <v>4</v>
      </c>
      <c r="M47" s="221" t="str">
        <f t="shared" ca="1" si="1"/>
        <v>2013/02</v>
      </c>
    </row>
    <row r="48" spans="1:13">
      <c r="A48" s="216">
        <v>41309</v>
      </c>
      <c r="B48" s="217"/>
      <c r="C48" s="217"/>
      <c r="D48" s="216">
        <v>41309</v>
      </c>
      <c r="E48" s="218">
        <v>66.55</v>
      </c>
      <c r="F48" s="216">
        <v>41456</v>
      </c>
      <c r="G48" s="218">
        <v>-66.55</v>
      </c>
      <c r="H48" s="219" t="s">
        <v>52</v>
      </c>
      <c r="I48" s="219" t="s">
        <v>2</v>
      </c>
      <c r="J48" s="219" t="s">
        <v>3</v>
      </c>
      <c r="K48" s="220" t="str">
        <f>IF(J48&lt;&gt;"",VLOOKUP(J48,PContas!A:B,2,FALSE),"")</f>
        <v>ALIMENTAÇÃO</v>
      </c>
      <c r="L48" s="221">
        <f t="shared" si="0"/>
        <v>4</v>
      </c>
      <c r="M48" s="221" t="str">
        <f t="shared" ca="1" si="1"/>
        <v>2013/02</v>
      </c>
    </row>
    <row r="49" spans="1:13">
      <c r="A49" s="216">
        <v>41309</v>
      </c>
      <c r="B49" s="217"/>
      <c r="C49" s="217"/>
      <c r="D49" s="216">
        <v>41309</v>
      </c>
      <c r="E49" s="218">
        <v>30</v>
      </c>
      <c r="F49" s="216">
        <v>41487</v>
      </c>
      <c r="G49" s="218">
        <v>-30</v>
      </c>
      <c r="H49" s="219" t="s">
        <v>52</v>
      </c>
      <c r="I49" s="219" t="s">
        <v>2</v>
      </c>
      <c r="J49" s="219" t="s">
        <v>3</v>
      </c>
      <c r="K49" s="220" t="str">
        <f>IF(J49&lt;&gt;"",VLOOKUP(J49,PContas!A:B,2,FALSE),"")</f>
        <v>ALIMENTAÇÃO</v>
      </c>
      <c r="L49" s="221">
        <f t="shared" si="0"/>
        <v>4</v>
      </c>
      <c r="M49" s="221" t="str">
        <f t="shared" ca="1" si="1"/>
        <v>2013/02</v>
      </c>
    </row>
    <row r="50" spans="1:13">
      <c r="A50" s="216">
        <v>41309</v>
      </c>
      <c r="B50" s="217"/>
      <c r="C50" s="217" t="s">
        <v>505</v>
      </c>
      <c r="D50" s="216">
        <v>41315</v>
      </c>
      <c r="E50" s="218">
        <v>19.5</v>
      </c>
      <c r="F50" s="216">
        <v>41518</v>
      </c>
      <c r="G50" s="218">
        <v>-19.5</v>
      </c>
      <c r="H50" s="219" t="s">
        <v>52</v>
      </c>
      <c r="I50" s="239" t="s">
        <v>1111</v>
      </c>
      <c r="J50" s="219" t="s">
        <v>96</v>
      </c>
      <c r="K50" s="220" t="str">
        <f>IF(J50&lt;&gt;"",VLOOKUP(J50,PContas!A:B,2,FALSE),"")</f>
        <v>TARIFAS</v>
      </c>
      <c r="L50" s="221">
        <f t="shared" si="0"/>
        <v>10</v>
      </c>
      <c r="M50" s="221" t="str">
        <f t="shared" ca="1" si="1"/>
        <v>2013/02</v>
      </c>
    </row>
    <row r="51" spans="1:13">
      <c r="A51" s="216">
        <v>41310</v>
      </c>
      <c r="B51" s="217"/>
      <c r="C51" s="217"/>
      <c r="D51" s="216">
        <v>41310</v>
      </c>
      <c r="E51" s="218">
        <v>31.23</v>
      </c>
      <c r="F51" s="216">
        <v>41548</v>
      </c>
      <c r="G51" s="218">
        <v>-31.23</v>
      </c>
      <c r="H51" s="219" t="s">
        <v>52</v>
      </c>
      <c r="I51" s="219" t="s">
        <v>2</v>
      </c>
      <c r="J51" s="219" t="s">
        <v>3</v>
      </c>
      <c r="K51" s="220" t="str">
        <f>IF(J51&lt;&gt;"",VLOOKUP(J51,PContas!A:B,2,FALSE),"")</f>
        <v>ALIMENTAÇÃO</v>
      </c>
      <c r="L51" s="221">
        <f t="shared" si="0"/>
        <v>5</v>
      </c>
      <c r="M51" s="221" t="str">
        <f t="shared" ca="1" si="1"/>
        <v>2013/02</v>
      </c>
    </row>
    <row r="52" spans="1:13">
      <c r="A52" s="216">
        <v>41310</v>
      </c>
      <c r="B52" s="217"/>
      <c r="C52" s="217"/>
      <c r="D52" s="216">
        <v>41310</v>
      </c>
      <c r="E52" s="218">
        <v>7.6</v>
      </c>
      <c r="F52" s="216">
        <v>41579</v>
      </c>
      <c r="G52" s="218">
        <v>-7.6</v>
      </c>
      <c r="H52" s="219" t="s">
        <v>52</v>
      </c>
      <c r="I52" s="219" t="s">
        <v>2</v>
      </c>
      <c r="J52" s="219" t="s">
        <v>488</v>
      </c>
      <c r="K52" s="220" t="str">
        <f>IF(J52&lt;&gt;"",VLOOKUP(J52,PContas!A:B,2,FALSE),"")</f>
        <v>ALIMENTAÇÃO</v>
      </c>
      <c r="L52" s="221">
        <f t="shared" si="0"/>
        <v>5</v>
      </c>
      <c r="M52" s="221" t="str">
        <f t="shared" ca="1" si="1"/>
        <v>2013/02</v>
      </c>
    </row>
    <row r="53" spans="1:13">
      <c r="A53" s="216">
        <v>41310</v>
      </c>
      <c r="B53" s="217"/>
      <c r="C53" s="217"/>
      <c r="D53" s="216">
        <v>41310</v>
      </c>
      <c r="E53" s="218">
        <v>17.440000000000001</v>
      </c>
      <c r="F53" s="216">
        <v>41609</v>
      </c>
      <c r="G53" s="218">
        <v>-17.440000000000001</v>
      </c>
      <c r="H53" s="219" t="s">
        <v>52</v>
      </c>
      <c r="I53" s="239" t="s">
        <v>1111</v>
      </c>
      <c r="J53" s="219" t="s">
        <v>23</v>
      </c>
      <c r="K53" s="220" t="str">
        <f>IF(J53&lt;&gt;"",VLOOKUP(J53,PContas!A:B,2,FALSE),"")</f>
        <v>SAUDE</v>
      </c>
      <c r="L53" s="221">
        <f t="shared" si="0"/>
        <v>5</v>
      </c>
      <c r="M53" s="221" t="str">
        <f t="shared" ca="1" si="1"/>
        <v>2013/02</v>
      </c>
    </row>
    <row r="54" spans="1:13">
      <c r="A54" s="216">
        <v>41319</v>
      </c>
      <c r="B54" s="217"/>
      <c r="C54" s="217"/>
      <c r="D54" s="216">
        <v>41319</v>
      </c>
      <c r="E54" s="218">
        <v>6.74</v>
      </c>
      <c r="F54" s="216">
        <v>41319</v>
      </c>
      <c r="G54" s="218">
        <v>-6.74</v>
      </c>
      <c r="H54" s="219" t="s">
        <v>52</v>
      </c>
      <c r="I54" s="219" t="s">
        <v>2</v>
      </c>
      <c r="J54" s="219" t="s">
        <v>3</v>
      </c>
      <c r="K54" s="220" t="str">
        <f>IF(J54&lt;&gt;"",VLOOKUP(J54,PContas!A:B,2,FALSE),"")</f>
        <v>ALIMENTAÇÃO</v>
      </c>
      <c r="L54" s="221">
        <f t="shared" si="0"/>
        <v>14</v>
      </c>
      <c r="M54" s="221" t="str">
        <f t="shared" ca="1" si="1"/>
        <v>2013/02</v>
      </c>
    </row>
    <row r="55" spans="1:13">
      <c r="A55" s="216">
        <v>41319</v>
      </c>
      <c r="B55" s="217"/>
      <c r="C55" s="217"/>
      <c r="D55" s="216">
        <v>41319</v>
      </c>
      <c r="E55" s="218">
        <v>3.72</v>
      </c>
      <c r="F55" s="216">
        <v>41319</v>
      </c>
      <c r="G55" s="218">
        <v>-3.72</v>
      </c>
      <c r="H55" s="219" t="s">
        <v>52</v>
      </c>
      <c r="I55" s="239" t="s">
        <v>1111</v>
      </c>
      <c r="J55" s="219" t="s">
        <v>40</v>
      </c>
      <c r="K55" s="220" t="str">
        <f>IF(J55&lt;&gt;"",VLOOKUP(J55,PContas!A:B,2,FALSE),"")</f>
        <v>TARIFAS</v>
      </c>
      <c r="L55" s="221">
        <f t="shared" si="0"/>
        <v>14</v>
      </c>
      <c r="M55" s="221" t="str">
        <f t="shared" ca="1" si="1"/>
        <v>2013/02</v>
      </c>
    </row>
    <row r="56" spans="1:13">
      <c r="A56" s="216">
        <v>41320</v>
      </c>
      <c r="B56" s="217"/>
      <c r="C56" s="217"/>
      <c r="D56" s="216">
        <v>41320</v>
      </c>
      <c r="E56" s="218">
        <v>5.74</v>
      </c>
      <c r="F56" s="216">
        <v>41320</v>
      </c>
      <c r="G56" s="218">
        <v>-5.74</v>
      </c>
      <c r="H56" s="219" t="s">
        <v>52</v>
      </c>
      <c r="I56" s="219" t="s">
        <v>2</v>
      </c>
      <c r="J56" s="219" t="s">
        <v>3</v>
      </c>
      <c r="K56" s="220" t="str">
        <f>IF(J56&lt;&gt;"",VLOOKUP(J56,PContas!A:B,2,FALSE),"")</f>
        <v>ALIMENTAÇÃO</v>
      </c>
      <c r="L56" s="221">
        <f t="shared" si="0"/>
        <v>15</v>
      </c>
      <c r="M56" s="221" t="str">
        <f t="shared" ca="1" si="1"/>
        <v>2013/02</v>
      </c>
    </row>
    <row r="57" spans="1:13">
      <c r="A57" s="216">
        <v>41325</v>
      </c>
      <c r="B57" s="217"/>
      <c r="C57" s="217"/>
      <c r="D57" s="216">
        <v>41325</v>
      </c>
      <c r="E57" s="218">
        <v>3.72</v>
      </c>
      <c r="F57" s="216">
        <v>41325</v>
      </c>
      <c r="G57" s="218">
        <v>-3.72</v>
      </c>
      <c r="H57" s="219" t="s">
        <v>52</v>
      </c>
      <c r="I57" s="239" t="s">
        <v>1111</v>
      </c>
      <c r="J57" s="219" t="s">
        <v>40</v>
      </c>
      <c r="K57" s="220" t="str">
        <f>IF(J57&lt;&gt;"",VLOOKUP(J57,PContas!A:B,2,FALSE),"")</f>
        <v>TARIFAS</v>
      </c>
      <c r="L57" s="221">
        <f t="shared" si="0"/>
        <v>20</v>
      </c>
      <c r="M57" s="221" t="str">
        <f t="shared" ca="1" si="1"/>
        <v>2013/02</v>
      </c>
    </row>
    <row r="58" spans="1:13">
      <c r="A58" s="216">
        <v>41325</v>
      </c>
      <c r="B58" s="217"/>
      <c r="C58" s="217"/>
      <c r="D58" s="216">
        <v>41325</v>
      </c>
      <c r="E58" s="218">
        <v>20</v>
      </c>
      <c r="F58" s="216">
        <v>41325</v>
      </c>
      <c r="G58" s="218">
        <v>-20</v>
      </c>
      <c r="H58" s="219" t="s">
        <v>52</v>
      </c>
      <c r="I58" s="219" t="s">
        <v>2</v>
      </c>
      <c r="J58" s="219" t="s">
        <v>9</v>
      </c>
      <c r="K58" s="220" t="str">
        <f>IF(J58&lt;&gt;"",VLOOKUP(J58,PContas!A:B,2,FALSE),"")</f>
        <v>AILTON</v>
      </c>
      <c r="L58" s="221">
        <f t="shared" si="0"/>
        <v>20</v>
      </c>
      <c r="M58" s="221" t="str">
        <f t="shared" ca="1" si="1"/>
        <v>2013/02</v>
      </c>
    </row>
    <row r="59" spans="1:13">
      <c r="A59" s="216">
        <v>41326</v>
      </c>
      <c r="B59" s="217"/>
      <c r="C59" s="217"/>
      <c r="D59" s="216">
        <v>41326</v>
      </c>
      <c r="E59" s="218">
        <v>35.549999999999997</v>
      </c>
      <c r="F59" s="216">
        <v>41326</v>
      </c>
      <c r="G59" s="218">
        <v>-35.549999999999997</v>
      </c>
      <c r="H59" s="219" t="s">
        <v>52</v>
      </c>
      <c r="I59" s="219" t="s">
        <v>2</v>
      </c>
      <c r="J59" s="219" t="s">
        <v>3</v>
      </c>
      <c r="K59" s="220" t="str">
        <f>IF(J59&lt;&gt;"",VLOOKUP(J59,PContas!A:B,2,FALSE),"")</f>
        <v>ALIMENTAÇÃO</v>
      </c>
      <c r="L59" s="221">
        <f t="shared" si="0"/>
        <v>21</v>
      </c>
      <c r="M59" s="221" t="str">
        <f t="shared" ca="1" si="1"/>
        <v>2013/02</v>
      </c>
    </row>
    <row r="60" spans="1:13">
      <c r="A60" s="216">
        <v>41326</v>
      </c>
      <c r="B60" s="217"/>
      <c r="C60" s="217"/>
      <c r="D60" s="216">
        <v>41326</v>
      </c>
      <c r="E60" s="218">
        <v>11</v>
      </c>
      <c r="F60" s="216">
        <v>41326</v>
      </c>
      <c r="G60" s="218">
        <v>-11</v>
      </c>
      <c r="H60" s="219" t="s">
        <v>52</v>
      </c>
      <c r="I60" s="219" t="s">
        <v>2</v>
      </c>
      <c r="J60" s="219" t="s">
        <v>488</v>
      </c>
      <c r="K60" s="220" t="str">
        <f>IF(J60&lt;&gt;"",VLOOKUP(J60,PContas!A:B,2,FALSE),"")</f>
        <v>ALIMENTAÇÃO</v>
      </c>
      <c r="L60" s="221">
        <f t="shared" si="0"/>
        <v>21</v>
      </c>
      <c r="M60" s="221" t="str">
        <f t="shared" ca="1" si="1"/>
        <v>2013/02</v>
      </c>
    </row>
    <row r="61" spans="1:13">
      <c r="A61" s="216">
        <v>41326</v>
      </c>
      <c r="B61" s="217"/>
      <c r="C61" s="217"/>
      <c r="D61" s="216">
        <v>41326</v>
      </c>
      <c r="E61" s="218">
        <v>3.72</v>
      </c>
      <c r="F61" s="216">
        <v>41326</v>
      </c>
      <c r="G61" s="218">
        <v>-3.72</v>
      </c>
      <c r="H61" s="219" t="s">
        <v>52</v>
      </c>
      <c r="I61" s="239" t="s">
        <v>1111</v>
      </c>
      <c r="J61" s="219" t="s">
        <v>40</v>
      </c>
      <c r="K61" s="220" t="str">
        <f>IF(J61&lt;&gt;"",VLOOKUP(J61,PContas!A:B,2,FALSE),"")</f>
        <v>TARIFAS</v>
      </c>
      <c r="L61" s="221">
        <f t="shared" si="0"/>
        <v>21</v>
      </c>
      <c r="M61" s="221" t="str">
        <f t="shared" ca="1" si="1"/>
        <v>2013/02</v>
      </c>
    </row>
    <row r="62" spans="1:13">
      <c r="A62" s="216">
        <v>41327</v>
      </c>
      <c r="B62" s="217"/>
      <c r="C62" s="217"/>
      <c r="D62" s="216">
        <v>41327</v>
      </c>
      <c r="E62" s="218">
        <v>3.72</v>
      </c>
      <c r="F62" s="216">
        <v>41327</v>
      </c>
      <c r="G62" s="218">
        <v>-3.72</v>
      </c>
      <c r="H62" s="219" t="s">
        <v>52</v>
      </c>
      <c r="I62" s="239" t="s">
        <v>1111</v>
      </c>
      <c r="J62" s="219" t="s">
        <v>40</v>
      </c>
      <c r="K62" s="220" t="str">
        <f>IF(J62&lt;&gt;"",VLOOKUP(J62,PContas!A:B,2,FALSE),"")</f>
        <v>TARIFAS</v>
      </c>
      <c r="L62" s="221">
        <f t="shared" si="0"/>
        <v>22</v>
      </c>
      <c r="M62" s="221" t="str">
        <f t="shared" ca="1" si="1"/>
        <v>2013/02</v>
      </c>
    </row>
    <row r="63" spans="1:13">
      <c r="A63" s="216">
        <v>41331</v>
      </c>
      <c r="B63" s="217"/>
      <c r="C63" s="217"/>
      <c r="D63" s="216">
        <v>41331</v>
      </c>
      <c r="E63" s="218">
        <v>21.29</v>
      </c>
      <c r="F63" s="216">
        <v>41331</v>
      </c>
      <c r="G63" s="218">
        <v>-21.29</v>
      </c>
      <c r="H63" s="219" t="s">
        <v>52</v>
      </c>
      <c r="I63" s="219" t="s">
        <v>2</v>
      </c>
      <c r="J63" s="219" t="s">
        <v>3</v>
      </c>
      <c r="K63" s="220" t="str">
        <f>IF(J63&lt;&gt;"",VLOOKUP(J63,PContas!A:B,2,FALSE),"")</f>
        <v>ALIMENTAÇÃO</v>
      </c>
      <c r="L63" s="221">
        <f t="shared" si="0"/>
        <v>26</v>
      </c>
      <c r="M63" s="221" t="str">
        <f t="shared" ca="1" si="1"/>
        <v>2013/02</v>
      </c>
    </row>
    <row r="64" spans="1:13">
      <c r="A64" s="216">
        <v>41333</v>
      </c>
      <c r="B64" s="217"/>
      <c r="C64" s="217"/>
      <c r="D64" s="216">
        <v>41333</v>
      </c>
      <c r="E64" s="218">
        <v>8.66</v>
      </c>
      <c r="F64" s="216">
        <v>41333</v>
      </c>
      <c r="G64" s="218">
        <v>-8.66</v>
      </c>
      <c r="H64" s="219" t="s">
        <v>52</v>
      </c>
      <c r="I64" s="219" t="s">
        <v>2</v>
      </c>
      <c r="J64" s="219" t="s">
        <v>3</v>
      </c>
      <c r="K64" s="220" t="str">
        <f>IF(J64&lt;&gt;"",VLOOKUP(J64,PContas!A:B,2,FALSE),"")</f>
        <v>ALIMENTAÇÃO</v>
      </c>
      <c r="L64" s="221">
        <f t="shared" si="0"/>
        <v>28</v>
      </c>
      <c r="M64" s="221" t="str">
        <f t="shared" ca="1" si="1"/>
        <v>2013/02</v>
      </c>
    </row>
    <row r="65" spans="1:13">
      <c r="A65" s="216">
        <v>41333</v>
      </c>
      <c r="B65" s="217"/>
      <c r="C65" s="217"/>
      <c r="D65" s="216">
        <v>41333</v>
      </c>
      <c r="E65" s="218">
        <v>417.83</v>
      </c>
      <c r="F65" s="216">
        <v>41333</v>
      </c>
      <c r="G65" s="218">
        <v>-417.83</v>
      </c>
      <c r="H65" s="219" t="s">
        <v>52</v>
      </c>
      <c r="I65" s="219" t="s">
        <v>2</v>
      </c>
      <c r="J65" s="219" t="s">
        <v>3</v>
      </c>
      <c r="K65" s="220" t="str">
        <f>IF(J65&lt;&gt;"",VLOOKUP(J65,PContas!A:B,2,FALSE),"")</f>
        <v>ALIMENTAÇÃO</v>
      </c>
      <c r="L65" s="221">
        <f t="shared" si="0"/>
        <v>28</v>
      </c>
      <c r="M65" s="221" t="str">
        <f t="shared" ca="1" si="1"/>
        <v>2013/02</v>
      </c>
    </row>
    <row r="66" spans="1:13">
      <c r="A66" s="216">
        <v>41333</v>
      </c>
      <c r="B66" s="217"/>
      <c r="C66" s="217"/>
      <c r="D66" s="216">
        <v>41306</v>
      </c>
      <c r="E66" s="218">
        <v>65</v>
      </c>
      <c r="F66" s="216">
        <v>41306</v>
      </c>
      <c r="G66" s="218">
        <v>-65</v>
      </c>
      <c r="H66" s="219" t="s">
        <v>52</v>
      </c>
      <c r="I66" s="219" t="s">
        <v>2</v>
      </c>
      <c r="J66" s="219" t="s">
        <v>90</v>
      </c>
      <c r="K66" s="220" t="str">
        <f>IF(J66&lt;&gt;"",VLOOKUP(J66,PContas!A:B,2,FALSE),"")</f>
        <v>ALIMENTAÇÃO</v>
      </c>
      <c r="L66" s="221">
        <f t="shared" ref="L66:L129" si="2">DAY(D66)</f>
        <v>1</v>
      </c>
      <c r="M66" s="221" t="str">
        <f t="shared" ref="M66:M129" ca="1" si="3">IF(D66&lt;&gt;"",IF(F66="",IF(DAYS360(D66,NOW())&gt;0,"ATRASADO",YEAR(D66)&amp;"/"&amp;CHOOSE(MONTH(D66),"01","02","03","04","05","06","07","08","09","10","11","12")),YEAR(D66)&amp;"/"&amp;CHOOSE(MONTH(D66),"01","02","03","04","05","06","07","08","09","10","11","12")),"")</f>
        <v>2013/02</v>
      </c>
    </row>
    <row r="67" spans="1:13">
      <c r="A67" s="216">
        <v>41335</v>
      </c>
      <c r="B67" s="217"/>
      <c r="C67" s="217"/>
      <c r="D67" s="216">
        <v>41335</v>
      </c>
      <c r="E67" s="218">
        <v>43</v>
      </c>
      <c r="F67" s="216">
        <v>41335</v>
      </c>
      <c r="G67" s="218">
        <v>-43</v>
      </c>
      <c r="H67" s="219" t="s">
        <v>52</v>
      </c>
      <c r="I67" s="239" t="s">
        <v>1111</v>
      </c>
      <c r="J67" s="219" t="s">
        <v>23</v>
      </c>
      <c r="K67" s="220" t="str">
        <f>IF(J67&lt;&gt;"",VLOOKUP(J67,PContas!A:B,2,FALSE),"")</f>
        <v>SAUDE</v>
      </c>
      <c r="L67" s="221">
        <f t="shared" si="2"/>
        <v>2</v>
      </c>
      <c r="M67" s="221" t="str">
        <f t="shared" ca="1" si="3"/>
        <v>2013/03</v>
      </c>
    </row>
    <row r="68" spans="1:13">
      <c r="A68" s="216">
        <v>41336</v>
      </c>
      <c r="B68" s="217"/>
      <c r="C68" s="217"/>
      <c r="D68" s="216">
        <v>41336</v>
      </c>
      <c r="E68" s="218">
        <v>3.71</v>
      </c>
      <c r="F68" s="216">
        <v>41336</v>
      </c>
      <c r="G68" s="218">
        <v>-3.71</v>
      </c>
      <c r="H68" s="219" t="s">
        <v>52</v>
      </c>
      <c r="I68" s="219" t="s">
        <v>2</v>
      </c>
      <c r="J68" s="219" t="s">
        <v>488</v>
      </c>
      <c r="K68" s="220" t="str">
        <f>IF(J68&lt;&gt;"",VLOOKUP(J68,PContas!A:B,2,FALSE),"")</f>
        <v>ALIMENTAÇÃO</v>
      </c>
      <c r="L68" s="221">
        <f t="shared" si="2"/>
        <v>3</v>
      </c>
      <c r="M68" s="221" t="str">
        <f t="shared" ca="1" si="3"/>
        <v>2013/03</v>
      </c>
    </row>
    <row r="69" spans="1:13">
      <c r="A69" s="216">
        <v>41337</v>
      </c>
      <c r="B69" s="217"/>
      <c r="C69" s="217"/>
      <c r="D69" s="216">
        <v>41337</v>
      </c>
      <c r="E69" s="218">
        <v>61.86</v>
      </c>
      <c r="F69" s="216">
        <v>41337</v>
      </c>
      <c r="G69" s="218">
        <v>-61.86</v>
      </c>
      <c r="H69" s="219" t="s">
        <v>52</v>
      </c>
      <c r="I69" s="219" t="s">
        <v>2</v>
      </c>
      <c r="J69" s="219" t="s">
        <v>3</v>
      </c>
      <c r="K69" s="220" t="str">
        <f>IF(J69&lt;&gt;"",VLOOKUP(J69,PContas!A:B,2,FALSE),"")</f>
        <v>ALIMENTAÇÃO</v>
      </c>
      <c r="L69" s="221">
        <f t="shared" si="2"/>
        <v>4</v>
      </c>
      <c r="M69" s="221" t="str">
        <f t="shared" ca="1" si="3"/>
        <v>2013/03</v>
      </c>
    </row>
    <row r="70" spans="1:13">
      <c r="A70" s="216">
        <v>41337</v>
      </c>
      <c r="B70" s="217"/>
      <c r="C70" s="217" t="s">
        <v>506</v>
      </c>
      <c r="D70" s="216">
        <v>41343</v>
      </c>
      <c r="E70" s="218">
        <v>19.5</v>
      </c>
      <c r="F70" s="216">
        <v>41337</v>
      </c>
      <c r="G70" s="218">
        <v>-19.5</v>
      </c>
      <c r="H70" s="219" t="s">
        <v>52</v>
      </c>
      <c r="I70" s="239" t="s">
        <v>1111</v>
      </c>
      <c r="J70" s="219" t="s">
        <v>96</v>
      </c>
      <c r="K70" s="220" t="str">
        <f>IF(J70&lt;&gt;"",VLOOKUP(J70,PContas!A:B,2,FALSE),"")</f>
        <v>TARIFAS</v>
      </c>
      <c r="L70" s="221">
        <f t="shared" si="2"/>
        <v>10</v>
      </c>
      <c r="M70" s="221" t="str">
        <f t="shared" ca="1" si="3"/>
        <v>2013/03</v>
      </c>
    </row>
    <row r="71" spans="1:13">
      <c r="A71" s="216">
        <v>41338</v>
      </c>
      <c r="B71" s="217"/>
      <c r="C71" s="217"/>
      <c r="D71" s="216">
        <v>41338</v>
      </c>
      <c r="E71" s="218">
        <v>19.62</v>
      </c>
      <c r="F71" s="216">
        <v>41338</v>
      </c>
      <c r="G71" s="218">
        <v>-19.62</v>
      </c>
      <c r="H71" s="219" t="s">
        <v>52</v>
      </c>
      <c r="I71" s="239" t="s">
        <v>1111</v>
      </c>
      <c r="J71" s="219" t="s">
        <v>23</v>
      </c>
      <c r="K71" s="220" t="str">
        <f>IF(J71&lt;&gt;"",VLOOKUP(J71,PContas!A:B,2,FALSE),"")</f>
        <v>SAUDE</v>
      </c>
      <c r="L71" s="221">
        <f t="shared" si="2"/>
        <v>5</v>
      </c>
      <c r="M71" s="221" t="str">
        <f t="shared" ca="1" si="3"/>
        <v>2013/03</v>
      </c>
    </row>
    <row r="72" spans="1:13">
      <c r="A72" s="216">
        <v>41339</v>
      </c>
      <c r="B72" s="217"/>
      <c r="C72" s="217"/>
      <c r="D72" s="216">
        <v>41339</v>
      </c>
      <c r="E72" s="218">
        <v>4</v>
      </c>
      <c r="F72" s="216">
        <v>41339</v>
      </c>
      <c r="G72" s="218">
        <v>-4</v>
      </c>
      <c r="H72" s="219" t="s">
        <v>52</v>
      </c>
      <c r="I72" s="219" t="s">
        <v>2</v>
      </c>
      <c r="J72" s="219" t="s">
        <v>488</v>
      </c>
      <c r="K72" s="220" t="str">
        <f>IF(J72&lt;&gt;"",VLOOKUP(J72,PContas!A:B,2,FALSE),"")</f>
        <v>ALIMENTAÇÃO</v>
      </c>
      <c r="L72" s="221">
        <f t="shared" si="2"/>
        <v>6</v>
      </c>
      <c r="M72" s="221" t="str">
        <f t="shared" ca="1" si="3"/>
        <v>2013/03</v>
      </c>
    </row>
    <row r="73" spans="1:13">
      <c r="A73" s="216">
        <v>41341</v>
      </c>
      <c r="B73" s="217"/>
      <c r="C73" s="217"/>
      <c r="D73" s="216">
        <v>41341</v>
      </c>
      <c r="E73" s="218">
        <v>22</v>
      </c>
      <c r="F73" s="216">
        <v>41341</v>
      </c>
      <c r="G73" s="218">
        <v>-22</v>
      </c>
      <c r="H73" s="219" t="s">
        <v>52</v>
      </c>
      <c r="I73" s="219" t="s">
        <v>2</v>
      </c>
      <c r="J73" s="219" t="s">
        <v>488</v>
      </c>
      <c r="K73" s="220" t="str">
        <f>IF(J73&lt;&gt;"",VLOOKUP(J73,PContas!A:B,2,FALSE),"")</f>
        <v>ALIMENTAÇÃO</v>
      </c>
      <c r="L73" s="221">
        <f t="shared" si="2"/>
        <v>8</v>
      </c>
      <c r="M73" s="221" t="str">
        <f t="shared" ca="1" si="3"/>
        <v>2013/03</v>
      </c>
    </row>
    <row r="74" spans="1:13">
      <c r="A74" s="216">
        <v>41343</v>
      </c>
      <c r="B74" s="217"/>
      <c r="C74" s="217"/>
      <c r="D74" s="216">
        <v>41343</v>
      </c>
      <c r="E74" s="218">
        <v>12.5</v>
      </c>
      <c r="F74" s="216">
        <v>41343</v>
      </c>
      <c r="G74" s="218">
        <v>-12.5</v>
      </c>
      <c r="H74" s="219" t="s">
        <v>52</v>
      </c>
      <c r="I74" s="219" t="s">
        <v>2</v>
      </c>
      <c r="J74" s="219" t="s">
        <v>488</v>
      </c>
      <c r="K74" s="220" t="str">
        <f>IF(J74&lt;&gt;"",VLOOKUP(J74,PContas!A:B,2,FALSE),"")</f>
        <v>ALIMENTAÇÃO</v>
      </c>
      <c r="L74" s="221">
        <f t="shared" si="2"/>
        <v>10</v>
      </c>
      <c r="M74" s="221" t="str">
        <f t="shared" ca="1" si="3"/>
        <v>2013/03</v>
      </c>
    </row>
    <row r="75" spans="1:13">
      <c r="A75" s="216">
        <v>41343</v>
      </c>
      <c r="B75" s="217"/>
      <c r="C75" s="217"/>
      <c r="D75" s="216">
        <v>41343</v>
      </c>
      <c r="E75" s="218">
        <v>23.9</v>
      </c>
      <c r="F75" s="216">
        <v>41343</v>
      </c>
      <c r="G75" s="218">
        <v>-23.9</v>
      </c>
      <c r="H75" s="219" t="s">
        <v>52</v>
      </c>
      <c r="I75" s="219" t="s">
        <v>2</v>
      </c>
      <c r="J75" s="219" t="s">
        <v>488</v>
      </c>
      <c r="K75" s="220" t="str">
        <f>IF(J75&lt;&gt;"",VLOOKUP(J75,PContas!A:B,2,FALSE),"")</f>
        <v>ALIMENTAÇÃO</v>
      </c>
      <c r="L75" s="221">
        <f t="shared" si="2"/>
        <v>10</v>
      </c>
      <c r="M75" s="221" t="str">
        <f t="shared" ca="1" si="3"/>
        <v>2013/03</v>
      </c>
    </row>
    <row r="76" spans="1:13">
      <c r="A76" s="216">
        <v>41344</v>
      </c>
      <c r="B76" s="217"/>
      <c r="C76" s="217"/>
      <c r="D76" s="216">
        <v>41344</v>
      </c>
      <c r="E76" s="218">
        <v>20.9</v>
      </c>
      <c r="F76" s="216">
        <v>41344</v>
      </c>
      <c r="G76" s="218">
        <v>-20.9</v>
      </c>
      <c r="H76" s="219" t="s">
        <v>52</v>
      </c>
      <c r="I76" s="219" t="s">
        <v>2</v>
      </c>
      <c r="J76" s="219" t="s">
        <v>3</v>
      </c>
      <c r="K76" s="220" t="str">
        <f>IF(J76&lt;&gt;"",VLOOKUP(J76,PContas!A:B,2,FALSE),"")</f>
        <v>ALIMENTAÇÃO</v>
      </c>
      <c r="L76" s="221">
        <f t="shared" si="2"/>
        <v>11</v>
      </c>
      <c r="M76" s="221" t="str">
        <f t="shared" ca="1" si="3"/>
        <v>2013/03</v>
      </c>
    </row>
    <row r="77" spans="1:13">
      <c r="A77" s="216">
        <v>41344</v>
      </c>
      <c r="B77" s="217"/>
      <c r="C77" s="217"/>
      <c r="D77" s="216">
        <v>41344</v>
      </c>
      <c r="E77" s="218">
        <v>65.33</v>
      </c>
      <c r="F77" s="216">
        <v>41344</v>
      </c>
      <c r="G77" s="218">
        <v>-65.33</v>
      </c>
      <c r="H77" s="219" t="s">
        <v>52</v>
      </c>
      <c r="I77" s="219" t="s">
        <v>2</v>
      </c>
      <c r="J77" s="219" t="s">
        <v>3</v>
      </c>
      <c r="K77" s="220" t="str">
        <f>IF(J77&lt;&gt;"",VLOOKUP(J77,PContas!A:B,2,FALSE),"")</f>
        <v>ALIMENTAÇÃO</v>
      </c>
      <c r="L77" s="221">
        <f t="shared" si="2"/>
        <v>11</v>
      </c>
      <c r="M77" s="221" t="str">
        <f t="shared" ca="1" si="3"/>
        <v>2013/03</v>
      </c>
    </row>
    <row r="78" spans="1:13">
      <c r="A78" s="216">
        <v>41344</v>
      </c>
      <c r="B78" s="217"/>
      <c r="C78" s="217"/>
      <c r="D78" s="216">
        <v>41344</v>
      </c>
      <c r="E78" s="218">
        <v>27.69</v>
      </c>
      <c r="F78" s="216">
        <v>41344</v>
      </c>
      <c r="G78" s="218">
        <v>-27.69</v>
      </c>
      <c r="H78" s="219" t="s">
        <v>52</v>
      </c>
      <c r="I78" s="219" t="s">
        <v>2</v>
      </c>
      <c r="J78" s="219" t="s">
        <v>3</v>
      </c>
      <c r="K78" s="220" t="str">
        <f>IF(J78&lt;&gt;"",VLOOKUP(J78,PContas!A:B,2,FALSE),"")</f>
        <v>ALIMENTAÇÃO</v>
      </c>
      <c r="L78" s="221">
        <f t="shared" si="2"/>
        <v>11</v>
      </c>
      <c r="M78" s="221" t="str">
        <f t="shared" ca="1" si="3"/>
        <v>2013/03</v>
      </c>
    </row>
    <row r="79" spans="1:13">
      <c r="A79" s="216">
        <v>41344</v>
      </c>
      <c r="B79" s="217"/>
      <c r="C79" s="217"/>
      <c r="D79" s="216">
        <v>41344</v>
      </c>
      <c r="E79" s="218">
        <v>12</v>
      </c>
      <c r="F79" s="216">
        <v>41344</v>
      </c>
      <c r="G79" s="218">
        <v>-12</v>
      </c>
      <c r="H79" s="219" t="s">
        <v>52</v>
      </c>
      <c r="I79" s="219" t="s">
        <v>2</v>
      </c>
      <c r="J79" s="219" t="s">
        <v>488</v>
      </c>
      <c r="K79" s="220" t="str">
        <f>IF(J79&lt;&gt;"",VLOOKUP(J79,PContas!A:B,2,FALSE),"")</f>
        <v>ALIMENTAÇÃO</v>
      </c>
      <c r="L79" s="221">
        <f t="shared" si="2"/>
        <v>11</v>
      </c>
      <c r="M79" s="221" t="str">
        <f t="shared" ca="1" si="3"/>
        <v>2013/03</v>
      </c>
    </row>
    <row r="80" spans="1:13">
      <c r="A80" s="216">
        <v>41344</v>
      </c>
      <c r="B80" s="217"/>
      <c r="C80" s="217"/>
      <c r="D80" s="216">
        <v>41344</v>
      </c>
      <c r="E80" s="218">
        <v>30.54</v>
      </c>
      <c r="F80" s="216">
        <v>41344</v>
      </c>
      <c r="G80" s="218">
        <v>-30.54</v>
      </c>
      <c r="H80" s="219" t="s">
        <v>52</v>
      </c>
      <c r="I80" s="239" t="s">
        <v>1111</v>
      </c>
      <c r="J80" s="219" t="s">
        <v>23</v>
      </c>
      <c r="K80" s="220" t="str">
        <f>IF(J80&lt;&gt;"",VLOOKUP(J80,PContas!A:B,2,FALSE),"")</f>
        <v>SAUDE</v>
      </c>
      <c r="L80" s="221">
        <f t="shared" si="2"/>
        <v>11</v>
      </c>
      <c r="M80" s="221" t="str">
        <f t="shared" ca="1" si="3"/>
        <v>2013/03</v>
      </c>
    </row>
    <row r="81" spans="1:13">
      <c r="A81" s="216">
        <v>41345</v>
      </c>
      <c r="B81" s="217"/>
      <c r="C81" s="217"/>
      <c r="D81" s="216">
        <v>41345</v>
      </c>
      <c r="E81" s="218">
        <v>71.66</v>
      </c>
      <c r="F81" s="216">
        <v>41345</v>
      </c>
      <c r="G81" s="218">
        <v>-71.66</v>
      </c>
      <c r="H81" s="219" t="s">
        <v>52</v>
      </c>
      <c r="I81" s="219" t="s">
        <v>2</v>
      </c>
      <c r="J81" s="219" t="s">
        <v>3</v>
      </c>
      <c r="K81" s="220" t="str">
        <f>IF(J81&lt;&gt;"",VLOOKUP(J81,PContas!A:B,2,FALSE),"")</f>
        <v>ALIMENTAÇÃO</v>
      </c>
      <c r="L81" s="221">
        <f t="shared" si="2"/>
        <v>12</v>
      </c>
      <c r="M81" s="221" t="str">
        <f t="shared" ca="1" si="3"/>
        <v>2013/03</v>
      </c>
    </row>
    <row r="82" spans="1:13">
      <c r="A82" s="216">
        <v>41345</v>
      </c>
      <c r="B82" s="217"/>
      <c r="C82" s="217"/>
      <c r="D82" s="216">
        <v>41345</v>
      </c>
      <c r="E82" s="218">
        <v>25</v>
      </c>
      <c r="F82" s="216">
        <v>41345</v>
      </c>
      <c r="G82" s="218">
        <v>-25</v>
      </c>
      <c r="H82" s="219" t="s">
        <v>52</v>
      </c>
      <c r="I82" s="219" t="s">
        <v>2</v>
      </c>
      <c r="J82" s="219" t="s">
        <v>488</v>
      </c>
      <c r="K82" s="220" t="str">
        <f>IF(J82&lt;&gt;"",VLOOKUP(J82,PContas!A:B,2,FALSE),"")</f>
        <v>ALIMENTAÇÃO</v>
      </c>
      <c r="L82" s="221">
        <f t="shared" si="2"/>
        <v>12</v>
      </c>
      <c r="M82" s="221" t="str">
        <f t="shared" ca="1" si="3"/>
        <v>2013/03</v>
      </c>
    </row>
    <row r="83" spans="1:13">
      <c r="A83" s="216">
        <v>41345</v>
      </c>
      <c r="B83" s="217"/>
      <c r="C83" s="217"/>
      <c r="D83" s="216">
        <v>41345</v>
      </c>
      <c r="E83" s="218">
        <v>19.36</v>
      </c>
      <c r="F83" s="216">
        <v>41345</v>
      </c>
      <c r="G83" s="218">
        <v>-19.36</v>
      </c>
      <c r="H83" s="219" t="s">
        <v>52</v>
      </c>
      <c r="I83" s="219" t="s">
        <v>2</v>
      </c>
      <c r="J83" s="219" t="s">
        <v>488</v>
      </c>
      <c r="K83" s="220" t="str">
        <f>IF(J83&lt;&gt;"",VLOOKUP(J83,PContas!A:B,2,FALSE),"")</f>
        <v>ALIMENTAÇÃO</v>
      </c>
      <c r="L83" s="221">
        <f t="shared" si="2"/>
        <v>12</v>
      </c>
      <c r="M83" s="221" t="str">
        <f t="shared" ca="1" si="3"/>
        <v>2013/03</v>
      </c>
    </row>
    <row r="84" spans="1:13">
      <c r="A84" s="216">
        <v>41346</v>
      </c>
      <c r="B84" s="217"/>
      <c r="C84" s="217"/>
      <c r="D84" s="216">
        <v>41346</v>
      </c>
      <c r="E84" s="218">
        <v>19.36</v>
      </c>
      <c r="F84" s="216">
        <v>41346</v>
      </c>
      <c r="G84" s="218">
        <v>-19.36</v>
      </c>
      <c r="H84" s="219" t="s">
        <v>52</v>
      </c>
      <c r="I84" s="219" t="s">
        <v>2</v>
      </c>
      <c r="J84" s="219" t="s">
        <v>3</v>
      </c>
      <c r="K84" s="220" t="str">
        <f>IF(J84&lt;&gt;"",VLOOKUP(J84,PContas!A:B,2,FALSE),"")</f>
        <v>ALIMENTAÇÃO</v>
      </c>
      <c r="L84" s="221">
        <f t="shared" si="2"/>
        <v>13</v>
      </c>
      <c r="M84" s="221" t="str">
        <f t="shared" ca="1" si="3"/>
        <v>2013/03</v>
      </c>
    </row>
    <row r="85" spans="1:13">
      <c r="A85" s="216">
        <v>41346</v>
      </c>
      <c r="B85" s="217"/>
      <c r="C85" s="217"/>
      <c r="D85" s="216">
        <v>41346</v>
      </c>
      <c r="E85" s="218">
        <v>3.72</v>
      </c>
      <c r="F85" s="216">
        <v>41346</v>
      </c>
      <c r="G85" s="218">
        <v>-3.72</v>
      </c>
      <c r="H85" s="219" t="s">
        <v>52</v>
      </c>
      <c r="I85" s="239" t="s">
        <v>1111</v>
      </c>
      <c r="J85" s="219" t="s">
        <v>40</v>
      </c>
      <c r="K85" s="220" t="str">
        <f>IF(J85&lt;&gt;"",VLOOKUP(J85,PContas!A:B,2,FALSE),"")</f>
        <v>TARIFAS</v>
      </c>
      <c r="L85" s="221">
        <f t="shared" si="2"/>
        <v>13</v>
      </c>
      <c r="M85" s="221" t="str">
        <f t="shared" ca="1" si="3"/>
        <v>2013/03</v>
      </c>
    </row>
    <row r="86" spans="1:13">
      <c r="A86" s="216">
        <v>41347</v>
      </c>
      <c r="B86" s="217"/>
      <c r="C86" s="217"/>
      <c r="D86" s="216">
        <v>41347</v>
      </c>
      <c r="E86" s="218">
        <v>6.75</v>
      </c>
      <c r="F86" s="216">
        <v>41347</v>
      </c>
      <c r="G86" s="218">
        <v>-6.75</v>
      </c>
      <c r="H86" s="219" t="s">
        <v>52</v>
      </c>
      <c r="I86" s="219" t="s">
        <v>2</v>
      </c>
      <c r="J86" s="219" t="s">
        <v>488</v>
      </c>
      <c r="K86" s="220" t="str">
        <f>IF(J86&lt;&gt;"",VLOOKUP(J86,PContas!A:B,2,FALSE),"")</f>
        <v>ALIMENTAÇÃO</v>
      </c>
      <c r="L86" s="221">
        <f t="shared" si="2"/>
        <v>14</v>
      </c>
      <c r="M86" s="221" t="str">
        <f t="shared" ca="1" si="3"/>
        <v>2013/03</v>
      </c>
    </row>
    <row r="87" spans="1:13">
      <c r="A87" s="216">
        <v>41347</v>
      </c>
      <c r="B87" s="217"/>
      <c r="C87" s="217"/>
      <c r="D87" s="216">
        <v>41347</v>
      </c>
      <c r="E87" s="218">
        <v>3.72</v>
      </c>
      <c r="F87" s="216">
        <v>41347</v>
      </c>
      <c r="G87" s="218">
        <v>-3.72</v>
      </c>
      <c r="H87" s="219" t="s">
        <v>52</v>
      </c>
      <c r="I87" s="239" t="s">
        <v>1111</v>
      </c>
      <c r="J87" s="219" t="s">
        <v>40</v>
      </c>
      <c r="K87" s="220" t="str">
        <f>IF(J87&lt;&gt;"",VLOOKUP(J87,PContas!A:B,2,FALSE),"")</f>
        <v>TARIFAS</v>
      </c>
      <c r="L87" s="221">
        <f t="shared" si="2"/>
        <v>14</v>
      </c>
      <c r="M87" s="221" t="str">
        <f t="shared" ca="1" si="3"/>
        <v>2013/03</v>
      </c>
    </row>
    <row r="88" spans="1:13">
      <c r="A88" s="216">
        <v>41347</v>
      </c>
      <c r="B88" s="217" t="s">
        <v>761</v>
      </c>
      <c r="C88" s="217"/>
      <c r="D88" s="216">
        <v>41347</v>
      </c>
      <c r="E88" s="218">
        <v>1160</v>
      </c>
      <c r="F88" s="216">
        <v>41347</v>
      </c>
      <c r="G88" s="218">
        <v>1160</v>
      </c>
      <c r="H88" s="219" t="s">
        <v>71</v>
      </c>
      <c r="I88" s="219" t="s">
        <v>4</v>
      </c>
      <c r="J88" s="219" t="s">
        <v>62</v>
      </c>
      <c r="K88" s="220" t="str">
        <f>IF(J88&lt;&gt;"",VLOOKUP(J88,PContas!A:B,2,FALSE),"")</f>
        <v>CLIENTES</v>
      </c>
      <c r="L88" s="221">
        <f t="shared" si="2"/>
        <v>14</v>
      </c>
      <c r="M88" s="221" t="str">
        <f t="shared" ca="1" si="3"/>
        <v>2013/03</v>
      </c>
    </row>
    <row r="89" spans="1:13">
      <c r="A89" s="216">
        <v>41348</v>
      </c>
      <c r="B89" s="217"/>
      <c r="C89" s="217"/>
      <c r="D89" s="216">
        <v>41348</v>
      </c>
      <c r="E89" s="218">
        <v>12</v>
      </c>
      <c r="F89" s="216">
        <v>41348</v>
      </c>
      <c r="G89" s="218">
        <v>-12</v>
      </c>
      <c r="H89" s="219" t="s">
        <v>52</v>
      </c>
      <c r="I89" s="219" t="s">
        <v>2</v>
      </c>
      <c r="J89" s="219" t="s">
        <v>488</v>
      </c>
      <c r="K89" s="220" t="str">
        <f>IF(J89&lt;&gt;"",VLOOKUP(J89,PContas!A:B,2,FALSE),"")</f>
        <v>ALIMENTAÇÃO</v>
      </c>
      <c r="L89" s="221">
        <f t="shared" si="2"/>
        <v>15</v>
      </c>
      <c r="M89" s="221" t="str">
        <f t="shared" ca="1" si="3"/>
        <v>2013/03</v>
      </c>
    </row>
    <row r="90" spans="1:13">
      <c r="A90" s="216">
        <v>41348</v>
      </c>
      <c r="B90" s="217"/>
      <c r="C90" s="217"/>
      <c r="D90" s="216">
        <v>41348</v>
      </c>
      <c r="E90" s="218">
        <v>6.75</v>
      </c>
      <c r="F90" s="216">
        <v>41348</v>
      </c>
      <c r="G90" s="218">
        <v>-6.75</v>
      </c>
      <c r="H90" s="219" t="s">
        <v>52</v>
      </c>
      <c r="I90" s="219" t="s">
        <v>2</v>
      </c>
      <c r="J90" s="219" t="s">
        <v>488</v>
      </c>
      <c r="K90" s="220" t="str">
        <f>IF(J90&lt;&gt;"",VLOOKUP(J90,PContas!A:B,2,FALSE),"")</f>
        <v>ALIMENTAÇÃO</v>
      </c>
      <c r="L90" s="221">
        <f t="shared" si="2"/>
        <v>15</v>
      </c>
      <c r="M90" s="221" t="str">
        <f t="shared" ca="1" si="3"/>
        <v>2013/03</v>
      </c>
    </row>
    <row r="91" spans="1:13">
      <c r="A91" s="216">
        <v>41348</v>
      </c>
      <c r="B91" s="217"/>
      <c r="C91" s="217"/>
      <c r="D91" s="216">
        <v>41348</v>
      </c>
      <c r="E91" s="218">
        <v>56.09</v>
      </c>
      <c r="F91" s="216">
        <v>41348</v>
      </c>
      <c r="G91" s="218">
        <v>-56.09</v>
      </c>
      <c r="H91" s="219" t="s">
        <v>52</v>
      </c>
      <c r="I91" s="239" t="s">
        <v>1111</v>
      </c>
      <c r="J91" s="219" t="s">
        <v>23</v>
      </c>
      <c r="K91" s="220" t="str">
        <f>IF(J91&lt;&gt;"",VLOOKUP(J91,PContas!A:B,2,FALSE),"")</f>
        <v>SAUDE</v>
      </c>
      <c r="L91" s="221">
        <f t="shared" si="2"/>
        <v>15</v>
      </c>
      <c r="M91" s="221" t="str">
        <f t="shared" ca="1" si="3"/>
        <v>2013/03</v>
      </c>
    </row>
    <row r="92" spans="1:13">
      <c r="A92" s="216">
        <v>41348</v>
      </c>
      <c r="B92" s="217"/>
      <c r="C92" s="217"/>
      <c r="D92" s="216">
        <v>41348</v>
      </c>
      <c r="E92" s="218">
        <v>16.64</v>
      </c>
      <c r="F92" s="216">
        <v>41348</v>
      </c>
      <c r="G92" s="218">
        <v>-16.64</v>
      </c>
      <c r="H92" s="219" t="s">
        <v>52</v>
      </c>
      <c r="I92" s="239" t="s">
        <v>1111</v>
      </c>
      <c r="J92" s="219" t="s">
        <v>23</v>
      </c>
      <c r="K92" s="220" t="str">
        <f>IF(J92&lt;&gt;"",VLOOKUP(J92,PContas!A:B,2,FALSE),"")</f>
        <v>SAUDE</v>
      </c>
      <c r="L92" s="221">
        <f t="shared" si="2"/>
        <v>15</v>
      </c>
      <c r="M92" s="221" t="str">
        <f t="shared" ca="1" si="3"/>
        <v>2013/03</v>
      </c>
    </row>
    <row r="93" spans="1:13">
      <c r="A93" s="216">
        <v>41349</v>
      </c>
      <c r="B93" s="217" t="s">
        <v>760</v>
      </c>
      <c r="C93" s="217"/>
      <c r="D93" s="216">
        <v>41349</v>
      </c>
      <c r="E93" s="218">
        <v>300</v>
      </c>
      <c r="F93" s="216">
        <v>41349</v>
      </c>
      <c r="G93" s="218">
        <v>300</v>
      </c>
      <c r="H93" s="219" t="s">
        <v>71</v>
      </c>
      <c r="I93" s="219" t="s">
        <v>2</v>
      </c>
      <c r="J93" s="219" t="s">
        <v>514</v>
      </c>
      <c r="K93" s="220" t="str">
        <f>IF(J93&lt;&gt;"",VLOOKUP(J93,PContas!A:B,2,FALSE),"")</f>
        <v>CLIENTES</v>
      </c>
      <c r="L93" s="221">
        <f t="shared" si="2"/>
        <v>16</v>
      </c>
      <c r="M93" s="221" t="str">
        <f t="shared" ca="1" si="3"/>
        <v>2013/03</v>
      </c>
    </row>
    <row r="94" spans="1:13">
      <c r="A94" s="216">
        <v>41351</v>
      </c>
      <c r="B94" s="217"/>
      <c r="C94" s="217"/>
      <c r="D94" s="216">
        <v>41351</v>
      </c>
      <c r="E94" s="218">
        <v>32.15</v>
      </c>
      <c r="F94" s="216">
        <v>41351</v>
      </c>
      <c r="G94" s="218">
        <v>-32.15</v>
      </c>
      <c r="H94" s="219" t="s">
        <v>52</v>
      </c>
      <c r="I94" s="219" t="s">
        <v>2</v>
      </c>
      <c r="J94" s="219" t="s">
        <v>3</v>
      </c>
      <c r="K94" s="220" t="str">
        <f>IF(J94&lt;&gt;"",VLOOKUP(J94,PContas!A:B,2,FALSE),"")</f>
        <v>ALIMENTAÇÃO</v>
      </c>
      <c r="L94" s="221">
        <f t="shared" si="2"/>
        <v>18</v>
      </c>
      <c r="M94" s="221" t="str">
        <f t="shared" ca="1" si="3"/>
        <v>2013/03</v>
      </c>
    </row>
    <row r="95" spans="1:13">
      <c r="A95" s="216">
        <v>41351</v>
      </c>
      <c r="B95" s="217"/>
      <c r="C95" s="217"/>
      <c r="D95" s="216">
        <v>41351</v>
      </c>
      <c r="E95" s="218">
        <v>156.97</v>
      </c>
      <c r="F95" s="216">
        <v>41351</v>
      </c>
      <c r="G95" s="218">
        <v>-156.97</v>
      </c>
      <c r="H95" s="219" t="s">
        <v>52</v>
      </c>
      <c r="I95" s="219" t="s">
        <v>2</v>
      </c>
      <c r="J95" s="219" t="s">
        <v>3</v>
      </c>
      <c r="K95" s="220" t="str">
        <f>IF(J95&lt;&gt;"",VLOOKUP(J95,PContas!A:B,2,FALSE),"")</f>
        <v>ALIMENTAÇÃO</v>
      </c>
      <c r="L95" s="221">
        <f t="shared" si="2"/>
        <v>18</v>
      </c>
      <c r="M95" s="221" t="str">
        <f t="shared" ca="1" si="3"/>
        <v>2013/03</v>
      </c>
    </row>
    <row r="96" spans="1:13">
      <c r="A96" s="216">
        <v>41353</v>
      </c>
      <c r="B96" s="217"/>
      <c r="C96" s="217"/>
      <c r="D96" s="216">
        <v>41353</v>
      </c>
      <c r="E96" s="218">
        <v>36.51</v>
      </c>
      <c r="F96" s="216">
        <v>41353</v>
      </c>
      <c r="G96" s="218">
        <v>-36.51</v>
      </c>
      <c r="H96" s="219" t="s">
        <v>52</v>
      </c>
      <c r="I96" s="219" t="s">
        <v>2</v>
      </c>
      <c r="J96" s="219" t="s">
        <v>3</v>
      </c>
      <c r="K96" s="220" t="str">
        <f>IF(J96&lt;&gt;"",VLOOKUP(J96,PContas!A:B,2,FALSE),"")</f>
        <v>ALIMENTAÇÃO</v>
      </c>
      <c r="L96" s="221">
        <f t="shared" si="2"/>
        <v>20</v>
      </c>
      <c r="M96" s="221" t="str">
        <f t="shared" ca="1" si="3"/>
        <v>2013/03</v>
      </c>
    </row>
    <row r="97" spans="1:13">
      <c r="A97" s="216">
        <v>41353</v>
      </c>
      <c r="B97" s="217"/>
      <c r="C97" s="217"/>
      <c r="D97" s="216">
        <v>41353</v>
      </c>
      <c r="E97" s="218">
        <v>30.2</v>
      </c>
      <c r="F97" s="216">
        <v>41353</v>
      </c>
      <c r="G97" s="218">
        <v>-30.2</v>
      </c>
      <c r="H97" s="219" t="s">
        <v>52</v>
      </c>
      <c r="I97" s="219" t="s">
        <v>2</v>
      </c>
      <c r="J97" s="219" t="s">
        <v>488</v>
      </c>
      <c r="K97" s="220" t="str">
        <f>IF(J97&lt;&gt;"",VLOOKUP(J97,PContas!A:B,2,FALSE),"")</f>
        <v>ALIMENTAÇÃO</v>
      </c>
      <c r="L97" s="221">
        <f t="shared" si="2"/>
        <v>20</v>
      </c>
      <c r="M97" s="221" t="str">
        <f t="shared" ca="1" si="3"/>
        <v>2013/03</v>
      </c>
    </row>
    <row r="98" spans="1:13">
      <c r="A98" s="216">
        <v>41353</v>
      </c>
      <c r="B98" s="217"/>
      <c r="C98" s="217" t="s">
        <v>485</v>
      </c>
      <c r="D98" s="216">
        <v>41353</v>
      </c>
      <c r="E98" s="218">
        <v>20</v>
      </c>
      <c r="F98" s="216">
        <v>41353</v>
      </c>
      <c r="G98" s="218">
        <v>-20</v>
      </c>
      <c r="H98" s="219" t="s">
        <v>52</v>
      </c>
      <c r="I98" s="239" t="s">
        <v>1111</v>
      </c>
      <c r="J98" s="219" t="s">
        <v>486</v>
      </c>
      <c r="K98" s="220" t="str">
        <f>IF(J98&lt;&gt;"",VLOOKUP(J98,PContas!A:B,2,FALSE),"")</f>
        <v>SAUDE</v>
      </c>
      <c r="L98" s="221">
        <f t="shared" si="2"/>
        <v>20</v>
      </c>
      <c r="M98" s="221" t="str">
        <f t="shared" ca="1" si="3"/>
        <v>2013/03</v>
      </c>
    </row>
    <row r="99" spans="1:13">
      <c r="A99" s="216">
        <v>41354</v>
      </c>
      <c r="B99" s="217"/>
      <c r="C99" s="217"/>
      <c r="D99" s="216">
        <v>41354</v>
      </c>
      <c r="E99" s="218">
        <v>30.2</v>
      </c>
      <c r="F99" s="216">
        <v>41354</v>
      </c>
      <c r="G99" s="218">
        <v>-30.2</v>
      </c>
      <c r="H99" s="219" t="s">
        <v>52</v>
      </c>
      <c r="I99" s="219" t="s">
        <v>2</v>
      </c>
      <c r="J99" s="219" t="s">
        <v>488</v>
      </c>
      <c r="K99" s="220" t="str">
        <f>IF(J99&lt;&gt;"",VLOOKUP(J99,PContas!A:B,2,FALSE),"")</f>
        <v>ALIMENTAÇÃO</v>
      </c>
      <c r="L99" s="221">
        <f t="shared" si="2"/>
        <v>21</v>
      </c>
      <c r="M99" s="221" t="str">
        <f t="shared" ca="1" si="3"/>
        <v>2013/03</v>
      </c>
    </row>
    <row r="100" spans="1:13">
      <c r="A100" s="216">
        <v>41354</v>
      </c>
      <c r="B100" s="217"/>
      <c r="C100" s="217"/>
      <c r="D100" s="216">
        <v>41354</v>
      </c>
      <c r="E100" s="218">
        <v>3.72</v>
      </c>
      <c r="F100" s="216">
        <v>41354</v>
      </c>
      <c r="G100" s="218">
        <v>-3.72</v>
      </c>
      <c r="H100" s="219" t="s">
        <v>52</v>
      </c>
      <c r="I100" s="239" t="s">
        <v>1111</v>
      </c>
      <c r="J100" s="219" t="s">
        <v>40</v>
      </c>
      <c r="K100" s="220" t="str">
        <f>IF(J100&lt;&gt;"",VLOOKUP(J100,PContas!A:B,2,FALSE),"")</f>
        <v>TARIFAS</v>
      </c>
      <c r="L100" s="221">
        <f t="shared" si="2"/>
        <v>21</v>
      </c>
      <c r="M100" s="221" t="str">
        <f t="shared" ca="1" si="3"/>
        <v>2013/03</v>
      </c>
    </row>
    <row r="101" spans="1:13">
      <c r="A101" s="216">
        <v>41354</v>
      </c>
      <c r="B101" s="217"/>
      <c r="C101" s="217"/>
      <c r="D101" s="216">
        <v>41354</v>
      </c>
      <c r="E101" s="218">
        <v>19.399999999999999</v>
      </c>
      <c r="F101" s="216">
        <v>41354</v>
      </c>
      <c r="G101" s="218">
        <v>-19.399999999999999</v>
      </c>
      <c r="H101" s="219" t="s">
        <v>52</v>
      </c>
      <c r="I101" s="239" t="s">
        <v>1111</v>
      </c>
      <c r="J101" s="219" t="s">
        <v>23</v>
      </c>
      <c r="K101" s="220" t="str">
        <f>IF(J101&lt;&gt;"",VLOOKUP(J101,PContas!A:B,2,FALSE),"")</f>
        <v>SAUDE</v>
      </c>
      <c r="L101" s="221">
        <f t="shared" si="2"/>
        <v>21</v>
      </c>
      <c r="M101" s="221" t="str">
        <f t="shared" ca="1" si="3"/>
        <v>2013/03</v>
      </c>
    </row>
    <row r="102" spans="1:13">
      <c r="A102" s="216">
        <v>41355</v>
      </c>
      <c r="B102" s="217"/>
      <c r="C102" s="217"/>
      <c r="D102" s="216">
        <v>41355</v>
      </c>
      <c r="E102" s="218">
        <v>59.82</v>
      </c>
      <c r="F102" s="216">
        <v>41355</v>
      </c>
      <c r="G102" s="218">
        <v>-59.82</v>
      </c>
      <c r="H102" s="219" t="s">
        <v>52</v>
      </c>
      <c r="I102" s="219" t="s">
        <v>2</v>
      </c>
      <c r="J102" s="219" t="s">
        <v>3</v>
      </c>
      <c r="K102" s="220" t="str">
        <f>IF(J102&lt;&gt;"",VLOOKUP(J102,PContas!A:B,2,FALSE),"")</f>
        <v>ALIMENTAÇÃO</v>
      </c>
      <c r="L102" s="221">
        <f t="shared" si="2"/>
        <v>22</v>
      </c>
      <c r="M102" s="221" t="str">
        <f t="shared" ca="1" si="3"/>
        <v>2013/03</v>
      </c>
    </row>
    <row r="103" spans="1:13">
      <c r="A103" s="216">
        <v>41356</v>
      </c>
      <c r="B103" s="217"/>
      <c r="C103" s="217"/>
      <c r="D103" s="216">
        <v>41356</v>
      </c>
      <c r="E103" s="218">
        <v>17</v>
      </c>
      <c r="F103" s="216">
        <v>41356</v>
      </c>
      <c r="G103" s="218">
        <v>-17</v>
      </c>
      <c r="H103" s="219" t="s">
        <v>52</v>
      </c>
      <c r="I103" s="219" t="s">
        <v>2</v>
      </c>
      <c r="J103" s="219" t="s">
        <v>488</v>
      </c>
      <c r="K103" s="220" t="str">
        <f>IF(J103&lt;&gt;"",VLOOKUP(J103,PContas!A:B,2,FALSE),"")</f>
        <v>ALIMENTAÇÃO</v>
      </c>
      <c r="L103" s="221">
        <f t="shared" si="2"/>
        <v>23</v>
      </c>
      <c r="M103" s="221" t="str">
        <f t="shared" ca="1" si="3"/>
        <v>2013/03</v>
      </c>
    </row>
    <row r="104" spans="1:13">
      <c r="A104" s="216">
        <v>41358</v>
      </c>
      <c r="B104" s="217"/>
      <c r="C104" s="217"/>
      <c r="D104" s="216">
        <v>41358</v>
      </c>
      <c r="E104" s="218">
        <v>117.33</v>
      </c>
      <c r="F104" s="216">
        <v>41358</v>
      </c>
      <c r="G104" s="218">
        <v>-117.33</v>
      </c>
      <c r="H104" s="219" t="s">
        <v>52</v>
      </c>
      <c r="I104" s="219" t="s">
        <v>2</v>
      </c>
      <c r="J104" s="219" t="s">
        <v>3</v>
      </c>
      <c r="K104" s="220" t="str">
        <f>IF(J104&lt;&gt;"",VLOOKUP(J104,PContas!A:B,2,FALSE),"")</f>
        <v>ALIMENTAÇÃO</v>
      </c>
      <c r="L104" s="221">
        <f t="shared" si="2"/>
        <v>25</v>
      </c>
      <c r="M104" s="221" t="str">
        <f t="shared" ca="1" si="3"/>
        <v>2013/03</v>
      </c>
    </row>
    <row r="105" spans="1:13">
      <c r="A105" s="216">
        <v>41358</v>
      </c>
      <c r="B105" s="217"/>
      <c r="C105" s="217"/>
      <c r="D105" s="216">
        <v>41358</v>
      </c>
      <c r="E105" s="218">
        <v>32.01</v>
      </c>
      <c r="F105" s="216">
        <v>41358</v>
      </c>
      <c r="G105" s="218">
        <v>-32.01</v>
      </c>
      <c r="H105" s="219" t="s">
        <v>52</v>
      </c>
      <c r="I105" s="219" t="s">
        <v>2</v>
      </c>
      <c r="J105" s="219" t="s">
        <v>3</v>
      </c>
      <c r="K105" s="220" t="str">
        <f>IF(J105&lt;&gt;"",VLOOKUP(J105,PContas!A:B,2,FALSE),"")</f>
        <v>ALIMENTAÇÃO</v>
      </c>
      <c r="L105" s="221">
        <f t="shared" si="2"/>
        <v>25</v>
      </c>
      <c r="M105" s="221" t="str">
        <f t="shared" ca="1" si="3"/>
        <v>2013/03</v>
      </c>
    </row>
    <row r="106" spans="1:13">
      <c r="A106" s="216">
        <v>41358</v>
      </c>
      <c r="B106" s="217"/>
      <c r="C106" s="217"/>
      <c r="D106" s="216">
        <v>41358</v>
      </c>
      <c r="E106" s="218">
        <v>19</v>
      </c>
      <c r="F106" s="216">
        <v>41358</v>
      </c>
      <c r="G106" s="218">
        <v>-19</v>
      </c>
      <c r="H106" s="219" t="s">
        <v>52</v>
      </c>
      <c r="I106" s="219" t="s">
        <v>2</v>
      </c>
      <c r="J106" s="219" t="s">
        <v>488</v>
      </c>
      <c r="K106" s="220" t="str">
        <f>IF(J106&lt;&gt;"",VLOOKUP(J106,PContas!A:B,2,FALSE),"")</f>
        <v>ALIMENTAÇÃO</v>
      </c>
      <c r="L106" s="221">
        <f t="shared" si="2"/>
        <v>25</v>
      </c>
      <c r="M106" s="221" t="str">
        <f t="shared" ca="1" si="3"/>
        <v>2013/03</v>
      </c>
    </row>
    <row r="107" spans="1:13">
      <c r="A107" s="216">
        <v>41359</v>
      </c>
      <c r="B107" s="217"/>
      <c r="C107" s="217"/>
      <c r="D107" s="216">
        <v>41359</v>
      </c>
      <c r="E107" s="218">
        <v>5.9</v>
      </c>
      <c r="F107" s="216">
        <v>41359</v>
      </c>
      <c r="G107" s="218">
        <v>-5.9</v>
      </c>
      <c r="H107" s="219" t="s">
        <v>52</v>
      </c>
      <c r="I107" s="219" t="s">
        <v>2</v>
      </c>
      <c r="J107" s="219" t="s">
        <v>488</v>
      </c>
      <c r="K107" s="220" t="str">
        <f>IF(J107&lt;&gt;"",VLOOKUP(J107,PContas!A:B,2,FALSE),"")</f>
        <v>ALIMENTAÇÃO</v>
      </c>
      <c r="L107" s="221">
        <f t="shared" si="2"/>
        <v>26</v>
      </c>
      <c r="M107" s="221" t="str">
        <f t="shared" ca="1" si="3"/>
        <v>2013/03</v>
      </c>
    </row>
    <row r="108" spans="1:13">
      <c r="A108" s="216">
        <v>41359</v>
      </c>
      <c r="B108" s="217"/>
      <c r="C108" s="217"/>
      <c r="D108" s="216">
        <v>41359</v>
      </c>
      <c r="E108" s="218">
        <v>18</v>
      </c>
      <c r="F108" s="216">
        <v>41359</v>
      </c>
      <c r="G108" s="218">
        <v>-18</v>
      </c>
      <c r="H108" s="219" t="s">
        <v>52</v>
      </c>
      <c r="I108" s="219" t="s">
        <v>2</v>
      </c>
      <c r="J108" s="219" t="s">
        <v>488</v>
      </c>
      <c r="K108" s="220" t="str">
        <f>IF(J108&lt;&gt;"",VLOOKUP(J108,PContas!A:B,2,FALSE),"")</f>
        <v>ALIMENTAÇÃO</v>
      </c>
      <c r="L108" s="221">
        <f t="shared" si="2"/>
        <v>26</v>
      </c>
      <c r="M108" s="221" t="str">
        <f t="shared" ca="1" si="3"/>
        <v>2013/03</v>
      </c>
    </row>
    <row r="109" spans="1:13">
      <c r="A109" s="216">
        <v>41359</v>
      </c>
      <c r="B109" s="217"/>
      <c r="C109" s="217"/>
      <c r="D109" s="216">
        <v>41359</v>
      </c>
      <c r="E109" s="218">
        <v>3.72</v>
      </c>
      <c r="F109" s="216">
        <v>41359</v>
      </c>
      <c r="G109" s="218">
        <v>-3.72</v>
      </c>
      <c r="H109" s="219" t="s">
        <v>52</v>
      </c>
      <c r="I109" s="239" t="s">
        <v>1111</v>
      </c>
      <c r="J109" s="219" t="s">
        <v>40</v>
      </c>
      <c r="K109" s="220" t="str">
        <f>IF(J109&lt;&gt;"",VLOOKUP(J109,PContas!A:B,2,FALSE),"")</f>
        <v>TARIFAS</v>
      </c>
      <c r="L109" s="221">
        <f t="shared" si="2"/>
        <v>26</v>
      </c>
      <c r="M109" s="221" t="str">
        <f t="shared" ca="1" si="3"/>
        <v>2013/03</v>
      </c>
    </row>
    <row r="110" spans="1:13">
      <c r="A110" s="216">
        <v>41360</v>
      </c>
      <c r="B110" s="217"/>
      <c r="C110" s="217"/>
      <c r="D110" s="216">
        <v>41360</v>
      </c>
      <c r="E110" s="218">
        <v>5.2</v>
      </c>
      <c r="F110" s="216">
        <v>41360</v>
      </c>
      <c r="G110" s="218">
        <v>-5.2</v>
      </c>
      <c r="H110" s="219" t="s">
        <v>52</v>
      </c>
      <c r="I110" s="219" t="s">
        <v>2</v>
      </c>
      <c r="J110" s="219" t="s">
        <v>488</v>
      </c>
      <c r="K110" s="220" t="str">
        <f>IF(J110&lt;&gt;"",VLOOKUP(J110,PContas!A:B,2,FALSE),"")</f>
        <v>ALIMENTAÇÃO</v>
      </c>
      <c r="L110" s="221">
        <f t="shared" si="2"/>
        <v>27</v>
      </c>
      <c r="M110" s="221" t="str">
        <f t="shared" ca="1" si="3"/>
        <v>2013/03</v>
      </c>
    </row>
    <row r="111" spans="1:13">
      <c r="A111" s="216">
        <v>41360</v>
      </c>
      <c r="B111" s="217"/>
      <c r="C111" s="217"/>
      <c r="D111" s="216">
        <v>41360</v>
      </c>
      <c r="E111" s="218">
        <v>6.4</v>
      </c>
      <c r="F111" s="216">
        <v>41360</v>
      </c>
      <c r="G111" s="218">
        <v>-6.4</v>
      </c>
      <c r="H111" s="219" t="s">
        <v>52</v>
      </c>
      <c r="I111" s="219" t="s">
        <v>2</v>
      </c>
      <c r="J111" s="219" t="s">
        <v>488</v>
      </c>
      <c r="K111" s="220" t="str">
        <f>IF(J111&lt;&gt;"",VLOOKUP(J111,PContas!A:B,2,FALSE),"")</f>
        <v>ALIMENTAÇÃO</v>
      </c>
      <c r="L111" s="221">
        <f t="shared" si="2"/>
        <v>27</v>
      </c>
      <c r="M111" s="221" t="str">
        <f t="shared" ca="1" si="3"/>
        <v>2013/03</v>
      </c>
    </row>
    <row r="112" spans="1:13">
      <c r="A112" s="216">
        <v>41360</v>
      </c>
      <c r="B112" s="217"/>
      <c r="C112" s="217"/>
      <c r="D112" s="216">
        <v>41360</v>
      </c>
      <c r="E112" s="218">
        <v>5.4</v>
      </c>
      <c r="F112" s="216">
        <v>41360</v>
      </c>
      <c r="G112" s="218">
        <v>-5.4</v>
      </c>
      <c r="H112" s="219" t="s">
        <v>52</v>
      </c>
      <c r="I112" s="219" t="s">
        <v>2</v>
      </c>
      <c r="J112" s="219" t="s">
        <v>488</v>
      </c>
      <c r="K112" s="220" t="str">
        <f>IF(J112&lt;&gt;"",VLOOKUP(J112,PContas!A:B,2,FALSE),"")</f>
        <v>ALIMENTAÇÃO</v>
      </c>
      <c r="L112" s="221">
        <f t="shared" si="2"/>
        <v>27</v>
      </c>
      <c r="M112" s="221" t="str">
        <f t="shared" ca="1" si="3"/>
        <v>2013/03</v>
      </c>
    </row>
    <row r="113" spans="1:13">
      <c r="A113" s="216">
        <v>41361</v>
      </c>
      <c r="B113" s="217"/>
      <c r="C113" s="217"/>
      <c r="D113" s="216">
        <v>41361</v>
      </c>
      <c r="E113" s="218">
        <v>16.68</v>
      </c>
      <c r="F113" s="216">
        <v>41361</v>
      </c>
      <c r="G113" s="218">
        <v>-16.68</v>
      </c>
      <c r="H113" s="219" t="s">
        <v>52</v>
      </c>
      <c r="I113" s="219" t="s">
        <v>2</v>
      </c>
      <c r="J113" s="219" t="s">
        <v>3</v>
      </c>
      <c r="K113" s="220" t="str">
        <f>IF(J113&lt;&gt;"",VLOOKUP(J113,PContas!A:B,2,FALSE),"")</f>
        <v>ALIMENTAÇÃO</v>
      </c>
      <c r="L113" s="221">
        <f t="shared" si="2"/>
        <v>28</v>
      </c>
      <c r="M113" s="221" t="str">
        <f t="shared" ca="1" si="3"/>
        <v>2013/03</v>
      </c>
    </row>
    <row r="114" spans="1:13">
      <c r="A114" s="216">
        <v>41361</v>
      </c>
      <c r="B114" s="217"/>
      <c r="C114" s="217"/>
      <c r="D114" s="216">
        <v>41361</v>
      </c>
      <c r="E114" s="218">
        <v>16.850000000000001</v>
      </c>
      <c r="F114" s="216">
        <v>41361</v>
      </c>
      <c r="G114" s="218">
        <v>-16.850000000000001</v>
      </c>
      <c r="H114" s="219" t="s">
        <v>52</v>
      </c>
      <c r="I114" s="219" t="s">
        <v>2</v>
      </c>
      <c r="J114" s="219" t="s">
        <v>488</v>
      </c>
      <c r="K114" s="220" t="str">
        <f>IF(J114&lt;&gt;"",VLOOKUP(J114,PContas!A:B,2,FALSE),"")</f>
        <v>ALIMENTAÇÃO</v>
      </c>
      <c r="L114" s="221">
        <f t="shared" si="2"/>
        <v>28</v>
      </c>
      <c r="M114" s="221" t="str">
        <f t="shared" ca="1" si="3"/>
        <v>2013/03</v>
      </c>
    </row>
    <row r="115" spans="1:13">
      <c r="A115" s="216">
        <v>41362</v>
      </c>
      <c r="B115" s="217"/>
      <c r="C115" s="217"/>
      <c r="D115" s="216">
        <v>41362</v>
      </c>
      <c r="E115" s="218">
        <v>135.5</v>
      </c>
      <c r="F115" s="216">
        <v>41362</v>
      </c>
      <c r="G115" s="218">
        <v>-135.5</v>
      </c>
      <c r="H115" s="219" t="s">
        <v>52</v>
      </c>
      <c r="I115" s="219" t="s">
        <v>2</v>
      </c>
      <c r="J115" s="219" t="s">
        <v>488</v>
      </c>
      <c r="K115" s="220" t="str">
        <f>IF(J115&lt;&gt;"",VLOOKUP(J115,PContas!A:B,2,FALSE),"")</f>
        <v>ALIMENTAÇÃO</v>
      </c>
      <c r="L115" s="221">
        <f t="shared" si="2"/>
        <v>29</v>
      </c>
      <c r="M115" s="221" t="str">
        <f t="shared" ca="1" si="3"/>
        <v>2013/03</v>
      </c>
    </row>
    <row r="116" spans="1:13">
      <c r="A116" s="216">
        <v>41362</v>
      </c>
      <c r="B116" s="217"/>
      <c r="C116" s="217"/>
      <c r="D116" s="216">
        <v>41362</v>
      </c>
      <c r="E116" s="218">
        <v>3.7</v>
      </c>
      <c r="F116" s="216">
        <v>41362</v>
      </c>
      <c r="G116" s="218">
        <v>-3.7</v>
      </c>
      <c r="H116" s="219" t="s">
        <v>52</v>
      </c>
      <c r="I116" s="239" t="s">
        <v>1111</v>
      </c>
      <c r="J116" s="219" t="s">
        <v>23</v>
      </c>
      <c r="K116" s="220" t="str">
        <f>IF(J116&lt;&gt;"",VLOOKUP(J116,PContas!A:B,2,FALSE),"")</f>
        <v>SAUDE</v>
      </c>
      <c r="L116" s="221">
        <f t="shared" si="2"/>
        <v>29</v>
      </c>
      <c r="M116" s="221" t="str">
        <f t="shared" ca="1" si="3"/>
        <v>2013/03</v>
      </c>
    </row>
    <row r="117" spans="1:13">
      <c r="A117" s="216">
        <v>41363</v>
      </c>
      <c r="B117" s="217"/>
      <c r="C117" s="217"/>
      <c r="D117" s="216">
        <v>41363</v>
      </c>
      <c r="E117" s="218">
        <v>25.7</v>
      </c>
      <c r="F117" s="216">
        <v>41363</v>
      </c>
      <c r="G117" s="218">
        <v>-25.7</v>
      </c>
      <c r="H117" s="219" t="s">
        <v>52</v>
      </c>
      <c r="I117" s="219" t="s">
        <v>2</v>
      </c>
      <c r="J117" s="219" t="s">
        <v>488</v>
      </c>
      <c r="K117" s="220" t="str">
        <f>IF(J117&lt;&gt;"",VLOOKUP(J117,PContas!A:B,2,FALSE),"")</f>
        <v>ALIMENTAÇÃO</v>
      </c>
      <c r="L117" s="221">
        <f t="shared" si="2"/>
        <v>30</v>
      </c>
      <c r="M117" s="221" t="str">
        <f t="shared" ca="1" si="3"/>
        <v>2013/03</v>
      </c>
    </row>
    <row r="118" spans="1:13">
      <c r="A118" s="216">
        <v>41363</v>
      </c>
      <c r="B118" s="217"/>
      <c r="C118" s="217"/>
      <c r="D118" s="216">
        <v>41363</v>
      </c>
      <c r="E118" s="218">
        <v>22.4</v>
      </c>
      <c r="F118" s="216">
        <v>41363</v>
      </c>
      <c r="G118" s="218">
        <v>-22.4</v>
      </c>
      <c r="H118" s="219" t="s">
        <v>52</v>
      </c>
      <c r="I118" s="219" t="s">
        <v>2</v>
      </c>
      <c r="J118" s="219" t="s">
        <v>488</v>
      </c>
      <c r="K118" s="220" t="str">
        <f>IF(J118&lt;&gt;"",VLOOKUP(J118,PContas!A:B,2,FALSE),"")</f>
        <v>ALIMENTAÇÃO</v>
      </c>
      <c r="L118" s="221">
        <f t="shared" si="2"/>
        <v>30</v>
      </c>
      <c r="M118" s="221" t="str">
        <f t="shared" ca="1" si="3"/>
        <v>2013/03</v>
      </c>
    </row>
    <row r="119" spans="1:13">
      <c r="A119" s="216">
        <v>41363</v>
      </c>
      <c r="B119" s="217"/>
      <c r="C119" s="217"/>
      <c r="D119" s="216">
        <v>41363</v>
      </c>
      <c r="E119" s="218">
        <v>14.9</v>
      </c>
      <c r="F119" s="216">
        <v>41363</v>
      </c>
      <c r="G119" s="218">
        <v>-14.9</v>
      </c>
      <c r="H119" s="219" t="s">
        <v>52</v>
      </c>
      <c r="I119" s="219" t="s">
        <v>2</v>
      </c>
      <c r="J119" s="219" t="s">
        <v>488</v>
      </c>
      <c r="K119" s="220" t="str">
        <f>IF(J119&lt;&gt;"",VLOOKUP(J119,PContas!A:B,2,FALSE),"")</f>
        <v>ALIMENTAÇÃO</v>
      </c>
      <c r="L119" s="221">
        <f t="shared" si="2"/>
        <v>30</v>
      </c>
      <c r="M119" s="221" t="str">
        <f t="shared" ca="1" si="3"/>
        <v>2013/03</v>
      </c>
    </row>
    <row r="120" spans="1:13">
      <c r="A120" s="216">
        <v>41363</v>
      </c>
      <c r="B120" s="217"/>
      <c r="C120" s="217"/>
      <c r="D120" s="216">
        <v>41363</v>
      </c>
      <c r="E120" s="218">
        <v>26.27</v>
      </c>
      <c r="F120" s="216">
        <v>41363</v>
      </c>
      <c r="G120" s="218">
        <v>-26.27</v>
      </c>
      <c r="H120" s="219" t="s">
        <v>52</v>
      </c>
      <c r="I120" s="219" t="s">
        <v>2</v>
      </c>
      <c r="J120" s="219" t="s">
        <v>488</v>
      </c>
      <c r="K120" s="220" t="str">
        <f>IF(J120&lt;&gt;"",VLOOKUP(J120,PContas!A:B,2,FALSE),"")</f>
        <v>ALIMENTAÇÃO</v>
      </c>
      <c r="L120" s="221">
        <f t="shared" si="2"/>
        <v>30</v>
      </c>
      <c r="M120" s="221" t="str">
        <f t="shared" ca="1" si="3"/>
        <v>2013/03</v>
      </c>
    </row>
    <row r="121" spans="1:13">
      <c r="A121" s="216">
        <v>41363</v>
      </c>
      <c r="B121" s="217"/>
      <c r="C121" s="217"/>
      <c r="D121" s="216">
        <v>41363</v>
      </c>
      <c r="E121" s="218">
        <v>2.2000000000000002</v>
      </c>
      <c r="F121" s="216">
        <v>41363</v>
      </c>
      <c r="G121" s="218">
        <v>-2.2000000000000002</v>
      </c>
      <c r="H121" s="219" t="s">
        <v>52</v>
      </c>
      <c r="I121" s="239" t="s">
        <v>1111</v>
      </c>
      <c r="J121" s="219" t="s">
        <v>23</v>
      </c>
      <c r="K121" s="220" t="str">
        <f>IF(J121&lt;&gt;"",VLOOKUP(J121,PContas!A:B,2,FALSE),"")</f>
        <v>SAUDE</v>
      </c>
      <c r="L121" s="221">
        <f t="shared" si="2"/>
        <v>30</v>
      </c>
      <c r="M121" s="221" t="str">
        <f t="shared" ca="1" si="3"/>
        <v>2013/03</v>
      </c>
    </row>
    <row r="122" spans="1:13">
      <c r="A122" s="216">
        <v>41364</v>
      </c>
      <c r="B122" s="217"/>
      <c r="C122" s="217"/>
      <c r="D122" s="216">
        <v>41364</v>
      </c>
      <c r="E122" s="218">
        <v>269.02</v>
      </c>
      <c r="F122" s="216">
        <v>41364</v>
      </c>
      <c r="G122" s="218">
        <v>-269.02</v>
      </c>
      <c r="H122" s="219" t="s">
        <v>52</v>
      </c>
      <c r="I122" s="219" t="s">
        <v>2</v>
      </c>
      <c r="J122" s="219" t="s">
        <v>3</v>
      </c>
      <c r="K122" s="220" t="str">
        <f>IF(J122&lt;&gt;"",VLOOKUP(J122,PContas!A:B,2,FALSE),"")</f>
        <v>ALIMENTAÇÃO</v>
      </c>
      <c r="L122" s="221">
        <f t="shared" si="2"/>
        <v>31</v>
      </c>
      <c r="M122" s="221" t="str">
        <f t="shared" ca="1" si="3"/>
        <v>2013/03</v>
      </c>
    </row>
    <row r="123" spans="1:13">
      <c r="A123" s="216">
        <v>41364</v>
      </c>
      <c r="B123" s="217"/>
      <c r="C123" s="217"/>
      <c r="D123" s="216">
        <v>41334</v>
      </c>
      <c r="E123" s="218">
        <v>65</v>
      </c>
      <c r="F123" s="216">
        <v>41334</v>
      </c>
      <c r="G123" s="218">
        <v>-65</v>
      </c>
      <c r="H123" s="219" t="s">
        <v>52</v>
      </c>
      <c r="I123" s="219" t="s">
        <v>2</v>
      </c>
      <c r="J123" s="219" t="s">
        <v>90</v>
      </c>
      <c r="K123" s="220" t="str">
        <f>IF(J123&lt;&gt;"",VLOOKUP(J123,PContas!A:B,2,FALSE),"")</f>
        <v>ALIMENTAÇÃO</v>
      </c>
      <c r="L123" s="221">
        <f t="shared" si="2"/>
        <v>1</v>
      </c>
      <c r="M123" s="221" t="str">
        <f t="shared" ca="1" si="3"/>
        <v>2013/03</v>
      </c>
    </row>
    <row r="124" spans="1:13">
      <c r="A124" s="216">
        <v>41366</v>
      </c>
      <c r="B124" s="217"/>
      <c r="C124" s="217"/>
      <c r="D124" s="216">
        <v>41366</v>
      </c>
      <c r="E124" s="218">
        <v>5.03</v>
      </c>
      <c r="F124" s="216">
        <v>41366</v>
      </c>
      <c r="G124" s="218">
        <v>-5.03</v>
      </c>
      <c r="H124" s="219" t="s">
        <v>52</v>
      </c>
      <c r="I124" s="219" t="s">
        <v>2</v>
      </c>
      <c r="J124" s="219" t="s">
        <v>488</v>
      </c>
      <c r="K124" s="220" t="str">
        <f>IF(J124&lt;&gt;"",VLOOKUP(J124,PContas!A:B,2,FALSE),"")</f>
        <v>ALIMENTAÇÃO</v>
      </c>
      <c r="L124" s="221">
        <f t="shared" si="2"/>
        <v>2</v>
      </c>
      <c r="M124" s="221" t="str">
        <f t="shared" ca="1" si="3"/>
        <v>2013/04</v>
      </c>
    </row>
    <row r="125" spans="1:13">
      <c r="A125" s="216">
        <v>41366</v>
      </c>
      <c r="B125" s="217"/>
      <c r="C125" s="217" t="s">
        <v>507</v>
      </c>
      <c r="D125" s="216">
        <v>41374</v>
      </c>
      <c r="E125" s="218">
        <v>19.5</v>
      </c>
      <c r="F125" s="216">
        <v>41366</v>
      </c>
      <c r="G125" s="218">
        <v>-19.5</v>
      </c>
      <c r="H125" s="219" t="s">
        <v>52</v>
      </c>
      <c r="I125" s="239" t="s">
        <v>1111</v>
      </c>
      <c r="J125" s="219" t="s">
        <v>96</v>
      </c>
      <c r="K125" s="220" t="str">
        <f>IF(J125&lt;&gt;"",VLOOKUP(J125,PContas!A:B,2,FALSE),"")</f>
        <v>TARIFAS</v>
      </c>
      <c r="L125" s="221">
        <f t="shared" si="2"/>
        <v>10</v>
      </c>
      <c r="M125" s="221" t="str">
        <f t="shared" ca="1" si="3"/>
        <v>2013/04</v>
      </c>
    </row>
    <row r="126" spans="1:13">
      <c r="A126" s="216">
        <v>41367</v>
      </c>
      <c r="B126" s="217"/>
      <c r="C126" s="217"/>
      <c r="D126" s="216">
        <v>41367</v>
      </c>
      <c r="E126" s="218">
        <v>9.3000000000000007</v>
      </c>
      <c r="F126" s="216">
        <v>41367</v>
      </c>
      <c r="G126" s="218">
        <v>-9.3000000000000007</v>
      </c>
      <c r="H126" s="219" t="s">
        <v>52</v>
      </c>
      <c r="I126" s="219" t="s">
        <v>2</v>
      </c>
      <c r="J126" s="219" t="s">
        <v>488</v>
      </c>
      <c r="K126" s="220" t="str">
        <f>IF(J126&lt;&gt;"",VLOOKUP(J126,PContas!A:B,2,FALSE),"")</f>
        <v>ALIMENTAÇÃO</v>
      </c>
      <c r="L126" s="221">
        <f t="shared" si="2"/>
        <v>3</v>
      </c>
      <c r="M126" s="221" t="str">
        <f t="shared" ca="1" si="3"/>
        <v>2013/04</v>
      </c>
    </row>
    <row r="127" spans="1:13">
      <c r="A127" s="216">
        <v>41367</v>
      </c>
      <c r="B127" s="217"/>
      <c r="C127" s="217"/>
      <c r="D127" s="216">
        <v>41367</v>
      </c>
      <c r="E127" s="218">
        <v>4.5999999999999996</v>
      </c>
      <c r="F127" s="216">
        <v>41367</v>
      </c>
      <c r="G127" s="218">
        <v>-4.5999999999999996</v>
      </c>
      <c r="H127" s="219" t="s">
        <v>52</v>
      </c>
      <c r="I127" s="219" t="s">
        <v>2</v>
      </c>
      <c r="J127" s="219" t="s">
        <v>488</v>
      </c>
      <c r="K127" s="220" t="str">
        <f>IF(J127&lt;&gt;"",VLOOKUP(J127,PContas!A:B,2,FALSE),"")</f>
        <v>ALIMENTAÇÃO</v>
      </c>
      <c r="L127" s="221">
        <f t="shared" si="2"/>
        <v>3</v>
      </c>
      <c r="M127" s="221" t="str">
        <f t="shared" ca="1" si="3"/>
        <v>2013/04</v>
      </c>
    </row>
    <row r="128" spans="1:13">
      <c r="A128" s="216">
        <v>41368</v>
      </c>
      <c r="B128" s="217"/>
      <c r="C128" s="217"/>
      <c r="D128" s="216">
        <v>41368</v>
      </c>
      <c r="E128" s="218">
        <v>12.75</v>
      </c>
      <c r="F128" s="216">
        <v>41368</v>
      </c>
      <c r="G128" s="218">
        <v>-12.75</v>
      </c>
      <c r="H128" s="219" t="s">
        <v>52</v>
      </c>
      <c r="I128" s="219" t="s">
        <v>2</v>
      </c>
      <c r="J128" s="219" t="s">
        <v>488</v>
      </c>
      <c r="K128" s="220" t="str">
        <f>IF(J128&lt;&gt;"",VLOOKUP(J128,PContas!A:B,2,FALSE),"")</f>
        <v>ALIMENTAÇÃO</v>
      </c>
      <c r="L128" s="221">
        <f t="shared" si="2"/>
        <v>4</v>
      </c>
      <c r="M128" s="221" t="str">
        <f t="shared" ca="1" si="3"/>
        <v>2013/04</v>
      </c>
    </row>
    <row r="129" spans="1:13">
      <c r="A129" s="216">
        <v>41368</v>
      </c>
      <c r="B129" s="217"/>
      <c r="C129" s="217"/>
      <c r="D129" s="216">
        <v>41368</v>
      </c>
      <c r="E129" s="218">
        <v>18</v>
      </c>
      <c r="F129" s="216">
        <v>41368</v>
      </c>
      <c r="G129" s="218">
        <v>-18</v>
      </c>
      <c r="H129" s="219" t="s">
        <v>52</v>
      </c>
      <c r="I129" s="219" t="s">
        <v>2</v>
      </c>
      <c r="J129" s="219" t="s">
        <v>488</v>
      </c>
      <c r="K129" s="220" t="str">
        <f>IF(J129&lt;&gt;"",VLOOKUP(J129,PContas!A:B,2,FALSE),"")</f>
        <v>ALIMENTAÇÃO</v>
      </c>
      <c r="L129" s="221">
        <f t="shared" si="2"/>
        <v>4</v>
      </c>
      <c r="M129" s="221" t="str">
        <f t="shared" ca="1" si="3"/>
        <v>2013/04</v>
      </c>
    </row>
    <row r="130" spans="1:13">
      <c r="A130" s="216">
        <v>41369</v>
      </c>
      <c r="B130" s="217"/>
      <c r="C130" s="217"/>
      <c r="D130" s="216">
        <v>41369</v>
      </c>
      <c r="E130" s="218">
        <v>3.78</v>
      </c>
      <c r="F130" s="216">
        <v>41369</v>
      </c>
      <c r="G130" s="218">
        <v>-3.78</v>
      </c>
      <c r="H130" s="219" t="s">
        <v>52</v>
      </c>
      <c r="I130" s="219" t="s">
        <v>2</v>
      </c>
      <c r="J130" s="219" t="s">
        <v>488</v>
      </c>
      <c r="K130" s="220" t="str">
        <f>IF(J130&lt;&gt;"",VLOOKUP(J130,PContas!A:B,2,FALSE),"")</f>
        <v>ALIMENTAÇÃO</v>
      </c>
      <c r="L130" s="221">
        <f t="shared" ref="L130:L193" si="4">DAY(D130)</f>
        <v>5</v>
      </c>
      <c r="M130" s="221" t="str">
        <f t="shared" ref="M130:M193" ca="1" si="5">IF(D130&lt;&gt;"",IF(F130="",IF(DAYS360(D130,NOW())&gt;0,"ATRASADO",YEAR(D130)&amp;"/"&amp;CHOOSE(MONTH(D130),"01","02","03","04","05","06","07","08","09","10","11","12")),YEAR(D130)&amp;"/"&amp;CHOOSE(MONTH(D130),"01","02","03","04","05","06","07","08","09","10","11","12")),"")</f>
        <v>2013/04</v>
      </c>
    </row>
    <row r="131" spans="1:13">
      <c r="A131" s="216">
        <v>41369</v>
      </c>
      <c r="B131" s="217"/>
      <c r="C131" s="217"/>
      <c r="D131" s="216">
        <v>41369</v>
      </c>
      <c r="E131" s="218">
        <v>10.5</v>
      </c>
      <c r="F131" s="216">
        <v>41369</v>
      </c>
      <c r="G131" s="218">
        <v>-10.5</v>
      </c>
      <c r="H131" s="219" t="s">
        <v>52</v>
      </c>
      <c r="I131" s="219" t="s">
        <v>2</v>
      </c>
      <c r="J131" s="219" t="s">
        <v>488</v>
      </c>
      <c r="K131" s="220" t="str">
        <f>IF(J131&lt;&gt;"",VLOOKUP(J131,PContas!A:B,2,FALSE),"")</f>
        <v>ALIMENTAÇÃO</v>
      </c>
      <c r="L131" s="221">
        <f t="shared" si="4"/>
        <v>5</v>
      </c>
      <c r="M131" s="221" t="str">
        <f t="shared" ca="1" si="5"/>
        <v>2013/04</v>
      </c>
    </row>
    <row r="132" spans="1:13">
      <c r="A132" s="216">
        <v>41369</v>
      </c>
      <c r="B132" s="217"/>
      <c r="C132" s="217"/>
      <c r="D132" s="216">
        <v>41369</v>
      </c>
      <c r="E132" s="218">
        <v>6.25</v>
      </c>
      <c r="F132" s="216">
        <v>41369</v>
      </c>
      <c r="G132" s="218">
        <v>-6.25</v>
      </c>
      <c r="H132" s="219" t="s">
        <v>52</v>
      </c>
      <c r="I132" s="219" t="s">
        <v>2</v>
      </c>
      <c r="J132" s="219" t="s">
        <v>488</v>
      </c>
      <c r="K132" s="220" t="str">
        <f>IF(J132&lt;&gt;"",VLOOKUP(J132,PContas!A:B,2,FALSE),"")</f>
        <v>ALIMENTAÇÃO</v>
      </c>
      <c r="L132" s="221">
        <f t="shared" si="4"/>
        <v>5</v>
      </c>
      <c r="M132" s="221" t="str">
        <f t="shared" ca="1" si="5"/>
        <v>2013/04</v>
      </c>
    </row>
    <row r="133" spans="1:13">
      <c r="A133" s="216">
        <v>41371</v>
      </c>
      <c r="B133" s="217"/>
      <c r="C133" s="217"/>
      <c r="D133" s="216">
        <v>41371</v>
      </c>
      <c r="E133" s="218">
        <v>26.2</v>
      </c>
      <c r="F133" s="216">
        <v>41371</v>
      </c>
      <c r="G133" s="218">
        <v>-26.2</v>
      </c>
      <c r="H133" s="219" t="s">
        <v>52</v>
      </c>
      <c r="I133" s="219" t="s">
        <v>2</v>
      </c>
      <c r="J133" s="219" t="s">
        <v>488</v>
      </c>
      <c r="K133" s="220" t="str">
        <f>IF(J133&lt;&gt;"",VLOOKUP(J133,PContas!A:B,2,FALSE),"")</f>
        <v>ALIMENTAÇÃO</v>
      </c>
      <c r="L133" s="221">
        <f t="shared" si="4"/>
        <v>7</v>
      </c>
      <c r="M133" s="221" t="str">
        <f t="shared" ca="1" si="5"/>
        <v>2013/04</v>
      </c>
    </row>
    <row r="134" spans="1:13">
      <c r="A134" s="216">
        <v>41371</v>
      </c>
      <c r="B134" s="217"/>
      <c r="C134" s="217"/>
      <c r="D134" s="216">
        <v>41371</v>
      </c>
      <c r="E134" s="218">
        <v>18.84</v>
      </c>
      <c r="F134" s="216">
        <v>41371</v>
      </c>
      <c r="G134" s="218">
        <v>-18.84</v>
      </c>
      <c r="H134" s="219" t="s">
        <v>52</v>
      </c>
      <c r="I134" s="219" t="s">
        <v>2</v>
      </c>
      <c r="J134" s="219" t="s">
        <v>488</v>
      </c>
      <c r="K134" s="220" t="str">
        <f>IF(J134&lt;&gt;"",VLOOKUP(J134,PContas!A:B,2,FALSE),"")</f>
        <v>ALIMENTAÇÃO</v>
      </c>
      <c r="L134" s="221">
        <f t="shared" si="4"/>
        <v>7</v>
      </c>
      <c r="M134" s="221" t="str">
        <f t="shared" ca="1" si="5"/>
        <v>2013/04</v>
      </c>
    </row>
    <row r="135" spans="1:13">
      <c r="A135" s="216">
        <v>41372</v>
      </c>
      <c r="B135" s="217"/>
      <c r="C135" s="217"/>
      <c r="D135" s="216">
        <v>41372</v>
      </c>
      <c r="E135" s="218">
        <v>16.27</v>
      </c>
      <c r="F135" s="216">
        <v>41372</v>
      </c>
      <c r="G135" s="218">
        <v>-16.27</v>
      </c>
      <c r="H135" s="219" t="s">
        <v>52</v>
      </c>
      <c r="I135" s="219" t="s">
        <v>2</v>
      </c>
      <c r="J135" s="219" t="s">
        <v>488</v>
      </c>
      <c r="K135" s="220" t="str">
        <f>IF(J135&lt;&gt;"",VLOOKUP(J135,PContas!A:B,2,FALSE),"")</f>
        <v>ALIMENTAÇÃO</v>
      </c>
      <c r="L135" s="221">
        <f t="shared" si="4"/>
        <v>8</v>
      </c>
      <c r="M135" s="221" t="str">
        <f t="shared" ca="1" si="5"/>
        <v>2013/04</v>
      </c>
    </row>
    <row r="136" spans="1:13">
      <c r="A136" s="216">
        <v>41375</v>
      </c>
      <c r="B136" s="217"/>
      <c r="C136" s="217"/>
      <c r="D136" s="216">
        <v>41375</v>
      </c>
      <c r="E136" s="218">
        <v>7.5</v>
      </c>
      <c r="F136" s="216">
        <v>41375</v>
      </c>
      <c r="G136" s="218">
        <v>-7.5</v>
      </c>
      <c r="H136" s="219" t="s">
        <v>52</v>
      </c>
      <c r="I136" s="219" t="s">
        <v>2</v>
      </c>
      <c r="J136" s="219" t="s">
        <v>488</v>
      </c>
      <c r="K136" s="220" t="str">
        <f>IF(J136&lt;&gt;"",VLOOKUP(J136,PContas!A:B,2,FALSE),"")</f>
        <v>ALIMENTAÇÃO</v>
      </c>
      <c r="L136" s="221">
        <f t="shared" si="4"/>
        <v>11</v>
      </c>
      <c r="M136" s="221" t="str">
        <f t="shared" ca="1" si="5"/>
        <v>2013/04</v>
      </c>
    </row>
    <row r="137" spans="1:13">
      <c r="A137" s="216">
        <v>41375</v>
      </c>
      <c r="B137" s="217"/>
      <c r="C137" s="217"/>
      <c r="D137" s="216">
        <v>41375</v>
      </c>
      <c r="E137" s="218">
        <v>6.85</v>
      </c>
      <c r="F137" s="216">
        <v>41375</v>
      </c>
      <c r="G137" s="218">
        <v>-6.85</v>
      </c>
      <c r="H137" s="219" t="s">
        <v>52</v>
      </c>
      <c r="I137" s="219" t="s">
        <v>2</v>
      </c>
      <c r="J137" s="219" t="s">
        <v>488</v>
      </c>
      <c r="K137" s="220" t="str">
        <f>IF(J137&lt;&gt;"",VLOOKUP(J137,PContas!A:B,2,FALSE),"")</f>
        <v>ALIMENTAÇÃO</v>
      </c>
      <c r="L137" s="221">
        <f t="shared" si="4"/>
        <v>11</v>
      </c>
      <c r="M137" s="221" t="str">
        <f t="shared" ca="1" si="5"/>
        <v>2013/04</v>
      </c>
    </row>
    <row r="138" spans="1:13">
      <c r="A138" s="216">
        <v>41375</v>
      </c>
      <c r="B138" s="217"/>
      <c r="C138" s="217"/>
      <c r="D138" s="216">
        <v>41375</v>
      </c>
      <c r="E138" s="218">
        <v>6</v>
      </c>
      <c r="F138" s="216">
        <v>41375</v>
      </c>
      <c r="G138" s="218">
        <v>-6</v>
      </c>
      <c r="H138" s="219" t="s">
        <v>52</v>
      </c>
      <c r="I138" s="219" t="s">
        <v>2</v>
      </c>
      <c r="J138" s="219" t="s">
        <v>488</v>
      </c>
      <c r="K138" s="220" t="str">
        <f>IF(J138&lt;&gt;"",VLOOKUP(J138,PContas!A:B,2,FALSE),"")</f>
        <v>ALIMENTAÇÃO</v>
      </c>
      <c r="L138" s="221">
        <f t="shared" si="4"/>
        <v>11</v>
      </c>
      <c r="M138" s="221" t="str">
        <f t="shared" ca="1" si="5"/>
        <v>2013/04</v>
      </c>
    </row>
    <row r="139" spans="1:13">
      <c r="A139" s="216">
        <v>41375</v>
      </c>
      <c r="B139" s="217"/>
      <c r="C139" s="217"/>
      <c r="D139" s="216">
        <v>41375</v>
      </c>
      <c r="E139" s="218">
        <v>7</v>
      </c>
      <c r="F139" s="216">
        <v>41375</v>
      </c>
      <c r="G139" s="218">
        <v>-7</v>
      </c>
      <c r="H139" s="219" t="s">
        <v>52</v>
      </c>
      <c r="I139" s="219" t="s">
        <v>2</v>
      </c>
      <c r="J139" s="219" t="s">
        <v>488</v>
      </c>
      <c r="K139" s="220" t="str">
        <f>IF(J139&lt;&gt;"",VLOOKUP(J139,PContas!A:B,2,FALSE),"")</f>
        <v>ALIMENTAÇÃO</v>
      </c>
      <c r="L139" s="221">
        <f t="shared" si="4"/>
        <v>11</v>
      </c>
      <c r="M139" s="221" t="str">
        <f t="shared" ca="1" si="5"/>
        <v>2013/04</v>
      </c>
    </row>
    <row r="140" spans="1:13">
      <c r="A140" s="216">
        <v>41375</v>
      </c>
      <c r="B140" s="217"/>
      <c r="C140" s="217"/>
      <c r="D140" s="216">
        <v>41375</v>
      </c>
      <c r="E140" s="218">
        <v>10</v>
      </c>
      <c r="F140" s="216">
        <v>41375</v>
      </c>
      <c r="G140" s="218">
        <v>-10</v>
      </c>
      <c r="H140" s="219" t="s">
        <v>52</v>
      </c>
      <c r="I140" s="219" t="s">
        <v>2</v>
      </c>
      <c r="J140" s="219" t="s">
        <v>9</v>
      </c>
      <c r="K140" s="220" t="str">
        <f>IF(J140&lt;&gt;"",VLOOKUP(J140,PContas!A:B,2,FALSE),"")</f>
        <v>AILTON</v>
      </c>
      <c r="L140" s="221">
        <f t="shared" si="4"/>
        <v>11</v>
      </c>
      <c r="M140" s="221" t="str">
        <f t="shared" ca="1" si="5"/>
        <v>2013/04</v>
      </c>
    </row>
    <row r="141" spans="1:13">
      <c r="A141" s="216">
        <v>41376</v>
      </c>
      <c r="B141" s="217"/>
      <c r="C141" s="217"/>
      <c r="D141" s="216">
        <v>41376</v>
      </c>
      <c r="E141" s="218">
        <v>7.5</v>
      </c>
      <c r="F141" s="216">
        <v>41376</v>
      </c>
      <c r="G141" s="218">
        <v>-7.5</v>
      </c>
      <c r="H141" s="219" t="s">
        <v>52</v>
      </c>
      <c r="I141" s="219" t="s">
        <v>2</v>
      </c>
      <c r="J141" s="219" t="s">
        <v>488</v>
      </c>
      <c r="K141" s="220" t="str">
        <f>IF(J141&lt;&gt;"",VLOOKUP(J141,PContas!A:B,2,FALSE),"")</f>
        <v>ALIMENTAÇÃO</v>
      </c>
      <c r="L141" s="221">
        <f t="shared" si="4"/>
        <v>12</v>
      </c>
      <c r="M141" s="221" t="str">
        <f t="shared" ca="1" si="5"/>
        <v>2013/04</v>
      </c>
    </row>
    <row r="142" spans="1:13">
      <c r="A142" s="216">
        <v>41376</v>
      </c>
      <c r="B142" s="217"/>
      <c r="C142" s="217"/>
      <c r="D142" s="216">
        <v>41376</v>
      </c>
      <c r="E142" s="218">
        <v>3.75</v>
      </c>
      <c r="F142" s="216">
        <v>41376</v>
      </c>
      <c r="G142" s="218">
        <v>-3.75</v>
      </c>
      <c r="H142" s="219" t="s">
        <v>52</v>
      </c>
      <c r="I142" s="219" t="s">
        <v>2</v>
      </c>
      <c r="J142" s="219" t="s">
        <v>488</v>
      </c>
      <c r="K142" s="220" t="str">
        <f>IF(J142&lt;&gt;"",VLOOKUP(J142,PContas!A:B,2,FALSE),"")</f>
        <v>ALIMENTAÇÃO</v>
      </c>
      <c r="L142" s="221">
        <f t="shared" si="4"/>
        <v>12</v>
      </c>
      <c r="M142" s="221" t="str">
        <f t="shared" ca="1" si="5"/>
        <v>2013/04</v>
      </c>
    </row>
    <row r="143" spans="1:13">
      <c r="A143" s="216">
        <v>41380</v>
      </c>
      <c r="B143" s="217"/>
      <c r="C143" s="217"/>
      <c r="D143" s="216">
        <v>41380</v>
      </c>
      <c r="E143" s="218">
        <v>2.99</v>
      </c>
      <c r="F143" s="216">
        <v>41380</v>
      </c>
      <c r="G143" s="218">
        <v>-2.99</v>
      </c>
      <c r="H143" s="219" t="s">
        <v>52</v>
      </c>
      <c r="I143" s="219" t="s">
        <v>2</v>
      </c>
      <c r="J143" s="219" t="s">
        <v>488</v>
      </c>
      <c r="K143" s="220" t="str">
        <f>IF(J143&lt;&gt;"",VLOOKUP(J143,PContas!A:B,2,FALSE),"")</f>
        <v>ALIMENTAÇÃO</v>
      </c>
      <c r="L143" s="221">
        <f t="shared" si="4"/>
        <v>16</v>
      </c>
      <c r="M143" s="221" t="str">
        <f t="shared" ca="1" si="5"/>
        <v>2013/04</v>
      </c>
    </row>
    <row r="144" spans="1:13">
      <c r="A144" s="216">
        <v>41381</v>
      </c>
      <c r="B144" s="217"/>
      <c r="C144" s="217"/>
      <c r="D144" s="216">
        <v>41381</v>
      </c>
      <c r="E144" s="218">
        <v>2.99</v>
      </c>
      <c r="F144" s="216">
        <v>41381</v>
      </c>
      <c r="G144" s="218">
        <v>-2.99</v>
      </c>
      <c r="H144" s="219" t="s">
        <v>52</v>
      </c>
      <c r="I144" s="219" t="s">
        <v>2</v>
      </c>
      <c r="J144" s="219" t="s">
        <v>488</v>
      </c>
      <c r="K144" s="220" t="str">
        <f>IF(J144&lt;&gt;"",VLOOKUP(J144,PContas!A:B,2,FALSE),"")</f>
        <v>ALIMENTAÇÃO</v>
      </c>
      <c r="L144" s="221">
        <f t="shared" si="4"/>
        <v>17</v>
      </c>
      <c r="M144" s="221" t="str">
        <f t="shared" ca="1" si="5"/>
        <v>2013/04</v>
      </c>
    </row>
    <row r="145" spans="1:13">
      <c r="A145" s="216">
        <v>41382</v>
      </c>
      <c r="B145" s="217"/>
      <c r="C145" s="217"/>
      <c r="D145" s="216">
        <v>41382</v>
      </c>
      <c r="E145" s="218">
        <v>3.72</v>
      </c>
      <c r="F145" s="216">
        <v>41382</v>
      </c>
      <c r="G145" s="218">
        <v>-3.72</v>
      </c>
      <c r="H145" s="219" t="s">
        <v>52</v>
      </c>
      <c r="I145" s="239" t="s">
        <v>1111</v>
      </c>
      <c r="J145" s="219" t="s">
        <v>40</v>
      </c>
      <c r="K145" s="220" t="str">
        <f>IF(J145&lt;&gt;"",VLOOKUP(J145,PContas!A:B,2,FALSE),"")</f>
        <v>TARIFAS</v>
      </c>
      <c r="L145" s="221">
        <f t="shared" si="4"/>
        <v>18</v>
      </c>
      <c r="M145" s="221" t="str">
        <f t="shared" ca="1" si="5"/>
        <v>2013/04</v>
      </c>
    </row>
    <row r="146" spans="1:13">
      <c r="A146" s="216">
        <v>41383</v>
      </c>
      <c r="B146" s="217"/>
      <c r="C146" s="217"/>
      <c r="D146" s="216">
        <v>41383</v>
      </c>
      <c r="E146" s="218">
        <v>3.72</v>
      </c>
      <c r="F146" s="216">
        <v>41383</v>
      </c>
      <c r="G146" s="218">
        <v>-3.72</v>
      </c>
      <c r="H146" s="219" t="s">
        <v>52</v>
      </c>
      <c r="I146" s="239" t="s">
        <v>1111</v>
      </c>
      <c r="J146" s="219" t="s">
        <v>40</v>
      </c>
      <c r="K146" s="220" t="str">
        <f>IF(J146&lt;&gt;"",VLOOKUP(J146,PContas!A:B,2,FALSE),"")</f>
        <v>TARIFAS</v>
      </c>
      <c r="L146" s="221">
        <f t="shared" si="4"/>
        <v>19</v>
      </c>
      <c r="M146" s="221" t="str">
        <f t="shared" ca="1" si="5"/>
        <v>2013/04</v>
      </c>
    </row>
    <row r="147" spans="1:13">
      <c r="A147" s="216">
        <v>41386</v>
      </c>
      <c r="B147" s="217"/>
      <c r="C147" s="217"/>
      <c r="D147" s="216">
        <v>41386</v>
      </c>
      <c r="E147" s="218">
        <v>37.69</v>
      </c>
      <c r="F147" s="216">
        <v>41386</v>
      </c>
      <c r="G147" s="218">
        <v>-37.69</v>
      </c>
      <c r="H147" s="219" t="s">
        <v>52</v>
      </c>
      <c r="I147" s="219" t="s">
        <v>2</v>
      </c>
      <c r="J147" s="219" t="s">
        <v>3</v>
      </c>
      <c r="K147" s="220" t="str">
        <f>IF(J147&lt;&gt;"",VLOOKUP(J147,PContas!A:B,2,FALSE),"")</f>
        <v>ALIMENTAÇÃO</v>
      </c>
      <c r="L147" s="221">
        <f t="shared" si="4"/>
        <v>22</v>
      </c>
      <c r="M147" s="221" t="str">
        <f t="shared" ca="1" si="5"/>
        <v>2013/04</v>
      </c>
    </row>
    <row r="148" spans="1:13">
      <c r="A148" s="216">
        <v>41386</v>
      </c>
      <c r="B148" s="217"/>
      <c r="C148" s="217"/>
      <c r="D148" s="216">
        <v>41386</v>
      </c>
      <c r="E148" s="218">
        <v>3.72</v>
      </c>
      <c r="F148" s="216">
        <v>41386</v>
      </c>
      <c r="G148" s="218">
        <v>-3.72</v>
      </c>
      <c r="H148" s="219" t="s">
        <v>52</v>
      </c>
      <c r="I148" s="239" t="s">
        <v>1111</v>
      </c>
      <c r="J148" s="219" t="s">
        <v>40</v>
      </c>
      <c r="K148" s="220" t="str">
        <f>IF(J148&lt;&gt;"",VLOOKUP(J148,PContas!A:B,2,FALSE),"")</f>
        <v>TARIFAS</v>
      </c>
      <c r="L148" s="221">
        <f t="shared" si="4"/>
        <v>22</v>
      </c>
      <c r="M148" s="221" t="str">
        <f t="shared" ca="1" si="5"/>
        <v>2013/04</v>
      </c>
    </row>
    <row r="149" spans="1:13">
      <c r="A149" s="216">
        <v>41387</v>
      </c>
      <c r="B149" s="217"/>
      <c r="C149" s="217"/>
      <c r="D149" s="216">
        <v>41387</v>
      </c>
      <c r="E149" s="218">
        <v>11</v>
      </c>
      <c r="F149" s="216">
        <v>41387</v>
      </c>
      <c r="G149" s="218">
        <v>-11</v>
      </c>
      <c r="H149" s="219" t="s">
        <v>52</v>
      </c>
      <c r="I149" s="219" t="s">
        <v>2</v>
      </c>
      <c r="J149" s="219" t="s">
        <v>488</v>
      </c>
      <c r="K149" s="220" t="str">
        <f>IF(J149&lt;&gt;"",VLOOKUP(J149,PContas!A:B,2,FALSE),"")</f>
        <v>ALIMENTAÇÃO</v>
      </c>
      <c r="L149" s="221">
        <f t="shared" si="4"/>
        <v>23</v>
      </c>
      <c r="M149" s="221" t="str">
        <f t="shared" ca="1" si="5"/>
        <v>2013/04</v>
      </c>
    </row>
    <row r="150" spans="1:13">
      <c r="A150" s="216">
        <v>41387</v>
      </c>
      <c r="B150" s="217"/>
      <c r="C150" s="217"/>
      <c r="D150" s="216">
        <v>41387</v>
      </c>
      <c r="E150" s="218">
        <v>53.7</v>
      </c>
      <c r="F150" s="216">
        <v>41387</v>
      </c>
      <c r="G150" s="218">
        <v>-53.7</v>
      </c>
      <c r="H150" s="219" t="s">
        <v>52</v>
      </c>
      <c r="I150" s="219" t="s">
        <v>2</v>
      </c>
      <c r="J150" s="219" t="s">
        <v>488</v>
      </c>
      <c r="K150" s="220" t="str">
        <f>IF(J150&lt;&gt;"",VLOOKUP(J150,PContas!A:B,2,FALSE),"")</f>
        <v>ALIMENTAÇÃO</v>
      </c>
      <c r="L150" s="221">
        <f t="shared" si="4"/>
        <v>23</v>
      </c>
      <c r="M150" s="221" t="str">
        <f t="shared" ca="1" si="5"/>
        <v>2013/04</v>
      </c>
    </row>
    <row r="151" spans="1:13">
      <c r="A151" s="216">
        <v>41390</v>
      </c>
      <c r="B151" s="217"/>
      <c r="C151" s="217"/>
      <c r="D151" s="216">
        <v>41390</v>
      </c>
      <c r="E151" s="218">
        <v>46.27</v>
      </c>
      <c r="F151" s="216">
        <v>41390</v>
      </c>
      <c r="G151" s="218">
        <v>-46.27</v>
      </c>
      <c r="H151" s="219" t="s">
        <v>52</v>
      </c>
      <c r="I151" s="219" t="s">
        <v>2</v>
      </c>
      <c r="J151" s="219" t="s">
        <v>3</v>
      </c>
      <c r="K151" s="220" t="str">
        <f>IF(J151&lt;&gt;"",VLOOKUP(J151,PContas!A:B,2,FALSE),"")</f>
        <v>ALIMENTAÇÃO</v>
      </c>
      <c r="L151" s="221">
        <f t="shared" si="4"/>
        <v>26</v>
      </c>
      <c r="M151" s="221" t="str">
        <f t="shared" ca="1" si="5"/>
        <v>2013/04</v>
      </c>
    </row>
    <row r="152" spans="1:13">
      <c r="A152" s="216">
        <v>41390</v>
      </c>
      <c r="B152" s="217" t="s">
        <v>747</v>
      </c>
      <c r="C152" s="217"/>
      <c r="D152" s="216">
        <v>41390</v>
      </c>
      <c r="E152" s="218">
        <v>2100</v>
      </c>
      <c r="F152" s="216">
        <v>41390</v>
      </c>
      <c r="G152" s="218">
        <v>2100</v>
      </c>
      <c r="H152" s="219" t="s">
        <v>71</v>
      </c>
      <c r="I152" s="219" t="s">
        <v>4</v>
      </c>
      <c r="J152" s="219" t="s">
        <v>62</v>
      </c>
      <c r="K152" s="220" t="str">
        <f>IF(J152&lt;&gt;"",VLOOKUP(J152,PContas!A:B,2,FALSE),"")</f>
        <v>CLIENTES</v>
      </c>
      <c r="L152" s="221">
        <f t="shared" si="4"/>
        <v>26</v>
      </c>
      <c r="M152" s="221" t="str">
        <f t="shared" ca="1" si="5"/>
        <v>2013/04</v>
      </c>
    </row>
    <row r="153" spans="1:13">
      <c r="A153" s="216">
        <v>41393</v>
      </c>
      <c r="B153" s="217"/>
      <c r="C153" s="217"/>
      <c r="D153" s="216">
        <v>41393</v>
      </c>
      <c r="E153" s="218">
        <v>13</v>
      </c>
      <c r="F153" s="216">
        <v>41393</v>
      </c>
      <c r="G153" s="218">
        <v>-13</v>
      </c>
      <c r="H153" s="219" t="s">
        <v>52</v>
      </c>
      <c r="I153" s="219" t="s">
        <v>2</v>
      </c>
      <c r="J153" s="219" t="s">
        <v>488</v>
      </c>
      <c r="K153" s="220" t="str">
        <f>IF(J153&lt;&gt;"",VLOOKUP(J153,PContas!A:B,2,FALSE),"")</f>
        <v>ALIMENTAÇÃO</v>
      </c>
      <c r="L153" s="221">
        <f t="shared" si="4"/>
        <v>29</v>
      </c>
      <c r="M153" s="221" t="str">
        <f t="shared" ca="1" si="5"/>
        <v>2013/04</v>
      </c>
    </row>
    <row r="154" spans="1:13">
      <c r="A154" s="216">
        <v>41394</v>
      </c>
      <c r="B154" s="217" t="s">
        <v>773</v>
      </c>
      <c r="C154" s="217"/>
      <c r="D154" s="216">
        <v>41394</v>
      </c>
      <c r="E154" s="218">
        <v>3500</v>
      </c>
      <c r="F154" s="216">
        <v>41394</v>
      </c>
      <c r="G154" s="218">
        <v>3500</v>
      </c>
      <c r="H154" s="219" t="s">
        <v>71</v>
      </c>
      <c r="I154" s="219" t="s">
        <v>2</v>
      </c>
      <c r="J154" s="219" t="s">
        <v>63</v>
      </c>
      <c r="K154" s="220" t="str">
        <f>IF(J154&lt;&gt;"",VLOOKUP(J154,PContas!A:B,2,FALSE),"")</f>
        <v>CLIENTES</v>
      </c>
      <c r="L154" s="221">
        <f t="shared" si="4"/>
        <v>30</v>
      </c>
      <c r="M154" s="221" t="str">
        <f t="shared" ca="1" si="5"/>
        <v>2013/04</v>
      </c>
    </row>
    <row r="155" spans="1:13">
      <c r="A155" s="216">
        <v>41394</v>
      </c>
      <c r="B155" s="217"/>
      <c r="C155" s="217"/>
      <c r="D155" s="216">
        <v>41394</v>
      </c>
      <c r="E155" s="218">
        <v>11.06</v>
      </c>
      <c r="F155" s="216">
        <v>41394</v>
      </c>
      <c r="G155" s="218">
        <v>-11.06</v>
      </c>
      <c r="H155" s="219" t="s">
        <v>52</v>
      </c>
      <c r="I155" s="219" t="s">
        <v>2</v>
      </c>
      <c r="J155" s="219" t="s">
        <v>488</v>
      </c>
      <c r="K155" s="220" t="str">
        <f>IF(J155&lt;&gt;"",VLOOKUP(J155,PContas!A:B,2,FALSE),"")</f>
        <v>ALIMENTAÇÃO</v>
      </c>
      <c r="L155" s="221">
        <f t="shared" si="4"/>
        <v>30</v>
      </c>
      <c r="M155" s="221" t="str">
        <f t="shared" ca="1" si="5"/>
        <v>2013/04</v>
      </c>
    </row>
    <row r="156" spans="1:13">
      <c r="A156" s="216">
        <v>41394</v>
      </c>
      <c r="B156" s="217"/>
      <c r="C156" s="217"/>
      <c r="D156" s="216">
        <v>41365</v>
      </c>
      <c r="E156" s="218">
        <v>65</v>
      </c>
      <c r="F156" s="216">
        <v>41365</v>
      </c>
      <c r="G156" s="218">
        <v>-65</v>
      </c>
      <c r="H156" s="219" t="s">
        <v>52</v>
      </c>
      <c r="I156" s="219" t="s">
        <v>2</v>
      </c>
      <c r="J156" s="219" t="s">
        <v>90</v>
      </c>
      <c r="K156" s="220" t="str">
        <f>IF(J156&lt;&gt;"",VLOOKUP(J156,PContas!A:B,2,FALSE),"")</f>
        <v>ALIMENTAÇÃO</v>
      </c>
      <c r="L156" s="221">
        <f t="shared" si="4"/>
        <v>1</v>
      </c>
      <c r="M156" s="221" t="str">
        <f t="shared" ca="1" si="5"/>
        <v>2013/04</v>
      </c>
    </row>
    <row r="157" spans="1:13">
      <c r="A157" s="216">
        <v>41395</v>
      </c>
      <c r="B157" s="217"/>
      <c r="C157" s="217"/>
      <c r="D157" s="216">
        <v>41395</v>
      </c>
      <c r="E157" s="218">
        <v>795.39</v>
      </c>
      <c r="F157" s="216">
        <v>41395</v>
      </c>
      <c r="G157" s="218">
        <v>-795.39</v>
      </c>
      <c r="H157" s="219" t="s">
        <v>52</v>
      </c>
      <c r="I157" s="219" t="s">
        <v>2</v>
      </c>
      <c r="J157" s="219" t="s">
        <v>3</v>
      </c>
      <c r="K157" s="220" t="str">
        <f>IF(J157&lt;&gt;"",VLOOKUP(J157,PContas!A:B,2,FALSE),"")</f>
        <v>ALIMENTAÇÃO</v>
      </c>
      <c r="L157" s="221">
        <f t="shared" si="4"/>
        <v>1</v>
      </c>
      <c r="M157" s="221" t="str">
        <f t="shared" ca="1" si="5"/>
        <v>2013/05</v>
      </c>
    </row>
    <row r="158" spans="1:13">
      <c r="A158" s="216">
        <v>41396</v>
      </c>
      <c r="B158" s="217"/>
      <c r="C158" s="217"/>
      <c r="D158" s="216">
        <v>41396</v>
      </c>
      <c r="E158" s="218">
        <v>65.16</v>
      </c>
      <c r="F158" s="216">
        <v>41396</v>
      </c>
      <c r="G158" s="218">
        <v>-65.16</v>
      </c>
      <c r="H158" s="219" t="s">
        <v>52</v>
      </c>
      <c r="I158" s="219" t="s">
        <v>2</v>
      </c>
      <c r="J158" s="219" t="s">
        <v>3</v>
      </c>
      <c r="K158" s="220" t="str">
        <f>IF(J158&lt;&gt;"",VLOOKUP(J158,PContas!A:B,2,FALSE),"")</f>
        <v>ALIMENTAÇÃO</v>
      </c>
      <c r="L158" s="221">
        <f t="shared" si="4"/>
        <v>2</v>
      </c>
      <c r="M158" s="221" t="str">
        <f t="shared" ca="1" si="5"/>
        <v>2013/05</v>
      </c>
    </row>
    <row r="159" spans="1:13">
      <c r="A159" s="216">
        <v>41396</v>
      </c>
      <c r="B159" s="217"/>
      <c r="C159" s="217"/>
      <c r="D159" s="216">
        <v>41396</v>
      </c>
      <c r="E159" s="218">
        <v>31.4</v>
      </c>
      <c r="F159" s="216">
        <v>41396</v>
      </c>
      <c r="G159" s="218">
        <v>-31.4</v>
      </c>
      <c r="H159" s="219" t="s">
        <v>52</v>
      </c>
      <c r="I159" s="219" t="s">
        <v>2</v>
      </c>
      <c r="J159" s="219" t="s">
        <v>488</v>
      </c>
      <c r="K159" s="220" t="str">
        <f>IF(J159&lt;&gt;"",VLOOKUP(J159,PContas!A:B,2,FALSE),"")</f>
        <v>ALIMENTAÇÃO</v>
      </c>
      <c r="L159" s="221">
        <f t="shared" si="4"/>
        <v>2</v>
      </c>
      <c r="M159" s="221" t="str">
        <f t="shared" ca="1" si="5"/>
        <v>2013/05</v>
      </c>
    </row>
    <row r="160" spans="1:13">
      <c r="A160" s="216">
        <v>41396</v>
      </c>
      <c r="B160" s="217"/>
      <c r="C160" s="217"/>
      <c r="D160" s="216">
        <v>41396</v>
      </c>
      <c r="E160" s="218">
        <v>11.06</v>
      </c>
      <c r="F160" s="216">
        <v>41396</v>
      </c>
      <c r="G160" s="218">
        <v>-11.06</v>
      </c>
      <c r="H160" s="219" t="s">
        <v>52</v>
      </c>
      <c r="I160" s="219" t="s">
        <v>2</v>
      </c>
      <c r="J160" s="219" t="s">
        <v>488</v>
      </c>
      <c r="K160" s="220" t="str">
        <f>IF(J160&lt;&gt;"",VLOOKUP(J160,PContas!A:B,2,FALSE),"")</f>
        <v>ALIMENTAÇÃO</v>
      </c>
      <c r="L160" s="221">
        <f t="shared" si="4"/>
        <v>2</v>
      </c>
      <c r="M160" s="221" t="str">
        <f t="shared" ca="1" si="5"/>
        <v>2013/05</v>
      </c>
    </row>
    <row r="161" spans="1:13">
      <c r="A161" s="216">
        <v>41397</v>
      </c>
      <c r="B161" s="217"/>
      <c r="C161" s="217"/>
      <c r="D161" s="216">
        <v>41397</v>
      </c>
      <c r="E161" s="218">
        <v>7.72</v>
      </c>
      <c r="F161" s="216">
        <v>41397</v>
      </c>
      <c r="G161" s="218">
        <v>-7.72</v>
      </c>
      <c r="H161" s="219" t="s">
        <v>52</v>
      </c>
      <c r="I161" s="219" t="s">
        <v>2</v>
      </c>
      <c r="J161" s="219" t="s">
        <v>488</v>
      </c>
      <c r="K161" s="220" t="str">
        <f>IF(J161&lt;&gt;"",VLOOKUP(J161,PContas!A:B,2,FALSE),"")</f>
        <v>ALIMENTAÇÃO</v>
      </c>
      <c r="L161" s="221">
        <f t="shared" si="4"/>
        <v>3</v>
      </c>
      <c r="M161" s="221" t="str">
        <f t="shared" ca="1" si="5"/>
        <v>2013/05</v>
      </c>
    </row>
    <row r="162" spans="1:13">
      <c r="A162" s="216">
        <v>41397</v>
      </c>
      <c r="B162" s="217"/>
      <c r="C162" s="217"/>
      <c r="D162" s="216">
        <v>41397</v>
      </c>
      <c r="E162" s="218">
        <v>8.5</v>
      </c>
      <c r="F162" s="216">
        <v>41397</v>
      </c>
      <c r="G162" s="218">
        <v>-8.5</v>
      </c>
      <c r="H162" s="219" t="s">
        <v>52</v>
      </c>
      <c r="I162" s="219" t="s">
        <v>2</v>
      </c>
      <c r="J162" s="219" t="s">
        <v>488</v>
      </c>
      <c r="K162" s="220" t="str">
        <f>IF(J162&lt;&gt;"",VLOOKUP(J162,PContas!A:B,2,FALSE),"")</f>
        <v>ALIMENTAÇÃO</v>
      </c>
      <c r="L162" s="221">
        <f t="shared" si="4"/>
        <v>3</v>
      </c>
      <c r="M162" s="221" t="str">
        <f t="shared" ca="1" si="5"/>
        <v>2013/05</v>
      </c>
    </row>
    <row r="163" spans="1:13">
      <c r="A163" s="216">
        <v>41397</v>
      </c>
      <c r="B163" s="217"/>
      <c r="C163" s="217" t="s">
        <v>508</v>
      </c>
      <c r="D163" s="216">
        <v>41404</v>
      </c>
      <c r="E163" s="218">
        <v>19.5</v>
      </c>
      <c r="F163" s="216">
        <v>41397</v>
      </c>
      <c r="G163" s="218">
        <v>-19.5</v>
      </c>
      <c r="H163" s="219" t="s">
        <v>52</v>
      </c>
      <c r="I163" s="239" t="s">
        <v>1111</v>
      </c>
      <c r="J163" s="219" t="s">
        <v>96</v>
      </c>
      <c r="K163" s="220" t="str">
        <f>IF(J163&lt;&gt;"",VLOOKUP(J163,PContas!A:B,2,FALSE),"")</f>
        <v>TARIFAS</v>
      </c>
      <c r="L163" s="221">
        <f t="shared" si="4"/>
        <v>10</v>
      </c>
      <c r="M163" s="221" t="str">
        <f t="shared" ca="1" si="5"/>
        <v>2013/05</v>
      </c>
    </row>
    <row r="164" spans="1:13">
      <c r="A164" s="216">
        <v>41400</v>
      </c>
      <c r="B164" s="217"/>
      <c r="C164" s="217"/>
      <c r="D164" s="216">
        <v>41400</v>
      </c>
      <c r="E164" s="218">
        <v>37.450000000000003</v>
      </c>
      <c r="F164" s="216">
        <v>41400</v>
      </c>
      <c r="G164" s="218">
        <v>-37.450000000000003</v>
      </c>
      <c r="H164" s="219" t="s">
        <v>52</v>
      </c>
      <c r="I164" s="219" t="s">
        <v>2</v>
      </c>
      <c r="J164" s="219" t="s">
        <v>3</v>
      </c>
      <c r="K164" s="220" t="str">
        <f>IF(J164&lt;&gt;"",VLOOKUP(J164,PContas!A:B,2,FALSE),"")</f>
        <v>ALIMENTAÇÃO</v>
      </c>
      <c r="L164" s="221">
        <f t="shared" si="4"/>
        <v>6</v>
      </c>
      <c r="M164" s="221" t="str">
        <f t="shared" ca="1" si="5"/>
        <v>2013/05</v>
      </c>
    </row>
    <row r="165" spans="1:13">
      <c r="A165" s="216">
        <v>41400</v>
      </c>
      <c r="B165" s="217"/>
      <c r="C165" s="217"/>
      <c r="D165" s="216">
        <v>41400</v>
      </c>
      <c r="E165" s="218">
        <v>40.409999999999997</v>
      </c>
      <c r="F165" s="216">
        <v>41400</v>
      </c>
      <c r="G165" s="218">
        <v>-40.409999999999997</v>
      </c>
      <c r="H165" s="219" t="s">
        <v>52</v>
      </c>
      <c r="I165" s="219" t="s">
        <v>2</v>
      </c>
      <c r="J165" s="219" t="s">
        <v>3</v>
      </c>
      <c r="K165" s="220" t="str">
        <f>IF(J165&lt;&gt;"",VLOOKUP(J165,PContas!A:B,2,FALSE),"")</f>
        <v>ALIMENTAÇÃO</v>
      </c>
      <c r="L165" s="221">
        <f t="shared" si="4"/>
        <v>6</v>
      </c>
      <c r="M165" s="221" t="str">
        <f t="shared" ca="1" si="5"/>
        <v>2013/05</v>
      </c>
    </row>
    <row r="166" spans="1:13">
      <c r="A166" s="216">
        <v>41400</v>
      </c>
      <c r="B166" s="217"/>
      <c r="C166" s="217"/>
      <c r="D166" s="216">
        <v>41400</v>
      </c>
      <c r="E166" s="218">
        <v>29.9</v>
      </c>
      <c r="F166" s="216">
        <v>41400</v>
      </c>
      <c r="G166" s="218">
        <v>-29.9</v>
      </c>
      <c r="H166" s="219" t="s">
        <v>52</v>
      </c>
      <c r="I166" s="219" t="s">
        <v>2</v>
      </c>
      <c r="J166" s="219" t="s">
        <v>488</v>
      </c>
      <c r="K166" s="220" t="str">
        <f>IF(J166&lt;&gt;"",VLOOKUP(J166,PContas!A:B,2,FALSE),"")</f>
        <v>ALIMENTAÇÃO</v>
      </c>
      <c r="L166" s="221">
        <f t="shared" si="4"/>
        <v>6</v>
      </c>
      <c r="M166" s="221" t="str">
        <f t="shared" ca="1" si="5"/>
        <v>2013/05</v>
      </c>
    </row>
    <row r="167" spans="1:13">
      <c r="A167" s="216">
        <v>41400</v>
      </c>
      <c r="B167" s="217"/>
      <c r="C167" s="217"/>
      <c r="D167" s="216">
        <v>41400</v>
      </c>
      <c r="E167" s="218">
        <v>22.49</v>
      </c>
      <c r="F167" s="216">
        <v>41400</v>
      </c>
      <c r="G167" s="218">
        <v>-22.49</v>
      </c>
      <c r="H167" s="219" t="s">
        <v>52</v>
      </c>
      <c r="I167" s="239" t="s">
        <v>1111</v>
      </c>
      <c r="J167" s="219" t="s">
        <v>23</v>
      </c>
      <c r="K167" s="220" t="str">
        <f>IF(J167&lt;&gt;"",VLOOKUP(J167,PContas!A:B,2,FALSE),"")</f>
        <v>SAUDE</v>
      </c>
      <c r="L167" s="221">
        <f t="shared" si="4"/>
        <v>6</v>
      </c>
      <c r="M167" s="221" t="str">
        <f t="shared" ca="1" si="5"/>
        <v>2013/05</v>
      </c>
    </row>
    <row r="168" spans="1:13">
      <c r="A168" s="216">
        <v>41402</v>
      </c>
      <c r="B168" s="217"/>
      <c r="C168" s="217"/>
      <c r="D168" s="216">
        <v>41402</v>
      </c>
      <c r="E168" s="218">
        <v>54.49</v>
      </c>
      <c r="F168" s="216">
        <v>41402</v>
      </c>
      <c r="G168" s="218">
        <v>-54.49</v>
      </c>
      <c r="H168" s="219" t="s">
        <v>52</v>
      </c>
      <c r="I168" s="219" t="s">
        <v>2</v>
      </c>
      <c r="J168" s="219" t="s">
        <v>488</v>
      </c>
      <c r="K168" s="220" t="str">
        <f>IF(J168&lt;&gt;"",VLOOKUP(J168,PContas!A:B,2,FALSE),"")</f>
        <v>ALIMENTAÇÃO</v>
      </c>
      <c r="L168" s="221">
        <f t="shared" si="4"/>
        <v>8</v>
      </c>
      <c r="M168" s="221" t="str">
        <f t="shared" ca="1" si="5"/>
        <v>2013/05</v>
      </c>
    </row>
    <row r="169" spans="1:13">
      <c r="A169" s="216">
        <v>41402</v>
      </c>
      <c r="B169" s="217"/>
      <c r="C169" s="217"/>
      <c r="D169" s="216">
        <v>41402</v>
      </c>
      <c r="E169" s="218">
        <v>46.48</v>
      </c>
      <c r="F169" s="216">
        <v>41402</v>
      </c>
      <c r="G169" s="218">
        <v>-46.48</v>
      </c>
      <c r="H169" s="219" t="s">
        <v>52</v>
      </c>
      <c r="I169" s="239" t="s">
        <v>1111</v>
      </c>
      <c r="J169" s="219" t="s">
        <v>23</v>
      </c>
      <c r="K169" s="220" t="str">
        <f>IF(J169&lt;&gt;"",VLOOKUP(J169,PContas!A:B,2,FALSE),"")</f>
        <v>SAUDE</v>
      </c>
      <c r="L169" s="221">
        <f t="shared" si="4"/>
        <v>8</v>
      </c>
      <c r="M169" s="221" t="str">
        <f t="shared" ca="1" si="5"/>
        <v>2013/05</v>
      </c>
    </row>
    <row r="170" spans="1:13">
      <c r="A170" s="216">
        <v>41403</v>
      </c>
      <c r="B170" s="217"/>
      <c r="C170" s="217"/>
      <c r="D170" s="216">
        <v>41403</v>
      </c>
      <c r="E170" s="218">
        <v>51.49</v>
      </c>
      <c r="F170" s="216">
        <v>41403</v>
      </c>
      <c r="G170" s="218">
        <v>-51.49</v>
      </c>
      <c r="H170" s="219" t="s">
        <v>52</v>
      </c>
      <c r="I170" s="219" t="s">
        <v>2</v>
      </c>
      <c r="J170" s="219" t="s">
        <v>488</v>
      </c>
      <c r="K170" s="220" t="str">
        <f>IF(J170&lt;&gt;"",VLOOKUP(J170,PContas!A:B,2,FALSE),"")</f>
        <v>ALIMENTAÇÃO</v>
      </c>
      <c r="L170" s="221">
        <f t="shared" si="4"/>
        <v>9</v>
      </c>
      <c r="M170" s="221" t="str">
        <f t="shared" ca="1" si="5"/>
        <v>2013/05</v>
      </c>
    </row>
    <row r="171" spans="1:13">
      <c r="A171" s="216">
        <v>41403</v>
      </c>
      <c r="B171" s="217"/>
      <c r="C171" s="217"/>
      <c r="D171" s="216">
        <v>41403</v>
      </c>
      <c r="E171" s="218">
        <v>31.4</v>
      </c>
      <c r="F171" s="216">
        <v>41403</v>
      </c>
      <c r="G171" s="218">
        <v>-31.4</v>
      </c>
      <c r="H171" s="219" t="s">
        <v>52</v>
      </c>
      <c r="I171" s="219" t="s">
        <v>2</v>
      </c>
      <c r="J171" s="219" t="s">
        <v>488</v>
      </c>
      <c r="K171" s="220" t="str">
        <f>IF(J171&lt;&gt;"",VLOOKUP(J171,PContas!A:B,2,FALSE),"")</f>
        <v>ALIMENTAÇÃO</v>
      </c>
      <c r="L171" s="221">
        <f t="shared" si="4"/>
        <v>9</v>
      </c>
      <c r="M171" s="221" t="str">
        <f t="shared" ca="1" si="5"/>
        <v>2013/05</v>
      </c>
    </row>
    <row r="172" spans="1:13">
      <c r="A172" s="216">
        <v>41407</v>
      </c>
      <c r="B172" s="217"/>
      <c r="C172" s="217"/>
      <c r="D172" s="216">
        <v>41407</v>
      </c>
      <c r="E172" s="218">
        <v>48.61</v>
      </c>
      <c r="F172" s="216">
        <v>41407</v>
      </c>
      <c r="G172" s="218">
        <v>-48.61</v>
      </c>
      <c r="H172" s="219" t="s">
        <v>52</v>
      </c>
      <c r="I172" s="219" t="s">
        <v>2</v>
      </c>
      <c r="J172" s="219" t="s">
        <v>3</v>
      </c>
      <c r="K172" s="220" t="str">
        <f>IF(J172&lt;&gt;"",VLOOKUP(J172,PContas!A:B,2,FALSE),"")</f>
        <v>ALIMENTAÇÃO</v>
      </c>
      <c r="L172" s="221">
        <f t="shared" si="4"/>
        <v>13</v>
      </c>
      <c r="M172" s="221" t="str">
        <f t="shared" ca="1" si="5"/>
        <v>2013/05</v>
      </c>
    </row>
    <row r="173" spans="1:13">
      <c r="A173" s="216">
        <v>41407</v>
      </c>
      <c r="B173" s="217"/>
      <c r="C173" s="217"/>
      <c r="D173" s="216">
        <v>41407</v>
      </c>
      <c r="E173" s="218">
        <v>15.66</v>
      </c>
      <c r="F173" s="216">
        <v>41407</v>
      </c>
      <c r="G173" s="218">
        <v>-15.66</v>
      </c>
      <c r="H173" s="219" t="s">
        <v>52</v>
      </c>
      <c r="I173" s="219" t="s">
        <v>2</v>
      </c>
      <c r="J173" s="219" t="s">
        <v>3</v>
      </c>
      <c r="K173" s="220" t="str">
        <f>IF(J173&lt;&gt;"",VLOOKUP(J173,PContas!A:B,2,FALSE),"")</f>
        <v>ALIMENTAÇÃO</v>
      </c>
      <c r="L173" s="221">
        <f t="shared" si="4"/>
        <v>13</v>
      </c>
      <c r="M173" s="221" t="str">
        <f t="shared" ca="1" si="5"/>
        <v>2013/05</v>
      </c>
    </row>
    <row r="174" spans="1:13">
      <c r="A174" s="216">
        <v>41407</v>
      </c>
      <c r="B174" s="217"/>
      <c r="C174" s="217"/>
      <c r="D174" s="216">
        <v>41407</v>
      </c>
      <c r="E174" s="218">
        <v>27.3</v>
      </c>
      <c r="F174" s="216">
        <v>41407</v>
      </c>
      <c r="G174" s="218">
        <v>-27.3</v>
      </c>
      <c r="H174" s="219" t="s">
        <v>52</v>
      </c>
      <c r="I174" s="219" t="s">
        <v>2</v>
      </c>
      <c r="J174" s="219" t="s">
        <v>488</v>
      </c>
      <c r="K174" s="220" t="str">
        <f>IF(J174&lt;&gt;"",VLOOKUP(J174,PContas!A:B,2,FALSE),"")</f>
        <v>ALIMENTAÇÃO</v>
      </c>
      <c r="L174" s="221">
        <f t="shared" si="4"/>
        <v>13</v>
      </c>
      <c r="M174" s="221" t="str">
        <f t="shared" ca="1" si="5"/>
        <v>2013/05</v>
      </c>
    </row>
    <row r="175" spans="1:13">
      <c r="A175" s="216">
        <v>41407</v>
      </c>
      <c r="B175" s="217"/>
      <c r="C175" s="217"/>
      <c r="D175" s="216">
        <v>41407</v>
      </c>
      <c r="E175" s="218">
        <v>11.8</v>
      </c>
      <c r="F175" s="216">
        <v>41407</v>
      </c>
      <c r="G175" s="218">
        <v>-11.8</v>
      </c>
      <c r="H175" s="219" t="s">
        <v>52</v>
      </c>
      <c r="I175" s="219" t="s">
        <v>2</v>
      </c>
      <c r="J175" s="219" t="s">
        <v>488</v>
      </c>
      <c r="K175" s="220" t="str">
        <f>IF(J175&lt;&gt;"",VLOOKUP(J175,PContas!A:B,2,FALSE),"")</f>
        <v>ALIMENTAÇÃO</v>
      </c>
      <c r="L175" s="221">
        <f t="shared" si="4"/>
        <v>13</v>
      </c>
      <c r="M175" s="221" t="str">
        <f t="shared" ca="1" si="5"/>
        <v>2013/05</v>
      </c>
    </row>
    <row r="176" spans="1:13">
      <c r="A176" s="216">
        <v>41407</v>
      </c>
      <c r="B176" s="217"/>
      <c r="C176" s="217"/>
      <c r="D176" s="216">
        <v>41407</v>
      </c>
      <c r="E176" s="218">
        <v>20</v>
      </c>
      <c r="F176" s="216">
        <v>41407</v>
      </c>
      <c r="G176" s="218">
        <v>-20</v>
      </c>
      <c r="H176" s="219" t="s">
        <v>52</v>
      </c>
      <c r="I176" s="219" t="s">
        <v>2</v>
      </c>
      <c r="J176" s="219" t="s">
        <v>9</v>
      </c>
      <c r="K176" s="220" t="str">
        <f>IF(J176&lt;&gt;"",VLOOKUP(J176,PContas!A:B,2,FALSE),"")</f>
        <v>AILTON</v>
      </c>
      <c r="L176" s="221">
        <f t="shared" si="4"/>
        <v>13</v>
      </c>
      <c r="M176" s="221" t="str">
        <f t="shared" ca="1" si="5"/>
        <v>2013/05</v>
      </c>
    </row>
    <row r="177" spans="1:13">
      <c r="A177" s="216">
        <v>41407</v>
      </c>
      <c r="B177" s="217"/>
      <c r="C177" s="217"/>
      <c r="D177" s="216">
        <v>41407</v>
      </c>
      <c r="E177" s="218">
        <v>20</v>
      </c>
      <c r="F177" s="216">
        <v>41407</v>
      </c>
      <c r="G177" s="218">
        <v>-20</v>
      </c>
      <c r="H177" s="219" t="s">
        <v>52</v>
      </c>
      <c r="I177" s="219" t="s">
        <v>2</v>
      </c>
      <c r="J177" s="219" t="s">
        <v>9</v>
      </c>
      <c r="K177" s="220" t="str">
        <f>IF(J177&lt;&gt;"",VLOOKUP(J177,PContas!A:B,2,FALSE),"")</f>
        <v>AILTON</v>
      </c>
      <c r="L177" s="221">
        <f t="shared" si="4"/>
        <v>13</v>
      </c>
      <c r="M177" s="221" t="str">
        <f t="shared" ca="1" si="5"/>
        <v>2013/05</v>
      </c>
    </row>
    <row r="178" spans="1:13">
      <c r="A178" s="216">
        <v>41410</v>
      </c>
      <c r="B178" s="217"/>
      <c r="C178" s="217"/>
      <c r="D178" s="216">
        <v>41410</v>
      </c>
      <c r="E178" s="218">
        <v>15.8</v>
      </c>
      <c r="F178" s="216">
        <v>41410</v>
      </c>
      <c r="G178" s="218">
        <v>-15.8</v>
      </c>
      <c r="H178" s="219" t="s">
        <v>52</v>
      </c>
      <c r="I178" s="219" t="s">
        <v>2</v>
      </c>
      <c r="J178" s="219" t="s">
        <v>488</v>
      </c>
      <c r="K178" s="220" t="str">
        <f>IF(J178&lt;&gt;"",VLOOKUP(J178,PContas!A:B,2,FALSE),"")</f>
        <v>ALIMENTAÇÃO</v>
      </c>
      <c r="L178" s="221">
        <f t="shared" si="4"/>
        <v>16</v>
      </c>
      <c r="M178" s="221" t="str">
        <f t="shared" ca="1" si="5"/>
        <v>2013/05</v>
      </c>
    </row>
    <row r="179" spans="1:13">
      <c r="A179" s="216">
        <v>41410</v>
      </c>
      <c r="B179" s="217"/>
      <c r="C179" s="217"/>
      <c r="D179" s="216">
        <v>41410</v>
      </c>
      <c r="E179" s="218">
        <v>26.15</v>
      </c>
      <c r="F179" s="216">
        <v>41410</v>
      </c>
      <c r="G179" s="218">
        <v>-26.15</v>
      </c>
      <c r="H179" s="219" t="s">
        <v>52</v>
      </c>
      <c r="I179" s="219" t="s">
        <v>2</v>
      </c>
      <c r="J179" s="219" t="s">
        <v>488</v>
      </c>
      <c r="K179" s="220" t="str">
        <f>IF(J179&lt;&gt;"",VLOOKUP(J179,PContas!A:B,2,FALSE),"")</f>
        <v>ALIMENTAÇÃO</v>
      </c>
      <c r="L179" s="221">
        <f t="shared" si="4"/>
        <v>16</v>
      </c>
      <c r="M179" s="221" t="str">
        <f t="shared" ca="1" si="5"/>
        <v>2013/05</v>
      </c>
    </row>
    <row r="180" spans="1:13">
      <c r="A180" s="216">
        <v>41415</v>
      </c>
      <c r="B180" s="217"/>
      <c r="C180" s="217"/>
      <c r="D180" s="216">
        <v>41415</v>
      </c>
      <c r="E180" s="218">
        <v>8.3000000000000007</v>
      </c>
      <c r="F180" s="216">
        <v>41415</v>
      </c>
      <c r="G180" s="218">
        <v>-8.3000000000000007</v>
      </c>
      <c r="H180" s="219" t="s">
        <v>52</v>
      </c>
      <c r="I180" s="219" t="s">
        <v>2</v>
      </c>
      <c r="J180" s="219" t="s">
        <v>488</v>
      </c>
      <c r="K180" s="220" t="str">
        <f>IF(J180&lt;&gt;"",VLOOKUP(J180,PContas!A:B,2,FALSE),"")</f>
        <v>ALIMENTAÇÃO</v>
      </c>
      <c r="L180" s="221">
        <f t="shared" si="4"/>
        <v>21</v>
      </c>
      <c r="M180" s="221" t="str">
        <f t="shared" ca="1" si="5"/>
        <v>2013/05</v>
      </c>
    </row>
    <row r="181" spans="1:13">
      <c r="A181" s="216">
        <v>41415</v>
      </c>
      <c r="B181" s="217"/>
      <c r="C181" s="217"/>
      <c r="D181" s="216">
        <v>41415</v>
      </c>
      <c r="E181" s="218">
        <v>3.72</v>
      </c>
      <c r="F181" s="216">
        <v>41415</v>
      </c>
      <c r="G181" s="218">
        <v>-3.72</v>
      </c>
      <c r="H181" s="219" t="s">
        <v>52</v>
      </c>
      <c r="I181" s="239" t="s">
        <v>1111</v>
      </c>
      <c r="J181" s="219" t="s">
        <v>40</v>
      </c>
      <c r="K181" s="220" t="str">
        <f>IF(J181&lt;&gt;"",VLOOKUP(J181,PContas!A:B,2,FALSE),"")</f>
        <v>TARIFAS</v>
      </c>
      <c r="L181" s="221">
        <f t="shared" si="4"/>
        <v>21</v>
      </c>
      <c r="M181" s="221" t="str">
        <f t="shared" ca="1" si="5"/>
        <v>2013/05</v>
      </c>
    </row>
    <row r="182" spans="1:13">
      <c r="A182" s="216">
        <v>41416</v>
      </c>
      <c r="B182" s="217"/>
      <c r="C182" s="217"/>
      <c r="D182" s="216">
        <v>41416</v>
      </c>
      <c r="E182" s="218">
        <v>15</v>
      </c>
      <c r="F182" s="216">
        <v>41416</v>
      </c>
      <c r="G182" s="218">
        <v>-15</v>
      </c>
      <c r="H182" s="219" t="s">
        <v>52</v>
      </c>
      <c r="I182" s="219" t="s">
        <v>2</v>
      </c>
      <c r="J182" s="219" t="s">
        <v>488</v>
      </c>
      <c r="K182" s="220" t="str">
        <f>IF(J182&lt;&gt;"",VLOOKUP(J182,PContas!A:B,2,FALSE),"")</f>
        <v>ALIMENTAÇÃO</v>
      </c>
      <c r="L182" s="221">
        <f t="shared" si="4"/>
        <v>22</v>
      </c>
      <c r="M182" s="221" t="str">
        <f t="shared" ca="1" si="5"/>
        <v>2013/05</v>
      </c>
    </row>
    <row r="183" spans="1:13">
      <c r="A183" s="216">
        <v>41416</v>
      </c>
      <c r="B183" s="217"/>
      <c r="C183" s="217"/>
      <c r="D183" s="216">
        <v>41416</v>
      </c>
      <c r="E183" s="218">
        <v>7.44</v>
      </c>
      <c r="F183" s="216">
        <v>41416</v>
      </c>
      <c r="G183" s="218">
        <v>-7.44</v>
      </c>
      <c r="H183" s="219" t="s">
        <v>52</v>
      </c>
      <c r="I183" s="239" t="s">
        <v>1111</v>
      </c>
      <c r="J183" s="219" t="s">
        <v>40</v>
      </c>
      <c r="K183" s="220" t="str">
        <f>IF(J183&lt;&gt;"",VLOOKUP(J183,PContas!A:B,2,FALSE),"")</f>
        <v>TARIFAS</v>
      </c>
      <c r="L183" s="221">
        <f t="shared" si="4"/>
        <v>22</v>
      </c>
      <c r="M183" s="221" t="str">
        <f t="shared" ca="1" si="5"/>
        <v>2013/05</v>
      </c>
    </row>
    <row r="184" spans="1:13">
      <c r="A184" s="216">
        <v>41417</v>
      </c>
      <c r="B184" s="217"/>
      <c r="C184" s="217"/>
      <c r="D184" s="216">
        <v>41417</v>
      </c>
      <c r="E184" s="218">
        <v>24.17</v>
      </c>
      <c r="F184" s="216">
        <v>41417</v>
      </c>
      <c r="G184" s="218">
        <v>-24.17</v>
      </c>
      <c r="H184" s="219" t="s">
        <v>52</v>
      </c>
      <c r="I184" s="219" t="s">
        <v>2</v>
      </c>
      <c r="J184" s="219" t="s">
        <v>488</v>
      </c>
      <c r="K184" s="220" t="str">
        <f>IF(J184&lt;&gt;"",VLOOKUP(J184,PContas!A:B,2,FALSE),"")</f>
        <v>ALIMENTAÇÃO</v>
      </c>
      <c r="L184" s="221">
        <f t="shared" si="4"/>
        <v>23</v>
      </c>
      <c r="M184" s="221" t="str">
        <f t="shared" ca="1" si="5"/>
        <v>2013/05</v>
      </c>
    </row>
    <row r="185" spans="1:13">
      <c r="A185" s="216">
        <v>41417</v>
      </c>
      <c r="B185" s="217"/>
      <c r="C185" s="217"/>
      <c r="D185" s="216">
        <v>41417</v>
      </c>
      <c r="E185" s="218">
        <v>30</v>
      </c>
      <c r="F185" s="216">
        <v>41417</v>
      </c>
      <c r="G185" s="218">
        <v>-30</v>
      </c>
      <c r="H185" s="219" t="s">
        <v>52</v>
      </c>
      <c r="I185" s="219" t="s">
        <v>2</v>
      </c>
      <c r="J185" s="219" t="s">
        <v>488</v>
      </c>
      <c r="K185" s="220" t="str">
        <f>IF(J185&lt;&gt;"",VLOOKUP(J185,PContas!A:B,2,FALSE),"")</f>
        <v>ALIMENTAÇÃO</v>
      </c>
      <c r="L185" s="221">
        <f t="shared" si="4"/>
        <v>23</v>
      </c>
      <c r="M185" s="221" t="str">
        <f t="shared" ca="1" si="5"/>
        <v>2013/05</v>
      </c>
    </row>
    <row r="186" spans="1:13">
      <c r="A186" s="216">
        <v>41417</v>
      </c>
      <c r="B186" s="217" t="s">
        <v>740</v>
      </c>
      <c r="C186" s="217"/>
      <c r="D186" s="216">
        <v>41417</v>
      </c>
      <c r="E186" s="218">
        <v>100</v>
      </c>
      <c r="F186" s="216">
        <v>41417</v>
      </c>
      <c r="G186" s="218">
        <v>100</v>
      </c>
      <c r="H186" s="219" t="s">
        <v>71</v>
      </c>
      <c r="I186" s="219" t="s">
        <v>2</v>
      </c>
      <c r="J186" s="219" t="s">
        <v>61</v>
      </c>
      <c r="K186" s="220" t="str">
        <f>IF(J186&lt;&gt;"",VLOOKUP(J186,PContas!A:B,2,FALSE),"")</f>
        <v>CLIENTES</v>
      </c>
      <c r="L186" s="221">
        <f t="shared" si="4"/>
        <v>23</v>
      </c>
      <c r="M186" s="221" t="str">
        <f t="shared" ca="1" si="5"/>
        <v>2013/05</v>
      </c>
    </row>
    <row r="187" spans="1:13">
      <c r="A187" s="216">
        <v>41417</v>
      </c>
      <c r="B187" s="217" t="s">
        <v>739</v>
      </c>
      <c r="C187" s="217"/>
      <c r="D187" s="216">
        <v>41417</v>
      </c>
      <c r="E187" s="218">
        <v>400</v>
      </c>
      <c r="F187" s="216">
        <v>41417</v>
      </c>
      <c r="G187" s="218">
        <v>400</v>
      </c>
      <c r="H187" s="219" t="s">
        <v>71</v>
      </c>
      <c r="I187" s="219" t="s">
        <v>2</v>
      </c>
      <c r="J187" s="219" t="s">
        <v>80</v>
      </c>
      <c r="K187" s="220" t="str">
        <f>IF(J187&lt;&gt;"",VLOOKUP(J187,PContas!A:B,2,FALSE),"")</f>
        <v>CLIENTES</v>
      </c>
      <c r="L187" s="221">
        <f t="shared" si="4"/>
        <v>23</v>
      </c>
      <c r="M187" s="221" t="str">
        <f t="shared" ca="1" si="5"/>
        <v>2013/05</v>
      </c>
    </row>
    <row r="188" spans="1:13">
      <c r="A188" s="216">
        <v>41418</v>
      </c>
      <c r="B188" s="217"/>
      <c r="C188" s="217"/>
      <c r="D188" s="216">
        <v>41418</v>
      </c>
      <c r="E188" s="218">
        <v>11.2</v>
      </c>
      <c r="F188" s="216">
        <v>41418</v>
      </c>
      <c r="G188" s="218">
        <v>-11.2</v>
      </c>
      <c r="H188" s="219" t="s">
        <v>52</v>
      </c>
      <c r="I188" s="219" t="s">
        <v>2</v>
      </c>
      <c r="J188" s="219" t="s">
        <v>488</v>
      </c>
      <c r="K188" s="220" t="str">
        <f>IF(J188&lt;&gt;"",VLOOKUP(J188,PContas!A:B,2,FALSE),"")</f>
        <v>ALIMENTAÇÃO</v>
      </c>
      <c r="L188" s="221">
        <f t="shared" si="4"/>
        <v>24</v>
      </c>
      <c r="M188" s="221" t="str">
        <f t="shared" ca="1" si="5"/>
        <v>2013/05</v>
      </c>
    </row>
    <row r="189" spans="1:13">
      <c r="A189" s="216">
        <v>41421</v>
      </c>
      <c r="B189" s="217"/>
      <c r="C189" s="217"/>
      <c r="D189" s="216">
        <v>41421</v>
      </c>
      <c r="E189" s="218">
        <v>53.9</v>
      </c>
      <c r="F189" s="216">
        <v>41421</v>
      </c>
      <c r="G189" s="218">
        <v>-53.9</v>
      </c>
      <c r="H189" s="219" t="s">
        <v>52</v>
      </c>
      <c r="I189" s="219" t="s">
        <v>2</v>
      </c>
      <c r="J189" s="219" t="s">
        <v>3</v>
      </c>
      <c r="K189" s="220" t="str">
        <f>IF(J189&lt;&gt;"",VLOOKUP(J189,PContas!A:B,2,FALSE),"")</f>
        <v>ALIMENTAÇÃO</v>
      </c>
      <c r="L189" s="221">
        <f t="shared" si="4"/>
        <v>27</v>
      </c>
      <c r="M189" s="221" t="str">
        <f t="shared" ca="1" si="5"/>
        <v>2013/05</v>
      </c>
    </row>
    <row r="190" spans="1:13">
      <c r="A190" s="216">
        <v>41421</v>
      </c>
      <c r="B190" s="217"/>
      <c r="C190" s="217"/>
      <c r="D190" s="216">
        <v>41421</v>
      </c>
      <c r="E190" s="218">
        <v>19.170000000000002</v>
      </c>
      <c r="F190" s="216">
        <v>41421</v>
      </c>
      <c r="G190" s="218">
        <v>-19.170000000000002</v>
      </c>
      <c r="H190" s="219" t="s">
        <v>52</v>
      </c>
      <c r="I190" s="219" t="s">
        <v>2</v>
      </c>
      <c r="J190" s="219" t="s">
        <v>488</v>
      </c>
      <c r="K190" s="220" t="str">
        <f>IF(J190&lt;&gt;"",VLOOKUP(J190,PContas!A:B,2,FALSE),"")</f>
        <v>ALIMENTAÇÃO</v>
      </c>
      <c r="L190" s="221">
        <f t="shared" si="4"/>
        <v>27</v>
      </c>
      <c r="M190" s="221" t="str">
        <f t="shared" ca="1" si="5"/>
        <v>2013/05</v>
      </c>
    </row>
    <row r="191" spans="1:13">
      <c r="A191" s="216">
        <v>41421</v>
      </c>
      <c r="B191" s="217"/>
      <c r="C191" s="217"/>
      <c r="D191" s="216">
        <v>41421</v>
      </c>
      <c r="E191" s="218">
        <v>9.1300000000000008</v>
      </c>
      <c r="F191" s="216">
        <v>41421</v>
      </c>
      <c r="G191" s="218">
        <v>-9.1300000000000008</v>
      </c>
      <c r="H191" s="219" t="s">
        <v>52</v>
      </c>
      <c r="I191" s="219" t="s">
        <v>2</v>
      </c>
      <c r="J191" s="219" t="s">
        <v>488</v>
      </c>
      <c r="K191" s="220" t="str">
        <f>IF(J191&lt;&gt;"",VLOOKUP(J191,PContas!A:B,2,FALSE),"")</f>
        <v>ALIMENTAÇÃO</v>
      </c>
      <c r="L191" s="221">
        <f t="shared" si="4"/>
        <v>27</v>
      </c>
      <c r="M191" s="221" t="str">
        <f t="shared" ca="1" si="5"/>
        <v>2013/05</v>
      </c>
    </row>
    <row r="192" spans="1:13">
      <c r="A192" s="216">
        <v>41421</v>
      </c>
      <c r="B192" s="217"/>
      <c r="C192" s="217"/>
      <c r="D192" s="216">
        <v>41421</v>
      </c>
      <c r="E192" s="218">
        <v>8.98</v>
      </c>
      <c r="F192" s="216">
        <v>41421</v>
      </c>
      <c r="G192" s="218">
        <v>-8.98</v>
      </c>
      <c r="H192" s="219" t="s">
        <v>52</v>
      </c>
      <c r="I192" s="219" t="s">
        <v>2</v>
      </c>
      <c r="J192" s="219" t="s">
        <v>488</v>
      </c>
      <c r="K192" s="220" t="str">
        <f>IF(J192&lt;&gt;"",VLOOKUP(J192,PContas!A:B,2,FALSE),"")</f>
        <v>ALIMENTAÇÃO</v>
      </c>
      <c r="L192" s="221">
        <f t="shared" si="4"/>
        <v>27</v>
      </c>
      <c r="M192" s="221" t="str">
        <f t="shared" ca="1" si="5"/>
        <v>2013/05</v>
      </c>
    </row>
    <row r="193" spans="1:13">
      <c r="A193" s="216">
        <v>41421</v>
      </c>
      <c r="B193" s="217"/>
      <c r="C193" s="217"/>
      <c r="D193" s="216">
        <v>41421</v>
      </c>
      <c r="E193" s="218">
        <v>7.26</v>
      </c>
      <c r="F193" s="216">
        <v>41421</v>
      </c>
      <c r="G193" s="218">
        <v>-7.26</v>
      </c>
      <c r="H193" s="219" t="s">
        <v>52</v>
      </c>
      <c r="I193" s="219" t="s">
        <v>2</v>
      </c>
      <c r="J193" s="219" t="s">
        <v>488</v>
      </c>
      <c r="K193" s="220" t="str">
        <f>IF(J193&lt;&gt;"",VLOOKUP(J193,PContas!A:B,2,FALSE),"")</f>
        <v>ALIMENTAÇÃO</v>
      </c>
      <c r="L193" s="221">
        <f t="shared" si="4"/>
        <v>27</v>
      </c>
      <c r="M193" s="221" t="str">
        <f t="shared" ca="1" si="5"/>
        <v>2013/05</v>
      </c>
    </row>
    <row r="194" spans="1:13">
      <c r="A194" s="216">
        <v>41423</v>
      </c>
      <c r="B194" s="217"/>
      <c r="C194" s="217"/>
      <c r="D194" s="216">
        <v>41423</v>
      </c>
      <c r="E194" s="218">
        <v>7.61</v>
      </c>
      <c r="F194" s="216">
        <v>41423</v>
      </c>
      <c r="G194" s="218">
        <v>-7.61</v>
      </c>
      <c r="H194" s="219" t="s">
        <v>52</v>
      </c>
      <c r="I194" s="219" t="s">
        <v>2</v>
      </c>
      <c r="J194" s="219" t="s">
        <v>488</v>
      </c>
      <c r="K194" s="220" t="str">
        <f>IF(J194&lt;&gt;"",VLOOKUP(J194,PContas!A:B,2,FALSE),"")</f>
        <v>ALIMENTAÇÃO</v>
      </c>
      <c r="L194" s="221">
        <f t="shared" ref="L194:L257" si="6">DAY(D194)</f>
        <v>29</v>
      </c>
      <c r="M194" s="221" t="str">
        <f t="shared" ref="M194:M257" ca="1" si="7">IF(D194&lt;&gt;"",IF(F194="",IF(DAYS360(D194,NOW())&gt;0,"ATRASADO",YEAR(D194)&amp;"/"&amp;CHOOSE(MONTH(D194),"01","02","03","04","05","06","07","08","09","10","11","12")),YEAR(D194)&amp;"/"&amp;CHOOSE(MONTH(D194),"01","02","03","04","05","06","07","08","09","10","11","12")),"")</f>
        <v>2013/05</v>
      </c>
    </row>
    <row r="195" spans="1:13">
      <c r="A195" s="216">
        <v>41425</v>
      </c>
      <c r="B195" s="217"/>
      <c r="C195" s="217"/>
      <c r="D195" s="216">
        <v>41425</v>
      </c>
      <c r="E195" s="218">
        <v>71.5</v>
      </c>
      <c r="F195" s="216">
        <v>41425</v>
      </c>
      <c r="G195" s="218">
        <v>-71.5</v>
      </c>
      <c r="H195" s="219" t="s">
        <v>52</v>
      </c>
      <c r="I195" s="219" t="s">
        <v>2</v>
      </c>
      <c r="J195" s="219" t="s">
        <v>488</v>
      </c>
      <c r="K195" s="220" t="str">
        <f>IF(J195&lt;&gt;"",VLOOKUP(J195,PContas!A:B,2,FALSE),"")</f>
        <v>ALIMENTAÇÃO</v>
      </c>
      <c r="L195" s="221">
        <f t="shared" si="6"/>
        <v>31</v>
      </c>
      <c r="M195" s="221" t="str">
        <f t="shared" ca="1" si="7"/>
        <v>2013/05</v>
      </c>
    </row>
    <row r="196" spans="1:13">
      <c r="A196" s="216">
        <v>41425</v>
      </c>
      <c r="B196" s="217"/>
      <c r="C196" s="217"/>
      <c r="D196" s="216">
        <v>41395</v>
      </c>
      <c r="E196" s="218">
        <v>65</v>
      </c>
      <c r="F196" s="216">
        <v>41395</v>
      </c>
      <c r="G196" s="218">
        <v>-65</v>
      </c>
      <c r="H196" s="219" t="s">
        <v>52</v>
      </c>
      <c r="I196" s="219" t="s">
        <v>2</v>
      </c>
      <c r="J196" s="219" t="s">
        <v>90</v>
      </c>
      <c r="K196" s="220" t="str">
        <f>IF(J196&lt;&gt;"",VLOOKUP(J196,PContas!A:B,2,FALSE),"")</f>
        <v>ALIMENTAÇÃO</v>
      </c>
      <c r="L196" s="221">
        <f t="shared" si="6"/>
        <v>1</v>
      </c>
      <c r="M196" s="221" t="str">
        <f t="shared" ca="1" si="7"/>
        <v>2013/05</v>
      </c>
    </row>
    <row r="197" spans="1:13">
      <c r="A197" s="216">
        <v>41430</v>
      </c>
      <c r="B197" s="217"/>
      <c r="C197" s="217"/>
      <c r="D197" s="216">
        <v>41430</v>
      </c>
      <c r="E197" s="218">
        <v>7.48</v>
      </c>
      <c r="F197" s="216">
        <v>41430</v>
      </c>
      <c r="G197" s="218">
        <v>-7.48</v>
      </c>
      <c r="H197" s="219" t="s">
        <v>52</v>
      </c>
      <c r="I197" s="219" t="s">
        <v>2</v>
      </c>
      <c r="J197" s="219" t="s">
        <v>488</v>
      </c>
      <c r="K197" s="220" t="str">
        <f>IF(J197&lt;&gt;"",VLOOKUP(J197,PContas!A:B,2,FALSE),"")</f>
        <v>ALIMENTAÇÃO</v>
      </c>
      <c r="L197" s="221">
        <f t="shared" si="6"/>
        <v>5</v>
      </c>
      <c r="M197" s="221" t="str">
        <f t="shared" ca="1" si="7"/>
        <v>2013/06</v>
      </c>
    </row>
    <row r="198" spans="1:13">
      <c r="A198" s="216">
        <v>41430</v>
      </c>
      <c r="B198" s="217"/>
      <c r="C198" s="217"/>
      <c r="D198" s="216">
        <v>41430</v>
      </c>
      <c r="E198" s="218">
        <v>28.11</v>
      </c>
      <c r="F198" s="216">
        <v>41430</v>
      </c>
      <c r="G198" s="218">
        <v>-28.11</v>
      </c>
      <c r="H198" s="219" t="s">
        <v>52</v>
      </c>
      <c r="I198" s="219" t="s">
        <v>2</v>
      </c>
      <c r="J198" s="219" t="s">
        <v>3</v>
      </c>
      <c r="K198" s="220" t="str">
        <f>IF(J198&lt;&gt;"",VLOOKUP(J198,PContas!A:B,2,FALSE),"")</f>
        <v>ALIMENTAÇÃO</v>
      </c>
      <c r="L198" s="221">
        <f t="shared" si="6"/>
        <v>5</v>
      </c>
      <c r="M198" s="221" t="str">
        <f t="shared" ca="1" si="7"/>
        <v>2013/06</v>
      </c>
    </row>
    <row r="199" spans="1:13">
      <c r="A199" s="216">
        <v>41431</v>
      </c>
      <c r="B199" s="217"/>
      <c r="C199" s="217"/>
      <c r="D199" s="216">
        <v>41431</v>
      </c>
      <c r="E199" s="218">
        <v>6.58</v>
      </c>
      <c r="F199" s="216">
        <v>41431</v>
      </c>
      <c r="G199" s="218">
        <v>-6.58</v>
      </c>
      <c r="H199" s="219" t="s">
        <v>52</v>
      </c>
      <c r="I199" s="219" t="s">
        <v>2</v>
      </c>
      <c r="J199" s="219" t="s">
        <v>488</v>
      </c>
      <c r="K199" s="220" t="str">
        <f>IF(J199&lt;&gt;"",VLOOKUP(J199,PContas!A:B,2,FALSE),"")</f>
        <v>ALIMENTAÇÃO</v>
      </c>
      <c r="L199" s="221">
        <f t="shared" si="6"/>
        <v>6</v>
      </c>
      <c r="M199" s="221" t="str">
        <f t="shared" ca="1" si="7"/>
        <v>2013/06</v>
      </c>
    </row>
    <row r="200" spans="1:13">
      <c r="A200" s="216">
        <v>41431</v>
      </c>
      <c r="B200" s="217"/>
      <c r="C200" s="217"/>
      <c r="D200" s="216">
        <v>41431</v>
      </c>
      <c r="E200" s="218">
        <v>3</v>
      </c>
      <c r="F200" s="216">
        <v>41431</v>
      </c>
      <c r="G200" s="218">
        <v>-3</v>
      </c>
      <c r="H200" s="219" t="s">
        <v>52</v>
      </c>
      <c r="I200" s="219" t="s">
        <v>2</v>
      </c>
      <c r="J200" s="219" t="s">
        <v>488</v>
      </c>
      <c r="K200" s="220" t="str">
        <f>IF(J200&lt;&gt;"",VLOOKUP(J200,PContas!A:B,2,FALSE),"")</f>
        <v>ALIMENTAÇÃO</v>
      </c>
      <c r="L200" s="221">
        <f t="shared" si="6"/>
        <v>6</v>
      </c>
      <c r="M200" s="221" t="str">
        <f t="shared" ca="1" si="7"/>
        <v>2013/06</v>
      </c>
    </row>
    <row r="201" spans="1:13">
      <c r="A201" s="216">
        <v>41431</v>
      </c>
      <c r="B201" s="217"/>
      <c r="C201" s="217"/>
      <c r="D201" s="216">
        <v>41431</v>
      </c>
      <c r="E201" s="218">
        <v>10.199999999999999</v>
      </c>
      <c r="F201" s="216">
        <v>41431</v>
      </c>
      <c r="G201" s="218">
        <v>-10.199999999999999</v>
      </c>
      <c r="H201" s="219" t="s">
        <v>52</v>
      </c>
      <c r="I201" s="219" t="s">
        <v>2</v>
      </c>
      <c r="J201" s="219" t="s">
        <v>9</v>
      </c>
      <c r="K201" s="220" t="str">
        <f>IF(J201&lt;&gt;"",VLOOKUP(J201,PContas!A:B,2,FALSE),"")</f>
        <v>AILTON</v>
      </c>
      <c r="L201" s="221">
        <f t="shared" si="6"/>
        <v>6</v>
      </c>
      <c r="M201" s="221" t="str">
        <f t="shared" ca="1" si="7"/>
        <v>2013/06</v>
      </c>
    </row>
    <row r="202" spans="1:13">
      <c r="A202" s="216">
        <v>41431</v>
      </c>
      <c r="B202" s="217"/>
      <c r="C202" s="217"/>
      <c r="D202" s="216">
        <v>41431</v>
      </c>
      <c r="E202" s="218">
        <v>1.65</v>
      </c>
      <c r="F202" s="216">
        <v>41431</v>
      </c>
      <c r="G202" s="218">
        <v>-1.65</v>
      </c>
      <c r="H202" s="219" t="s">
        <v>52</v>
      </c>
      <c r="I202" s="219" t="s">
        <v>2</v>
      </c>
      <c r="J202" s="219" t="s">
        <v>9</v>
      </c>
      <c r="K202" s="220" t="str">
        <f>IF(J202&lt;&gt;"",VLOOKUP(J202,PContas!A:B,2,FALSE),"")</f>
        <v>AILTON</v>
      </c>
      <c r="L202" s="221">
        <f t="shared" si="6"/>
        <v>6</v>
      </c>
      <c r="M202" s="221" t="str">
        <f t="shared" ca="1" si="7"/>
        <v>2013/06</v>
      </c>
    </row>
    <row r="203" spans="1:13">
      <c r="A203" s="216">
        <v>41431</v>
      </c>
      <c r="B203" s="217"/>
      <c r="C203" s="217"/>
      <c r="D203" s="216">
        <v>41431</v>
      </c>
      <c r="E203" s="218">
        <v>3</v>
      </c>
      <c r="F203" s="216">
        <v>41431</v>
      </c>
      <c r="G203" s="218">
        <v>-3</v>
      </c>
      <c r="H203" s="219" t="s">
        <v>52</v>
      </c>
      <c r="I203" s="219" t="s">
        <v>2</v>
      </c>
      <c r="J203" s="219" t="s">
        <v>9</v>
      </c>
      <c r="K203" s="220" t="str">
        <f>IF(J203&lt;&gt;"",VLOOKUP(J203,PContas!A:B,2,FALSE),"")</f>
        <v>AILTON</v>
      </c>
      <c r="L203" s="221">
        <f t="shared" si="6"/>
        <v>6</v>
      </c>
      <c r="M203" s="221" t="str">
        <f t="shared" ca="1" si="7"/>
        <v>2013/06</v>
      </c>
    </row>
    <row r="204" spans="1:13">
      <c r="A204" s="216">
        <v>41433</v>
      </c>
      <c r="B204" s="217"/>
      <c r="C204" s="217"/>
      <c r="D204" s="216">
        <v>41433</v>
      </c>
      <c r="E204" s="218">
        <v>27.7</v>
      </c>
      <c r="F204" s="216">
        <v>41433</v>
      </c>
      <c r="G204" s="218">
        <v>-27.7</v>
      </c>
      <c r="H204" s="219" t="s">
        <v>52</v>
      </c>
      <c r="I204" s="219" t="s">
        <v>2</v>
      </c>
      <c r="J204" s="219" t="s">
        <v>488</v>
      </c>
      <c r="K204" s="220" t="str">
        <f>IF(J204&lt;&gt;"",VLOOKUP(J204,PContas!A:B,2,FALSE),"")</f>
        <v>ALIMENTAÇÃO</v>
      </c>
      <c r="L204" s="221">
        <f t="shared" si="6"/>
        <v>8</v>
      </c>
      <c r="M204" s="221" t="str">
        <f t="shared" ca="1" si="7"/>
        <v>2013/06</v>
      </c>
    </row>
    <row r="205" spans="1:13">
      <c r="A205" s="216">
        <v>41433</v>
      </c>
      <c r="B205" s="217"/>
      <c r="C205" s="217"/>
      <c r="D205" s="216">
        <v>41433</v>
      </c>
      <c r="E205" s="218">
        <v>82.42</v>
      </c>
      <c r="F205" s="216">
        <v>41433</v>
      </c>
      <c r="G205" s="218">
        <v>-82.42</v>
      </c>
      <c r="H205" s="219" t="s">
        <v>52</v>
      </c>
      <c r="I205" s="219" t="s">
        <v>2</v>
      </c>
      <c r="J205" s="219" t="s">
        <v>3</v>
      </c>
      <c r="K205" s="220" t="str">
        <f>IF(J205&lt;&gt;"",VLOOKUP(J205,PContas!A:B,2,FALSE),"")</f>
        <v>ALIMENTAÇÃO</v>
      </c>
      <c r="L205" s="221">
        <f t="shared" si="6"/>
        <v>8</v>
      </c>
      <c r="M205" s="221" t="str">
        <f t="shared" ca="1" si="7"/>
        <v>2013/06</v>
      </c>
    </row>
    <row r="206" spans="1:13">
      <c r="A206" s="216">
        <v>41434</v>
      </c>
      <c r="B206" s="217"/>
      <c r="C206" s="217"/>
      <c r="D206" s="216">
        <v>41434</v>
      </c>
      <c r="E206" s="218">
        <v>48.25</v>
      </c>
      <c r="F206" s="216">
        <v>41434</v>
      </c>
      <c r="G206" s="218">
        <v>-48.25</v>
      </c>
      <c r="H206" s="219" t="s">
        <v>52</v>
      </c>
      <c r="I206" s="219" t="s">
        <v>2</v>
      </c>
      <c r="J206" s="219" t="s">
        <v>488</v>
      </c>
      <c r="K206" s="220" t="str">
        <f>IF(J206&lt;&gt;"",VLOOKUP(J206,PContas!A:B,2,FALSE),"")</f>
        <v>ALIMENTAÇÃO</v>
      </c>
      <c r="L206" s="221">
        <f t="shared" si="6"/>
        <v>9</v>
      </c>
      <c r="M206" s="221" t="str">
        <f t="shared" ca="1" si="7"/>
        <v>2013/06</v>
      </c>
    </row>
    <row r="207" spans="1:13">
      <c r="A207" s="216">
        <v>41434</v>
      </c>
      <c r="B207" s="217"/>
      <c r="C207" s="217"/>
      <c r="D207" s="216">
        <v>41434</v>
      </c>
      <c r="E207" s="218">
        <v>25.2</v>
      </c>
      <c r="F207" s="216">
        <v>41434</v>
      </c>
      <c r="G207" s="218">
        <v>-25.2</v>
      </c>
      <c r="H207" s="219" t="s">
        <v>52</v>
      </c>
      <c r="I207" s="219" t="s">
        <v>2</v>
      </c>
      <c r="J207" s="219" t="s">
        <v>3</v>
      </c>
      <c r="K207" s="220" t="str">
        <f>IF(J207&lt;&gt;"",VLOOKUP(J207,PContas!A:B,2,FALSE),"")</f>
        <v>ALIMENTAÇÃO</v>
      </c>
      <c r="L207" s="221">
        <f t="shared" si="6"/>
        <v>9</v>
      </c>
      <c r="M207" s="221" t="str">
        <f t="shared" ca="1" si="7"/>
        <v>2013/06</v>
      </c>
    </row>
    <row r="208" spans="1:13">
      <c r="A208" s="216">
        <v>41434</v>
      </c>
      <c r="B208" s="217"/>
      <c r="C208" s="217"/>
      <c r="D208" s="216">
        <v>41434</v>
      </c>
      <c r="E208" s="218">
        <v>4.75</v>
      </c>
      <c r="F208" s="216">
        <v>41434</v>
      </c>
      <c r="G208" s="218">
        <v>-4.75</v>
      </c>
      <c r="H208" s="219" t="s">
        <v>52</v>
      </c>
      <c r="I208" s="239" t="s">
        <v>1111</v>
      </c>
      <c r="J208" s="219" t="s">
        <v>23</v>
      </c>
      <c r="K208" s="220" t="str">
        <f>IF(J208&lt;&gt;"",VLOOKUP(J208,PContas!A:B,2,FALSE),"")</f>
        <v>SAUDE</v>
      </c>
      <c r="L208" s="221">
        <f t="shared" si="6"/>
        <v>9</v>
      </c>
      <c r="M208" s="221" t="str">
        <f t="shared" ca="1" si="7"/>
        <v>2013/06</v>
      </c>
    </row>
    <row r="209" spans="1:13">
      <c r="A209" s="216">
        <v>41436</v>
      </c>
      <c r="B209" s="217"/>
      <c r="C209" s="217"/>
      <c r="D209" s="216">
        <v>41436</v>
      </c>
      <c r="E209" s="218">
        <v>34.270000000000003</v>
      </c>
      <c r="F209" s="216">
        <v>41436</v>
      </c>
      <c r="G209" s="218">
        <v>-34.270000000000003</v>
      </c>
      <c r="H209" s="219" t="s">
        <v>52</v>
      </c>
      <c r="I209" s="219" t="s">
        <v>2</v>
      </c>
      <c r="J209" s="219" t="s">
        <v>3</v>
      </c>
      <c r="K209" s="220" t="str">
        <f>IF(J209&lt;&gt;"",VLOOKUP(J209,PContas!A:B,2,FALSE),"")</f>
        <v>ALIMENTAÇÃO</v>
      </c>
      <c r="L209" s="221">
        <f t="shared" si="6"/>
        <v>11</v>
      </c>
      <c r="M209" s="221" t="str">
        <f t="shared" ca="1" si="7"/>
        <v>2013/06</v>
      </c>
    </row>
    <row r="210" spans="1:13">
      <c r="A210" s="216">
        <v>41437</v>
      </c>
      <c r="B210" s="217"/>
      <c r="C210" s="217"/>
      <c r="D210" s="216">
        <v>41437</v>
      </c>
      <c r="E210" s="218">
        <v>70.849999999999994</v>
      </c>
      <c r="F210" s="216">
        <v>41437</v>
      </c>
      <c r="G210" s="218">
        <v>-70.849999999999994</v>
      </c>
      <c r="H210" s="219" t="s">
        <v>52</v>
      </c>
      <c r="I210" s="219" t="s">
        <v>2</v>
      </c>
      <c r="J210" s="219" t="s">
        <v>3</v>
      </c>
      <c r="K210" s="220" t="str">
        <f>IF(J210&lt;&gt;"",VLOOKUP(J210,PContas!A:B,2,FALSE),"")</f>
        <v>ALIMENTAÇÃO</v>
      </c>
      <c r="L210" s="221">
        <f t="shared" si="6"/>
        <v>12</v>
      </c>
      <c r="M210" s="221" t="str">
        <f t="shared" ca="1" si="7"/>
        <v>2013/06</v>
      </c>
    </row>
    <row r="211" spans="1:13">
      <c r="A211" s="216">
        <v>41438</v>
      </c>
      <c r="B211" s="217"/>
      <c r="C211" s="217"/>
      <c r="D211" s="216">
        <v>41438</v>
      </c>
      <c r="E211" s="218">
        <v>1.39</v>
      </c>
      <c r="F211" s="216">
        <v>41438</v>
      </c>
      <c r="G211" s="218">
        <v>-1.39</v>
      </c>
      <c r="H211" s="219" t="s">
        <v>52</v>
      </c>
      <c r="I211" s="239" t="s">
        <v>1111</v>
      </c>
      <c r="J211" s="219" t="s">
        <v>23</v>
      </c>
      <c r="K211" s="220" t="str">
        <f>IF(J211&lt;&gt;"",VLOOKUP(J211,PContas!A:B,2,FALSE),"")</f>
        <v>SAUDE</v>
      </c>
      <c r="L211" s="221">
        <f t="shared" si="6"/>
        <v>13</v>
      </c>
      <c r="M211" s="221" t="str">
        <f t="shared" ca="1" si="7"/>
        <v>2013/06</v>
      </c>
    </row>
    <row r="212" spans="1:13">
      <c r="A212" s="216">
        <v>41439</v>
      </c>
      <c r="B212" s="217"/>
      <c r="C212" s="217"/>
      <c r="D212" s="216">
        <v>41439</v>
      </c>
      <c r="E212" s="218">
        <v>54.9</v>
      </c>
      <c r="F212" s="216">
        <v>41439</v>
      </c>
      <c r="G212" s="218">
        <v>-54.9</v>
      </c>
      <c r="H212" s="219" t="s">
        <v>52</v>
      </c>
      <c r="I212" s="219" t="s">
        <v>2</v>
      </c>
      <c r="J212" s="219" t="s">
        <v>3</v>
      </c>
      <c r="K212" s="220" t="str">
        <f>IF(J212&lt;&gt;"",VLOOKUP(J212,PContas!A:B,2,FALSE),"")</f>
        <v>ALIMENTAÇÃO</v>
      </c>
      <c r="L212" s="221">
        <f t="shared" si="6"/>
        <v>14</v>
      </c>
      <c r="M212" s="221" t="str">
        <f t="shared" ca="1" si="7"/>
        <v>2013/06</v>
      </c>
    </row>
    <row r="213" spans="1:13">
      <c r="A213" s="216">
        <v>41440</v>
      </c>
      <c r="B213" s="217"/>
      <c r="C213" s="217"/>
      <c r="D213" s="216">
        <v>41440</v>
      </c>
      <c r="E213" s="218">
        <v>15.22</v>
      </c>
      <c r="F213" s="216">
        <v>41440</v>
      </c>
      <c r="G213" s="218">
        <v>-15.22</v>
      </c>
      <c r="H213" s="219" t="s">
        <v>52</v>
      </c>
      <c r="I213" s="219" t="s">
        <v>2</v>
      </c>
      <c r="J213" s="219" t="s">
        <v>488</v>
      </c>
      <c r="K213" s="220" t="str">
        <f>IF(J213&lt;&gt;"",VLOOKUP(J213,PContas!A:B,2,FALSE),"")</f>
        <v>ALIMENTAÇÃO</v>
      </c>
      <c r="L213" s="221">
        <f t="shared" si="6"/>
        <v>15</v>
      </c>
      <c r="M213" s="221" t="str">
        <f t="shared" ca="1" si="7"/>
        <v>2013/06</v>
      </c>
    </row>
    <row r="214" spans="1:13">
      <c r="A214" s="216">
        <v>41440</v>
      </c>
      <c r="B214" s="217"/>
      <c r="C214" s="217"/>
      <c r="D214" s="216">
        <v>41440</v>
      </c>
      <c r="E214" s="218">
        <v>23.44</v>
      </c>
      <c r="F214" s="216">
        <v>41440</v>
      </c>
      <c r="G214" s="218">
        <v>-23.44</v>
      </c>
      <c r="H214" s="219" t="s">
        <v>52</v>
      </c>
      <c r="I214" s="219" t="s">
        <v>2</v>
      </c>
      <c r="J214" s="219" t="s">
        <v>488</v>
      </c>
      <c r="K214" s="220" t="str">
        <f>IF(J214&lt;&gt;"",VLOOKUP(J214,PContas!A:B,2,FALSE),"")</f>
        <v>ALIMENTAÇÃO</v>
      </c>
      <c r="L214" s="221">
        <f t="shared" si="6"/>
        <v>15</v>
      </c>
      <c r="M214" s="221" t="str">
        <f t="shared" ca="1" si="7"/>
        <v>2013/06</v>
      </c>
    </row>
    <row r="215" spans="1:13">
      <c r="A215" s="216">
        <v>41440</v>
      </c>
      <c r="B215" s="217"/>
      <c r="C215" s="217"/>
      <c r="D215" s="216">
        <v>41440</v>
      </c>
      <c r="E215" s="218">
        <v>19.309999999999999</v>
      </c>
      <c r="F215" s="216">
        <v>41440</v>
      </c>
      <c r="G215" s="218">
        <v>-19.309999999999999</v>
      </c>
      <c r="H215" s="219" t="s">
        <v>52</v>
      </c>
      <c r="I215" s="219" t="s">
        <v>2</v>
      </c>
      <c r="J215" s="219" t="s">
        <v>488</v>
      </c>
      <c r="K215" s="220" t="str">
        <f>IF(J215&lt;&gt;"",VLOOKUP(J215,PContas!A:B,2,FALSE),"")</f>
        <v>ALIMENTAÇÃO</v>
      </c>
      <c r="L215" s="221">
        <f t="shared" si="6"/>
        <v>15</v>
      </c>
      <c r="M215" s="221" t="str">
        <f t="shared" ca="1" si="7"/>
        <v>2013/06</v>
      </c>
    </row>
    <row r="216" spans="1:13">
      <c r="A216" s="216">
        <v>41440</v>
      </c>
      <c r="B216" s="217"/>
      <c r="C216" s="217"/>
      <c r="D216" s="216">
        <v>41440</v>
      </c>
      <c r="E216" s="218">
        <v>37.26</v>
      </c>
      <c r="F216" s="216">
        <v>41440</v>
      </c>
      <c r="G216" s="218">
        <v>-37.26</v>
      </c>
      <c r="H216" s="219" t="s">
        <v>52</v>
      </c>
      <c r="I216" s="239" t="s">
        <v>1111</v>
      </c>
      <c r="J216" s="219" t="s">
        <v>23</v>
      </c>
      <c r="K216" s="220" t="str">
        <f>IF(J216&lt;&gt;"",VLOOKUP(J216,PContas!A:B,2,FALSE),"")</f>
        <v>SAUDE</v>
      </c>
      <c r="L216" s="221">
        <f t="shared" si="6"/>
        <v>15</v>
      </c>
      <c r="M216" s="221" t="str">
        <f t="shared" ca="1" si="7"/>
        <v>2013/06</v>
      </c>
    </row>
    <row r="217" spans="1:13">
      <c r="A217" s="216">
        <v>41442</v>
      </c>
      <c r="B217" s="217"/>
      <c r="C217" s="217"/>
      <c r="D217" s="216">
        <v>41442</v>
      </c>
      <c r="E217" s="218">
        <v>7</v>
      </c>
      <c r="F217" s="216">
        <v>41442</v>
      </c>
      <c r="G217" s="218">
        <v>-7</v>
      </c>
      <c r="H217" s="219" t="s">
        <v>52</v>
      </c>
      <c r="I217" s="219" t="s">
        <v>2</v>
      </c>
      <c r="J217" s="219" t="s">
        <v>488</v>
      </c>
      <c r="K217" s="220" t="str">
        <f>IF(J217&lt;&gt;"",VLOOKUP(J217,PContas!A:B,2,FALSE),"")</f>
        <v>ALIMENTAÇÃO</v>
      </c>
      <c r="L217" s="221">
        <f t="shared" si="6"/>
        <v>17</v>
      </c>
      <c r="M217" s="221" t="str">
        <f t="shared" ca="1" si="7"/>
        <v>2013/06</v>
      </c>
    </row>
    <row r="218" spans="1:13">
      <c r="A218" s="216">
        <v>41442</v>
      </c>
      <c r="B218" s="217"/>
      <c r="C218" s="217"/>
      <c r="D218" s="216">
        <v>41442</v>
      </c>
      <c r="E218" s="218">
        <v>7.5</v>
      </c>
      <c r="F218" s="216">
        <v>41442</v>
      </c>
      <c r="G218" s="218">
        <v>-7.5</v>
      </c>
      <c r="H218" s="219" t="s">
        <v>52</v>
      </c>
      <c r="I218" s="219" t="s">
        <v>2</v>
      </c>
      <c r="J218" s="219" t="s">
        <v>488</v>
      </c>
      <c r="K218" s="220" t="str">
        <f>IF(J218&lt;&gt;"",VLOOKUP(J218,PContas!A:B,2,FALSE),"")</f>
        <v>ALIMENTAÇÃO</v>
      </c>
      <c r="L218" s="221">
        <f t="shared" si="6"/>
        <v>17</v>
      </c>
      <c r="M218" s="221" t="str">
        <f t="shared" ca="1" si="7"/>
        <v>2013/06</v>
      </c>
    </row>
    <row r="219" spans="1:13">
      <c r="A219" s="216">
        <v>41442</v>
      </c>
      <c r="B219" s="217"/>
      <c r="C219" s="217"/>
      <c r="D219" s="216">
        <v>41442</v>
      </c>
      <c r="E219" s="218">
        <v>49.17</v>
      </c>
      <c r="F219" s="216">
        <v>41442</v>
      </c>
      <c r="G219" s="218">
        <v>-49.17</v>
      </c>
      <c r="H219" s="219" t="s">
        <v>52</v>
      </c>
      <c r="I219" s="219" t="s">
        <v>2</v>
      </c>
      <c r="J219" s="219" t="s">
        <v>3</v>
      </c>
      <c r="K219" s="220" t="str">
        <f>IF(J219&lt;&gt;"",VLOOKUP(J219,PContas!A:B,2,FALSE),"")</f>
        <v>ALIMENTAÇÃO</v>
      </c>
      <c r="L219" s="221">
        <f t="shared" si="6"/>
        <v>17</v>
      </c>
      <c r="M219" s="221" t="str">
        <f t="shared" ca="1" si="7"/>
        <v>2013/06</v>
      </c>
    </row>
    <row r="220" spans="1:13">
      <c r="A220" s="216">
        <v>41442</v>
      </c>
      <c r="B220" s="217"/>
      <c r="C220" s="217" t="s">
        <v>504</v>
      </c>
      <c r="D220" s="216">
        <v>41435</v>
      </c>
      <c r="E220" s="218">
        <v>19.5</v>
      </c>
      <c r="F220" s="216">
        <v>41442</v>
      </c>
      <c r="G220" s="218">
        <v>-19.5</v>
      </c>
      <c r="H220" s="219" t="s">
        <v>52</v>
      </c>
      <c r="I220" s="239" t="s">
        <v>1111</v>
      </c>
      <c r="J220" s="219" t="s">
        <v>96</v>
      </c>
      <c r="K220" s="220" t="str">
        <f>IF(J220&lt;&gt;"",VLOOKUP(J220,PContas!A:B,2,FALSE),"")</f>
        <v>TARIFAS</v>
      </c>
      <c r="L220" s="221">
        <f t="shared" si="6"/>
        <v>10</v>
      </c>
      <c r="M220" s="221" t="str">
        <f t="shared" ca="1" si="7"/>
        <v>2013/06</v>
      </c>
    </row>
    <row r="221" spans="1:13">
      <c r="A221" s="216">
        <v>41443</v>
      </c>
      <c r="B221" s="217"/>
      <c r="C221" s="217"/>
      <c r="D221" s="216">
        <v>41443</v>
      </c>
      <c r="E221" s="218">
        <v>10.08</v>
      </c>
      <c r="F221" s="216">
        <v>41443</v>
      </c>
      <c r="G221" s="218">
        <v>-10.08</v>
      </c>
      <c r="H221" s="219" t="s">
        <v>52</v>
      </c>
      <c r="I221" s="219" t="s">
        <v>2</v>
      </c>
      <c r="J221" s="219" t="s">
        <v>488</v>
      </c>
      <c r="K221" s="220" t="str">
        <f>IF(J221&lt;&gt;"",VLOOKUP(J221,PContas!A:B,2,FALSE),"")</f>
        <v>ALIMENTAÇÃO</v>
      </c>
      <c r="L221" s="221">
        <f t="shared" si="6"/>
        <v>18</v>
      </c>
      <c r="M221" s="221" t="str">
        <f t="shared" ca="1" si="7"/>
        <v>2013/06</v>
      </c>
    </row>
    <row r="222" spans="1:13">
      <c r="A222" s="216">
        <v>41443</v>
      </c>
      <c r="B222" s="217"/>
      <c r="C222" s="217"/>
      <c r="D222" s="216">
        <v>41443</v>
      </c>
      <c r="E222" s="218">
        <v>8.57</v>
      </c>
      <c r="F222" s="216">
        <v>41443</v>
      </c>
      <c r="G222" s="218">
        <v>-8.57</v>
      </c>
      <c r="H222" s="219" t="s">
        <v>52</v>
      </c>
      <c r="I222" s="219" t="s">
        <v>2</v>
      </c>
      <c r="J222" s="219" t="s">
        <v>3</v>
      </c>
      <c r="K222" s="220" t="str">
        <f>IF(J222&lt;&gt;"",VLOOKUP(J222,PContas!A:B,2,FALSE),"")</f>
        <v>ALIMENTAÇÃO</v>
      </c>
      <c r="L222" s="221">
        <f t="shared" si="6"/>
        <v>18</v>
      </c>
      <c r="M222" s="221" t="str">
        <f t="shared" ca="1" si="7"/>
        <v>2013/06</v>
      </c>
    </row>
    <row r="223" spans="1:13">
      <c r="A223" s="216">
        <v>41443</v>
      </c>
      <c r="B223" s="217"/>
      <c r="C223" s="217"/>
      <c r="D223" s="216">
        <v>41443</v>
      </c>
      <c r="E223" s="218">
        <v>26.28</v>
      </c>
      <c r="F223" s="216">
        <v>41443</v>
      </c>
      <c r="G223" s="218">
        <v>-26.28</v>
      </c>
      <c r="H223" s="219" t="s">
        <v>52</v>
      </c>
      <c r="I223" s="219" t="s">
        <v>2</v>
      </c>
      <c r="J223" s="219" t="s">
        <v>3</v>
      </c>
      <c r="K223" s="220" t="str">
        <f>IF(J223&lt;&gt;"",VLOOKUP(J223,PContas!A:B,2,FALSE),"")</f>
        <v>ALIMENTAÇÃO</v>
      </c>
      <c r="L223" s="221">
        <f t="shared" si="6"/>
        <v>18</v>
      </c>
      <c r="M223" s="221" t="str">
        <f t="shared" ca="1" si="7"/>
        <v>2013/06</v>
      </c>
    </row>
    <row r="224" spans="1:13">
      <c r="A224" s="216">
        <v>41444</v>
      </c>
      <c r="B224" s="217"/>
      <c r="C224" s="217"/>
      <c r="D224" s="216">
        <v>41444</v>
      </c>
      <c r="E224" s="218">
        <v>2.5</v>
      </c>
      <c r="F224" s="216">
        <v>41444</v>
      </c>
      <c r="G224" s="218">
        <v>-2.5</v>
      </c>
      <c r="H224" s="219" t="s">
        <v>52</v>
      </c>
      <c r="I224" s="219" t="s">
        <v>2</v>
      </c>
      <c r="J224" s="219" t="s">
        <v>488</v>
      </c>
      <c r="K224" s="220" t="str">
        <f>IF(J224&lt;&gt;"",VLOOKUP(J224,PContas!A:B,2,FALSE),"")</f>
        <v>ALIMENTAÇÃO</v>
      </c>
      <c r="L224" s="221">
        <f t="shared" si="6"/>
        <v>19</v>
      </c>
      <c r="M224" s="221" t="str">
        <f t="shared" ca="1" si="7"/>
        <v>2013/06</v>
      </c>
    </row>
    <row r="225" spans="1:13">
      <c r="A225" s="216">
        <v>41444</v>
      </c>
      <c r="B225" s="217"/>
      <c r="C225" s="217"/>
      <c r="D225" s="216">
        <v>41444</v>
      </c>
      <c r="E225" s="218">
        <v>23.9</v>
      </c>
      <c r="F225" s="216">
        <v>41444</v>
      </c>
      <c r="G225" s="218">
        <v>-23.9</v>
      </c>
      <c r="H225" s="219" t="s">
        <v>52</v>
      </c>
      <c r="I225" s="219" t="s">
        <v>2</v>
      </c>
      <c r="J225" s="219" t="s">
        <v>488</v>
      </c>
      <c r="K225" s="220" t="str">
        <f>IF(J225&lt;&gt;"",VLOOKUP(J225,PContas!A:B,2,FALSE),"")</f>
        <v>ALIMENTAÇÃO</v>
      </c>
      <c r="L225" s="221">
        <f t="shared" si="6"/>
        <v>19</v>
      </c>
      <c r="M225" s="221" t="str">
        <f t="shared" ca="1" si="7"/>
        <v>2013/06</v>
      </c>
    </row>
    <row r="226" spans="1:13">
      <c r="A226" s="216">
        <v>41445</v>
      </c>
      <c r="B226" s="217"/>
      <c r="C226" s="217"/>
      <c r="D226" s="216">
        <v>41445</v>
      </c>
      <c r="E226" s="218">
        <v>3.2</v>
      </c>
      <c r="F226" s="216">
        <v>41445</v>
      </c>
      <c r="G226" s="218">
        <v>-3.2</v>
      </c>
      <c r="H226" s="219" t="s">
        <v>52</v>
      </c>
      <c r="I226" s="219" t="s">
        <v>2</v>
      </c>
      <c r="J226" s="219" t="s">
        <v>488</v>
      </c>
      <c r="K226" s="220" t="str">
        <f>IF(J226&lt;&gt;"",VLOOKUP(J226,PContas!A:B,2,FALSE),"")</f>
        <v>ALIMENTAÇÃO</v>
      </c>
      <c r="L226" s="221">
        <f t="shared" si="6"/>
        <v>20</v>
      </c>
      <c r="M226" s="221" t="str">
        <f t="shared" ca="1" si="7"/>
        <v>2013/06</v>
      </c>
    </row>
    <row r="227" spans="1:13">
      <c r="A227" s="216">
        <v>41445</v>
      </c>
      <c r="B227" s="217"/>
      <c r="C227" s="217"/>
      <c r="D227" s="216">
        <v>41445</v>
      </c>
      <c r="E227" s="218">
        <v>7.5</v>
      </c>
      <c r="F227" s="216">
        <v>41445</v>
      </c>
      <c r="G227" s="218">
        <v>-7.5</v>
      </c>
      <c r="H227" s="219" t="s">
        <v>52</v>
      </c>
      <c r="I227" s="219" t="s">
        <v>2</v>
      </c>
      <c r="J227" s="219" t="s">
        <v>488</v>
      </c>
      <c r="K227" s="220" t="str">
        <f>IF(J227&lt;&gt;"",VLOOKUP(J227,PContas!A:B,2,FALSE),"")</f>
        <v>ALIMENTAÇÃO</v>
      </c>
      <c r="L227" s="221">
        <f t="shared" si="6"/>
        <v>20</v>
      </c>
      <c r="M227" s="221" t="str">
        <f t="shared" ca="1" si="7"/>
        <v>2013/06</v>
      </c>
    </row>
    <row r="228" spans="1:13">
      <c r="A228" s="216">
        <v>41445</v>
      </c>
      <c r="B228" s="217"/>
      <c r="C228" s="217"/>
      <c r="D228" s="216">
        <v>41445</v>
      </c>
      <c r="E228" s="218">
        <v>19.05</v>
      </c>
      <c r="F228" s="216">
        <v>41445</v>
      </c>
      <c r="G228" s="218">
        <v>-19.05</v>
      </c>
      <c r="H228" s="219" t="s">
        <v>52</v>
      </c>
      <c r="I228" s="219" t="s">
        <v>2</v>
      </c>
      <c r="J228" s="219" t="s">
        <v>488</v>
      </c>
      <c r="K228" s="220" t="str">
        <f>IF(J228&lt;&gt;"",VLOOKUP(J228,PContas!A:B,2,FALSE),"")</f>
        <v>ALIMENTAÇÃO</v>
      </c>
      <c r="L228" s="221">
        <f t="shared" si="6"/>
        <v>20</v>
      </c>
      <c r="M228" s="221" t="str">
        <f t="shared" ca="1" si="7"/>
        <v>2013/06</v>
      </c>
    </row>
    <row r="229" spans="1:13">
      <c r="A229" s="216">
        <v>41445</v>
      </c>
      <c r="B229" s="217"/>
      <c r="C229" s="217" t="s">
        <v>485</v>
      </c>
      <c r="D229" s="216">
        <v>41445</v>
      </c>
      <c r="E229" s="218">
        <v>20</v>
      </c>
      <c r="F229" s="216">
        <v>41445</v>
      </c>
      <c r="G229" s="218">
        <v>-20</v>
      </c>
      <c r="H229" s="219" t="s">
        <v>52</v>
      </c>
      <c r="I229" s="239" t="s">
        <v>1111</v>
      </c>
      <c r="J229" s="219" t="s">
        <v>486</v>
      </c>
      <c r="K229" s="220" t="str">
        <f>IF(J229&lt;&gt;"",VLOOKUP(J229,PContas!A:B,2,FALSE),"")</f>
        <v>SAUDE</v>
      </c>
      <c r="L229" s="221">
        <f t="shared" si="6"/>
        <v>20</v>
      </c>
      <c r="M229" s="221" t="str">
        <f t="shared" ca="1" si="7"/>
        <v>2013/06</v>
      </c>
    </row>
    <row r="230" spans="1:13">
      <c r="A230" s="216">
        <v>41447</v>
      </c>
      <c r="B230" s="217"/>
      <c r="C230" s="217"/>
      <c r="D230" s="216">
        <v>41447</v>
      </c>
      <c r="E230" s="218">
        <v>2</v>
      </c>
      <c r="F230" s="216">
        <v>41447</v>
      </c>
      <c r="G230" s="218">
        <v>-2</v>
      </c>
      <c r="H230" s="219" t="s">
        <v>52</v>
      </c>
      <c r="I230" s="219" t="s">
        <v>2</v>
      </c>
      <c r="J230" s="219" t="s">
        <v>488</v>
      </c>
      <c r="K230" s="220" t="str">
        <f>IF(J230&lt;&gt;"",VLOOKUP(J230,PContas!A:B,2,FALSE),"")</f>
        <v>ALIMENTAÇÃO</v>
      </c>
      <c r="L230" s="221">
        <f t="shared" si="6"/>
        <v>22</v>
      </c>
      <c r="M230" s="221" t="str">
        <f t="shared" ca="1" si="7"/>
        <v>2013/06</v>
      </c>
    </row>
    <row r="231" spans="1:13">
      <c r="A231" s="216">
        <v>41448</v>
      </c>
      <c r="B231" s="217"/>
      <c r="C231" s="217"/>
      <c r="D231" s="216">
        <v>41448</v>
      </c>
      <c r="E231" s="218">
        <v>2</v>
      </c>
      <c r="F231" s="216">
        <v>41448</v>
      </c>
      <c r="G231" s="218">
        <v>-2</v>
      </c>
      <c r="H231" s="219" t="s">
        <v>52</v>
      </c>
      <c r="I231" s="219" t="s">
        <v>2</v>
      </c>
      <c r="J231" s="219" t="s">
        <v>488</v>
      </c>
      <c r="K231" s="220" t="str">
        <f>IF(J231&lt;&gt;"",VLOOKUP(J231,PContas!A:B,2,FALSE),"")</f>
        <v>ALIMENTAÇÃO</v>
      </c>
      <c r="L231" s="221">
        <f t="shared" si="6"/>
        <v>23</v>
      </c>
      <c r="M231" s="221" t="str">
        <f t="shared" ca="1" si="7"/>
        <v>2013/06</v>
      </c>
    </row>
    <row r="232" spans="1:13">
      <c r="A232" s="216">
        <v>41449</v>
      </c>
      <c r="B232" s="217"/>
      <c r="C232" s="217"/>
      <c r="D232" s="216">
        <v>41449</v>
      </c>
      <c r="E232" s="218">
        <v>2</v>
      </c>
      <c r="F232" s="216">
        <v>41449</v>
      </c>
      <c r="G232" s="218">
        <v>-2</v>
      </c>
      <c r="H232" s="219" t="s">
        <v>52</v>
      </c>
      <c r="I232" s="219" t="s">
        <v>2</v>
      </c>
      <c r="J232" s="219" t="s">
        <v>488</v>
      </c>
      <c r="K232" s="220" t="str">
        <f>IF(J232&lt;&gt;"",VLOOKUP(J232,PContas!A:B,2,FALSE),"")</f>
        <v>ALIMENTAÇÃO</v>
      </c>
      <c r="L232" s="221">
        <f t="shared" si="6"/>
        <v>24</v>
      </c>
      <c r="M232" s="221" t="str">
        <f t="shared" ca="1" si="7"/>
        <v>2013/06</v>
      </c>
    </row>
    <row r="233" spans="1:13">
      <c r="A233" s="216">
        <v>41449</v>
      </c>
      <c r="B233" s="217"/>
      <c r="C233" s="217"/>
      <c r="D233" s="216">
        <v>41449</v>
      </c>
      <c r="E233" s="218">
        <v>11.48</v>
      </c>
      <c r="F233" s="216">
        <v>41449</v>
      </c>
      <c r="G233" s="218">
        <v>-11.48</v>
      </c>
      <c r="H233" s="219" t="s">
        <v>52</v>
      </c>
      <c r="I233" s="219" t="s">
        <v>2</v>
      </c>
      <c r="J233" s="219" t="s">
        <v>488</v>
      </c>
      <c r="K233" s="220" t="str">
        <f>IF(J233&lt;&gt;"",VLOOKUP(J233,PContas!A:B,2,FALSE),"")</f>
        <v>ALIMENTAÇÃO</v>
      </c>
      <c r="L233" s="221">
        <f t="shared" si="6"/>
        <v>24</v>
      </c>
      <c r="M233" s="221" t="str">
        <f t="shared" ca="1" si="7"/>
        <v>2013/06</v>
      </c>
    </row>
    <row r="234" spans="1:13">
      <c r="A234" s="216">
        <v>41449</v>
      </c>
      <c r="B234" s="217"/>
      <c r="C234" s="217"/>
      <c r="D234" s="216">
        <v>41449</v>
      </c>
      <c r="E234" s="218">
        <v>104.93</v>
      </c>
      <c r="F234" s="216">
        <v>41449</v>
      </c>
      <c r="G234" s="218">
        <v>-104.93</v>
      </c>
      <c r="H234" s="219" t="s">
        <v>52</v>
      </c>
      <c r="I234" s="219" t="s">
        <v>2</v>
      </c>
      <c r="J234" s="219" t="s">
        <v>3</v>
      </c>
      <c r="K234" s="220" t="str">
        <f>IF(J234&lt;&gt;"",VLOOKUP(J234,PContas!A:B,2,FALSE),"")</f>
        <v>ALIMENTAÇÃO</v>
      </c>
      <c r="L234" s="221">
        <f t="shared" si="6"/>
        <v>24</v>
      </c>
      <c r="M234" s="221" t="str">
        <f t="shared" ca="1" si="7"/>
        <v>2013/06</v>
      </c>
    </row>
    <row r="235" spans="1:13">
      <c r="A235" s="216">
        <v>41451</v>
      </c>
      <c r="B235" s="217"/>
      <c r="C235" s="217"/>
      <c r="D235" s="216">
        <v>41451</v>
      </c>
      <c r="E235" s="218">
        <v>2</v>
      </c>
      <c r="F235" s="216">
        <v>41451</v>
      </c>
      <c r="G235" s="218">
        <v>-2</v>
      </c>
      <c r="H235" s="219" t="s">
        <v>52</v>
      </c>
      <c r="I235" s="219" t="s">
        <v>2</v>
      </c>
      <c r="J235" s="219" t="s">
        <v>488</v>
      </c>
      <c r="K235" s="220" t="str">
        <f>IF(J235&lt;&gt;"",VLOOKUP(J235,PContas!A:B,2,FALSE),"")</f>
        <v>ALIMENTAÇÃO</v>
      </c>
      <c r="L235" s="221">
        <f t="shared" si="6"/>
        <v>26</v>
      </c>
      <c r="M235" s="221" t="str">
        <f t="shared" ca="1" si="7"/>
        <v>2013/06</v>
      </c>
    </row>
    <row r="236" spans="1:13">
      <c r="A236" s="216">
        <v>41451</v>
      </c>
      <c r="B236" s="217"/>
      <c r="C236" s="217"/>
      <c r="D236" s="216">
        <v>41451</v>
      </c>
      <c r="E236" s="218">
        <v>50.71</v>
      </c>
      <c r="F236" s="216">
        <v>41451</v>
      </c>
      <c r="G236" s="218">
        <v>-50.71</v>
      </c>
      <c r="H236" s="219" t="s">
        <v>52</v>
      </c>
      <c r="I236" s="219" t="s">
        <v>2</v>
      </c>
      <c r="J236" s="219" t="s">
        <v>3</v>
      </c>
      <c r="K236" s="220" t="str">
        <f>IF(J236&lt;&gt;"",VLOOKUP(J236,PContas!A:B,2,FALSE),"")</f>
        <v>ALIMENTAÇÃO</v>
      </c>
      <c r="L236" s="221">
        <f t="shared" si="6"/>
        <v>26</v>
      </c>
      <c r="M236" s="221" t="str">
        <f t="shared" ca="1" si="7"/>
        <v>2013/06</v>
      </c>
    </row>
    <row r="237" spans="1:13">
      <c r="A237" s="216">
        <v>41453</v>
      </c>
      <c r="B237" s="217"/>
      <c r="C237" s="217"/>
      <c r="D237" s="216">
        <v>41453</v>
      </c>
      <c r="E237" s="218">
        <v>12.49</v>
      </c>
      <c r="F237" s="216">
        <v>41453</v>
      </c>
      <c r="G237" s="218">
        <v>-12.49</v>
      </c>
      <c r="H237" s="219" t="s">
        <v>52</v>
      </c>
      <c r="I237" s="219" t="s">
        <v>2</v>
      </c>
      <c r="J237" s="219" t="s">
        <v>488</v>
      </c>
      <c r="K237" s="220" t="str">
        <f>IF(J237&lt;&gt;"",VLOOKUP(J237,PContas!A:B,2,FALSE),"")</f>
        <v>ALIMENTAÇÃO</v>
      </c>
      <c r="L237" s="221">
        <f t="shared" si="6"/>
        <v>28</v>
      </c>
      <c r="M237" s="221" t="str">
        <f t="shared" ca="1" si="7"/>
        <v>2013/06</v>
      </c>
    </row>
    <row r="238" spans="1:13">
      <c r="A238" s="216">
        <v>41454</v>
      </c>
      <c r="B238" s="217"/>
      <c r="C238" s="217"/>
      <c r="D238" s="216">
        <v>41454</v>
      </c>
      <c r="E238" s="218">
        <v>7.19</v>
      </c>
      <c r="F238" s="216">
        <v>41454</v>
      </c>
      <c r="G238" s="218">
        <v>-7.19</v>
      </c>
      <c r="H238" s="219" t="s">
        <v>52</v>
      </c>
      <c r="I238" s="219" t="s">
        <v>2</v>
      </c>
      <c r="J238" s="219" t="s">
        <v>488</v>
      </c>
      <c r="K238" s="220" t="str">
        <f>IF(J238&lt;&gt;"",VLOOKUP(J238,PContas!A:B,2,FALSE),"")</f>
        <v>ALIMENTAÇÃO</v>
      </c>
      <c r="L238" s="221">
        <f t="shared" si="6"/>
        <v>29</v>
      </c>
      <c r="M238" s="221" t="str">
        <f t="shared" ca="1" si="7"/>
        <v>2013/06</v>
      </c>
    </row>
    <row r="239" spans="1:13">
      <c r="A239" s="216">
        <v>41454</v>
      </c>
      <c r="B239" s="217"/>
      <c r="C239" s="217"/>
      <c r="D239" s="216">
        <v>41454</v>
      </c>
      <c r="E239" s="218">
        <v>11.77</v>
      </c>
      <c r="F239" s="216">
        <v>41454</v>
      </c>
      <c r="G239" s="218">
        <v>-11.77</v>
      </c>
      <c r="H239" s="219" t="s">
        <v>52</v>
      </c>
      <c r="I239" s="219" t="s">
        <v>2</v>
      </c>
      <c r="J239" s="219" t="s">
        <v>3</v>
      </c>
      <c r="K239" s="220" t="str">
        <f>IF(J239&lt;&gt;"",VLOOKUP(J239,PContas!A:B,2,FALSE),"")</f>
        <v>ALIMENTAÇÃO</v>
      </c>
      <c r="L239" s="221">
        <f t="shared" si="6"/>
        <v>29</v>
      </c>
      <c r="M239" s="221" t="str">
        <f t="shared" ca="1" si="7"/>
        <v>2013/06</v>
      </c>
    </row>
    <row r="240" spans="1:13">
      <c r="A240" s="216">
        <v>41455</v>
      </c>
      <c r="B240" s="217"/>
      <c r="C240" s="217"/>
      <c r="D240" s="216">
        <v>41426</v>
      </c>
      <c r="E240" s="218">
        <v>65</v>
      </c>
      <c r="F240" s="216">
        <v>41426</v>
      </c>
      <c r="G240" s="218">
        <v>-65</v>
      </c>
      <c r="H240" s="219" t="s">
        <v>52</v>
      </c>
      <c r="I240" s="219" t="s">
        <v>2</v>
      </c>
      <c r="J240" s="219" t="s">
        <v>90</v>
      </c>
      <c r="K240" s="220" t="str">
        <f>IF(J240&lt;&gt;"",VLOOKUP(J240,PContas!A:B,2,FALSE),"")</f>
        <v>ALIMENTAÇÃO</v>
      </c>
      <c r="L240" s="221">
        <f t="shared" si="6"/>
        <v>1</v>
      </c>
      <c r="M240" s="221" t="str">
        <f t="shared" ca="1" si="7"/>
        <v>2013/06</v>
      </c>
    </row>
    <row r="241" spans="1:13">
      <c r="A241" s="216">
        <v>41456</v>
      </c>
      <c r="B241" s="217"/>
      <c r="C241" s="217"/>
      <c r="D241" s="216">
        <v>41456</v>
      </c>
      <c r="E241" s="218">
        <v>5.5</v>
      </c>
      <c r="F241" s="216">
        <v>41456</v>
      </c>
      <c r="G241" s="218">
        <v>-5.5</v>
      </c>
      <c r="H241" s="219" t="s">
        <v>52</v>
      </c>
      <c r="I241" s="219" t="s">
        <v>2</v>
      </c>
      <c r="J241" s="219" t="s">
        <v>488</v>
      </c>
      <c r="K241" s="220" t="str">
        <f>IF(J241&lt;&gt;"",VLOOKUP(J241,PContas!A:B,2,FALSE),"")</f>
        <v>ALIMENTAÇÃO</v>
      </c>
      <c r="L241" s="221">
        <f t="shared" si="6"/>
        <v>1</v>
      </c>
      <c r="M241" s="221" t="str">
        <f t="shared" ca="1" si="7"/>
        <v>2013/07</v>
      </c>
    </row>
    <row r="242" spans="1:13">
      <c r="A242" s="216">
        <v>41456</v>
      </c>
      <c r="B242" s="217"/>
      <c r="C242" s="217"/>
      <c r="D242" s="216">
        <v>41456</v>
      </c>
      <c r="E242" s="218">
        <v>4.8</v>
      </c>
      <c r="F242" s="216">
        <v>41456</v>
      </c>
      <c r="G242" s="218">
        <v>-4.8</v>
      </c>
      <c r="H242" s="219" t="s">
        <v>52</v>
      </c>
      <c r="I242" s="219" t="s">
        <v>2</v>
      </c>
      <c r="J242" s="219" t="s">
        <v>488</v>
      </c>
      <c r="K242" s="220" t="str">
        <f>IF(J242&lt;&gt;"",VLOOKUP(J242,PContas!A:B,2,FALSE),"")</f>
        <v>ALIMENTAÇÃO</v>
      </c>
      <c r="L242" s="221">
        <f t="shared" si="6"/>
        <v>1</v>
      </c>
      <c r="M242" s="221" t="str">
        <f t="shared" ca="1" si="7"/>
        <v>2013/07</v>
      </c>
    </row>
    <row r="243" spans="1:13">
      <c r="A243" s="216">
        <v>41457</v>
      </c>
      <c r="B243" s="217"/>
      <c r="C243" s="217"/>
      <c r="D243" s="216">
        <v>41457</v>
      </c>
      <c r="E243" s="218">
        <v>2.8</v>
      </c>
      <c r="F243" s="216">
        <v>41457</v>
      </c>
      <c r="G243" s="218">
        <v>-2.8</v>
      </c>
      <c r="H243" s="219" t="s">
        <v>52</v>
      </c>
      <c r="I243" s="219" t="s">
        <v>2</v>
      </c>
      <c r="J243" s="219" t="s">
        <v>488</v>
      </c>
      <c r="K243" s="220" t="str">
        <f>IF(J243&lt;&gt;"",VLOOKUP(J243,PContas!A:B,2,FALSE),"")</f>
        <v>ALIMENTAÇÃO</v>
      </c>
      <c r="L243" s="221">
        <f t="shared" si="6"/>
        <v>2</v>
      </c>
      <c r="M243" s="221" t="str">
        <f t="shared" ca="1" si="7"/>
        <v>2013/07</v>
      </c>
    </row>
    <row r="244" spans="1:13">
      <c r="A244" s="216">
        <v>41457</v>
      </c>
      <c r="B244" s="217"/>
      <c r="C244" s="217"/>
      <c r="D244" s="216">
        <v>41457</v>
      </c>
      <c r="E244" s="218">
        <v>9.6</v>
      </c>
      <c r="F244" s="216">
        <v>41457</v>
      </c>
      <c r="G244" s="218">
        <v>-9.6</v>
      </c>
      <c r="H244" s="219" t="s">
        <v>52</v>
      </c>
      <c r="I244" s="219" t="s">
        <v>2</v>
      </c>
      <c r="J244" s="219" t="s">
        <v>488</v>
      </c>
      <c r="K244" s="220" t="str">
        <f>IF(J244&lt;&gt;"",VLOOKUP(J244,PContas!A:B,2,FALSE),"")</f>
        <v>ALIMENTAÇÃO</v>
      </c>
      <c r="L244" s="221">
        <f t="shared" si="6"/>
        <v>2</v>
      </c>
      <c r="M244" s="221" t="str">
        <f t="shared" ca="1" si="7"/>
        <v>2013/07</v>
      </c>
    </row>
    <row r="245" spans="1:13">
      <c r="A245" s="216">
        <v>41465</v>
      </c>
      <c r="B245" s="217"/>
      <c r="C245" s="217"/>
      <c r="D245" s="216">
        <v>40632</v>
      </c>
      <c r="E245" s="218">
        <v>250</v>
      </c>
      <c r="F245" s="216">
        <v>40632</v>
      </c>
      <c r="G245" s="218">
        <v>-250</v>
      </c>
      <c r="H245" s="219" t="s">
        <v>52</v>
      </c>
      <c r="I245" s="219" t="s">
        <v>4</v>
      </c>
      <c r="J245" s="219" t="s">
        <v>27</v>
      </c>
      <c r="K245" s="220" t="str">
        <f>IF(J245&lt;&gt;"",VLOOKUP(J245,PContas!A:B,2,FALSE),"")</f>
        <v>IMPOSTOS</v>
      </c>
      <c r="L245" s="221">
        <f t="shared" si="6"/>
        <v>30</v>
      </c>
      <c r="M245" s="221" t="str">
        <f t="shared" ca="1" si="7"/>
        <v>2011/03</v>
      </c>
    </row>
    <row r="246" spans="1:13">
      <c r="A246" s="216">
        <v>41465</v>
      </c>
      <c r="B246" s="217"/>
      <c r="C246" s="217"/>
      <c r="D246" s="216">
        <v>41044</v>
      </c>
      <c r="E246" s="218">
        <v>165</v>
      </c>
      <c r="F246" s="216">
        <v>41044</v>
      </c>
      <c r="G246" s="218">
        <v>-165</v>
      </c>
      <c r="H246" s="219" t="s">
        <v>52</v>
      </c>
      <c r="I246" s="219" t="s">
        <v>4</v>
      </c>
      <c r="J246" s="219" t="s">
        <v>27</v>
      </c>
      <c r="K246" s="220" t="str">
        <f>IF(J246&lt;&gt;"",VLOOKUP(J246,PContas!A:B,2,FALSE),"")</f>
        <v>IMPOSTOS</v>
      </c>
      <c r="L246" s="221">
        <f t="shared" si="6"/>
        <v>15</v>
      </c>
      <c r="M246" s="221" t="str">
        <f t="shared" ca="1" si="7"/>
        <v>2012/05</v>
      </c>
    </row>
    <row r="247" spans="1:13">
      <c r="A247" s="216">
        <v>41465</v>
      </c>
      <c r="B247" s="217"/>
      <c r="C247" s="222"/>
      <c r="D247" s="216">
        <v>41070</v>
      </c>
      <c r="E247" s="218">
        <v>20</v>
      </c>
      <c r="F247" s="216">
        <v>41071</v>
      </c>
      <c r="G247" s="218">
        <v>-20</v>
      </c>
      <c r="H247" s="219" t="s">
        <v>52</v>
      </c>
      <c r="I247" s="239" t="s">
        <v>1111</v>
      </c>
      <c r="J247" s="219" t="s">
        <v>30</v>
      </c>
      <c r="K247" s="220" t="str">
        <f>IF(J247&lt;&gt;"",VLOOKUP(J247,PContas!A:B,2,FALSE),"")</f>
        <v>PROVISÃO</v>
      </c>
      <c r="L247" s="221">
        <f t="shared" si="6"/>
        <v>10</v>
      </c>
      <c r="M247" s="221" t="str">
        <f t="shared" ca="1" si="7"/>
        <v>2012/06</v>
      </c>
    </row>
    <row r="248" spans="1:13">
      <c r="A248" s="216">
        <v>41465</v>
      </c>
      <c r="B248" s="217"/>
      <c r="C248" s="222"/>
      <c r="D248" s="216">
        <v>41100</v>
      </c>
      <c r="E248" s="218">
        <v>20</v>
      </c>
      <c r="F248" s="216">
        <v>41100</v>
      </c>
      <c r="G248" s="218">
        <v>-20</v>
      </c>
      <c r="H248" s="219" t="s">
        <v>52</v>
      </c>
      <c r="I248" s="239" t="s">
        <v>1111</v>
      </c>
      <c r="J248" s="219" t="s">
        <v>30</v>
      </c>
      <c r="K248" s="220" t="str">
        <f>IF(J248&lt;&gt;"",VLOOKUP(J248,PContas!A:B,2,FALSE),"")</f>
        <v>PROVISÃO</v>
      </c>
      <c r="L248" s="221">
        <f t="shared" si="6"/>
        <v>10</v>
      </c>
      <c r="M248" s="221" t="str">
        <f t="shared" ca="1" si="7"/>
        <v>2012/07</v>
      </c>
    </row>
    <row r="249" spans="1:13">
      <c r="A249" s="216">
        <v>41465</v>
      </c>
      <c r="B249" s="217"/>
      <c r="C249" s="217"/>
      <c r="D249" s="216">
        <v>41100</v>
      </c>
      <c r="E249" s="218">
        <v>108.66</v>
      </c>
      <c r="F249" s="216"/>
      <c r="G249" s="218">
        <v>-108.66</v>
      </c>
      <c r="H249" s="219" t="s">
        <v>52</v>
      </c>
      <c r="I249" s="219" t="s">
        <v>4</v>
      </c>
      <c r="J249" s="219" t="s">
        <v>25</v>
      </c>
      <c r="K249" s="220" t="str">
        <f>IF(J249&lt;&gt;"",VLOOKUP(J249,PContas!A:B,2,FALSE),"")</f>
        <v>IMPOSTOS</v>
      </c>
      <c r="L249" s="221">
        <f t="shared" si="6"/>
        <v>10</v>
      </c>
      <c r="M249" s="221" t="str">
        <f t="shared" ca="1" si="7"/>
        <v>ATRASADO</v>
      </c>
    </row>
    <row r="250" spans="1:13">
      <c r="A250" s="216">
        <v>41465</v>
      </c>
      <c r="B250" s="217"/>
      <c r="C250" s="217"/>
      <c r="D250" s="216">
        <v>41103</v>
      </c>
      <c r="E250" s="218">
        <v>150</v>
      </c>
      <c r="F250" s="216">
        <v>41103</v>
      </c>
      <c r="G250" s="218">
        <v>150</v>
      </c>
      <c r="H250" s="219" t="s">
        <v>71</v>
      </c>
      <c r="I250" s="219" t="s">
        <v>2</v>
      </c>
      <c r="J250" s="219" t="s">
        <v>67</v>
      </c>
      <c r="K250" s="220" t="str">
        <f>IF(J250&lt;&gt;"",VLOOKUP(J250,PContas!A:B,2,FALSE),"")</f>
        <v>CLIENTES</v>
      </c>
      <c r="L250" s="221">
        <f t="shared" si="6"/>
        <v>13</v>
      </c>
      <c r="M250" s="221" t="str">
        <f t="shared" ca="1" si="7"/>
        <v>2012/07</v>
      </c>
    </row>
    <row r="251" spans="1:13">
      <c r="A251" s="216">
        <v>41465</v>
      </c>
      <c r="B251" s="217"/>
      <c r="C251" s="217"/>
      <c r="D251" s="216">
        <v>41121</v>
      </c>
      <c r="E251" s="218">
        <v>87.49</v>
      </c>
      <c r="F251" s="216">
        <v>41121</v>
      </c>
      <c r="G251" s="218">
        <v>-87.49</v>
      </c>
      <c r="H251" s="219" t="s">
        <v>52</v>
      </c>
      <c r="I251" s="219" t="s">
        <v>2</v>
      </c>
      <c r="J251" s="219" t="s">
        <v>104</v>
      </c>
      <c r="K251" s="220" t="str">
        <f>IF(J251&lt;&gt;"",VLOOKUP(J251,PContas!A:B,2,FALSE),"")</f>
        <v>AILTON</v>
      </c>
      <c r="L251" s="221">
        <f t="shared" si="6"/>
        <v>31</v>
      </c>
      <c r="M251" s="221" t="str">
        <f t="shared" ca="1" si="7"/>
        <v>2012/07</v>
      </c>
    </row>
    <row r="252" spans="1:13">
      <c r="A252" s="216">
        <v>41465</v>
      </c>
      <c r="B252" s="217"/>
      <c r="C252" s="222"/>
      <c r="D252" s="216">
        <v>41131</v>
      </c>
      <c r="E252" s="218">
        <v>20</v>
      </c>
      <c r="F252" s="216">
        <v>41131</v>
      </c>
      <c r="G252" s="218">
        <v>-20</v>
      </c>
      <c r="H252" s="219" t="s">
        <v>52</v>
      </c>
      <c r="I252" s="239" t="s">
        <v>1111</v>
      </c>
      <c r="J252" s="219" t="s">
        <v>30</v>
      </c>
      <c r="K252" s="220" t="str">
        <f>IF(J252&lt;&gt;"",VLOOKUP(J252,PContas!A:B,2,FALSE),"")</f>
        <v>PROVISÃO</v>
      </c>
      <c r="L252" s="221">
        <f t="shared" si="6"/>
        <v>10</v>
      </c>
      <c r="M252" s="221" t="str">
        <f t="shared" ca="1" si="7"/>
        <v>2012/08</v>
      </c>
    </row>
    <row r="253" spans="1:13">
      <c r="A253" s="216">
        <v>41465</v>
      </c>
      <c r="B253" s="217"/>
      <c r="C253" s="222"/>
      <c r="D253" s="216">
        <v>41162</v>
      </c>
      <c r="E253" s="218">
        <v>20</v>
      </c>
      <c r="F253" s="216">
        <v>41162</v>
      </c>
      <c r="G253" s="218">
        <v>-20</v>
      </c>
      <c r="H253" s="219" t="s">
        <v>52</v>
      </c>
      <c r="I253" s="239" t="s">
        <v>1111</v>
      </c>
      <c r="J253" s="219" t="s">
        <v>30</v>
      </c>
      <c r="K253" s="220" t="str">
        <f>IF(J253&lt;&gt;"",VLOOKUP(J253,PContas!A:B,2,FALSE),"")</f>
        <v>PROVISÃO</v>
      </c>
      <c r="L253" s="221">
        <f t="shared" si="6"/>
        <v>10</v>
      </c>
      <c r="M253" s="221" t="str">
        <f t="shared" ca="1" si="7"/>
        <v>2012/09</v>
      </c>
    </row>
    <row r="254" spans="1:13">
      <c r="A254" s="216">
        <v>41465</v>
      </c>
      <c r="B254" s="217"/>
      <c r="C254" s="217"/>
      <c r="D254" s="216">
        <v>41178</v>
      </c>
      <c r="E254" s="218">
        <v>400</v>
      </c>
      <c r="F254" s="216">
        <v>41178</v>
      </c>
      <c r="G254" s="218">
        <v>400</v>
      </c>
      <c r="H254" s="219" t="s">
        <v>71</v>
      </c>
      <c r="I254" s="219" t="s">
        <v>2</v>
      </c>
      <c r="J254" s="219" t="s">
        <v>65</v>
      </c>
      <c r="K254" s="220" t="str">
        <f>IF(J254&lt;&gt;"",VLOOKUP(J254,PContas!A:B,2,FALSE),"")</f>
        <v>CLIENTES</v>
      </c>
      <c r="L254" s="221">
        <f t="shared" si="6"/>
        <v>26</v>
      </c>
      <c r="M254" s="221" t="str">
        <f t="shared" ca="1" si="7"/>
        <v>2012/09</v>
      </c>
    </row>
    <row r="255" spans="1:13">
      <c r="A255" s="216">
        <v>41465</v>
      </c>
      <c r="B255" s="217"/>
      <c r="C255" s="222"/>
      <c r="D255" s="216">
        <v>41192</v>
      </c>
      <c r="E255" s="218">
        <v>20</v>
      </c>
      <c r="F255" s="216">
        <v>41192</v>
      </c>
      <c r="G255" s="218">
        <v>-20</v>
      </c>
      <c r="H255" s="219" t="s">
        <v>52</v>
      </c>
      <c r="I255" s="239" t="s">
        <v>1111</v>
      </c>
      <c r="J255" s="219" t="s">
        <v>30</v>
      </c>
      <c r="K255" s="220" t="str">
        <f>IF(J255&lt;&gt;"",VLOOKUP(J255,PContas!A:B,2,FALSE),"")</f>
        <v>PROVISÃO</v>
      </c>
      <c r="L255" s="221">
        <f t="shared" si="6"/>
        <v>10</v>
      </c>
      <c r="M255" s="221" t="str">
        <f t="shared" ca="1" si="7"/>
        <v>2012/10</v>
      </c>
    </row>
    <row r="256" spans="1:13">
      <c r="A256" s="216">
        <v>41465</v>
      </c>
      <c r="B256" s="217"/>
      <c r="C256" s="222"/>
      <c r="D256" s="216">
        <v>41223</v>
      </c>
      <c r="E256" s="218">
        <v>20</v>
      </c>
      <c r="F256" s="216">
        <v>41223</v>
      </c>
      <c r="G256" s="218">
        <v>-20</v>
      </c>
      <c r="H256" s="219" t="s">
        <v>52</v>
      </c>
      <c r="I256" s="239" t="s">
        <v>1111</v>
      </c>
      <c r="J256" s="219" t="s">
        <v>30</v>
      </c>
      <c r="K256" s="220" t="str">
        <f>IF(J256&lt;&gt;"",VLOOKUP(J256,PContas!A:B,2,FALSE),"")</f>
        <v>PROVISÃO</v>
      </c>
      <c r="L256" s="221">
        <f t="shared" si="6"/>
        <v>10</v>
      </c>
      <c r="M256" s="221" t="str">
        <f t="shared" ca="1" si="7"/>
        <v>2012/11</v>
      </c>
    </row>
    <row r="257" spans="1:13">
      <c r="A257" s="216">
        <v>41465</v>
      </c>
      <c r="B257" s="217"/>
      <c r="C257" s="217"/>
      <c r="D257" s="216">
        <v>41228</v>
      </c>
      <c r="E257" s="218">
        <v>118</v>
      </c>
      <c r="F257" s="216">
        <v>41228</v>
      </c>
      <c r="G257" s="218">
        <v>-118</v>
      </c>
      <c r="H257" s="219" t="s">
        <v>52</v>
      </c>
      <c r="I257" s="219" t="s">
        <v>2</v>
      </c>
      <c r="J257" s="219" t="s">
        <v>31</v>
      </c>
      <c r="K257" s="220" t="str">
        <f>IF(J257&lt;&gt;"",VLOOKUP(J257,PContas!A:B,2,FALSE),"")</f>
        <v>AILTON</v>
      </c>
      <c r="L257" s="221">
        <f t="shared" si="6"/>
        <v>15</v>
      </c>
      <c r="M257" s="221" t="str">
        <f t="shared" ca="1" si="7"/>
        <v>2012/11</v>
      </c>
    </row>
    <row r="258" spans="1:13">
      <c r="A258" s="216">
        <v>41465</v>
      </c>
      <c r="B258" s="217"/>
      <c r="C258" s="217"/>
      <c r="D258" s="216">
        <v>41228</v>
      </c>
      <c r="E258" s="218">
        <v>82</v>
      </c>
      <c r="F258" s="216">
        <v>41228</v>
      </c>
      <c r="G258" s="218">
        <v>-82</v>
      </c>
      <c r="H258" s="219" t="s">
        <v>52</v>
      </c>
      <c r="I258" s="219" t="s">
        <v>2</v>
      </c>
      <c r="J258" s="219" t="s">
        <v>31</v>
      </c>
      <c r="K258" s="220" t="str">
        <f>IF(J258&lt;&gt;"",VLOOKUP(J258,PContas!A:B,2,FALSE),"")</f>
        <v>AILTON</v>
      </c>
      <c r="L258" s="221">
        <f t="shared" ref="L258:L321" si="8">DAY(D258)</f>
        <v>15</v>
      </c>
      <c r="M258" s="221" t="str">
        <f t="shared" ref="M258:M321" ca="1" si="9">IF(D258&lt;&gt;"",IF(F258="",IF(DAYS360(D258,NOW())&gt;0,"ATRASADO",YEAR(D258)&amp;"/"&amp;CHOOSE(MONTH(D258),"01","02","03","04","05","06","07","08","09","10","11","12")),YEAR(D258)&amp;"/"&amp;CHOOSE(MONTH(D258),"01","02","03","04","05","06","07","08","09","10","11","12")),"")</f>
        <v>2012/11</v>
      </c>
    </row>
    <row r="259" spans="1:13">
      <c r="A259" s="216">
        <v>41465</v>
      </c>
      <c r="B259" s="217"/>
      <c r="C259" s="217"/>
      <c r="D259" s="216">
        <v>41232</v>
      </c>
      <c r="E259" s="218">
        <v>71</v>
      </c>
      <c r="F259" s="216">
        <v>41232</v>
      </c>
      <c r="G259" s="218">
        <v>-71</v>
      </c>
      <c r="H259" s="219" t="s">
        <v>52</v>
      </c>
      <c r="I259" s="219" t="s">
        <v>2</v>
      </c>
      <c r="J259" s="219" t="s">
        <v>7</v>
      </c>
      <c r="K259" s="220" t="str">
        <f>IF(J259&lt;&gt;"",VLOOKUP(J259,PContas!A:B,2,FALSE),"")</f>
        <v>AILTON</v>
      </c>
      <c r="L259" s="221">
        <f t="shared" si="8"/>
        <v>19</v>
      </c>
      <c r="M259" s="221" t="str">
        <f t="shared" ca="1" si="9"/>
        <v>2012/11</v>
      </c>
    </row>
    <row r="260" spans="1:13">
      <c r="A260" s="216">
        <v>41465</v>
      </c>
      <c r="B260" s="217"/>
      <c r="C260" s="217"/>
      <c r="D260" s="216">
        <v>41232</v>
      </c>
      <c r="E260" s="218">
        <v>150</v>
      </c>
      <c r="F260" s="216">
        <v>41232</v>
      </c>
      <c r="G260" s="218">
        <v>150</v>
      </c>
      <c r="H260" s="219" t="s">
        <v>71</v>
      </c>
      <c r="I260" s="219" t="s">
        <v>2</v>
      </c>
      <c r="J260" s="219" t="s">
        <v>67</v>
      </c>
      <c r="K260" s="220" t="str">
        <f>IF(J260&lt;&gt;"",VLOOKUP(J260,PContas!A:B,2,FALSE),"")</f>
        <v>CLIENTES</v>
      </c>
      <c r="L260" s="221">
        <f t="shared" si="8"/>
        <v>19</v>
      </c>
      <c r="M260" s="221" t="str">
        <f t="shared" ca="1" si="9"/>
        <v>2012/11</v>
      </c>
    </row>
    <row r="261" spans="1:13">
      <c r="A261" s="216">
        <v>41465</v>
      </c>
      <c r="B261" s="217"/>
      <c r="C261" s="217"/>
      <c r="D261" s="216">
        <v>41251</v>
      </c>
      <c r="E261" s="218">
        <v>100</v>
      </c>
      <c r="F261" s="216">
        <v>41251</v>
      </c>
      <c r="G261" s="218">
        <v>100</v>
      </c>
      <c r="H261" s="219" t="s">
        <v>71</v>
      </c>
      <c r="I261" s="219" t="s">
        <v>2</v>
      </c>
      <c r="J261" s="219" t="s">
        <v>65</v>
      </c>
      <c r="K261" s="220" t="str">
        <f>IF(J261&lt;&gt;"",VLOOKUP(J261,PContas!A:B,2,FALSE),"")</f>
        <v>CLIENTES</v>
      </c>
      <c r="L261" s="221">
        <f t="shared" si="8"/>
        <v>8</v>
      </c>
      <c r="M261" s="221" t="str">
        <f t="shared" ca="1" si="9"/>
        <v>2012/12</v>
      </c>
    </row>
    <row r="262" spans="1:13">
      <c r="A262" s="216">
        <v>41465</v>
      </c>
      <c r="B262" s="217"/>
      <c r="C262" s="222"/>
      <c r="D262" s="216">
        <v>41253</v>
      </c>
      <c r="E262" s="218">
        <v>20</v>
      </c>
      <c r="F262" s="216">
        <v>41253</v>
      </c>
      <c r="G262" s="218">
        <v>-20</v>
      </c>
      <c r="H262" s="219" t="s">
        <v>52</v>
      </c>
      <c r="I262" s="239" t="s">
        <v>1111</v>
      </c>
      <c r="J262" s="219" t="s">
        <v>30</v>
      </c>
      <c r="K262" s="220" t="str">
        <f>IF(J262&lt;&gt;"",VLOOKUP(J262,PContas!A:B,2,FALSE),"")</f>
        <v>PROVISÃO</v>
      </c>
      <c r="L262" s="221">
        <f t="shared" si="8"/>
        <v>10</v>
      </c>
      <c r="M262" s="221" t="str">
        <f t="shared" ca="1" si="9"/>
        <v>2012/12</v>
      </c>
    </row>
    <row r="263" spans="1:13">
      <c r="A263" s="216">
        <v>41465</v>
      </c>
      <c r="B263" s="217"/>
      <c r="C263" s="217" t="s">
        <v>53</v>
      </c>
      <c r="D263" s="216">
        <v>41275</v>
      </c>
      <c r="E263" s="218">
        <v>106.4</v>
      </c>
      <c r="F263" s="216">
        <v>41275</v>
      </c>
      <c r="G263" s="218">
        <v>-106.4</v>
      </c>
      <c r="H263" s="219" t="s">
        <v>52</v>
      </c>
      <c r="I263" s="219" t="s">
        <v>2</v>
      </c>
      <c r="J263" s="219" t="s">
        <v>104</v>
      </c>
      <c r="K263" s="220" t="str">
        <f>IF(J263&lt;&gt;"",VLOOKUP(J263,PContas!A:B,2,FALSE),"")</f>
        <v>AILTON</v>
      </c>
      <c r="L263" s="221">
        <f t="shared" si="8"/>
        <v>1</v>
      </c>
      <c r="M263" s="221" t="str">
        <f t="shared" ca="1" si="9"/>
        <v>2013/01</v>
      </c>
    </row>
    <row r="264" spans="1:13">
      <c r="A264" s="216">
        <v>41465</v>
      </c>
      <c r="B264" s="217"/>
      <c r="C264" s="222"/>
      <c r="D264" s="216">
        <v>41284</v>
      </c>
      <c r="E264" s="218">
        <v>20</v>
      </c>
      <c r="F264" s="216">
        <v>41284</v>
      </c>
      <c r="G264" s="218">
        <v>-20</v>
      </c>
      <c r="H264" s="219" t="s">
        <v>52</v>
      </c>
      <c r="I264" s="239" t="s">
        <v>1111</v>
      </c>
      <c r="J264" s="219" t="s">
        <v>30</v>
      </c>
      <c r="K264" s="220" t="str">
        <f>IF(J264&lt;&gt;"",VLOOKUP(J264,PContas!A:B,2,FALSE),"")</f>
        <v>PROVISÃO</v>
      </c>
      <c r="L264" s="221">
        <f t="shared" si="8"/>
        <v>10</v>
      </c>
      <c r="M264" s="221" t="str">
        <f t="shared" ca="1" si="9"/>
        <v>2013/01</v>
      </c>
    </row>
    <row r="265" spans="1:13">
      <c r="A265" s="216">
        <v>41465</v>
      </c>
      <c r="B265" s="217"/>
      <c r="C265" s="217"/>
      <c r="D265" s="216">
        <v>41284</v>
      </c>
      <c r="E265" s="218">
        <v>966.62</v>
      </c>
      <c r="F265" s="216"/>
      <c r="G265" s="218">
        <v>-966.62</v>
      </c>
      <c r="H265" s="219" t="s">
        <v>52</v>
      </c>
      <c r="I265" s="219" t="s">
        <v>2</v>
      </c>
      <c r="J265" s="219" t="s">
        <v>8</v>
      </c>
      <c r="K265" s="220" t="str">
        <f>IF(J265&lt;&gt;"",VLOOKUP(J265,PContas!A:B,2,FALSE),"")</f>
        <v>TELEFONIA</v>
      </c>
      <c r="L265" s="221">
        <f t="shared" si="8"/>
        <v>10</v>
      </c>
      <c r="M265" s="221" t="str">
        <f t="shared" ca="1" si="9"/>
        <v>ATRASADO</v>
      </c>
    </row>
    <row r="266" spans="1:13">
      <c r="A266" s="216">
        <v>41465</v>
      </c>
      <c r="B266" s="217"/>
      <c r="C266" s="217"/>
      <c r="D266" s="216">
        <v>41289</v>
      </c>
      <c r="E266" s="218">
        <v>82</v>
      </c>
      <c r="F266" s="216">
        <v>41289</v>
      </c>
      <c r="G266" s="218">
        <v>-82</v>
      </c>
      <c r="H266" s="219" t="s">
        <v>52</v>
      </c>
      <c r="I266" s="219" t="s">
        <v>2</v>
      </c>
      <c r="J266" s="219" t="s">
        <v>31</v>
      </c>
      <c r="K266" s="220" t="str">
        <f>IF(J266&lt;&gt;"",VLOOKUP(J266,PContas!A:B,2,FALSE),"")</f>
        <v>AILTON</v>
      </c>
      <c r="L266" s="221">
        <f t="shared" si="8"/>
        <v>15</v>
      </c>
      <c r="M266" s="221" t="str">
        <f t="shared" ca="1" si="9"/>
        <v>2013/01</v>
      </c>
    </row>
    <row r="267" spans="1:13">
      <c r="A267" s="216">
        <v>41465</v>
      </c>
      <c r="B267" s="217" t="s">
        <v>770</v>
      </c>
      <c r="C267" s="217" t="s">
        <v>977</v>
      </c>
      <c r="D267" s="216">
        <v>41294</v>
      </c>
      <c r="E267" s="218">
        <v>67.739999999999995</v>
      </c>
      <c r="F267" s="216">
        <v>41294</v>
      </c>
      <c r="G267" s="218">
        <v>67.739999999999995</v>
      </c>
      <c r="H267" s="219" t="s">
        <v>71</v>
      </c>
      <c r="I267" s="219" t="s">
        <v>2</v>
      </c>
      <c r="J267" s="219" t="s">
        <v>55</v>
      </c>
      <c r="K267" s="220" t="str">
        <f>IF(J267&lt;&gt;"",VLOOKUP(J267,PContas!A:B,2,FALSE),"")</f>
        <v>CLIENTES</v>
      </c>
      <c r="L267" s="221">
        <f t="shared" si="8"/>
        <v>20</v>
      </c>
      <c r="M267" s="221" t="str">
        <f t="shared" ca="1" si="9"/>
        <v>2013/01</v>
      </c>
    </row>
    <row r="268" spans="1:13">
      <c r="A268" s="216">
        <v>41465</v>
      </c>
      <c r="B268" s="217" t="s">
        <v>771</v>
      </c>
      <c r="C268" s="217" t="s">
        <v>977</v>
      </c>
      <c r="D268" s="216">
        <v>41294</v>
      </c>
      <c r="E268" s="218">
        <v>67.849999999999994</v>
      </c>
      <c r="F268" s="216">
        <v>41294</v>
      </c>
      <c r="G268" s="218">
        <v>67.849999999999994</v>
      </c>
      <c r="H268" s="219" t="s">
        <v>71</v>
      </c>
      <c r="I268" s="219" t="s">
        <v>2</v>
      </c>
      <c r="J268" s="219" t="s">
        <v>56</v>
      </c>
      <c r="K268" s="220" t="str">
        <f>IF(J268&lt;&gt;"",VLOOKUP(J268,PContas!A:B,2,FALSE),"")</f>
        <v>CLIENTES</v>
      </c>
      <c r="L268" s="221">
        <f t="shared" si="8"/>
        <v>20</v>
      </c>
      <c r="M268" s="221" t="str">
        <f t="shared" ca="1" si="9"/>
        <v>2013/01</v>
      </c>
    </row>
    <row r="269" spans="1:13">
      <c r="A269" s="216">
        <v>41465</v>
      </c>
      <c r="B269" s="217" t="s">
        <v>772</v>
      </c>
      <c r="C269" s="217"/>
      <c r="D269" s="216">
        <v>41294</v>
      </c>
      <c r="E269" s="218">
        <v>100</v>
      </c>
      <c r="F269" s="216">
        <v>41294</v>
      </c>
      <c r="G269" s="218">
        <v>100</v>
      </c>
      <c r="H269" s="219" t="s">
        <v>71</v>
      </c>
      <c r="I269" s="219" t="s">
        <v>2</v>
      </c>
      <c r="J269" s="219" t="s">
        <v>57</v>
      </c>
      <c r="K269" s="220" t="str">
        <f>IF(J269&lt;&gt;"",VLOOKUP(J269,PContas!A:B,2,FALSE),"")</f>
        <v>CLIENTES</v>
      </c>
      <c r="L269" s="221">
        <f t="shared" si="8"/>
        <v>20</v>
      </c>
      <c r="M269" s="221" t="str">
        <f t="shared" ca="1" si="9"/>
        <v>2013/01</v>
      </c>
    </row>
    <row r="270" spans="1:13">
      <c r="A270" s="216">
        <v>41465</v>
      </c>
      <c r="B270" s="217"/>
      <c r="C270" s="217"/>
      <c r="D270" s="216">
        <v>41294</v>
      </c>
      <c r="E270" s="218">
        <v>40</v>
      </c>
      <c r="F270" s="216">
        <v>41294</v>
      </c>
      <c r="G270" s="218">
        <v>40</v>
      </c>
      <c r="H270" s="219" t="s">
        <v>71</v>
      </c>
      <c r="I270" s="219" t="s">
        <v>2</v>
      </c>
      <c r="J270" s="219" t="s">
        <v>58</v>
      </c>
      <c r="K270" s="220" t="str">
        <f>IF(J270&lt;&gt;"",VLOOKUP(J270,PContas!A:B,2,FALSE),"")</f>
        <v>CLIENTES</v>
      </c>
      <c r="L270" s="221">
        <f t="shared" si="8"/>
        <v>20</v>
      </c>
      <c r="M270" s="221" t="str">
        <f t="shared" ca="1" si="9"/>
        <v>2013/01</v>
      </c>
    </row>
    <row r="271" spans="1:13">
      <c r="A271" s="216">
        <v>41465</v>
      </c>
      <c r="B271" s="217"/>
      <c r="C271" s="217"/>
      <c r="D271" s="216">
        <v>41296</v>
      </c>
      <c r="E271" s="218">
        <v>40</v>
      </c>
      <c r="F271" s="216">
        <v>41296</v>
      </c>
      <c r="G271" s="218">
        <v>40</v>
      </c>
      <c r="H271" s="219" t="s">
        <v>71</v>
      </c>
      <c r="I271" s="219" t="s">
        <v>2</v>
      </c>
      <c r="J271" s="219" t="s">
        <v>67</v>
      </c>
      <c r="K271" s="220" t="str">
        <f>IF(J271&lt;&gt;"",VLOOKUP(J271,PContas!A:B,2,FALSE),"")</f>
        <v>CLIENTES</v>
      </c>
      <c r="L271" s="221">
        <f t="shared" si="8"/>
        <v>22</v>
      </c>
      <c r="M271" s="221" t="str">
        <f t="shared" ca="1" si="9"/>
        <v>2013/01</v>
      </c>
    </row>
    <row r="272" spans="1:13">
      <c r="A272" s="216">
        <v>41465</v>
      </c>
      <c r="B272" s="217"/>
      <c r="C272" s="217" t="s">
        <v>990</v>
      </c>
      <c r="D272" s="216">
        <v>41296</v>
      </c>
      <c r="E272" s="218">
        <v>195</v>
      </c>
      <c r="F272" s="216">
        <v>41296</v>
      </c>
      <c r="G272" s="218">
        <v>195</v>
      </c>
      <c r="H272" s="219" t="s">
        <v>71</v>
      </c>
      <c r="I272" s="219" t="s">
        <v>2</v>
      </c>
      <c r="J272" s="219" t="s">
        <v>68</v>
      </c>
      <c r="K272" s="220" t="str">
        <f>IF(J272&lt;&gt;"",VLOOKUP(J272,PContas!A:B,2,FALSE),"")</f>
        <v>VENDAS</v>
      </c>
      <c r="L272" s="221">
        <f t="shared" si="8"/>
        <v>22</v>
      </c>
      <c r="M272" s="221" t="str">
        <f t="shared" ca="1" si="9"/>
        <v>2013/01</v>
      </c>
    </row>
    <row r="273" spans="1:13">
      <c r="A273" s="216">
        <v>41465</v>
      </c>
      <c r="B273" s="217"/>
      <c r="C273" s="217"/>
      <c r="D273" s="216">
        <v>41299</v>
      </c>
      <c r="E273" s="218">
        <v>59.9</v>
      </c>
      <c r="F273" s="216">
        <v>41299</v>
      </c>
      <c r="G273" s="218">
        <v>-59.9</v>
      </c>
      <c r="H273" s="219" t="s">
        <v>52</v>
      </c>
      <c r="I273" s="239" t="s">
        <v>1111</v>
      </c>
      <c r="J273" s="219" t="s">
        <v>10</v>
      </c>
      <c r="K273" s="220" t="str">
        <f>IF(J273&lt;&gt;"",VLOOKUP(J273,PContas!A:B,2,FALSE),"")</f>
        <v>NET</v>
      </c>
      <c r="L273" s="221">
        <f t="shared" si="8"/>
        <v>25</v>
      </c>
      <c r="M273" s="221" t="str">
        <f t="shared" ca="1" si="9"/>
        <v>2013/01</v>
      </c>
    </row>
    <row r="274" spans="1:13">
      <c r="A274" s="216">
        <v>41465</v>
      </c>
      <c r="B274" s="217"/>
      <c r="C274" s="217"/>
      <c r="D274" s="216">
        <v>41299</v>
      </c>
      <c r="E274" s="218">
        <v>39.9</v>
      </c>
      <c r="F274" s="216">
        <v>41299</v>
      </c>
      <c r="G274" s="218">
        <v>-39.9</v>
      </c>
      <c r="H274" s="219" t="s">
        <v>52</v>
      </c>
      <c r="I274" s="239" t="s">
        <v>1111</v>
      </c>
      <c r="J274" s="219" t="s">
        <v>13</v>
      </c>
      <c r="K274" s="220" t="str">
        <f>IF(J274&lt;&gt;"",VLOOKUP(J274,PContas!A:B,2,FALSE),"")</f>
        <v>NET</v>
      </c>
      <c r="L274" s="221">
        <f t="shared" si="8"/>
        <v>25</v>
      </c>
      <c r="M274" s="221" t="str">
        <f t="shared" ca="1" si="9"/>
        <v>2013/01</v>
      </c>
    </row>
    <row r="275" spans="1:13">
      <c r="A275" s="216">
        <v>41465</v>
      </c>
      <c r="B275" s="217"/>
      <c r="C275" s="217"/>
      <c r="D275" s="216">
        <v>41299</v>
      </c>
      <c r="E275" s="218">
        <v>50.81</v>
      </c>
      <c r="F275" s="216">
        <v>41299</v>
      </c>
      <c r="G275" s="218">
        <v>-50.81</v>
      </c>
      <c r="H275" s="219" t="s">
        <v>52</v>
      </c>
      <c r="I275" s="239" t="s">
        <v>1111</v>
      </c>
      <c r="J275" s="219" t="s">
        <v>5</v>
      </c>
      <c r="K275" s="220" t="str">
        <f>IF(J275&lt;&gt;"",VLOOKUP(J275,PContas!A:B,2,FALSE),"")</f>
        <v>NET</v>
      </c>
      <c r="L275" s="221">
        <f t="shared" si="8"/>
        <v>25</v>
      </c>
      <c r="M275" s="221" t="str">
        <f t="shared" ca="1" si="9"/>
        <v>2013/01</v>
      </c>
    </row>
    <row r="276" spans="1:13">
      <c r="A276" s="216">
        <v>41465</v>
      </c>
      <c r="B276" s="217"/>
      <c r="C276" s="217"/>
      <c r="D276" s="216">
        <v>41303</v>
      </c>
      <c r="E276" s="218">
        <v>99</v>
      </c>
      <c r="F276" s="216">
        <v>41303</v>
      </c>
      <c r="G276" s="218">
        <v>-99</v>
      </c>
      <c r="H276" s="219" t="s">
        <v>52</v>
      </c>
      <c r="I276" s="239" t="s">
        <v>1111</v>
      </c>
      <c r="J276" s="219" t="s">
        <v>17</v>
      </c>
      <c r="K276" s="220" t="str">
        <f>IF(J276&lt;&gt;"",VLOOKUP(J276,PContas!A:B,2,FALSE),"")</f>
        <v>WEB</v>
      </c>
      <c r="L276" s="221">
        <f t="shared" si="8"/>
        <v>29</v>
      </c>
      <c r="M276" s="221" t="str">
        <f t="shared" ca="1" si="9"/>
        <v>2013/01</v>
      </c>
    </row>
    <row r="277" spans="1:13">
      <c r="A277" s="216">
        <v>41465</v>
      </c>
      <c r="B277" s="217"/>
      <c r="C277" s="217"/>
      <c r="D277" s="216">
        <v>41303</v>
      </c>
      <c r="E277" s="218">
        <v>82</v>
      </c>
      <c r="F277" s="216">
        <v>41303</v>
      </c>
      <c r="G277" s="218">
        <v>-82</v>
      </c>
      <c r="H277" s="219" t="s">
        <v>52</v>
      </c>
      <c r="I277" s="219" t="s">
        <v>2</v>
      </c>
      <c r="J277" s="219" t="s">
        <v>31</v>
      </c>
      <c r="K277" s="220" t="str">
        <f>IF(J277&lt;&gt;"",VLOOKUP(J277,PContas!A:B,2,FALSE),"")</f>
        <v>AILTON</v>
      </c>
      <c r="L277" s="221">
        <f t="shared" si="8"/>
        <v>29</v>
      </c>
      <c r="M277" s="221" t="str">
        <f t="shared" ca="1" si="9"/>
        <v>2013/01</v>
      </c>
    </row>
    <row r="278" spans="1:13">
      <c r="A278" s="216">
        <v>41465</v>
      </c>
      <c r="B278" s="217"/>
      <c r="C278" s="217"/>
      <c r="D278" s="216">
        <v>41305</v>
      </c>
      <c r="E278" s="218">
        <v>180.75</v>
      </c>
      <c r="F278" s="216">
        <v>41305</v>
      </c>
      <c r="G278" s="218">
        <v>-180.75</v>
      </c>
      <c r="H278" s="219" t="s">
        <v>52</v>
      </c>
      <c r="I278" s="239" t="s">
        <v>1111</v>
      </c>
      <c r="J278" s="219" t="s">
        <v>14</v>
      </c>
      <c r="K278" s="220" t="str">
        <f>IF(J278&lt;&gt;"",VLOOKUP(J278,PContas!A:B,2,FALSE),"")</f>
        <v>MORADIA</v>
      </c>
      <c r="L278" s="221">
        <f t="shared" si="8"/>
        <v>31</v>
      </c>
      <c r="M278" s="221" t="str">
        <f t="shared" ca="1" si="9"/>
        <v>2013/01</v>
      </c>
    </row>
    <row r="279" spans="1:13">
      <c r="A279" s="216">
        <v>41465</v>
      </c>
      <c r="B279" s="217"/>
      <c r="C279" s="217"/>
      <c r="D279" s="216">
        <v>41305</v>
      </c>
      <c r="E279" s="218">
        <v>275.42</v>
      </c>
      <c r="F279" s="216">
        <v>41305</v>
      </c>
      <c r="G279" s="218">
        <v>-275.42</v>
      </c>
      <c r="H279" s="219" t="s">
        <v>52</v>
      </c>
      <c r="I279" s="239" t="s">
        <v>1111</v>
      </c>
      <c r="J279" s="219" t="s">
        <v>14</v>
      </c>
      <c r="K279" s="220" t="str">
        <f>IF(J279&lt;&gt;"",VLOOKUP(J279,PContas!A:B,2,FALSE),"")</f>
        <v>MORADIA</v>
      </c>
      <c r="L279" s="221">
        <f t="shared" si="8"/>
        <v>31</v>
      </c>
      <c r="M279" s="221" t="str">
        <f t="shared" ca="1" si="9"/>
        <v>2013/01</v>
      </c>
    </row>
    <row r="280" spans="1:13">
      <c r="A280" s="216">
        <v>41465</v>
      </c>
      <c r="B280" s="217"/>
      <c r="C280" s="217" t="s">
        <v>1262</v>
      </c>
      <c r="D280" s="216">
        <v>41305</v>
      </c>
      <c r="E280" s="218">
        <v>71.05</v>
      </c>
      <c r="F280" s="216">
        <v>41305</v>
      </c>
      <c r="G280" s="218">
        <v>-71.05</v>
      </c>
      <c r="H280" s="219" t="s">
        <v>52</v>
      </c>
      <c r="I280" s="239" t="s">
        <v>1111</v>
      </c>
      <c r="J280" s="219" t="s">
        <v>16</v>
      </c>
      <c r="K280" s="220" t="str">
        <f>IF(J280&lt;&gt;"",VLOOKUP(J280,PContas!A:B,2,FALSE),"")</f>
        <v>MORADIA</v>
      </c>
      <c r="L280" s="221">
        <f t="shared" si="8"/>
        <v>31</v>
      </c>
      <c r="M280" s="221" t="str">
        <f t="shared" ca="1" si="9"/>
        <v>2013/01</v>
      </c>
    </row>
    <row r="281" spans="1:13">
      <c r="A281" s="216">
        <v>41465</v>
      </c>
      <c r="B281" s="217"/>
      <c r="C281" s="217"/>
      <c r="D281" s="216">
        <v>41305</v>
      </c>
      <c r="E281" s="218">
        <v>49.24</v>
      </c>
      <c r="F281" s="216">
        <v>41305</v>
      </c>
      <c r="G281" s="218">
        <v>-49.24</v>
      </c>
      <c r="H281" s="219" t="s">
        <v>52</v>
      </c>
      <c r="I281" s="239" t="s">
        <v>1111</v>
      </c>
      <c r="J281" s="219" t="s">
        <v>28</v>
      </c>
      <c r="K281" s="220" t="str">
        <f>IF(J281&lt;&gt;"",VLOOKUP(J281,PContas!A:B,2,FALSE),"")</f>
        <v>SAUDE</v>
      </c>
      <c r="L281" s="221">
        <f t="shared" si="8"/>
        <v>31</v>
      </c>
      <c r="M281" s="221" t="str">
        <f t="shared" ca="1" si="9"/>
        <v>2013/01</v>
      </c>
    </row>
    <row r="282" spans="1:13">
      <c r="A282" s="216">
        <v>41465</v>
      </c>
      <c r="B282" s="217"/>
      <c r="C282" s="217"/>
      <c r="D282" s="216">
        <v>41305</v>
      </c>
      <c r="E282" s="218">
        <v>44.76</v>
      </c>
      <c r="F282" s="216">
        <v>41305</v>
      </c>
      <c r="G282" s="218">
        <v>-44.76</v>
      </c>
      <c r="H282" s="219" t="s">
        <v>52</v>
      </c>
      <c r="I282" s="239" t="s">
        <v>1111</v>
      </c>
      <c r="J282" s="219" t="s">
        <v>28</v>
      </c>
      <c r="K282" s="220" t="str">
        <f>IF(J282&lt;&gt;"",VLOOKUP(J282,PContas!A:B,2,FALSE),"")</f>
        <v>SAUDE</v>
      </c>
      <c r="L282" s="221">
        <f t="shared" si="8"/>
        <v>31</v>
      </c>
      <c r="M282" s="221" t="str">
        <f t="shared" ca="1" si="9"/>
        <v>2013/01</v>
      </c>
    </row>
    <row r="283" spans="1:13">
      <c r="A283" s="216">
        <v>41465</v>
      </c>
      <c r="B283" s="217"/>
      <c r="C283" s="217"/>
      <c r="D283" s="216">
        <v>41306</v>
      </c>
      <c r="E283" s="218">
        <v>30</v>
      </c>
      <c r="F283" s="216">
        <v>41306</v>
      </c>
      <c r="G283" s="218">
        <v>-30</v>
      </c>
      <c r="H283" s="219" t="s">
        <v>52</v>
      </c>
      <c r="I283" s="239" t="s">
        <v>1111</v>
      </c>
      <c r="J283" s="219" t="s">
        <v>19</v>
      </c>
      <c r="K283" s="220" t="str">
        <f>IF(J283&lt;&gt;"",VLOOKUP(J283,PContas!A:B,2,FALSE),"")</f>
        <v>WEB</v>
      </c>
      <c r="L283" s="221">
        <f t="shared" si="8"/>
        <v>1</v>
      </c>
      <c r="M283" s="221" t="str">
        <f t="shared" ca="1" si="9"/>
        <v>2013/02</v>
      </c>
    </row>
    <row r="284" spans="1:13">
      <c r="A284" s="216">
        <v>41465</v>
      </c>
      <c r="B284" s="217"/>
      <c r="C284" s="217"/>
      <c r="D284" s="216">
        <v>41310</v>
      </c>
      <c r="E284" s="218">
        <v>100</v>
      </c>
      <c r="F284" s="216">
        <v>41310</v>
      </c>
      <c r="G284" s="218">
        <v>-100</v>
      </c>
      <c r="H284" s="219" t="s">
        <v>52</v>
      </c>
      <c r="I284" s="219" t="s">
        <v>2</v>
      </c>
      <c r="J284" s="219" t="s">
        <v>20</v>
      </c>
      <c r="K284" s="220" t="str">
        <f>IF(J284&lt;&gt;"",VLOOKUP(J284,PContas!A:B,2,FALSE),"")</f>
        <v>MORADIA</v>
      </c>
      <c r="L284" s="221">
        <f t="shared" si="8"/>
        <v>5</v>
      </c>
      <c r="M284" s="221" t="str">
        <f t="shared" ca="1" si="9"/>
        <v>2013/02</v>
      </c>
    </row>
    <row r="285" spans="1:13">
      <c r="A285" s="216">
        <v>41465</v>
      </c>
      <c r="B285" s="217"/>
      <c r="C285" s="217" t="s">
        <v>1261</v>
      </c>
      <c r="D285" s="216">
        <v>41313</v>
      </c>
      <c r="E285" s="218">
        <v>92.56</v>
      </c>
      <c r="F285" s="216">
        <v>41334</v>
      </c>
      <c r="G285" s="218">
        <v>-92.56</v>
      </c>
      <c r="H285" s="219" t="s">
        <v>52</v>
      </c>
      <c r="I285" s="239" t="s">
        <v>1111</v>
      </c>
      <c r="J285" s="219" t="s">
        <v>16</v>
      </c>
      <c r="K285" s="220" t="str">
        <f>IF(J285&lt;&gt;"",VLOOKUP(J285,PContas!A:B,2,FALSE),"")</f>
        <v>MORADIA</v>
      </c>
      <c r="L285" s="221">
        <f t="shared" si="8"/>
        <v>8</v>
      </c>
      <c r="M285" s="221" t="str">
        <f t="shared" ca="1" si="9"/>
        <v>2013/02</v>
      </c>
    </row>
    <row r="286" spans="1:13">
      <c r="A286" s="216">
        <v>41465</v>
      </c>
      <c r="B286" s="217"/>
      <c r="C286" s="222"/>
      <c r="D286" s="216">
        <v>41315</v>
      </c>
      <c r="E286" s="218">
        <v>20.05</v>
      </c>
      <c r="F286" s="216">
        <v>41325</v>
      </c>
      <c r="G286" s="218">
        <v>-20.05</v>
      </c>
      <c r="H286" s="219" t="s">
        <v>52</v>
      </c>
      <c r="I286" s="239" t="s">
        <v>1111</v>
      </c>
      <c r="J286" s="219" t="s">
        <v>30</v>
      </c>
      <c r="K286" s="220" t="str">
        <f>IF(J286&lt;&gt;"",VLOOKUP(J286,PContas!A:B,2,FALSE),"")</f>
        <v>PROVISÃO</v>
      </c>
      <c r="L286" s="221">
        <f t="shared" si="8"/>
        <v>10</v>
      </c>
      <c r="M286" s="221" t="str">
        <f t="shared" ca="1" si="9"/>
        <v>2013/02</v>
      </c>
    </row>
    <row r="287" spans="1:13">
      <c r="A287" s="216">
        <v>41465</v>
      </c>
      <c r="B287" s="217" t="s">
        <v>766</v>
      </c>
      <c r="C287" s="217" t="s">
        <v>978</v>
      </c>
      <c r="D287" s="216">
        <v>41325</v>
      </c>
      <c r="E287" s="218">
        <v>67.739999999999995</v>
      </c>
      <c r="F287" s="216">
        <v>41325</v>
      </c>
      <c r="G287" s="218">
        <v>67.739999999999995</v>
      </c>
      <c r="H287" s="219" t="s">
        <v>71</v>
      </c>
      <c r="I287" s="219" t="s">
        <v>2</v>
      </c>
      <c r="J287" s="219" t="s">
        <v>55</v>
      </c>
      <c r="K287" s="220" t="str">
        <f>IF(J287&lt;&gt;"",VLOOKUP(J287,PContas!A:B,2,FALSE),"")</f>
        <v>CLIENTES</v>
      </c>
      <c r="L287" s="221">
        <f t="shared" si="8"/>
        <v>20</v>
      </c>
      <c r="M287" s="221" t="str">
        <f t="shared" ca="1" si="9"/>
        <v>2013/02</v>
      </c>
    </row>
    <row r="288" spans="1:13">
      <c r="A288" s="216">
        <v>41465</v>
      </c>
      <c r="B288" s="217" t="s">
        <v>767</v>
      </c>
      <c r="C288" s="217" t="s">
        <v>978</v>
      </c>
      <c r="D288" s="216">
        <v>41325</v>
      </c>
      <c r="E288" s="218">
        <v>67.849999999999994</v>
      </c>
      <c r="F288" s="216">
        <v>41325</v>
      </c>
      <c r="G288" s="218">
        <v>67.849999999999994</v>
      </c>
      <c r="H288" s="219" t="s">
        <v>71</v>
      </c>
      <c r="I288" s="219" t="s">
        <v>2</v>
      </c>
      <c r="J288" s="219" t="s">
        <v>56</v>
      </c>
      <c r="K288" s="220" t="str">
        <f>IF(J288&lt;&gt;"",VLOOKUP(J288,PContas!A:B,2,FALSE),"")</f>
        <v>CLIENTES</v>
      </c>
      <c r="L288" s="221">
        <f t="shared" si="8"/>
        <v>20</v>
      </c>
      <c r="M288" s="221" t="str">
        <f t="shared" ca="1" si="9"/>
        <v>2013/02</v>
      </c>
    </row>
    <row r="289" spans="1:13">
      <c r="A289" s="216">
        <v>41465</v>
      </c>
      <c r="B289" s="217" t="s">
        <v>951</v>
      </c>
      <c r="C289" s="217"/>
      <c r="D289" s="216">
        <v>41325</v>
      </c>
      <c r="E289" s="218">
        <v>100</v>
      </c>
      <c r="F289" s="216">
        <v>41325</v>
      </c>
      <c r="G289" s="218">
        <v>100</v>
      </c>
      <c r="H289" s="219" t="s">
        <v>71</v>
      </c>
      <c r="I289" s="219" t="s">
        <v>2</v>
      </c>
      <c r="J289" s="219" t="s">
        <v>57</v>
      </c>
      <c r="K289" s="220" t="str">
        <f>IF(J289&lt;&gt;"",VLOOKUP(J289,PContas!A:B,2,FALSE),"")</f>
        <v>CLIENTES</v>
      </c>
      <c r="L289" s="221">
        <f t="shared" si="8"/>
        <v>20</v>
      </c>
      <c r="M289" s="221" t="str">
        <f t="shared" ca="1" si="9"/>
        <v>2013/02</v>
      </c>
    </row>
    <row r="290" spans="1:13">
      <c r="A290" s="216">
        <v>41465</v>
      </c>
      <c r="B290" s="217"/>
      <c r="C290" s="217"/>
      <c r="D290" s="216">
        <v>41325</v>
      </c>
      <c r="E290" s="218">
        <v>40</v>
      </c>
      <c r="F290" s="216">
        <v>41325</v>
      </c>
      <c r="G290" s="218">
        <v>40</v>
      </c>
      <c r="H290" s="219" t="s">
        <v>71</v>
      </c>
      <c r="I290" s="219" t="s">
        <v>2</v>
      </c>
      <c r="J290" s="219" t="s">
        <v>58</v>
      </c>
      <c r="K290" s="220" t="str">
        <f>IF(J290&lt;&gt;"",VLOOKUP(J290,PContas!A:B,2,FALSE),"")</f>
        <v>CLIENTES</v>
      </c>
      <c r="L290" s="221">
        <f t="shared" si="8"/>
        <v>20</v>
      </c>
      <c r="M290" s="221" t="str">
        <f t="shared" ca="1" si="9"/>
        <v>2013/02</v>
      </c>
    </row>
    <row r="291" spans="1:13">
      <c r="A291" s="216">
        <v>41465</v>
      </c>
      <c r="B291" s="217"/>
      <c r="C291" s="217"/>
      <c r="D291" s="216">
        <v>41325</v>
      </c>
      <c r="E291" s="218">
        <v>175</v>
      </c>
      <c r="F291" s="216">
        <v>41325</v>
      </c>
      <c r="G291" s="218">
        <v>175</v>
      </c>
      <c r="H291" s="219" t="s">
        <v>71</v>
      </c>
      <c r="I291" s="219" t="s">
        <v>2</v>
      </c>
      <c r="J291" s="219" t="s">
        <v>59</v>
      </c>
      <c r="K291" s="220" t="str">
        <f>IF(J291&lt;&gt;"",VLOOKUP(J291,PContas!A:B,2,FALSE),"")</f>
        <v>CLIENTES</v>
      </c>
      <c r="L291" s="221">
        <f t="shared" si="8"/>
        <v>20</v>
      </c>
      <c r="M291" s="221" t="str">
        <f t="shared" ca="1" si="9"/>
        <v>2013/02</v>
      </c>
    </row>
    <row r="292" spans="1:13">
      <c r="A292" s="216">
        <v>41465</v>
      </c>
      <c r="B292" s="217"/>
      <c r="C292" s="217"/>
      <c r="D292" s="216">
        <v>41330</v>
      </c>
      <c r="E292" s="218">
        <v>59.9</v>
      </c>
      <c r="F292" s="216">
        <v>41330</v>
      </c>
      <c r="G292" s="218">
        <v>-59.9</v>
      </c>
      <c r="H292" s="219" t="s">
        <v>52</v>
      </c>
      <c r="I292" s="239" t="s">
        <v>1111</v>
      </c>
      <c r="J292" s="219" t="s">
        <v>10</v>
      </c>
      <c r="K292" s="220" t="str">
        <f>IF(J292&lt;&gt;"",VLOOKUP(J292,PContas!A:B,2,FALSE),"")</f>
        <v>NET</v>
      </c>
      <c r="L292" s="221">
        <f t="shared" si="8"/>
        <v>25</v>
      </c>
      <c r="M292" s="221" t="str">
        <f t="shared" ca="1" si="9"/>
        <v>2013/02</v>
      </c>
    </row>
    <row r="293" spans="1:13">
      <c r="A293" s="216">
        <v>41465</v>
      </c>
      <c r="B293" s="217"/>
      <c r="C293" s="217"/>
      <c r="D293" s="216">
        <v>41330</v>
      </c>
      <c r="E293" s="218">
        <v>39.9</v>
      </c>
      <c r="F293" s="216">
        <v>41330</v>
      </c>
      <c r="G293" s="218">
        <v>-39.9</v>
      </c>
      <c r="H293" s="219" t="s">
        <v>52</v>
      </c>
      <c r="I293" s="239" t="s">
        <v>1111</v>
      </c>
      <c r="J293" s="219" t="s">
        <v>13</v>
      </c>
      <c r="K293" s="220" t="str">
        <f>IF(J293&lt;&gt;"",VLOOKUP(J293,PContas!A:B,2,FALSE),"")</f>
        <v>NET</v>
      </c>
      <c r="L293" s="221">
        <f t="shared" si="8"/>
        <v>25</v>
      </c>
      <c r="M293" s="221" t="str">
        <f t="shared" ca="1" si="9"/>
        <v>2013/02</v>
      </c>
    </row>
    <row r="294" spans="1:13">
      <c r="A294" s="216">
        <v>41465</v>
      </c>
      <c r="B294" s="217"/>
      <c r="C294" s="217"/>
      <c r="D294" s="216">
        <v>41330</v>
      </c>
      <c r="E294" s="218">
        <v>75.36</v>
      </c>
      <c r="F294" s="216">
        <v>41330</v>
      </c>
      <c r="G294" s="218">
        <v>-75.36</v>
      </c>
      <c r="H294" s="219" t="s">
        <v>52</v>
      </c>
      <c r="I294" s="239" t="s">
        <v>1111</v>
      </c>
      <c r="J294" s="219" t="s">
        <v>5</v>
      </c>
      <c r="K294" s="220" t="str">
        <f>IF(J294&lt;&gt;"",VLOOKUP(J294,PContas!A:B,2,FALSE),"")</f>
        <v>NET</v>
      </c>
      <c r="L294" s="221">
        <f t="shared" si="8"/>
        <v>25</v>
      </c>
      <c r="M294" s="221" t="str">
        <f t="shared" ca="1" si="9"/>
        <v>2013/02</v>
      </c>
    </row>
    <row r="295" spans="1:13">
      <c r="A295" s="216">
        <v>41465</v>
      </c>
      <c r="B295" s="217"/>
      <c r="C295" s="217"/>
      <c r="D295" s="216">
        <v>41334</v>
      </c>
      <c r="E295" s="218">
        <v>99.12</v>
      </c>
      <c r="F295" s="216">
        <v>41334</v>
      </c>
      <c r="G295" s="218">
        <v>-99.12</v>
      </c>
      <c r="H295" s="219" t="s">
        <v>52</v>
      </c>
      <c r="I295" s="239" t="s">
        <v>1111</v>
      </c>
      <c r="J295" s="219" t="s">
        <v>17</v>
      </c>
      <c r="K295" s="220" t="str">
        <f>IF(J295&lt;&gt;"",VLOOKUP(J295,PContas!A:B,2,FALSE),"")</f>
        <v>WEB</v>
      </c>
      <c r="L295" s="221">
        <f t="shared" si="8"/>
        <v>1</v>
      </c>
      <c r="M295" s="221" t="str">
        <f t="shared" ca="1" si="9"/>
        <v>2013/03</v>
      </c>
    </row>
    <row r="296" spans="1:13">
      <c r="A296" s="216">
        <v>41465</v>
      </c>
      <c r="B296" s="217"/>
      <c r="C296" s="217"/>
      <c r="D296" s="216">
        <v>41334</v>
      </c>
      <c r="E296" s="218">
        <v>44.76</v>
      </c>
      <c r="F296" s="216">
        <v>41334</v>
      </c>
      <c r="G296" s="218">
        <v>-44.76</v>
      </c>
      <c r="H296" s="219" t="s">
        <v>52</v>
      </c>
      <c r="I296" s="239" t="s">
        <v>1111</v>
      </c>
      <c r="J296" s="219" t="s">
        <v>28</v>
      </c>
      <c r="K296" s="220" t="str">
        <f>IF(J296&lt;&gt;"",VLOOKUP(J296,PContas!A:B,2,FALSE),"")</f>
        <v>SAUDE</v>
      </c>
      <c r="L296" s="221">
        <f t="shared" si="8"/>
        <v>1</v>
      </c>
      <c r="M296" s="221" t="str">
        <f t="shared" ca="1" si="9"/>
        <v>2013/03</v>
      </c>
    </row>
    <row r="297" spans="1:13">
      <c r="A297" s="216">
        <v>41465</v>
      </c>
      <c r="B297" s="217"/>
      <c r="C297" s="217"/>
      <c r="D297" s="216">
        <v>41334</v>
      </c>
      <c r="E297" s="218">
        <v>7.6</v>
      </c>
      <c r="F297" s="216">
        <v>41334</v>
      </c>
      <c r="G297" s="218">
        <v>-7.6</v>
      </c>
      <c r="H297" s="219" t="s">
        <v>52</v>
      </c>
      <c r="I297" s="219" t="s">
        <v>4</v>
      </c>
      <c r="J297" s="219" t="s">
        <v>21</v>
      </c>
      <c r="K297" s="220" t="str">
        <f>IF(J297&lt;&gt;"",VLOOKUP(J297,PContas!A:B,2,FALSE),"")</f>
        <v>IMPOSTOS</v>
      </c>
      <c r="L297" s="221">
        <f t="shared" si="8"/>
        <v>1</v>
      </c>
      <c r="M297" s="221" t="str">
        <f t="shared" ca="1" si="9"/>
        <v>2013/03</v>
      </c>
    </row>
    <row r="298" spans="1:13">
      <c r="A298" s="216">
        <v>41465</v>
      </c>
      <c r="B298" s="217"/>
      <c r="C298" s="217"/>
      <c r="D298" s="216">
        <v>41334</v>
      </c>
      <c r="E298" s="218">
        <v>380</v>
      </c>
      <c r="F298" s="216">
        <v>41334</v>
      </c>
      <c r="G298" s="218">
        <v>380</v>
      </c>
      <c r="H298" s="219" t="s">
        <v>71</v>
      </c>
      <c r="I298" s="219" t="s">
        <v>4</v>
      </c>
      <c r="J298" s="219" t="s">
        <v>62</v>
      </c>
      <c r="K298" s="220" t="str">
        <f>IF(J298&lt;&gt;"",VLOOKUP(J298,PContas!A:B,2,FALSE),"")</f>
        <v>CLIENTES</v>
      </c>
      <c r="L298" s="221">
        <f t="shared" si="8"/>
        <v>1</v>
      </c>
      <c r="M298" s="221" t="str">
        <f t="shared" ca="1" si="9"/>
        <v>2013/03</v>
      </c>
    </row>
    <row r="299" spans="1:13">
      <c r="A299" s="216">
        <v>41465</v>
      </c>
      <c r="B299" s="217" t="s">
        <v>72</v>
      </c>
      <c r="C299" s="217"/>
      <c r="D299" s="216">
        <v>41341</v>
      </c>
      <c r="E299" s="218">
        <v>1100</v>
      </c>
      <c r="F299" s="216">
        <v>41341</v>
      </c>
      <c r="G299" s="218">
        <v>1100</v>
      </c>
      <c r="H299" s="219" t="s">
        <v>71</v>
      </c>
      <c r="I299" s="219" t="s">
        <v>2</v>
      </c>
      <c r="J299" s="219" t="s">
        <v>64</v>
      </c>
      <c r="K299" s="220" t="str">
        <f>IF(J299&lt;&gt;"",VLOOKUP(J299,PContas!A:B,2,FALSE),"")</f>
        <v>CLIENTES</v>
      </c>
      <c r="L299" s="221">
        <f t="shared" si="8"/>
        <v>8</v>
      </c>
      <c r="M299" s="221" t="str">
        <f t="shared" ca="1" si="9"/>
        <v>2013/03</v>
      </c>
    </row>
    <row r="300" spans="1:13">
      <c r="A300" s="216">
        <v>41465</v>
      </c>
      <c r="B300" s="217"/>
      <c r="C300" s="217" t="s">
        <v>54</v>
      </c>
      <c r="D300" s="216">
        <v>41342</v>
      </c>
      <c r="E300" s="218">
        <v>20.9</v>
      </c>
      <c r="F300" s="216">
        <v>41342</v>
      </c>
      <c r="G300" s="218">
        <v>-20.9</v>
      </c>
      <c r="H300" s="219" t="s">
        <v>52</v>
      </c>
      <c r="I300" s="219" t="s">
        <v>2</v>
      </c>
      <c r="J300" s="219" t="s">
        <v>483</v>
      </c>
      <c r="K300" s="220" t="str">
        <f>IF(J300&lt;&gt;"",VLOOKUP(J300,PContas!A:B,2,FALSE),"")</f>
        <v>AILTON</v>
      </c>
      <c r="L300" s="221">
        <f t="shared" si="8"/>
        <v>9</v>
      </c>
      <c r="M300" s="221" t="str">
        <f t="shared" ca="1" si="9"/>
        <v>2013/03</v>
      </c>
    </row>
    <row r="301" spans="1:13">
      <c r="A301" s="216">
        <v>41465</v>
      </c>
      <c r="B301" s="217"/>
      <c r="C301" s="222"/>
      <c r="D301" s="216">
        <v>41343</v>
      </c>
      <c r="E301" s="218">
        <v>20</v>
      </c>
      <c r="F301" s="216">
        <v>41343</v>
      </c>
      <c r="G301" s="218">
        <v>-20</v>
      </c>
      <c r="H301" s="219" t="s">
        <v>52</v>
      </c>
      <c r="I301" s="239" t="s">
        <v>1111</v>
      </c>
      <c r="J301" s="219" t="s">
        <v>30</v>
      </c>
      <c r="K301" s="220" t="str">
        <f>IF(J301&lt;&gt;"",VLOOKUP(J301,PContas!A:B,2,FALSE),"")</f>
        <v>PROVISÃO</v>
      </c>
      <c r="L301" s="221">
        <f t="shared" si="8"/>
        <v>10</v>
      </c>
      <c r="M301" s="221" t="str">
        <f t="shared" ca="1" si="9"/>
        <v>2013/03</v>
      </c>
    </row>
    <row r="302" spans="1:13">
      <c r="A302" s="216">
        <v>41465</v>
      </c>
      <c r="B302" s="217"/>
      <c r="C302" s="217" t="s">
        <v>1260</v>
      </c>
      <c r="D302" s="216">
        <v>41344</v>
      </c>
      <c r="E302" s="218">
        <v>74.77</v>
      </c>
      <c r="F302" s="216">
        <v>41344</v>
      </c>
      <c r="G302" s="218">
        <v>-74.77</v>
      </c>
      <c r="H302" s="219" t="s">
        <v>52</v>
      </c>
      <c r="I302" s="239" t="s">
        <v>1111</v>
      </c>
      <c r="J302" s="219" t="s">
        <v>16</v>
      </c>
      <c r="K302" s="220" t="str">
        <f>IF(J302&lt;&gt;"",VLOOKUP(J302,PContas!A:B,2,FALSE),"")</f>
        <v>MORADIA</v>
      </c>
      <c r="L302" s="221">
        <f t="shared" si="8"/>
        <v>11</v>
      </c>
      <c r="M302" s="221" t="str">
        <f t="shared" ca="1" si="9"/>
        <v>2013/03</v>
      </c>
    </row>
    <row r="303" spans="1:13">
      <c r="A303" s="216">
        <v>41465</v>
      </c>
      <c r="B303" s="217"/>
      <c r="C303" s="217"/>
      <c r="D303" s="216">
        <v>41344</v>
      </c>
      <c r="E303" s="218">
        <v>55</v>
      </c>
      <c r="F303" s="216">
        <v>41344</v>
      </c>
      <c r="G303" s="218">
        <v>-55</v>
      </c>
      <c r="H303" s="219" t="s">
        <v>52</v>
      </c>
      <c r="I303" s="219" t="s">
        <v>4</v>
      </c>
      <c r="J303" s="219" t="s">
        <v>21</v>
      </c>
      <c r="K303" s="220" t="str">
        <f>IF(J303&lt;&gt;"",VLOOKUP(J303,PContas!A:B,2,FALSE),"")</f>
        <v>IMPOSTOS</v>
      </c>
      <c r="L303" s="221">
        <f t="shared" si="8"/>
        <v>11</v>
      </c>
      <c r="M303" s="221" t="str">
        <f t="shared" ca="1" si="9"/>
        <v>2013/03</v>
      </c>
    </row>
    <row r="304" spans="1:13">
      <c r="A304" s="216">
        <v>41465</v>
      </c>
      <c r="B304" s="217"/>
      <c r="C304" s="217"/>
      <c r="D304" s="216">
        <v>41344</v>
      </c>
      <c r="E304" s="218">
        <v>24.9</v>
      </c>
      <c r="F304" s="216">
        <v>41344</v>
      </c>
      <c r="G304" s="218">
        <v>-24.9</v>
      </c>
      <c r="H304" s="219" t="s">
        <v>52</v>
      </c>
      <c r="I304" s="219" t="s">
        <v>2</v>
      </c>
      <c r="J304" s="219" t="s">
        <v>20</v>
      </c>
      <c r="K304" s="220" t="str">
        <f>IF(J304&lt;&gt;"",VLOOKUP(J304,PContas!A:B,2,FALSE),"")</f>
        <v>MORADIA</v>
      </c>
      <c r="L304" s="221">
        <f t="shared" si="8"/>
        <v>11</v>
      </c>
      <c r="M304" s="221" t="str">
        <f t="shared" ca="1" si="9"/>
        <v>2013/03</v>
      </c>
    </row>
    <row r="305" spans="1:13">
      <c r="A305" s="216">
        <v>41465</v>
      </c>
      <c r="B305" s="217"/>
      <c r="C305" s="217"/>
      <c r="D305" s="216">
        <v>41347</v>
      </c>
      <c r="E305" s="218">
        <v>120</v>
      </c>
      <c r="F305" s="216">
        <v>41347</v>
      </c>
      <c r="G305" s="218">
        <v>120</v>
      </c>
      <c r="H305" s="219" t="s">
        <v>71</v>
      </c>
      <c r="I305" s="219" t="s">
        <v>2</v>
      </c>
      <c r="J305" s="219" t="s">
        <v>66</v>
      </c>
      <c r="K305" s="220" t="str">
        <f>IF(J305&lt;&gt;"",VLOOKUP(J305,PContas!A:B,2,FALSE),"")</f>
        <v>CLIENTES</v>
      </c>
      <c r="L305" s="221">
        <f t="shared" si="8"/>
        <v>14</v>
      </c>
      <c r="M305" s="221" t="str">
        <f t="shared" ca="1" si="9"/>
        <v>2013/03</v>
      </c>
    </row>
    <row r="306" spans="1:13">
      <c r="A306" s="216">
        <v>41465</v>
      </c>
      <c r="B306" s="217" t="s">
        <v>757</v>
      </c>
      <c r="C306" s="217" t="s">
        <v>979</v>
      </c>
      <c r="D306" s="216">
        <v>41353</v>
      </c>
      <c r="E306" s="218">
        <v>67.739999999999995</v>
      </c>
      <c r="F306" s="216">
        <v>41353</v>
      </c>
      <c r="G306" s="218">
        <v>67.739999999999995</v>
      </c>
      <c r="H306" s="219" t="s">
        <v>71</v>
      </c>
      <c r="I306" s="219" t="s">
        <v>2</v>
      </c>
      <c r="J306" s="219" t="s">
        <v>55</v>
      </c>
      <c r="K306" s="220" t="str">
        <f>IF(J306&lt;&gt;"",VLOOKUP(J306,PContas!A:B,2,FALSE),"")</f>
        <v>CLIENTES</v>
      </c>
      <c r="L306" s="221">
        <f t="shared" si="8"/>
        <v>20</v>
      </c>
      <c r="M306" s="221" t="str">
        <f t="shared" ca="1" si="9"/>
        <v>2013/03</v>
      </c>
    </row>
    <row r="307" spans="1:13">
      <c r="A307" s="216">
        <v>41465</v>
      </c>
      <c r="B307" s="217" t="s">
        <v>758</v>
      </c>
      <c r="C307" s="217" t="s">
        <v>979</v>
      </c>
      <c r="D307" s="216">
        <v>41353</v>
      </c>
      <c r="E307" s="218">
        <v>67.849999999999994</v>
      </c>
      <c r="F307" s="216">
        <v>41353</v>
      </c>
      <c r="G307" s="218">
        <v>67.849999999999994</v>
      </c>
      <c r="H307" s="219" t="s">
        <v>71</v>
      </c>
      <c r="I307" s="219" t="s">
        <v>2</v>
      </c>
      <c r="J307" s="219" t="s">
        <v>56</v>
      </c>
      <c r="K307" s="220" t="str">
        <f>IF(J307&lt;&gt;"",VLOOKUP(J307,PContas!A:B,2,FALSE),"")</f>
        <v>CLIENTES</v>
      </c>
      <c r="L307" s="221">
        <f t="shared" si="8"/>
        <v>20</v>
      </c>
      <c r="M307" s="221" t="str">
        <f t="shared" ca="1" si="9"/>
        <v>2013/03</v>
      </c>
    </row>
    <row r="308" spans="1:13">
      <c r="A308" s="216">
        <v>41465</v>
      </c>
      <c r="B308" s="217" t="s">
        <v>759</v>
      </c>
      <c r="C308" s="217"/>
      <c r="D308" s="216">
        <v>41353</v>
      </c>
      <c r="E308" s="218">
        <v>100</v>
      </c>
      <c r="F308" s="216">
        <v>41353</v>
      </c>
      <c r="G308" s="218">
        <v>100</v>
      </c>
      <c r="H308" s="219" t="s">
        <v>71</v>
      </c>
      <c r="I308" s="219" t="s">
        <v>2</v>
      </c>
      <c r="J308" s="219" t="s">
        <v>57</v>
      </c>
      <c r="K308" s="220" t="str">
        <f>IF(J308&lt;&gt;"",VLOOKUP(J308,PContas!A:B,2,FALSE),"")</f>
        <v>CLIENTES</v>
      </c>
      <c r="L308" s="221">
        <f t="shared" si="8"/>
        <v>20</v>
      </c>
      <c r="M308" s="221" t="str">
        <f t="shared" ca="1" si="9"/>
        <v>2013/03</v>
      </c>
    </row>
    <row r="309" spans="1:13">
      <c r="A309" s="216">
        <v>41465</v>
      </c>
      <c r="B309" s="217"/>
      <c r="C309" s="217"/>
      <c r="D309" s="216">
        <v>41353</v>
      </c>
      <c r="E309" s="218">
        <v>42</v>
      </c>
      <c r="F309" s="216">
        <v>41353</v>
      </c>
      <c r="G309" s="218">
        <v>42</v>
      </c>
      <c r="H309" s="219" t="s">
        <v>71</v>
      </c>
      <c r="I309" s="219" t="s">
        <v>2</v>
      </c>
      <c r="J309" s="219" t="s">
        <v>58</v>
      </c>
      <c r="K309" s="220" t="str">
        <f>IF(J309&lt;&gt;"",VLOOKUP(J309,PContas!A:B,2,FALSE),"")</f>
        <v>CLIENTES</v>
      </c>
      <c r="L309" s="221">
        <f t="shared" si="8"/>
        <v>20</v>
      </c>
      <c r="M309" s="221" t="str">
        <f t="shared" ca="1" si="9"/>
        <v>2013/03</v>
      </c>
    </row>
    <row r="310" spans="1:13">
      <c r="A310" s="216">
        <v>41465</v>
      </c>
      <c r="B310" s="217"/>
      <c r="C310" s="217"/>
      <c r="D310" s="216">
        <v>41353</v>
      </c>
      <c r="E310" s="218">
        <v>175</v>
      </c>
      <c r="F310" s="216">
        <v>41353</v>
      </c>
      <c r="G310" s="218">
        <v>175</v>
      </c>
      <c r="H310" s="219" t="s">
        <v>71</v>
      </c>
      <c r="I310" s="219" t="s">
        <v>2</v>
      </c>
      <c r="J310" s="219" t="s">
        <v>59</v>
      </c>
      <c r="K310" s="220" t="str">
        <f>IF(J310&lt;&gt;"",VLOOKUP(J310,PContas!A:B,2,FALSE),"")</f>
        <v>CLIENTES</v>
      </c>
      <c r="L310" s="221">
        <f t="shared" si="8"/>
        <v>20</v>
      </c>
      <c r="M310" s="221" t="str">
        <f t="shared" ca="1" si="9"/>
        <v>2013/03</v>
      </c>
    </row>
    <row r="311" spans="1:13">
      <c r="A311" s="216">
        <v>41465</v>
      </c>
      <c r="B311" s="217"/>
      <c r="C311" s="217"/>
      <c r="D311" s="216">
        <v>41353</v>
      </c>
      <c r="E311" s="218">
        <v>1160</v>
      </c>
      <c r="F311" s="216">
        <v>41353</v>
      </c>
      <c r="G311" s="218">
        <v>1160</v>
      </c>
      <c r="H311" s="219" t="s">
        <v>71</v>
      </c>
      <c r="I311" s="219" t="s">
        <v>4</v>
      </c>
      <c r="J311" s="219" t="s">
        <v>62</v>
      </c>
      <c r="K311" s="220" t="str">
        <f>IF(J311&lt;&gt;"",VLOOKUP(J311,PContas!A:B,2,FALSE),"")</f>
        <v>CLIENTES</v>
      </c>
      <c r="L311" s="221">
        <f t="shared" si="8"/>
        <v>20</v>
      </c>
      <c r="M311" s="221" t="str">
        <f t="shared" ca="1" si="9"/>
        <v>2013/03</v>
      </c>
    </row>
    <row r="312" spans="1:13">
      <c r="A312" s="216">
        <v>41465</v>
      </c>
      <c r="B312" s="217"/>
      <c r="C312" s="217"/>
      <c r="D312" s="216">
        <v>41358</v>
      </c>
      <c r="E312" s="218">
        <v>101.11</v>
      </c>
      <c r="F312" s="216">
        <v>41358</v>
      </c>
      <c r="G312" s="218">
        <v>-101.11</v>
      </c>
      <c r="H312" s="219" t="s">
        <v>52</v>
      </c>
      <c r="I312" s="239" t="s">
        <v>1111</v>
      </c>
      <c r="J312" s="219" t="s">
        <v>17</v>
      </c>
      <c r="K312" s="220" t="str">
        <f>IF(J312&lt;&gt;"",VLOOKUP(J312,PContas!A:B,2,FALSE),"")</f>
        <v>WEB</v>
      </c>
      <c r="L312" s="221">
        <f t="shared" si="8"/>
        <v>25</v>
      </c>
      <c r="M312" s="221" t="str">
        <f t="shared" ca="1" si="9"/>
        <v>2013/03</v>
      </c>
    </row>
    <row r="313" spans="1:13">
      <c r="A313" s="216">
        <v>41465</v>
      </c>
      <c r="B313" s="217"/>
      <c r="C313" s="217"/>
      <c r="D313" s="216">
        <v>41358</v>
      </c>
      <c r="E313" s="218">
        <v>59.9</v>
      </c>
      <c r="F313" s="216">
        <v>41358</v>
      </c>
      <c r="G313" s="218">
        <v>-59.9</v>
      </c>
      <c r="H313" s="219" t="s">
        <v>52</v>
      </c>
      <c r="I313" s="239" t="s">
        <v>1111</v>
      </c>
      <c r="J313" s="219" t="s">
        <v>10</v>
      </c>
      <c r="K313" s="220" t="str">
        <f>IF(J313&lt;&gt;"",VLOOKUP(J313,PContas!A:B,2,FALSE),"")</f>
        <v>NET</v>
      </c>
      <c r="L313" s="221">
        <f t="shared" si="8"/>
        <v>25</v>
      </c>
      <c r="M313" s="221" t="str">
        <f t="shared" ca="1" si="9"/>
        <v>2013/03</v>
      </c>
    </row>
    <row r="314" spans="1:13">
      <c r="A314" s="216">
        <v>41465</v>
      </c>
      <c r="B314" s="217"/>
      <c r="C314" s="217"/>
      <c r="D314" s="216">
        <v>41358</v>
      </c>
      <c r="E314" s="218">
        <v>49.9</v>
      </c>
      <c r="F314" s="216">
        <v>41358</v>
      </c>
      <c r="G314" s="218">
        <v>-49.9</v>
      </c>
      <c r="H314" s="219" t="s">
        <v>52</v>
      </c>
      <c r="I314" s="239" t="s">
        <v>1111</v>
      </c>
      <c r="J314" s="219" t="s">
        <v>13</v>
      </c>
      <c r="K314" s="220" t="str">
        <f>IF(J314&lt;&gt;"",VLOOKUP(J314,PContas!A:B,2,FALSE),"")</f>
        <v>NET</v>
      </c>
      <c r="L314" s="221">
        <f t="shared" si="8"/>
        <v>25</v>
      </c>
      <c r="M314" s="221" t="str">
        <f t="shared" ca="1" si="9"/>
        <v>2013/03</v>
      </c>
    </row>
    <row r="315" spans="1:13">
      <c r="A315" s="216">
        <v>41465</v>
      </c>
      <c r="B315" s="217"/>
      <c r="C315" s="217"/>
      <c r="D315" s="216">
        <v>41358</v>
      </c>
      <c r="E315" s="218">
        <v>283.72000000000003</v>
      </c>
      <c r="F315" s="216">
        <v>41358</v>
      </c>
      <c r="G315" s="218">
        <v>-283.72000000000003</v>
      </c>
      <c r="H315" s="219" t="s">
        <v>52</v>
      </c>
      <c r="I315" s="239" t="s">
        <v>1111</v>
      </c>
      <c r="J315" s="219" t="s">
        <v>5</v>
      </c>
      <c r="K315" s="220" t="str">
        <f>IF(J315&lt;&gt;"",VLOOKUP(J315,PContas!A:B,2,FALSE),"")</f>
        <v>NET</v>
      </c>
      <c r="L315" s="221">
        <f t="shared" si="8"/>
        <v>25</v>
      </c>
      <c r="M315" s="221" t="str">
        <f t="shared" ca="1" si="9"/>
        <v>2013/03</v>
      </c>
    </row>
    <row r="316" spans="1:13">
      <c r="A316" s="216">
        <v>41465</v>
      </c>
      <c r="B316" s="217"/>
      <c r="C316" s="217"/>
      <c r="D316" s="216">
        <v>41363</v>
      </c>
      <c r="E316" s="218">
        <v>7</v>
      </c>
      <c r="F316" s="216">
        <v>41363</v>
      </c>
      <c r="G316" s="218">
        <v>-7</v>
      </c>
      <c r="H316" s="219" t="s">
        <v>52</v>
      </c>
      <c r="I316" s="219" t="s">
        <v>2</v>
      </c>
      <c r="J316" s="219" t="s">
        <v>498</v>
      </c>
      <c r="K316" s="220" t="str">
        <f>IF(J316&lt;&gt;"",VLOOKUP(J316,PContas!A:B,2,FALSE),"")</f>
        <v>TELEFONIA</v>
      </c>
      <c r="L316" s="221">
        <f t="shared" si="8"/>
        <v>30</v>
      </c>
      <c r="M316" s="221" t="str">
        <f t="shared" ca="1" si="9"/>
        <v>2013/03</v>
      </c>
    </row>
    <row r="317" spans="1:13">
      <c r="A317" s="216">
        <v>41465</v>
      </c>
      <c r="B317" s="217"/>
      <c r="C317" s="217"/>
      <c r="D317" s="216">
        <v>41363</v>
      </c>
      <c r="E317" s="218">
        <v>3</v>
      </c>
      <c r="F317" s="216">
        <v>41363</v>
      </c>
      <c r="G317" s="218">
        <v>-3</v>
      </c>
      <c r="H317" s="219" t="s">
        <v>52</v>
      </c>
      <c r="I317" s="219" t="s">
        <v>2</v>
      </c>
      <c r="J317" s="219" t="s">
        <v>498</v>
      </c>
      <c r="K317" s="220" t="str">
        <f>IF(J317&lt;&gt;"",VLOOKUP(J317,PContas!A:B,2,FALSE),"")</f>
        <v>TELEFONIA</v>
      </c>
      <c r="L317" s="221">
        <f t="shared" si="8"/>
        <v>30</v>
      </c>
      <c r="M317" s="221" t="str">
        <f t="shared" ca="1" si="9"/>
        <v>2013/03</v>
      </c>
    </row>
    <row r="318" spans="1:13">
      <c r="A318" s="216">
        <v>41465</v>
      </c>
      <c r="B318" s="217"/>
      <c r="C318" s="222"/>
      <c r="D318" s="216">
        <v>41374</v>
      </c>
      <c r="E318" s="218">
        <v>20</v>
      </c>
      <c r="F318" s="216">
        <v>41374</v>
      </c>
      <c r="G318" s="218">
        <v>-20</v>
      </c>
      <c r="H318" s="219" t="s">
        <v>52</v>
      </c>
      <c r="I318" s="239" t="s">
        <v>1111</v>
      </c>
      <c r="J318" s="219" t="s">
        <v>30</v>
      </c>
      <c r="K318" s="220" t="str">
        <f>IF(J318&lt;&gt;"",VLOOKUP(J318,PContas!A:B,2,FALSE),"")</f>
        <v>PROVISÃO</v>
      </c>
      <c r="L318" s="221">
        <f t="shared" si="8"/>
        <v>10</v>
      </c>
      <c r="M318" s="221" t="str">
        <f t="shared" ca="1" si="9"/>
        <v>2013/04</v>
      </c>
    </row>
    <row r="319" spans="1:13">
      <c r="A319" s="216">
        <v>41465</v>
      </c>
      <c r="B319" s="217" t="s">
        <v>751</v>
      </c>
      <c r="C319" s="217" t="s">
        <v>980</v>
      </c>
      <c r="D319" s="216">
        <v>41384</v>
      </c>
      <c r="E319" s="218">
        <v>67.739999999999995</v>
      </c>
      <c r="F319" s="216">
        <v>41384</v>
      </c>
      <c r="G319" s="218">
        <v>67.739999999999995</v>
      </c>
      <c r="H319" s="219" t="s">
        <v>71</v>
      </c>
      <c r="I319" s="219" t="s">
        <v>2</v>
      </c>
      <c r="J319" s="219" t="s">
        <v>55</v>
      </c>
      <c r="K319" s="220" t="str">
        <f>IF(J319&lt;&gt;"",VLOOKUP(J319,PContas!A:B,2,FALSE),"")</f>
        <v>CLIENTES</v>
      </c>
      <c r="L319" s="221">
        <f t="shared" si="8"/>
        <v>20</v>
      </c>
      <c r="M319" s="221" t="str">
        <f t="shared" ca="1" si="9"/>
        <v>2013/04</v>
      </c>
    </row>
    <row r="320" spans="1:13">
      <c r="A320" s="216">
        <v>41465</v>
      </c>
      <c r="B320" s="217" t="s">
        <v>752</v>
      </c>
      <c r="C320" s="217" t="s">
        <v>980</v>
      </c>
      <c r="D320" s="216">
        <v>41384</v>
      </c>
      <c r="E320" s="218">
        <v>67.849999999999994</v>
      </c>
      <c r="F320" s="216">
        <v>41384</v>
      </c>
      <c r="G320" s="218">
        <v>67.849999999999994</v>
      </c>
      <c r="H320" s="219" t="s">
        <v>71</v>
      </c>
      <c r="I320" s="219" t="s">
        <v>2</v>
      </c>
      <c r="J320" s="219" t="s">
        <v>56</v>
      </c>
      <c r="K320" s="220" t="str">
        <f>IF(J320&lt;&gt;"",VLOOKUP(J320,PContas!A:B,2,FALSE),"")</f>
        <v>CLIENTES</v>
      </c>
      <c r="L320" s="221">
        <f t="shared" si="8"/>
        <v>20</v>
      </c>
      <c r="M320" s="221" t="str">
        <f t="shared" ca="1" si="9"/>
        <v>2013/04</v>
      </c>
    </row>
    <row r="321" spans="1:13">
      <c r="A321" s="216">
        <v>41465</v>
      </c>
      <c r="B321" s="217" t="s">
        <v>753</v>
      </c>
      <c r="C321" s="217"/>
      <c r="D321" s="216">
        <v>41384</v>
      </c>
      <c r="E321" s="218">
        <v>100</v>
      </c>
      <c r="F321" s="216">
        <v>41384</v>
      </c>
      <c r="G321" s="218">
        <v>100</v>
      </c>
      <c r="H321" s="219" t="s">
        <v>71</v>
      </c>
      <c r="I321" s="219" t="s">
        <v>2</v>
      </c>
      <c r="J321" s="219" t="s">
        <v>57</v>
      </c>
      <c r="K321" s="220" t="str">
        <f>IF(J321&lt;&gt;"",VLOOKUP(J321,PContas!A:B,2,FALSE),"")</f>
        <v>CLIENTES</v>
      </c>
      <c r="L321" s="221">
        <f t="shared" si="8"/>
        <v>20</v>
      </c>
      <c r="M321" s="221" t="str">
        <f t="shared" ca="1" si="9"/>
        <v>2013/04</v>
      </c>
    </row>
    <row r="322" spans="1:13">
      <c r="A322" s="216">
        <v>41465</v>
      </c>
      <c r="B322" s="217" t="s">
        <v>1346</v>
      </c>
      <c r="C322" s="217"/>
      <c r="D322" s="216">
        <v>41384</v>
      </c>
      <c r="E322" s="218">
        <v>40</v>
      </c>
      <c r="F322" s="216">
        <v>41619</v>
      </c>
      <c r="G322" s="218">
        <v>40</v>
      </c>
      <c r="H322" s="219" t="s">
        <v>71</v>
      </c>
      <c r="I322" s="219" t="s">
        <v>2</v>
      </c>
      <c r="J322" s="219" t="s">
        <v>58</v>
      </c>
      <c r="K322" s="220" t="str">
        <f>IF(J322&lt;&gt;"",VLOOKUP(J322,PContas!A:B,2,FALSE),"")</f>
        <v>CLIENTES</v>
      </c>
      <c r="L322" s="221">
        <f t="shared" ref="L322:L385" si="10">DAY(D322)</f>
        <v>20</v>
      </c>
      <c r="M322" s="221" t="str">
        <f t="shared" ref="M322:M385" ca="1" si="11">IF(D322&lt;&gt;"",IF(F322="",IF(DAYS360(D322,NOW())&gt;0,"ATRASADO",YEAR(D322)&amp;"/"&amp;CHOOSE(MONTH(D322),"01","02","03","04","05","06","07","08","09","10","11","12")),YEAR(D322)&amp;"/"&amp;CHOOSE(MONTH(D322),"01","02","03","04","05","06","07","08","09","10","11","12")),"")</f>
        <v>2013/04</v>
      </c>
    </row>
    <row r="323" spans="1:13">
      <c r="A323" s="216">
        <v>41465</v>
      </c>
      <c r="B323" s="217"/>
      <c r="C323" s="217"/>
      <c r="D323" s="216">
        <v>41389</v>
      </c>
      <c r="E323" s="218">
        <v>59.9</v>
      </c>
      <c r="F323" s="216">
        <v>41389</v>
      </c>
      <c r="G323" s="218">
        <v>-59.9</v>
      </c>
      <c r="H323" s="219" t="s">
        <v>52</v>
      </c>
      <c r="I323" s="239" t="s">
        <v>1111</v>
      </c>
      <c r="J323" s="219" t="s">
        <v>10</v>
      </c>
      <c r="K323" s="220" t="str">
        <f>IF(J323&lt;&gt;"",VLOOKUP(J323,PContas!A:B,2,FALSE),"")</f>
        <v>NET</v>
      </c>
      <c r="L323" s="221">
        <f t="shared" si="10"/>
        <v>25</v>
      </c>
      <c r="M323" s="221" t="str">
        <f t="shared" ca="1" si="11"/>
        <v>2013/04</v>
      </c>
    </row>
    <row r="324" spans="1:13">
      <c r="A324" s="216">
        <v>41465</v>
      </c>
      <c r="B324" s="217"/>
      <c r="C324" s="217"/>
      <c r="D324" s="216">
        <v>41389</v>
      </c>
      <c r="E324" s="218">
        <v>62.55</v>
      </c>
      <c r="F324" s="216">
        <v>41389</v>
      </c>
      <c r="G324" s="218">
        <v>-62.55</v>
      </c>
      <c r="H324" s="219" t="s">
        <v>52</v>
      </c>
      <c r="I324" s="239" t="s">
        <v>1111</v>
      </c>
      <c r="J324" s="219" t="s">
        <v>13</v>
      </c>
      <c r="K324" s="220" t="str">
        <f>IF(J324&lt;&gt;"",VLOOKUP(J324,PContas!A:B,2,FALSE),"")</f>
        <v>NET</v>
      </c>
      <c r="L324" s="221">
        <f t="shared" si="10"/>
        <v>25</v>
      </c>
      <c r="M324" s="221" t="str">
        <f t="shared" ca="1" si="11"/>
        <v>2013/04</v>
      </c>
    </row>
    <row r="325" spans="1:13">
      <c r="A325" s="216">
        <v>41465</v>
      </c>
      <c r="B325" s="217"/>
      <c r="C325" s="217"/>
      <c r="D325" s="216">
        <v>41389</v>
      </c>
      <c r="E325" s="218">
        <v>395.37</v>
      </c>
      <c r="F325" s="216">
        <v>41389</v>
      </c>
      <c r="G325" s="218">
        <v>-395.37</v>
      </c>
      <c r="H325" s="219" t="s">
        <v>52</v>
      </c>
      <c r="I325" s="239" t="s">
        <v>1111</v>
      </c>
      <c r="J325" s="219" t="s">
        <v>5</v>
      </c>
      <c r="K325" s="220" t="str">
        <f>IF(J325&lt;&gt;"",VLOOKUP(J325,PContas!A:B,2,FALSE),"")</f>
        <v>NET</v>
      </c>
      <c r="L325" s="221">
        <f t="shared" si="10"/>
        <v>25</v>
      </c>
      <c r="M325" s="221" t="str">
        <f t="shared" ca="1" si="11"/>
        <v>2013/04</v>
      </c>
    </row>
    <row r="326" spans="1:13">
      <c r="A326" s="216">
        <v>41465</v>
      </c>
      <c r="B326" s="217"/>
      <c r="C326" s="217"/>
      <c r="D326" s="216">
        <v>41394</v>
      </c>
      <c r="E326" s="218">
        <v>99</v>
      </c>
      <c r="F326" s="216">
        <v>41394</v>
      </c>
      <c r="G326" s="218">
        <v>-99</v>
      </c>
      <c r="H326" s="219" t="s">
        <v>52</v>
      </c>
      <c r="I326" s="239" t="s">
        <v>1111</v>
      </c>
      <c r="J326" s="219" t="s">
        <v>17</v>
      </c>
      <c r="K326" s="220" t="str">
        <f>IF(J326&lt;&gt;"",VLOOKUP(J326,PContas!A:B,2,FALSE),"")</f>
        <v>WEB</v>
      </c>
      <c r="L326" s="221">
        <f t="shared" si="10"/>
        <v>30</v>
      </c>
      <c r="M326" s="221" t="str">
        <f t="shared" ca="1" si="11"/>
        <v>2013/04</v>
      </c>
    </row>
    <row r="327" spans="1:13">
      <c r="A327" s="216">
        <v>41465</v>
      </c>
      <c r="B327" s="217"/>
      <c r="C327" s="217" t="s">
        <v>1259</v>
      </c>
      <c r="D327" s="216">
        <v>41394</v>
      </c>
      <c r="E327" s="218">
        <v>60.84</v>
      </c>
      <c r="F327" s="216">
        <v>41394</v>
      </c>
      <c r="G327" s="218">
        <v>-60.84</v>
      </c>
      <c r="H327" s="219" t="s">
        <v>52</v>
      </c>
      <c r="I327" s="239" t="s">
        <v>1111</v>
      </c>
      <c r="J327" s="219" t="s">
        <v>16</v>
      </c>
      <c r="K327" s="220" t="str">
        <f>IF(J327&lt;&gt;"",VLOOKUP(J327,PContas!A:B,2,FALSE),"")</f>
        <v>MORADIA</v>
      </c>
      <c r="L327" s="221">
        <f t="shared" si="10"/>
        <v>30</v>
      </c>
      <c r="M327" s="221" t="str">
        <f t="shared" ca="1" si="11"/>
        <v>2013/04</v>
      </c>
    </row>
    <row r="328" spans="1:13">
      <c r="A328" s="216">
        <v>41465</v>
      </c>
      <c r="B328" s="217"/>
      <c r="C328" s="217"/>
      <c r="D328" s="216">
        <v>41394</v>
      </c>
      <c r="E328" s="218">
        <v>528.01</v>
      </c>
      <c r="F328" s="216">
        <v>41394</v>
      </c>
      <c r="G328" s="218">
        <v>-528.01</v>
      </c>
      <c r="H328" s="219" t="s">
        <v>52</v>
      </c>
      <c r="I328" s="219" t="s">
        <v>2</v>
      </c>
      <c r="J328" s="219" t="s">
        <v>18</v>
      </c>
      <c r="K328" s="220" t="str">
        <f>IF(J328&lt;&gt;"",VLOOKUP(J328,PContas!A:B,2,FALSE),"")</f>
        <v>MORADIA</v>
      </c>
      <c r="L328" s="221">
        <f t="shared" si="10"/>
        <v>30</v>
      </c>
      <c r="M328" s="221" t="str">
        <f t="shared" ca="1" si="11"/>
        <v>2013/04</v>
      </c>
    </row>
    <row r="329" spans="1:13">
      <c r="A329" s="216">
        <v>41465</v>
      </c>
      <c r="B329" s="217"/>
      <c r="C329" s="217"/>
      <c r="D329" s="216">
        <v>41394</v>
      </c>
      <c r="E329" s="218">
        <v>519.57000000000005</v>
      </c>
      <c r="F329" s="216">
        <v>41394</v>
      </c>
      <c r="G329" s="218">
        <v>-519.57000000000005</v>
      </c>
      <c r="H329" s="219" t="s">
        <v>52</v>
      </c>
      <c r="I329" s="219" t="s">
        <v>2</v>
      </c>
      <c r="J329" s="219" t="s">
        <v>18</v>
      </c>
      <c r="K329" s="220" t="str">
        <f>IF(J329&lt;&gt;"",VLOOKUP(J329,PContas!A:B,2,FALSE),"")</f>
        <v>MORADIA</v>
      </c>
      <c r="L329" s="221">
        <f t="shared" si="10"/>
        <v>30</v>
      </c>
      <c r="M329" s="221" t="str">
        <f t="shared" ca="1" si="11"/>
        <v>2013/04</v>
      </c>
    </row>
    <row r="330" spans="1:13">
      <c r="A330" s="216">
        <v>41465</v>
      </c>
      <c r="B330" s="217"/>
      <c r="C330" s="217"/>
      <c r="D330" s="216">
        <v>41394</v>
      </c>
      <c r="E330" s="218">
        <v>511.66</v>
      </c>
      <c r="F330" s="216">
        <v>41394</v>
      </c>
      <c r="G330" s="218">
        <v>-511.66</v>
      </c>
      <c r="H330" s="219" t="s">
        <v>52</v>
      </c>
      <c r="I330" s="219" t="s">
        <v>2</v>
      </c>
      <c r="J330" s="219" t="s">
        <v>18</v>
      </c>
      <c r="K330" s="220" t="str">
        <f>IF(J330&lt;&gt;"",VLOOKUP(J330,PContas!A:B,2,FALSE),"")</f>
        <v>MORADIA</v>
      </c>
      <c r="L330" s="221">
        <f t="shared" si="10"/>
        <v>30</v>
      </c>
      <c r="M330" s="221" t="str">
        <f t="shared" ca="1" si="11"/>
        <v>2013/04</v>
      </c>
    </row>
    <row r="331" spans="1:13">
      <c r="A331" s="216">
        <v>41465</v>
      </c>
      <c r="B331" s="217"/>
      <c r="C331" s="217"/>
      <c r="D331" s="216">
        <v>41394</v>
      </c>
      <c r="E331" s="218">
        <v>503.31</v>
      </c>
      <c r="F331" s="216">
        <v>41394</v>
      </c>
      <c r="G331" s="218">
        <v>-503.31</v>
      </c>
      <c r="H331" s="219" t="s">
        <v>52</v>
      </c>
      <c r="I331" s="219" t="s">
        <v>2</v>
      </c>
      <c r="J331" s="219" t="s">
        <v>18</v>
      </c>
      <c r="K331" s="220" t="str">
        <f>IF(J331&lt;&gt;"",VLOOKUP(J331,PContas!A:B,2,FALSE),"")</f>
        <v>MORADIA</v>
      </c>
      <c r="L331" s="221">
        <f t="shared" si="10"/>
        <v>30</v>
      </c>
      <c r="M331" s="221" t="str">
        <f t="shared" ca="1" si="11"/>
        <v>2013/04</v>
      </c>
    </row>
    <row r="332" spans="1:13">
      <c r="A332" s="216">
        <v>41465</v>
      </c>
      <c r="B332" s="217"/>
      <c r="C332" s="217"/>
      <c r="D332" s="216">
        <v>41394</v>
      </c>
      <c r="E332" s="218">
        <v>45.05</v>
      </c>
      <c r="F332" s="216">
        <v>41394</v>
      </c>
      <c r="G332" s="218">
        <v>-45.05</v>
      </c>
      <c r="H332" s="219" t="s">
        <v>52</v>
      </c>
      <c r="I332" s="239" t="s">
        <v>1111</v>
      </c>
      <c r="J332" s="219" t="s">
        <v>28</v>
      </c>
      <c r="K332" s="220" t="str">
        <f>IF(J332&lt;&gt;"",VLOOKUP(J332,PContas!A:B,2,FALSE),"")</f>
        <v>SAUDE</v>
      </c>
      <c r="L332" s="221">
        <f t="shared" si="10"/>
        <v>30</v>
      </c>
      <c r="M332" s="221" t="str">
        <f t="shared" ca="1" si="11"/>
        <v>2013/04</v>
      </c>
    </row>
    <row r="333" spans="1:13">
      <c r="A333" s="216">
        <v>41465</v>
      </c>
      <c r="B333" s="217"/>
      <c r="C333" s="217"/>
      <c r="D333" s="216">
        <v>41396</v>
      </c>
      <c r="E333" s="218">
        <v>44.76</v>
      </c>
      <c r="F333" s="216">
        <v>41396</v>
      </c>
      <c r="G333" s="218">
        <v>-44.76</v>
      </c>
      <c r="H333" s="219" t="s">
        <v>52</v>
      </c>
      <c r="I333" s="239" t="s">
        <v>1111</v>
      </c>
      <c r="J333" s="219" t="s">
        <v>28</v>
      </c>
      <c r="K333" s="220" t="str">
        <f>IF(J333&lt;&gt;"",VLOOKUP(J333,PContas!A:B,2,FALSE),"")</f>
        <v>SAUDE</v>
      </c>
      <c r="L333" s="221">
        <f t="shared" si="10"/>
        <v>2</v>
      </c>
      <c r="M333" s="221" t="str">
        <f t="shared" ca="1" si="11"/>
        <v>2013/05</v>
      </c>
    </row>
    <row r="334" spans="1:13">
      <c r="A334" s="216">
        <v>41465</v>
      </c>
      <c r="B334" s="217"/>
      <c r="C334" s="217"/>
      <c r="D334" s="216">
        <v>41396</v>
      </c>
      <c r="E334" s="218">
        <v>13</v>
      </c>
      <c r="F334" s="216">
        <v>41396</v>
      </c>
      <c r="G334" s="218">
        <v>-13</v>
      </c>
      <c r="H334" s="219" t="s">
        <v>52</v>
      </c>
      <c r="I334" s="219" t="s">
        <v>2</v>
      </c>
      <c r="J334" s="219" t="s">
        <v>498</v>
      </c>
      <c r="K334" s="220" t="str">
        <f>IF(J334&lt;&gt;"",VLOOKUP(J334,PContas!A:B,2,FALSE),"")</f>
        <v>TELEFONIA</v>
      </c>
      <c r="L334" s="221">
        <f t="shared" si="10"/>
        <v>2</v>
      </c>
      <c r="M334" s="221" t="str">
        <f t="shared" ca="1" si="11"/>
        <v>2013/05</v>
      </c>
    </row>
    <row r="335" spans="1:13">
      <c r="A335" s="216">
        <v>41465</v>
      </c>
      <c r="B335" s="217"/>
      <c r="C335" s="217"/>
      <c r="D335" s="216">
        <v>41398</v>
      </c>
      <c r="E335" s="218">
        <v>165</v>
      </c>
      <c r="F335" s="216">
        <v>41398</v>
      </c>
      <c r="G335" s="218">
        <v>-165</v>
      </c>
      <c r="H335" s="219" t="s">
        <v>52</v>
      </c>
      <c r="I335" s="219" t="s">
        <v>4</v>
      </c>
      <c r="J335" s="219" t="s">
        <v>27</v>
      </c>
      <c r="K335" s="220" t="str">
        <f>IF(J335&lt;&gt;"",VLOOKUP(J335,PContas!A:B,2,FALSE),"")</f>
        <v>IMPOSTOS</v>
      </c>
      <c r="L335" s="221">
        <f t="shared" si="10"/>
        <v>4</v>
      </c>
      <c r="M335" s="221" t="str">
        <f t="shared" ca="1" si="11"/>
        <v>2013/05</v>
      </c>
    </row>
    <row r="336" spans="1:13">
      <c r="A336" s="216">
        <v>41465</v>
      </c>
      <c r="B336" s="217"/>
      <c r="C336" s="217"/>
      <c r="D336" s="216">
        <v>41400</v>
      </c>
      <c r="E336" s="218">
        <v>18</v>
      </c>
      <c r="F336" s="216">
        <v>41400</v>
      </c>
      <c r="G336" s="218">
        <v>-18</v>
      </c>
      <c r="H336" s="219" t="s">
        <v>52</v>
      </c>
      <c r="I336" s="219" t="s">
        <v>2</v>
      </c>
      <c r="J336" s="219" t="s">
        <v>498</v>
      </c>
      <c r="K336" s="220" t="str">
        <f>IF(J336&lt;&gt;"",VLOOKUP(J336,PContas!A:B,2,FALSE),"")</f>
        <v>TELEFONIA</v>
      </c>
      <c r="L336" s="221">
        <f t="shared" si="10"/>
        <v>6</v>
      </c>
      <c r="M336" s="221" t="str">
        <f t="shared" ca="1" si="11"/>
        <v>2013/05</v>
      </c>
    </row>
    <row r="337" spans="1:13">
      <c r="A337" s="216">
        <v>41465</v>
      </c>
      <c r="B337" s="217"/>
      <c r="C337" s="217"/>
      <c r="D337" s="216">
        <v>41400</v>
      </c>
      <c r="E337" s="218">
        <v>2100</v>
      </c>
      <c r="F337" s="216">
        <v>41400</v>
      </c>
      <c r="G337" s="218">
        <v>2100</v>
      </c>
      <c r="H337" s="219" t="s">
        <v>71</v>
      </c>
      <c r="I337" s="219" t="s">
        <v>4</v>
      </c>
      <c r="J337" s="219" t="s">
        <v>62</v>
      </c>
      <c r="K337" s="220" t="str">
        <f>IF(J337&lt;&gt;"",VLOOKUP(J337,PContas!A:B,2,FALSE),"")</f>
        <v>CLIENTES</v>
      </c>
      <c r="L337" s="221">
        <f t="shared" si="10"/>
        <v>6</v>
      </c>
      <c r="M337" s="221" t="str">
        <f t="shared" ca="1" si="11"/>
        <v>2013/05</v>
      </c>
    </row>
    <row r="338" spans="1:13">
      <c r="A338" s="216">
        <v>41465</v>
      </c>
      <c r="B338" s="217"/>
      <c r="C338" s="217"/>
      <c r="D338" s="216">
        <v>41401</v>
      </c>
      <c r="E338" s="218">
        <v>243</v>
      </c>
      <c r="F338" s="216">
        <v>41401</v>
      </c>
      <c r="G338" s="218">
        <v>-243</v>
      </c>
      <c r="H338" s="219" t="s">
        <v>52</v>
      </c>
      <c r="I338" s="219" t="s">
        <v>2</v>
      </c>
      <c r="J338" s="219" t="s">
        <v>31</v>
      </c>
      <c r="K338" s="220" t="str">
        <f>IF(J338&lt;&gt;"",VLOOKUP(J338,PContas!A:B,2,FALSE),"")</f>
        <v>AILTON</v>
      </c>
      <c r="L338" s="221">
        <f t="shared" si="10"/>
        <v>7</v>
      </c>
      <c r="M338" s="221" t="str">
        <f t="shared" ca="1" si="11"/>
        <v>2013/05</v>
      </c>
    </row>
    <row r="339" spans="1:13">
      <c r="A339" s="216">
        <v>41465</v>
      </c>
      <c r="B339" s="217"/>
      <c r="C339" s="222"/>
      <c r="D339" s="216">
        <v>41404</v>
      </c>
      <c r="E339" s="218">
        <v>20</v>
      </c>
      <c r="F339" s="216">
        <v>41404</v>
      </c>
      <c r="G339" s="218">
        <v>-20</v>
      </c>
      <c r="H339" s="219" t="s">
        <v>52</v>
      </c>
      <c r="I339" s="239" t="s">
        <v>1111</v>
      </c>
      <c r="J339" s="219" t="s">
        <v>30</v>
      </c>
      <c r="K339" s="220" t="str">
        <f>IF(J339&lt;&gt;"",VLOOKUP(J339,PContas!A:B,2,FALSE),"")</f>
        <v>PROVISÃO</v>
      </c>
      <c r="L339" s="221">
        <f t="shared" si="10"/>
        <v>10</v>
      </c>
      <c r="M339" s="221" t="str">
        <f t="shared" ca="1" si="11"/>
        <v>2013/05</v>
      </c>
    </row>
    <row r="340" spans="1:13">
      <c r="A340" s="216">
        <v>41465</v>
      </c>
      <c r="B340" s="217"/>
      <c r="C340" s="217"/>
      <c r="D340" s="216">
        <v>41404</v>
      </c>
      <c r="E340" s="218">
        <v>239.9</v>
      </c>
      <c r="F340" s="216">
        <v>41404</v>
      </c>
      <c r="G340" s="218">
        <v>-239.9</v>
      </c>
      <c r="H340" s="219" t="s">
        <v>52</v>
      </c>
      <c r="I340" s="219" t="s">
        <v>2</v>
      </c>
      <c r="J340" s="219" t="s">
        <v>7</v>
      </c>
      <c r="K340" s="220" t="str">
        <f>IF(J340&lt;&gt;"",VLOOKUP(J340,PContas!A:B,2,FALSE),"")</f>
        <v>AILTON</v>
      </c>
      <c r="L340" s="221">
        <f t="shared" si="10"/>
        <v>10</v>
      </c>
      <c r="M340" s="221" t="str">
        <f t="shared" ca="1" si="11"/>
        <v>2013/05</v>
      </c>
    </row>
    <row r="341" spans="1:13">
      <c r="A341" s="216">
        <v>41465</v>
      </c>
      <c r="B341" s="217"/>
      <c r="C341" s="217"/>
      <c r="D341" s="216">
        <v>41404</v>
      </c>
      <c r="E341" s="218">
        <v>150</v>
      </c>
      <c r="F341" s="216">
        <v>41404</v>
      </c>
      <c r="G341" s="218">
        <v>-150</v>
      </c>
      <c r="H341" s="219" t="s">
        <v>52</v>
      </c>
      <c r="I341" s="219" t="s">
        <v>2</v>
      </c>
      <c r="J341" s="219" t="s">
        <v>7</v>
      </c>
      <c r="K341" s="220" t="str">
        <f>IF(J341&lt;&gt;"",VLOOKUP(J341,PContas!A:B,2,FALSE),"")</f>
        <v>AILTON</v>
      </c>
      <c r="L341" s="221">
        <f t="shared" si="10"/>
        <v>10</v>
      </c>
      <c r="M341" s="221" t="str">
        <f t="shared" ca="1" si="11"/>
        <v>2013/05</v>
      </c>
    </row>
    <row r="342" spans="1:13">
      <c r="A342" s="216">
        <v>41465</v>
      </c>
      <c r="B342" s="217" t="s">
        <v>742</v>
      </c>
      <c r="C342" s="217" t="s">
        <v>981</v>
      </c>
      <c r="D342" s="216">
        <v>41414</v>
      </c>
      <c r="E342" s="218">
        <v>67.739999999999995</v>
      </c>
      <c r="F342" s="216">
        <v>41414</v>
      </c>
      <c r="G342" s="218">
        <v>67.739999999999995</v>
      </c>
      <c r="H342" s="219" t="s">
        <v>71</v>
      </c>
      <c r="I342" s="219" t="s">
        <v>2</v>
      </c>
      <c r="J342" s="219" t="s">
        <v>55</v>
      </c>
      <c r="K342" s="220" t="str">
        <f>IF(J342&lt;&gt;"",VLOOKUP(J342,PContas!A:B,2,FALSE),"")</f>
        <v>CLIENTES</v>
      </c>
      <c r="L342" s="221">
        <f t="shared" si="10"/>
        <v>20</v>
      </c>
      <c r="M342" s="221" t="str">
        <f t="shared" ca="1" si="11"/>
        <v>2013/05</v>
      </c>
    </row>
    <row r="343" spans="1:13">
      <c r="A343" s="216">
        <v>41465</v>
      </c>
      <c r="B343" s="217" t="s">
        <v>743</v>
      </c>
      <c r="C343" s="217" t="s">
        <v>981</v>
      </c>
      <c r="D343" s="216">
        <v>41414</v>
      </c>
      <c r="E343" s="218">
        <v>67.849999999999994</v>
      </c>
      <c r="F343" s="216">
        <v>41414</v>
      </c>
      <c r="G343" s="218">
        <v>67.849999999999994</v>
      </c>
      <c r="H343" s="219" t="s">
        <v>71</v>
      </c>
      <c r="I343" s="219" t="s">
        <v>2</v>
      </c>
      <c r="J343" s="219" t="s">
        <v>56</v>
      </c>
      <c r="K343" s="220" t="str">
        <f>IF(J343&lt;&gt;"",VLOOKUP(J343,PContas!A:B,2,FALSE),"")</f>
        <v>CLIENTES</v>
      </c>
      <c r="L343" s="221">
        <f t="shared" si="10"/>
        <v>20</v>
      </c>
      <c r="M343" s="221" t="str">
        <f t="shared" ca="1" si="11"/>
        <v>2013/05</v>
      </c>
    </row>
    <row r="344" spans="1:13">
      <c r="A344" s="216">
        <v>41465</v>
      </c>
      <c r="B344" s="217" t="s">
        <v>745</v>
      </c>
      <c r="C344" s="217"/>
      <c r="D344" s="216">
        <v>41414</v>
      </c>
      <c r="E344" s="218">
        <v>100</v>
      </c>
      <c r="F344" s="216">
        <v>41414</v>
      </c>
      <c r="G344" s="218">
        <v>100</v>
      </c>
      <c r="H344" s="219" t="s">
        <v>71</v>
      </c>
      <c r="I344" s="219" t="s">
        <v>2</v>
      </c>
      <c r="J344" s="219" t="s">
        <v>57</v>
      </c>
      <c r="K344" s="220" t="str">
        <f>IF(J344&lt;&gt;"",VLOOKUP(J344,PContas!A:B,2,FALSE),"")</f>
        <v>CLIENTES</v>
      </c>
      <c r="L344" s="221">
        <f t="shared" si="10"/>
        <v>20</v>
      </c>
      <c r="M344" s="221" t="str">
        <f t="shared" ca="1" si="11"/>
        <v>2013/05</v>
      </c>
    </row>
    <row r="345" spans="1:13">
      <c r="A345" s="216">
        <v>41465</v>
      </c>
      <c r="B345" s="217" t="s">
        <v>1347</v>
      </c>
      <c r="C345" s="217"/>
      <c r="D345" s="216">
        <v>41414</v>
      </c>
      <c r="E345" s="218">
        <v>40</v>
      </c>
      <c r="F345" s="216">
        <v>41619</v>
      </c>
      <c r="G345" s="218">
        <v>40</v>
      </c>
      <c r="H345" s="219" t="s">
        <v>71</v>
      </c>
      <c r="I345" s="219" t="s">
        <v>2</v>
      </c>
      <c r="J345" s="219" t="s">
        <v>58</v>
      </c>
      <c r="K345" s="220" t="str">
        <f>IF(J345&lt;&gt;"",VLOOKUP(J345,PContas!A:B,2,FALSE),"")</f>
        <v>CLIENTES</v>
      </c>
      <c r="L345" s="221">
        <f t="shared" si="10"/>
        <v>20</v>
      </c>
      <c r="M345" s="221" t="str">
        <f t="shared" ca="1" si="11"/>
        <v>2013/05</v>
      </c>
    </row>
    <row r="346" spans="1:13">
      <c r="A346" s="216">
        <v>41465</v>
      </c>
      <c r="B346" s="217"/>
      <c r="C346" s="217"/>
      <c r="D346" s="216">
        <v>41417</v>
      </c>
      <c r="E346" s="218">
        <v>18</v>
      </c>
      <c r="F346" s="216">
        <v>41417</v>
      </c>
      <c r="G346" s="218">
        <v>-18</v>
      </c>
      <c r="H346" s="219" t="s">
        <v>52</v>
      </c>
      <c r="I346" s="219" t="s">
        <v>2</v>
      </c>
      <c r="J346" s="219" t="s">
        <v>498</v>
      </c>
      <c r="K346" s="220" t="str">
        <f>IF(J346&lt;&gt;"",VLOOKUP(J346,PContas!A:B,2,FALSE),"")</f>
        <v>TELEFONIA</v>
      </c>
      <c r="L346" s="221">
        <f t="shared" si="10"/>
        <v>23</v>
      </c>
      <c r="M346" s="221" t="str">
        <f t="shared" ca="1" si="11"/>
        <v>2013/05</v>
      </c>
    </row>
    <row r="347" spans="1:13">
      <c r="A347" s="216">
        <v>41465</v>
      </c>
      <c r="B347" s="217"/>
      <c r="C347" s="217"/>
      <c r="D347" s="216">
        <v>41419</v>
      </c>
      <c r="E347" s="218">
        <v>59.9</v>
      </c>
      <c r="F347" s="216">
        <v>41419</v>
      </c>
      <c r="G347" s="218">
        <v>-59.9</v>
      </c>
      <c r="H347" s="219" t="s">
        <v>52</v>
      </c>
      <c r="I347" s="219" t="s">
        <v>1111</v>
      </c>
      <c r="J347" s="219" t="s">
        <v>10</v>
      </c>
      <c r="K347" s="220" t="str">
        <f>IF(J347&lt;&gt;"",VLOOKUP(J347,PContas!A:B,2,FALSE),"")</f>
        <v>NET</v>
      </c>
      <c r="L347" s="221">
        <f t="shared" si="10"/>
        <v>25</v>
      </c>
      <c r="M347" s="221" t="str">
        <f t="shared" ca="1" si="11"/>
        <v>2013/05</v>
      </c>
    </row>
    <row r="348" spans="1:13">
      <c r="A348" s="216">
        <v>41465</v>
      </c>
      <c r="B348" s="217"/>
      <c r="C348" s="217"/>
      <c r="D348" s="216">
        <v>41419</v>
      </c>
      <c r="E348" s="218">
        <v>82.05</v>
      </c>
      <c r="F348" s="216">
        <v>41419</v>
      </c>
      <c r="G348" s="218">
        <v>-82.05</v>
      </c>
      <c r="H348" s="219" t="s">
        <v>52</v>
      </c>
      <c r="I348" s="239" t="s">
        <v>1111</v>
      </c>
      <c r="J348" s="219" t="s">
        <v>13</v>
      </c>
      <c r="K348" s="220" t="str">
        <f>IF(J348&lt;&gt;"",VLOOKUP(J348,PContas!A:B,2,FALSE),"")</f>
        <v>NET</v>
      </c>
      <c r="L348" s="221">
        <f t="shared" si="10"/>
        <v>25</v>
      </c>
      <c r="M348" s="221" t="str">
        <f t="shared" ca="1" si="11"/>
        <v>2013/05</v>
      </c>
    </row>
    <row r="349" spans="1:13">
      <c r="A349" s="216">
        <v>41465</v>
      </c>
      <c r="B349" s="217"/>
      <c r="C349" s="217"/>
      <c r="D349" s="216">
        <v>41419</v>
      </c>
      <c r="E349" s="218">
        <v>214.1</v>
      </c>
      <c r="F349" s="216">
        <v>41456</v>
      </c>
      <c r="G349" s="218">
        <v>-197.71</v>
      </c>
      <c r="H349" s="219" t="s">
        <v>52</v>
      </c>
      <c r="I349" s="239" t="s">
        <v>1111</v>
      </c>
      <c r="J349" s="219" t="s">
        <v>5</v>
      </c>
      <c r="K349" s="220" t="str">
        <f>IF(J349&lt;&gt;"",VLOOKUP(J349,PContas!A:B,2,FALSE),"")</f>
        <v>NET</v>
      </c>
      <c r="L349" s="221">
        <f t="shared" si="10"/>
        <v>25</v>
      </c>
      <c r="M349" s="221" t="str">
        <f t="shared" ca="1" si="11"/>
        <v>2013/05</v>
      </c>
    </row>
    <row r="350" spans="1:13">
      <c r="A350" s="216">
        <v>41465</v>
      </c>
      <c r="B350" s="217"/>
      <c r="C350" s="217"/>
      <c r="D350" s="216">
        <v>41422</v>
      </c>
      <c r="E350" s="218">
        <v>101.14</v>
      </c>
      <c r="F350" s="216">
        <v>41422</v>
      </c>
      <c r="G350" s="218">
        <v>-101.14</v>
      </c>
      <c r="H350" s="219" t="s">
        <v>52</v>
      </c>
      <c r="I350" s="239" t="s">
        <v>1111</v>
      </c>
      <c r="J350" s="219" t="s">
        <v>17</v>
      </c>
      <c r="K350" s="220" t="str">
        <f>IF(J350&lt;&gt;"",VLOOKUP(J350,PContas!A:B,2,FALSE),"")</f>
        <v>WEB</v>
      </c>
      <c r="L350" s="221">
        <f t="shared" si="10"/>
        <v>28</v>
      </c>
      <c r="M350" s="221" t="str">
        <f t="shared" ca="1" si="11"/>
        <v>2013/05</v>
      </c>
    </row>
    <row r="351" spans="1:13">
      <c r="A351" s="216">
        <v>41465</v>
      </c>
      <c r="B351" s="217"/>
      <c r="C351" s="217" t="s">
        <v>1258</v>
      </c>
      <c r="D351" s="216">
        <v>41423</v>
      </c>
      <c r="E351" s="218">
        <v>74.7</v>
      </c>
      <c r="F351" s="216">
        <v>41423</v>
      </c>
      <c r="G351" s="218">
        <v>-74.7</v>
      </c>
      <c r="H351" s="219" t="s">
        <v>52</v>
      </c>
      <c r="I351" s="239" t="s">
        <v>1111</v>
      </c>
      <c r="J351" s="219" t="s">
        <v>16</v>
      </c>
      <c r="K351" s="220" t="str">
        <f>IF(J351&lt;&gt;"",VLOOKUP(J351,PContas!A:B,2,FALSE),"")</f>
        <v>MORADIA</v>
      </c>
      <c r="L351" s="221">
        <f t="shared" si="10"/>
        <v>29</v>
      </c>
      <c r="M351" s="221" t="str">
        <f t="shared" ca="1" si="11"/>
        <v>2013/05</v>
      </c>
    </row>
    <row r="352" spans="1:13">
      <c r="A352" s="216">
        <v>41465</v>
      </c>
      <c r="B352" s="217" t="s">
        <v>79</v>
      </c>
      <c r="C352" s="217"/>
      <c r="D352" s="216">
        <v>41423</v>
      </c>
      <c r="E352" s="218">
        <v>2000</v>
      </c>
      <c r="F352" s="216">
        <v>41423</v>
      </c>
      <c r="G352" s="218">
        <v>2000</v>
      </c>
      <c r="H352" s="219" t="s">
        <v>71</v>
      </c>
      <c r="I352" s="239" t="s">
        <v>2</v>
      </c>
      <c r="J352" s="219" t="s">
        <v>60</v>
      </c>
      <c r="K352" s="220" t="str">
        <f>IF(J352&lt;&gt;"",VLOOKUP(J352,PContas!A:B,2,FALSE),"")</f>
        <v>CLIENTES</v>
      </c>
      <c r="L352" s="221">
        <f t="shared" si="10"/>
        <v>29</v>
      </c>
      <c r="M352" s="221" t="str">
        <f t="shared" ca="1" si="11"/>
        <v>2013/05</v>
      </c>
    </row>
    <row r="353" spans="1:13">
      <c r="A353" s="216">
        <v>41465</v>
      </c>
      <c r="B353" s="217" t="s">
        <v>79</v>
      </c>
      <c r="C353" s="217"/>
      <c r="D353" s="216">
        <v>41423</v>
      </c>
      <c r="E353" s="218">
        <v>300</v>
      </c>
      <c r="F353" s="216">
        <v>41423</v>
      </c>
      <c r="G353" s="218">
        <v>-300</v>
      </c>
      <c r="H353" s="219" t="s">
        <v>52</v>
      </c>
      <c r="I353" s="219" t="s">
        <v>2</v>
      </c>
      <c r="J353" s="219" t="s">
        <v>78</v>
      </c>
      <c r="K353" s="220" t="str">
        <f>IF(J353&lt;&gt;"",VLOOKUP(J353,PContas!A:B,2,FALSE),"")</f>
        <v>M.OBRA</v>
      </c>
      <c r="L353" s="221">
        <f t="shared" si="10"/>
        <v>29</v>
      </c>
      <c r="M353" s="221" t="str">
        <f t="shared" ca="1" si="11"/>
        <v>2013/05</v>
      </c>
    </row>
    <row r="354" spans="1:13">
      <c r="A354" s="216">
        <v>41465</v>
      </c>
      <c r="B354" s="217"/>
      <c r="C354" s="217"/>
      <c r="D354" s="216">
        <v>41424</v>
      </c>
      <c r="E354" s="218">
        <v>213.55</v>
      </c>
      <c r="F354" s="216">
        <v>41424</v>
      </c>
      <c r="G354" s="218">
        <v>-213.55</v>
      </c>
      <c r="H354" s="219" t="s">
        <v>52</v>
      </c>
      <c r="I354" s="219" t="s">
        <v>1111</v>
      </c>
      <c r="J354" s="219" t="s">
        <v>14</v>
      </c>
      <c r="K354" s="220" t="str">
        <f>IF(J354&lt;&gt;"",VLOOKUP(J354,PContas!A:B,2,FALSE),"")</f>
        <v>MORADIA</v>
      </c>
      <c r="L354" s="221">
        <f t="shared" si="10"/>
        <v>30</v>
      </c>
      <c r="M354" s="221" t="str">
        <f t="shared" ca="1" si="11"/>
        <v>2013/05</v>
      </c>
    </row>
    <row r="355" spans="1:13">
      <c r="A355" s="216">
        <v>41465</v>
      </c>
      <c r="B355" s="217"/>
      <c r="C355" s="217"/>
      <c r="D355" s="216">
        <v>41426</v>
      </c>
      <c r="E355" s="218">
        <v>44.76</v>
      </c>
      <c r="F355" s="216">
        <v>41423</v>
      </c>
      <c r="G355" s="218">
        <v>-44.76</v>
      </c>
      <c r="H355" s="219" t="s">
        <v>52</v>
      </c>
      <c r="I355" s="239" t="s">
        <v>1111</v>
      </c>
      <c r="J355" s="219" t="s">
        <v>28</v>
      </c>
      <c r="K355" s="220" t="str">
        <f>IF(J355&lt;&gt;"",VLOOKUP(J355,PContas!A:B,2,FALSE),"")</f>
        <v>SAUDE</v>
      </c>
      <c r="L355" s="221">
        <f t="shared" si="10"/>
        <v>1</v>
      </c>
      <c r="M355" s="221" t="str">
        <f t="shared" ca="1" si="11"/>
        <v>2013/06</v>
      </c>
    </row>
    <row r="356" spans="1:13">
      <c r="A356" s="216">
        <v>41465</v>
      </c>
      <c r="B356" s="217" t="s">
        <v>944</v>
      </c>
      <c r="C356" s="217"/>
      <c r="D356" s="216">
        <v>41435</v>
      </c>
      <c r="E356" s="218">
        <v>350</v>
      </c>
      <c r="F356" s="216">
        <v>41435</v>
      </c>
      <c r="G356" s="218">
        <v>350</v>
      </c>
      <c r="H356" s="219" t="s">
        <v>71</v>
      </c>
      <c r="I356" s="219" t="s">
        <v>2</v>
      </c>
      <c r="J356" s="219" t="s">
        <v>61</v>
      </c>
      <c r="K356" s="220" t="str">
        <f>IF(J356&lt;&gt;"",VLOOKUP(J356,PContas!A:B,2,FALSE),"")</f>
        <v>CLIENTES</v>
      </c>
      <c r="L356" s="221">
        <f t="shared" si="10"/>
        <v>10</v>
      </c>
      <c r="M356" s="221" t="str">
        <f t="shared" ca="1" si="11"/>
        <v>2013/06</v>
      </c>
    </row>
    <row r="357" spans="1:13">
      <c r="A357" s="216">
        <v>41465</v>
      </c>
      <c r="B357" s="217"/>
      <c r="C357" s="217" t="s">
        <v>1257</v>
      </c>
      <c r="D357" s="216">
        <v>41435</v>
      </c>
      <c r="E357" s="218">
        <v>54.76</v>
      </c>
      <c r="F357" s="216">
        <v>41473</v>
      </c>
      <c r="G357" s="218">
        <v>-54.76</v>
      </c>
      <c r="H357" s="219" t="s">
        <v>52</v>
      </c>
      <c r="I357" s="219" t="s">
        <v>1111</v>
      </c>
      <c r="J357" s="219" t="s">
        <v>16</v>
      </c>
      <c r="K357" s="220" t="str">
        <f>IF(J357&lt;&gt;"",VLOOKUP(J357,PContas!A:B,2,FALSE),"")</f>
        <v>MORADIA</v>
      </c>
      <c r="L357" s="221">
        <f t="shared" si="10"/>
        <v>10</v>
      </c>
      <c r="M357" s="221" t="str">
        <f t="shared" ca="1" si="11"/>
        <v>2013/06</v>
      </c>
    </row>
    <row r="358" spans="1:13">
      <c r="A358" s="216">
        <v>41465</v>
      </c>
      <c r="B358" s="217"/>
      <c r="C358" s="222"/>
      <c r="D358" s="216">
        <v>41435</v>
      </c>
      <c r="E358" s="218">
        <v>20</v>
      </c>
      <c r="F358" s="216">
        <v>41435</v>
      </c>
      <c r="G358" s="218">
        <v>-20</v>
      </c>
      <c r="H358" s="219" t="s">
        <v>52</v>
      </c>
      <c r="I358" s="239" t="s">
        <v>1111</v>
      </c>
      <c r="J358" s="219" t="s">
        <v>30</v>
      </c>
      <c r="K358" s="220" t="str">
        <f>IF(J358&lt;&gt;"",VLOOKUP(J358,PContas!A:B,2,FALSE),"")</f>
        <v>PROVISÃO</v>
      </c>
      <c r="L358" s="221">
        <f t="shared" si="10"/>
        <v>10</v>
      </c>
      <c r="M358" s="221" t="str">
        <f t="shared" ca="1" si="11"/>
        <v>2013/06</v>
      </c>
    </row>
    <row r="359" spans="1:13">
      <c r="A359" s="216">
        <v>41465</v>
      </c>
      <c r="B359" s="217"/>
      <c r="C359" s="217"/>
      <c r="D359" s="216">
        <v>41442</v>
      </c>
      <c r="E359" s="218">
        <v>29.9</v>
      </c>
      <c r="F359" s="216">
        <v>41442</v>
      </c>
      <c r="G359" s="218">
        <v>-29.9</v>
      </c>
      <c r="H359" s="219" t="s">
        <v>52</v>
      </c>
      <c r="I359" s="219" t="s">
        <v>2</v>
      </c>
      <c r="J359" s="219" t="s">
        <v>20</v>
      </c>
      <c r="K359" s="220" t="str">
        <f>IF(J359&lt;&gt;"",VLOOKUP(J359,PContas!A:B,2,FALSE),"")</f>
        <v>MORADIA</v>
      </c>
      <c r="L359" s="221">
        <f t="shared" si="10"/>
        <v>17</v>
      </c>
      <c r="M359" s="221" t="str">
        <f t="shared" ca="1" si="11"/>
        <v>2013/06</v>
      </c>
    </row>
    <row r="360" spans="1:13">
      <c r="A360" s="216">
        <v>41465</v>
      </c>
      <c r="B360" s="217"/>
      <c r="C360" s="217"/>
      <c r="D360" s="216">
        <v>41442</v>
      </c>
      <c r="E360" s="218">
        <v>14.4</v>
      </c>
      <c r="F360" s="216">
        <v>41442</v>
      </c>
      <c r="G360" s="218">
        <v>-14.4</v>
      </c>
      <c r="H360" s="219" t="s">
        <v>52</v>
      </c>
      <c r="I360" s="219" t="s">
        <v>2</v>
      </c>
      <c r="J360" s="219" t="s">
        <v>20</v>
      </c>
      <c r="K360" s="220" t="str">
        <f>IF(J360&lt;&gt;"",VLOOKUP(J360,PContas!A:B,2,FALSE),"")</f>
        <v>MORADIA</v>
      </c>
      <c r="L360" s="221">
        <f t="shared" si="10"/>
        <v>17</v>
      </c>
      <c r="M360" s="221" t="str">
        <f t="shared" ca="1" si="11"/>
        <v>2013/06</v>
      </c>
    </row>
    <row r="361" spans="1:13">
      <c r="A361" s="216">
        <v>41465</v>
      </c>
      <c r="B361" s="217"/>
      <c r="C361" s="217"/>
      <c r="D361" s="216">
        <v>41443</v>
      </c>
      <c r="E361" s="218">
        <v>23.87</v>
      </c>
      <c r="F361" s="216">
        <v>41443</v>
      </c>
      <c r="G361" s="218">
        <v>-23.87</v>
      </c>
      <c r="H361" s="219" t="s">
        <v>52</v>
      </c>
      <c r="I361" s="219" t="s">
        <v>2</v>
      </c>
      <c r="J361" s="219" t="s">
        <v>32</v>
      </c>
      <c r="K361" s="220" t="str">
        <f>IF(J361&lt;&gt;"",VLOOKUP(J361,PContas!A:B,2,FALSE),"")</f>
        <v>AILTON</v>
      </c>
      <c r="L361" s="221">
        <f t="shared" si="10"/>
        <v>18</v>
      </c>
      <c r="M361" s="221" t="str">
        <f t="shared" ca="1" si="11"/>
        <v>2013/06</v>
      </c>
    </row>
    <row r="362" spans="1:13">
      <c r="A362" s="216">
        <v>41465</v>
      </c>
      <c r="B362" s="217"/>
      <c r="C362" s="217"/>
      <c r="D362" s="216">
        <v>41444</v>
      </c>
      <c r="E362" s="218">
        <v>13</v>
      </c>
      <c r="F362" s="216">
        <v>41444</v>
      </c>
      <c r="G362" s="218">
        <v>-13</v>
      </c>
      <c r="H362" s="219" t="s">
        <v>52</v>
      </c>
      <c r="I362" s="219" t="s">
        <v>2</v>
      </c>
      <c r="J362" s="219" t="s">
        <v>498</v>
      </c>
      <c r="K362" s="220" t="str">
        <f>IF(J362&lt;&gt;"",VLOOKUP(J362,PContas!A:B,2,FALSE),"")</f>
        <v>TELEFONIA</v>
      </c>
      <c r="L362" s="221">
        <f t="shared" si="10"/>
        <v>19</v>
      </c>
      <c r="M362" s="221" t="str">
        <f t="shared" ca="1" si="11"/>
        <v>2013/06</v>
      </c>
    </row>
    <row r="363" spans="1:13">
      <c r="A363" s="216">
        <v>41465</v>
      </c>
      <c r="B363" s="217" t="s">
        <v>952</v>
      </c>
      <c r="C363" s="217"/>
      <c r="D363" s="216">
        <v>41445</v>
      </c>
      <c r="E363" s="218">
        <v>100</v>
      </c>
      <c r="F363" s="216">
        <v>41445</v>
      </c>
      <c r="G363" s="218">
        <v>100</v>
      </c>
      <c r="H363" s="219" t="s">
        <v>71</v>
      </c>
      <c r="I363" s="219" t="s">
        <v>2</v>
      </c>
      <c r="J363" s="219" t="s">
        <v>57</v>
      </c>
      <c r="K363" s="220" t="str">
        <f>IF(J363&lt;&gt;"",VLOOKUP(J363,PContas!A:B,2,FALSE),"")</f>
        <v>CLIENTES</v>
      </c>
      <c r="L363" s="221">
        <f t="shared" si="10"/>
        <v>20</v>
      </c>
      <c r="M363" s="221" t="str">
        <f t="shared" ca="1" si="11"/>
        <v>2013/06</v>
      </c>
    </row>
    <row r="364" spans="1:13">
      <c r="A364" s="216">
        <v>41465</v>
      </c>
      <c r="B364" s="217" t="s">
        <v>959</v>
      </c>
      <c r="C364" s="217" t="s">
        <v>982</v>
      </c>
      <c r="D364" s="216">
        <v>41445</v>
      </c>
      <c r="E364" s="218">
        <v>67.849999999999994</v>
      </c>
      <c r="F364" s="216">
        <v>41445</v>
      </c>
      <c r="G364" s="218">
        <v>67.849999999999994</v>
      </c>
      <c r="H364" s="219" t="s">
        <v>71</v>
      </c>
      <c r="I364" s="219" t="s">
        <v>2</v>
      </c>
      <c r="J364" s="219" t="s">
        <v>56</v>
      </c>
      <c r="K364" s="220" t="str">
        <f>IF(J364&lt;&gt;"",VLOOKUP(J364,PContas!A:B,2,FALSE),"")</f>
        <v>CLIENTES</v>
      </c>
      <c r="L364" s="221">
        <f t="shared" si="10"/>
        <v>20</v>
      </c>
      <c r="M364" s="221" t="str">
        <f t="shared" ca="1" si="11"/>
        <v>2013/06</v>
      </c>
    </row>
    <row r="365" spans="1:13">
      <c r="A365" s="216">
        <v>41465</v>
      </c>
      <c r="B365" s="217" t="s">
        <v>966</v>
      </c>
      <c r="C365" s="217" t="s">
        <v>982</v>
      </c>
      <c r="D365" s="216">
        <v>41445</v>
      </c>
      <c r="E365" s="218">
        <v>67.739999999999995</v>
      </c>
      <c r="F365" s="216">
        <v>41445</v>
      </c>
      <c r="G365" s="218">
        <v>67.739999999999995</v>
      </c>
      <c r="H365" s="219" t="s">
        <v>71</v>
      </c>
      <c r="I365" s="219" t="s">
        <v>2</v>
      </c>
      <c r="J365" s="219" t="s">
        <v>55</v>
      </c>
      <c r="K365" s="220" t="str">
        <f>IF(J365&lt;&gt;"",VLOOKUP(J365,PContas!A:B,2,FALSE),"")</f>
        <v>CLIENTES</v>
      </c>
      <c r="L365" s="221">
        <f t="shared" si="10"/>
        <v>20</v>
      </c>
      <c r="M365" s="221" t="str">
        <f t="shared" ca="1" si="11"/>
        <v>2013/06</v>
      </c>
    </row>
    <row r="366" spans="1:13">
      <c r="A366" s="216">
        <v>41465</v>
      </c>
      <c r="B366" s="217" t="s">
        <v>1348</v>
      </c>
      <c r="C366" s="217"/>
      <c r="D366" s="216">
        <v>41445</v>
      </c>
      <c r="E366" s="218">
        <v>40</v>
      </c>
      <c r="F366" s="216">
        <v>41619</v>
      </c>
      <c r="G366" s="218">
        <v>40</v>
      </c>
      <c r="H366" s="219" t="s">
        <v>71</v>
      </c>
      <c r="I366" s="219" t="s">
        <v>2</v>
      </c>
      <c r="J366" s="219" t="s">
        <v>58</v>
      </c>
      <c r="K366" s="220" t="str">
        <f>IF(J366&lt;&gt;"",VLOOKUP(J366,PContas!A:B,2,FALSE),"")</f>
        <v>CLIENTES</v>
      </c>
      <c r="L366" s="221">
        <f t="shared" si="10"/>
        <v>20</v>
      </c>
      <c r="M366" s="221" t="str">
        <f t="shared" ca="1" si="11"/>
        <v>2013/06</v>
      </c>
    </row>
    <row r="367" spans="1:13">
      <c r="A367" s="216">
        <v>41465</v>
      </c>
      <c r="B367" s="217" t="s">
        <v>1396</v>
      </c>
      <c r="C367" s="217"/>
      <c r="D367" s="216">
        <v>41475</v>
      </c>
      <c r="E367" s="218">
        <v>10</v>
      </c>
      <c r="F367" s="216">
        <v>41704</v>
      </c>
      <c r="G367" s="218">
        <v>10</v>
      </c>
      <c r="H367" s="219" t="s">
        <v>71</v>
      </c>
      <c r="I367" s="219" t="s">
        <v>2</v>
      </c>
      <c r="J367" s="219" t="s">
        <v>58</v>
      </c>
      <c r="K367" s="220" t="str">
        <f>IF(J367&lt;&gt;"",VLOOKUP(J367,PContas!A:B,2,FALSE),"")</f>
        <v>CLIENTES</v>
      </c>
      <c r="L367" s="221">
        <f t="shared" si="10"/>
        <v>20</v>
      </c>
      <c r="M367" s="221" t="str">
        <f t="shared" ca="1" si="11"/>
        <v>2013/07</v>
      </c>
    </row>
    <row r="368" spans="1:13">
      <c r="A368" s="216">
        <v>41465</v>
      </c>
      <c r="B368" s="217"/>
      <c r="C368" s="217"/>
      <c r="D368" s="216">
        <v>41450</v>
      </c>
      <c r="E368" s="218">
        <v>246.99</v>
      </c>
      <c r="F368" s="216">
        <v>41488</v>
      </c>
      <c r="G368" s="218">
        <v>-246.99</v>
      </c>
      <c r="H368" s="219" t="s">
        <v>52</v>
      </c>
      <c r="I368" s="219" t="s">
        <v>1111</v>
      </c>
      <c r="J368" s="219" t="s">
        <v>5</v>
      </c>
      <c r="K368" s="220" t="str">
        <f>IF(J368&lt;&gt;"",VLOOKUP(J368,PContas!A:B,2,FALSE),"")</f>
        <v>NET</v>
      </c>
      <c r="L368" s="221">
        <f t="shared" si="10"/>
        <v>25</v>
      </c>
      <c r="M368" s="221" t="str">
        <f t="shared" ca="1" si="11"/>
        <v>2013/06</v>
      </c>
    </row>
    <row r="369" spans="1:13">
      <c r="A369" s="216">
        <v>41465</v>
      </c>
      <c r="B369" s="217"/>
      <c r="C369" s="217"/>
      <c r="D369" s="216">
        <v>41450</v>
      </c>
      <c r="E369" s="218">
        <v>59.9</v>
      </c>
      <c r="F369" s="216">
        <v>41488</v>
      </c>
      <c r="G369" s="218">
        <v>-59.9</v>
      </c>
      <c r="H369" s="219" t="s">
        <v>52</v>
      </c>
      <c r="I369" s="239" t="s">
        <v>1111</v>
      </c>
      <c r="J369" s="219" t="s">
        <v>10</v>
      </c>
      <c r="K369" s="220" t="str">
        <f>IF(J369&lt;&gt;"",VLOOKUP(J369,PContas!A:B,2,FALSE),"")</f>
        <v>NET</v>
      </c>
      <c r="L369" s="221">
        <f t="shared" si="10"/>
        <v>25</v>
      </c>
      <c r="M369" s="221" t="str">
        <f t="shared" ca="1" si="11"/>
        <v>2013/06</v>
      </c>
    </row>
    <row r="370" spans="1:13">
      <c r="A370" s="216">
        <v>41465</v>
      </c>
      <c r="B370" s="217"/>
      <c r="C370" s="217"/>
      <c r="D370" s="216">
        <v>41450</v>
      </c>
      <c r="E370" s="218">
        <v>99</v>
      </c>
      <c r="F370" s="216">
        <v>41458</v>
      </c>
      <c r="G370" s="218">
        <v>-101.05</v>
      </c>
      <c r="H370" s="219" t="s">
        <v>52</v>
      </c>
      <c r="I370" s="239" t="s">
        <v>1111</v>
      </c>
      <c r="J370" s="219" t="s">
        <v>17</v>
      </c>
      <c r="K370" s="220" t="str">
        <f>IF(J370&lt;&gt;"",VLOOKUP(J370,PContas!A:B,2,FALSE),"")</f>
        <v>WEB</v>
      </c>
      <c r="L370" s="221">
        <f t="shared" si="10"/>
        <v>25</v>
      </c>
      <c r="M370" s="221" t="str">
        <f t="shared" ca="1" si="11"/>
        <v>2013/06</v>
      </c>
    </row>
    <row r="371" spans="1:13">
      <c r="A371" s="216">
        <v>41465</v>
      </c>
      <c r="B371" s="217"/>
      <c r="C371" s="217"/>
      <c r="D371" s="216">
        <v>41450</v>
      </c>
      <c r="E371" s="218">
        <v>82.05</v>
      </c>
      <c r="F371" s="216">
        <v>41488</v>
      </c>
      <c r="G371" s="218">
        <v>-82.05</v>
      </c>
      <c r="H371" s="219" t="s">
        <v>52</v>
      </c>
      <c r="I371" s="239" t="s">
        <v>1111</v>
      </c>
      <c r="J371" s="219" t="s">
        <v>13</v>
      </c>
      <c r="K371" s="220" t="str">
        <f>IF(J371&lt;&gt;"",VLOOKUP(J371,PContas!A:B,2,FALSE),"")</f>
        <v>NET</v>
      </c>
      <c r="L371" s="221">
        <f t="shared" si="10"/>
        <v>25</v>
      </c>
      <c r="M371" s="221" t="str">
        <f t="shared" ca="1" si="11"/>
        <v>2013/06</v>
      </c>
    </row>
    <row r="372" spans="1:13">
      <c r="A372" s="216">
        <v>41465</v>
      </c>
      <c r="B372" s="217" t="s">
        <v>73</v>
      </c>
      <c r="C372" s="217"/>
      <c r="D372" s="216">
        <v>41453</v>
      </c>
      <c r="E372" s="218">
        <v>400</v>
      </c>
      <c r="F372" s="216">
        <v>41453</v>
      </c>
      <c r="G372" s="218">
        <v>400</v>
      </c>
      <c r="H372" s="219" t="s">
        <v>71</v>
      </c>
      <c r="I372" s="239" t="s">
        <v>2</v>
      </c>
      <c r="J372" s="219" t="s">
        <v>69</v>
      </c>
      <c r="K372" s="220" t="str">
        <f>IF(J372&lt;&gt;"",VLOOKUP(J372,PContas!A:B,2,FALSE),"")</f>
        <v>CLIENTES</v>
      </c>
      <c r="L372" s="221">
        <f t="shared" si="10"/>
        <v>28</v>
      </c>
      <c r="M372" s="221" t="str">
        <f t="shared" ca="1" si="11"/>
        <v>2013/06</v>
      </c>
    </row>
    <row r="373" spans="1:13">
      <c r="A373" s="216">
        <v>41465</v>
      </c>
      <c r="B373" s="217"/>
      <c r="C373" s="217"/>
      <c r="D373" s="216">
        <v>41454</v>
      </c>
      <c r="E373" s="218">
        <v>10</v>
      </c>
      <c r="F373" s="216">
        <v>41454</v>
      </c>
      <c r="G373" s="218">
        <v>10</v>
      </c>
      <c r="H373" s="219" t="s">
        <v>71</v>
      </c>
      <c r="I373" s="219" t="s">
        <v>2</v>
      </c>
      <c r="J373" s="219" t="s">
        <v>59</v>
      </c>
      <c r="K373" s="220" t="str">
        <f>IF(J373&lt;&gt;"",VLOOKUP(J373,PContas!A:B,2,FALSE),"")</f>
        <v>CLIENTES</v>
      </c>
      <c r="L373" s="221">
        <f t="shared" si="10"/>
        <v>29</v>
      </c>
      <c r="M373" s="221" t="str">
        <f t="shared" ca="1" si="11"/>
        <v>2013/06</v>
      </c>
    </row>
    <row r="374" spans="1:13">
      <c r="A374" s="216">
        <v>41465</v>
      </c>
      <c r="B374" s="217"/>
      <c r="C374" s="217"/>
      <c r="D374" s="216">
        <v>41454</v>
      </c>
      <c r="E374" s="218">
        <v>10</v>
      </c>
      <c r="F374" s="216">
        <v>41454</v>
      </c>
      <c r="G374" s="218">
        <v>10</v>
      </c>
      <c r="H374" s="219" t="s">
        <v>71</v>
      </c>
      <c r="I374" s="219" t="s">
        <v>2</v>
      </c>
      <c r="J374" s="219" t="s">
        <v>59</v>
      </c>
      <c r="K374" s="220" t="str">
        <f>IF(J374&lt;&gt;"",VLOOKUP(J374,PContas!A:B,2,FALSE),"")</f>
        <v>CLIENTES</v>
      </c>
      <c r="L374" s="221">
        <f t="shared" si="10"/>
        <v>29</v>
      </c>
      <c r="M374" s="221" t="str">
        <f t="shared" ca="1" si="11"/>
        <v>2013/06</v>
      </c>
    </row>
    <row r="375" spans="1:13">
      <c r="A375" s="216">
        <v>41465</v>
      </c>
      <c r="B375" s="217"/>
      <c r="C375" s="217"/>
      <c r="D375" s="216">
        <v>41454</v>
      </c>
      <c r="E375" s="218">
        <v>10</v>
      </c>
      <c r="F375" s="216">
        <v>41454</v>
      </c>
      <c r="G375" s="218">
        <v>10</v>
      </c>
      <c r="H375" s="219" t="s">
        <v>71</v>
      </c>
      <c r="I375" s="219" t="s">
        <v>2</v>
      </c>
      <c r="J375" s="219" t="s">
        <v>59</v>
      </c>
      <c r="K375" s="220" t="str">
        <f>IF(J375&lt;&gt;"",VLOOKUP(J375,PContas!A:B,2,FALSE),"")</f>
        <v>CLIENTES</v>
      </c>
      <c r="L375" s="221">
        <f t="shared" si="10"/>
        <v>29</v>
      </c>
      <c r="M375" s="221" t="str">
        <f t="shared" ca="1" si="11"/>
        <v>2013/06</v>
      </c>
    </row>
    <row r="376" spans="1:13">
      <c r="A376" s="216">
        <v>41465</v>
      </c>
      <c r="B376" s="217"/>
      <c r="C376" s="217"/>
      <c r="D376" s="216">
        <v>41454</v>
      </c>
      <c r="E376" s="218">
        <v>10</v>
      </c>
      <c r="F376" s="216">
        <v>41454</v>
      </c>
      <c r="G376" s="218">
        <v>10</v>
      </c>
      <c r="H376" s="219" t="s">
        <v>71</v>
      </c>
      <c r="I376" s="219" t="s">
        <v>2</v>
      </c>
      <c r="J376" s="219" t="s">
        <v>59</v>
      </c>
      <c r="K376" s="220" t="str">
        <f>IF(J376&lt;&gt;"",VLOOKUP(J376,PContas!A:B,2,FALSE),"")</f>
        <v>CLIENTES</v>
      </c>
      <c r="L376" s="221">
        <f t="shared" si="10"/>
        <v>29</v>
      </c>
      <c r="M376" s="221" t="str">
        <f t="shared" ca="1" si="11"/>
        <v>2013/06</v>
      </c>
    </row>
    <row r="377" spans="1:13">
      <c r="A377" s="216">
        <v>41465</v>
      </c>
      <c r="B377" s="217"/>
      <c r="C377" s="217"/>
      <c r="D377" s="216">
        <v>41454</v>
      </c>
      <c r="E377" s="218">
        <v>10</v>
      </c>
      <c r="F377" s="216">
        <v>41454</v>
      </c>
      <c r="G377" s="218">
        <v>10</v>
      </c>
      <c r="H377" s="219" t="s">
        <v>71</v>
      </c>
      <c r="I377" s="219" t="s">
        <v>2</v>
      </c>
      <c r="J377" s="219" t="s">
        <v>59</v>
      </c>
      <c r="K377" s="220" t="str">
        <f>IF(J377&lt;&gt;"",VLOOKUP(J377,PContas!A:B,2,FALSE),"")</f>
        <v>CLIENTES</v>
      </c>
      <c r="L377" s="221">
        <f t="shared" si="10"/>
        <v>29</v>
      </c>
      <c r="M377" s="221" t="str">
        <f t="shared" ca="1" si="11"/>
        <v>2013/06</v>
      </c>
    </row>
    <row r="378" spans="1:13">
      <c r="A378" s="216">
        <v>41465</v>
      </c>
      <c r="B378" s="217"/>
      <c r="C378" s="217"/>
      <c r="D378" s="216">
        <v>41454</v>
      </c>
      <c r="E378" s="218">
        <v>10</v>
      </c>
      <c r="F378" s="216">
        <v>41454</v>
      </c>
      <c r="G378" s="218">
        <v>10</v>
      </c>
      <c r="H378" s="219" t="s">
        <v>71</v>
      </c>
      <c r="I378" s="219" t="s">
        <v>2</v>
      </c>
      <c r="J378" s="219" t="s">
        <v>59</v>
      </c>
      <c r="K378" s="220" t="str">
        <f>IF(J378&lt;&gt;"",VLOOKUP(J378,PContas!A:B,2,FALSE),"")</f>
        <v>CLIENTES</v>
      </c>
      <c r="L378" s="221">
        <f t="shared" si="10"/>
        <v>29</v>
      </c>
      <c r="M378" s="221" t="str">
        <f t="shared" ca="1" si="11"/>
        <v>2013/06</v>
      </c>
    </row>
    <row r="379" spans="1:13">
      <c r="A379" s="216">
        <v>41465</v>
      </c>
      <c r="B379" s="217" t="s">
        <v>79</v>
      </c>
      <c r="C379" s="217"/>
      <c r="D379" s="216">
        <v>41531</v>
      </c>
      <c r="E379" s="218">
        <v>2000</v>
      </c>
      <c r="F379" s="216">
        <v>41531</v>
      </c>
      <c r="G379" s="218">
        <v>2000</v>
      </c>
      <c r="H379" s="219" t="s">
        <v>71</v>
      </c>
      <c r="I379" s="219" t="s">
        <v>2</v>
      </c>
      <c r="J379" s="219" t="s">
        <v>60</v>
      </c>
      <c r="K379" s="220" t="str">
        <f>IF(J379&lt;&gt;"",VLOOKUP(J379,PContas!A:B,2,FALSE),"")</f>
        <v>CLIENTES</v>
      </c>
      <c r="L379" s="221">
        <f t="shared" si="10"/>
        <v>14</v>
      </c>
      <c r="M379" s="221" t="str">
        <f t="shared" ca="1" si="11"/>
        <v>2013/09</v>
      </c>
    </row>
    <row r="380" spans="1:13">
      <c r="A380" s="216">
        <v>41465</v>
      </c>
      <c r="B380" s="217"/>
      <c r="C380" s="217"/>
      <c r="D380" s="216">
        <v>41456</v>
      </c>
      <c r="E380" s="218">
        <v>51.08</v>
      </c>
      <c r="F380" s="216">
        <v>41473</v>
      </c>
      <c r="G380" s="218">
        <v>-51.42</v>
      </c>
      <c r="H380" s="219" t="s">
        <v>52</v>
      </c>
      <c r="I380" s="239" t="s">
        <v>1111</v>
      </c>
      <c r="J380" s="219" t="s">
        <v>28</v>
      </c>
      <c r="K380" s="220" t="str">
        <f>IF(J380&lt;&gt;"",VLOOKUP(J380,PContas!A:B,2,FALSE),"")</f>
        <v>SAUDE</v>
      </c>
      <c r="L380" s="221">
        <f t="shared" si="10"/>
        <v>1</v>
      </c>
      <c r="M380" s="221" t="str">
        <f t="shared" ca="1" si="11"/>
        <v>2013/07</v>
      </c>
    </row>
    <row r="381" spans="1:13">
      <c r="A381" s="216">
        <v>41465</v>
      </c>
      <c r="B381" s="217"/>
      <c r="C381" s="217"/>
      <c r="D381" s="216">
        <v>41459</v>
      </c>
      <c r="E381" s="218">
        <v>49.9</v>
      </c>
      <c r="F381" s="216">
        <v>41459</v>
      </c>
      <c r="G381" s="218">
        <v>-49.9</v>
      </c>
      <c r="H381" s="219" t="s">
        <v>52</v>
      </c>
      <c r="I381" s="219" t="s">
        <v>1111</v>
      </c>
      <c r="J381" s="219" t="s">
        <v>102</v>
      </c>
      <c r="K381" s="220" t="str">
        <f>IF(J381&lt;&gt;"",VLOOKUP(J381,PContas!A:B,2,FALSE),"")</f>
        <v>WEB</v>
      </c>
      <c r="L381" s="221">
        <f t="shared" si="10"/>
        <v>4</v>
      </c>
      <c r="M381" s="221" t="str">
        <f t="shared" ca="1" si="11"/>
        <v>2013/07</v>
      </c>
    </row>
    <row r="382" spans="1:13">
      <c r="A382" s="216">
        <v>41465</v>
      </c>
      <c r="B382" s="217"/>
      <c r="C382" s="217"/>
      <c r="D382" s="216">
        <v>41460</v>
      </c>
      <c r="E382" s="218">
        <v>10.17</v>
      </c>
      <c r="F382" s="216">
        <v>41460</v>
      </c>
      <c r="G382" s="218">
        <v>-10.17</v>
      </c>
      <c r="H382" s="219" t="s">
        <v>52</v>
      </c>
      <c r="I382" s="239" t="s">
        <v>2</v>
      </c>
      <c r="J382" s="219" t="s">
        <v>3</v>
      </c>
      <c r="K382" s="220" t="str">
        <f>IF(J382&lt;&gt;"",VLOOKUP(J382,PContas!A:B,2,FALSE),"")</f>
        <v>ALIMENTAÇÃO</v>
      </c>
      <c r="L382" s="221">
        <f t="shared" si="10"/>
        <v>5</v>
      </c>
      <c r="M382" s="221" t="str">
        <f t="shared" ca="1" si="11"/>
        <v>2013/07</v>
      </c>
    </row>
    <row r="383" spans="1:13">
      <c r="A383" s="216">
        <v>41465</v>
      </c>
      <c r="B383" s="217"/>
      <c r="C383" s="217"/>
      <c r="D383" s="216">
        <v>41465</v>
      </c>
      <c r="E383" s="218">
        <v>108.66</v>
      </c>
      <c r="F383" s="216"/>
      <c r="G383" s="218">
        <v>-108.66</v>
      </c>
      <c r="H383" s="219" t="s">
        <v>52</v>
      </c>
      <c r="I383" s="219" t="s">
        <v>4</v>
      </c>
      <c r="J383" s="219" t="s">
        <v>25</v>
      </c>
      <c r="K383" s="220" t="str">
        <f>IF(J383&lt;&gt;"",VLOOKUP(J383,PContas!A:B,2,FALSE),"")</f>
        <v>IMPOSTOS</v>
      </c>
      <c r="L383" s="221">
        <f t="shared" si="10"/>
        <v>10</v>
      </c>
      <c r="M383" s="221" t="str">
        <f t="shared" ca="1" si="11"/>
        <v>ATRASADO</v>
      </c>
    </row>
    <row r="384" spans="1:13">
      <c r="A384" s="216">
        <v>41465</v>
      </c>
      <c r="B384" s="217"/>
      <c r="C384" s="217" t="s">
        <v>1256</v>
      </c>
      <c r="D384" s="216">
        <v>41465</v>
      </c>
      <c r="E384" s="218">
        <v>45.52</v>
      </c>
      <c r="F384" s="216">
        <v>41473</v>
      </c>
      <c r="G384" s="218">
        <v>-45.52</v>
      </c>
      <c r="H384" s="219" t="s">
        <v>52</v>
      </c>
      <c r="I384" s="219" t="s">
        <v>1111</v>
      </c>
      <c r="J384" s="219" t="s">
        <v>16</v>
      </c>
      <c r="K384" s="220" t="str">
        <f>IF(J384&lt;&gt;"",VLOOKUP(J384,PContas!A:B,2,FALSE),"")</f>
        <v>MORADIA</v>
      </c>
      <c r="L384" s="221">
        <f t="shared" si="10"/>
        <v>10</v>
      </c>
      <c r="M384" s="221" t="str">
        <f t="shared" ca="1" si="11"/>
        <v>2013/07</v>
      </c>
    </row>
    <row r="385" spans="1:13">
      <c r="A385" s="216">
        <v>41465</v>
      </c>
      <c r="B385" s="217"/>
      <c r="C385" s="222"/>
      <c r="D385" s="216">
        <v>41465</v>
      </c>
      <c r="E385" s="218">
        <v>20</v>
      </c>
      <c r="F385" s="216">
        <v>41472</v>
      </c>
      <c r="G385" s="218">
        <v>-21.45</v>
      </c>
      <c r="H385" s="219" t="s">
        <v>52</v>
      </c>
      <c r="I385" s="239" t="s">
        <v>1111</v>
      </c>
      <c r="J385" s="219" t="s">
        <v>30</v>
      </c>
      <c r="K385" s="220" t="str">
        <f>IF(J385&lt;&gt;"",VLOOKUP(J385,PContas!A:B,2,FALSE),"")</f>
        <v>PROVISÃO</v>
      </c>
      <c r="L385" s="221">
        <f t="shared" si="10"/>
        <v>10</v>
      </c>
      <c r="M385" s="221" t="str">
        <f t="shared" ca="1" si="11"/>
        <v>2013/07</v>
      </c>
    </row>
    <row r="386" spans="1:13">
      <c r="A386" s="216">
        <v>41465</v>
      </c>
      <c r="B386" s="217"/>
      <c r="C386" s="217"/>
      <c r="D386" s="216">
        <v>41470</v>
      </c>
      <c r="E386" s="218">
        <v>240</v>
      </c>
      <c r="F386" s="216">
        <v>41473</v>
      </c>
      <c r="G386" s="218">
        <v>-240</v>
      </c>
      <c r="H386" s="219" t="s">
        <v>52</v>
      </c>
      <c r="I386" s="219" t="s">
        <v>2</v>
      </c>
      <c r="J386" s="219" t="s">
        <v>3</v>
      </c>
      <c r="K386" s="220" t="str">
        <f>IF(J386&lt;&gt;"",VLOOKUP(J386,PContas!A:B,2,FALSE),"")</f>
        <v>ALIMENTAÇÃO</v>
      </c>
      <c r="L386" s="221">
        <f t="shared" ref="L386:L449" si="12">DAY(D386)</f>
        <v>15</v>
      </c>
      <c r="M386" s="221" t="str">
        <f t="shared" ref="M386:M449" ca="1" si="13">IF(D386&lt;&gt;"",IF(F386="",IF(DAYS360(D386,NOW())&gt;0,"ATRASADO",YEAR(D386)&amp;"/"&amp;CHOOSE(MONTH(D386),"01","02","03","04","05","06","07","08","09","10","11","12")),YEAR(D386)&amp;"/"&amp;CHOOSE(MONTH(D386),"01","02","03","04","05","06","07","08","09","10","11","12")),"")</f>
        <v>2013/07</v>
      </c>
    </row>
    <row r="387" spans="1:13">
      <c r="A387" s="216">
        <v>41465</v>
      </c>
      <c r="B387" s="217" t="s">
        <v>89</v>
      </c>
      <c r="C387" s="217"/>
      <c r="D387" s="216">
        <v>41472</v>
      </c>
      <c r="E387" s="218">
        <v>180</v>
      </c>
      <c r="F387" s="216">
        <v>41472</v>
      </c>
      <c r="G387" s="218">
        <v>180</v>
      </c>
      <c r="H387" s="219" t="s">
        <v>71</v>
      </c>
      <c r="I387" s="219" t="s">
        <v>4</v>
      </c>
      <c r="J387" s="219" t="s">
        <v>62</v>
      </c>
      <c r="K387" s="220" t="str">
        <f>IF(J387&lt;&gt;"",VLOOKUP(J387,PContas!A:B,2,FALSE),"")</f>
        <v>CLIENTES</v>
      </c>
      <c r="L387" s="221">
        <f t="shared" si="12"/>
        <v>17</v>
      </c>
      <c r="M387" s="221" t="str">
        <f t="shared" ca="1" si="13"/>
        <v>2013/07</v>
      </c>
    </row>
    <row r="388" spans="1:13">
      <c r="A388" s="216">
        <v>41465</v>
      </c>
      <c r="B388" s="217" t="s">
        <v>77</v>
      </c>
      <c r="C388" s="217"/>
      <c r="D388" s="216">
        <v>41472</v>
      </c>
      <c r="E388" s="218">
        <v>650</v>
      </c>
      <c r="F388" s="216">
        <v>41472</v>
      </c>
      <c r="G388" s="218">
        <v>650</v>
      </c>
      <c r="H388" s="219" t="s">
        <v>71</v>
      </c>
      <c r="I388" s="219" t="s">
        <v>4</v>
      </c>
      <c r="J388" s="219" t="s">
        <v>62</v>
      </c>
      <c r="K388" s="220" t="str">
        <f>IF(J388&lt;&gt;"",VLOOKUP(J388,PContas!A:B,2,FALSE),"")</f>
        <v>CLIENTES</v>
      </c>
      <c r="L388" s="221">
        <f t="shared" si="12"/>
        <v>17</v>
      </c>
      <c r="M388" s="221" t="str">
        <f t="shared" ca="1" si="13"/>
        <v>2013/07</v>
      </c>
    </row>
    <row r="389" spans="1:13">
      <c r="A389" s="216">
        <v>41465</v>
      </c>
      <c r="B389" s="217" t="s">
        <v>950</v>
      </c>
      <c r="C389" s="217"/>
      <c r="D389" s="216">
        <v>41475</v>
      </c>
      <c r="E389" s="218">
        <v>100</v>
      </c>
      <c r="F389" s="216">
        <v>41479</v>
      </c>
      <c r="G389" s="218">
        <v>100</v>
      </c>
      <c r="H389" s="219" t="s">
        <v>71</v>
      </c>
      <c r="I389" s="219" t="s">
        <v>2</v>
      </c>
      <c r="J389" s="219" t="s">
        <v>57</v>
      </c>
      <c r="K389" s="220" t="str">
        <f>IF(J389&lt;&gt;"",VLOOKUP(J389,PContas!A:B,2,FALSE),"")</f>
        <v>CLIENTES</v>
      </c>
      <c r="L389" s="221">
        <f t="shared" si="12"/>
        <v>20</v>
      </c>
      <c r="M389" s="221" t="str">
        <f t="shared" ca="1" si="13"/>
        <v>2013/07</v>
      </c>
    </row>
    <row r="390" spans="1:13">
      <c r="A390" s="216">
        <v>41465</v>
      </c>
      <c r="B390" s="217" t="s">
        <v>958</v>
      </c>
      <c r="C390" s="217" t="s">
        <v>983</v>
      </c>
      <c r="D390" s="216">
        <v>41475</v>
      </c>
      <c r="E390" s="218">
        <v>67.849999999999994</v>
      </c>
      <c r="F390" s="216">
        <v>41475</v>
      </c>
      <c r="G390" s="218">
        <v>67.849999999999994</v>
      </c>
      <c r="H390" s="219" t="s">
        <v>71</v>
      </c>
      <c r="I390" s="219" t="s">
        <v>2</v>
      </c>
      <c r="J390" s="219" t="s">
        <v>56</v>
      </c>
      <c r="K390" s="220" t="str">
        <f>IF(J390&lt;&gt;"",VLOOKUP(J390,PContas!A:B,2,FALSE),"")</f>
        <v>CLIENTES</v>
      </c>
      <c r="L390" s="221">
        <f t="shared" si="12"/>
        <v>20</v>
      </c>
      <c r="M390" s="221" t="str">
        <f t="shared" ca="1" si="13"/>
        <v>2013/07</v>
      </c>
    </row>
    <row r="391" spans="1:13">
      <c r="A391" s="216">
        <v>41465</v>
      </c>
      <c r="B391" s="217" t="s">
        <v>965</v>
      </c>
      <c r="C391" s="217" t="s">
        <v>983</v>
      </c>
      <c r="D391" s="216">
        <v>41475</v>
      </c>
      <c r="E391" s="218">
        <v>67.739999999999995</v>
      </c>
      <c r="F391" s="216">
        <v>41475</v>
      </c>
      <c r="G391" s="218">
        <v>67.739999999999995</v>
      </c>
      <c r="H391" s="219" t="s">
        <v>71</v>
      </c>
      <c r="I391" s="219" t="s">
        <v>2</v>
      </c>
      <c r="J391" s="219" t="s">
        <v>55</v>
      </c>
      <c r="K391" s="220" t="str">
        <f>IF(J391&lt;&gt;"",VLOOKUP(J391,PContas!A:B,2,FALSE),"")</f>
        <v>CLIENTES</v>
      </c>
      <c r="L391" s="221">
        <f t="shared" si="12"/>
        <v>20</v>
      </c>
      <c r="M391" s="221" t="str">
        <f t="shared" ca="1" si="13"/>
        <v>2013/07</v>
      </c>
    </row>
    <row r="392" spans="1:13">
      <c r="A392" s="216">
        <v>41465</v>
      </c>
      <c r="B392" s="217"/>
      <c r="C392" s="217"/>
      <c r="D392" s="216">
        <v>41480</v>
      </c>
      <c r="E392" s="218">
        <v>0</v>
      </c>
      <c r="F392" s="216">
        <v>41563</v>
      </c>
      <c r="G392" s="218">
        <v>0</v>
      </c>
      <c r="H392" s="219" t="s">
        <v>52</v>
      </c>
      <c r="I392" s="219" t="s">
        <v>1111</v>
      </c>
      <c r="J392" s="219" t="s">
        <v>10</v>
      </c>
      <c r="K392" s="220" t="str">
        <f>IF(J392&lt;&gt;"",VLOOKUP(J392,PContas!A:B,2,FALSE),"")</f>
        <v>NET</v>
      </c>
      <c r="L392" s="221">
        <f t="shared" si="12"/>
        <v>25</v>
      </c>
      <c r="M392" s="221" t="str">
        <f t="shared" ca="1" si="13"/>
        <v>2013/07</v>
      </c>
    </row>
    <row r="393" spans="1:13">
      <c r="A393" s="216">
        <v>41465</v>
      </c>
      <c r="B393" s="217"/>
      <c r="C393" s="217"/>
      <c r="D393" s="216">
        <v>41480</v>
      </c>
      <c r="E393" s="218">
        <v>0</v>
      </c>
      <c r="F393" s="216">
        <v>41563</v>
      </c>
      <c r="G393" s="218">
        <v>0</v>
      </c>
      <c r="H393" s="219" t="s">
        <v>52</v>
      </c>
      <c r="I393" s="239" t="s">
        <v>1111</v>
      </c>
      <c r="J393" s="219" t="s">
        <v>13</v>
      </c>
      <c r="K393" s="220" t="str">
        <f>IF(J393&lt;&gt;"",VLOOKUP(J393,PContas!A:B,2,FALSE),"")</f>
        <v>NET</v>
      </c>
      <c r="L393" s="221">
        <f t="shared" si="12"/>
        <v>25</v>
      </c>
      <c r="M393" s="221" t="str">
        <f t="shared" ca="1" si="13"/>
        <v>2013/07</v>
      </c>
    </row>
    <row r="394" spans="1:13">
      <c r="A394" s="216">
        <v>41465</v>
      </c>
      <c r="B394" s="217"/>
      <c r="C394" s="217"/>
      <c r="D394" s="216">
        <v>41480</v>
      </c>
      <c r="E394" s="218">
        <v>119.6</v>
      </c>
      <c r="F394" s="216">
        <v>41563</v>
      </c>
      <c r="G394" s="218">
        <v>-119.6</v>
      </c>
      <c r="H394" s="219" t="s">
        <v>52</v>
      </c>
      <c r="I394" s="239" t="s">
        <v>1111</v>
      </c>
      <c r="J394" s="219" t="s">
        <v>5</v>
      </c>
      <c r="K394" s="220" t="str">
        <f>IF(J394&lt;&gt;"",VLOOKUP(J394,PContas!A:B,2,FALSE),"")</f>
        <v>NET</v>
      </c>
      <c r="L394" s="221">
        <f t="shared" si="12"/>
        <v>25</v>
      </c>
      <c r="M394" s="221" t="str">
        <f t="shared" ca="1" si="13"/>
        <v>2013/07</v>
      </c>
    </row>
    <row r="395" spans="1:13">
      <c r="A395" s="216">
        <v>41465</v>
      </c>
      <c r="B395" s="217"/>
      <c r="C395" s="217"/>
      <c r="D395" s="216">
        <v>41480</v>
      </c>
      <c r="E395" s="218">
        <v>99</v>
      </c>
      <c r="F395" s="216">
        <v>41480</v>
      </c>
      <c r="G395" s="218">
        <v>-101.13</v>
      </c>
      <c r="H395" s="219" t="s">
        <v>52</v>
      </c>
      <c r="I395" s="239" t="s">
        <v>1111</v>
      </c>
      <c r="J395" s="219" t="s">
        <v>17</v>
      </c>
      <c r="K395" s="220" t="str">
        <f>IF(J395&lt;&gt;"",VLOOKUP(J395,PContas!A:B,2,FALSE),"")</f>
        <v>WEB</v>
      </c>
      <c r="L395" s="221">
        <f t="shared" si="12"/>
        <v>25</v>
      </c>
      <c r="M395" s="221" t="str">
        <f t="shared" ca="1" si="13"/>
        <v>2013/07</v>
      </c>
    </row>
    <row r="396" spans="1:13">
      <c r="A396" s="216">
        <v>41465</v>
      </c>
      <c r="B396" s="217" t="s">
        <v>79</v>
      </c>
      <c r="C396" s="217"/>
      <c r="D396" s="216">
        <v>41598</v>
      </c>
      <c r="E396" s="218">
        <v>2000</v>
      </c>
      <c r="F396" s="216"/>
      <c r="G396" s="218">
        <v>0</v>
      </c>
      <c r="H396" s="219" t="s">
        <v>71</v>
      </c>
      <c r="I396" s="239" t="s">
        <v>2</v>
      </c>
      <c r="J396" s="219" t="s">
        <v>60</v>
      </c>
      <c r="K396" s="220" t="str">
        <f>IF(J396&lt;&gt;"",VLOOKUP(J396,PContas!A:B,2,FALSE),"")</f>
        <v>CLIENTES</v>
      </c>
      <c r="L396" s="221">
        <f t="shared" si="12"/>
        <v>20</v>
      </c>
      <c r="M396" s="221" t="str">
        <f t="shared" ca="1" si="13"/>
        <v>ATRASADO</v>
      </c>
    </row>
    <row r="397" spans="1:13">
      <c r="A397" s="216">
        <v>41465</v>
      </c>
      <c r="B397" s="217" t="s">
        <v>79</v>
      </c>
      <c r="C397" s="217"/>
      <c r="D397" s="216">
        <v>41598</v>
      </c>
      <c r="E397" s="218">
        <v>660</v>
      </c>
      <c r="F397" s="216"/>
      <c r="G397" s="218">
        <v>-1700</v>
      </c>
      <c r="H397" s="219" t="s">
        <v>52</v>
      </c>
      <c r="I397" s="219" t="s">
        <v>2</v>
      </c>
      <c r="J397" s="219" t="s">
        <v>78</v>
      </c>
      <c r="K397" s="220" t="str">
        <f>IF(J397&lt;&gt;"",VLOOKUP(J397,PContas!A:B,2,FALSE),"")</f>
        <v>M.OBRA</v>
      </c>
      <c r="L397" s="221">
        <f t="shared" si="12"/>
        <v>20</v>
      </c>
      <c r="M397" s="221" t="str">
        <f t="shared" ca="1" si="13"/>
        <v>ATRASADO</v>
      </c>
    </row>
    <row r="398" spans="1:13">
      <c r="A398" s="216">
        <v>41465</v>
      </c>
      <c r="B398" s="217"/>
      <c r="C398" s="217"/>
      <c r="D398" s="216">
        <v>41487</v>
      </c>
      <c r="E398" s="218">
        <v>51.08</v>
      </c>
      <c r="F398" s="216">
        <v>41488</v>
      </c>
      <c r="G398" s="218">
        <v>-51.1</v>
      </c>
      <c r="H398" s="219" t="s">
        <v>52</v>
      </c>
      <c r="I398" s="239" t="s">
        <v>1111</v>
      </c>
      <c r="J398" s="219" t="s">
        <v>28</v>
      </c>
      <c r="K398" s="220" t="str">
        <f>IF(J398&lt;&gt;"",VLOOKUP(J398,PContas!A:B,2,FALSE),"")</f>
        <v>SAUDE</v>
      </c>
      <c r="L398" s="221">
        <f t="shared" si="12"/>
        <v>1</v>
      </c>
      <c r="M398" s="221" t="str">
        <f t="shared" ca="1" si="13"/>
        <v>2013/08</v>
      </c>
    </row>
    <row r="399" spans="1:13">
      <c r="A399" s="216">
        <v>41465</v>
      </c>
      <c r="B399" s="217"/>
      <c r="C399" s="217"/>
      <c r="D399" s="216">
        <v>41487</v>
      </c>
      <c r="E399" s="218">
        <v>49.9</v>
      </c>
      <c r="F399" s="216">
        <v>41488</v>
      </c>
      <c r="G399" s="218">
        <v>-49.9</v>
      </c>
      <c r="H399" s="219" t="s">
        <v>52</v>
      </c>
      <c r="I399" s="219" t="s">
        <v>1111</v>
      </c>
      <c r="J399" s="219" t="s">
        <v>102</v>
      </c>
      <c r="K399" s="220" t="str">
        <f>IF(J399&lt;&gt;"",VLOOKUP(J399,PContas!A:B,2,FALSE),"")</f>
        <v>WEB</v>
      </c>
      <c r="L399" s="221">
        <f t="shared" si="12"/>
        <v>1</v>
      </c>
      <c r="M399" s="221" t="str">
        <f t="shared" ca="1" si="13"/>
        <v>2013/08</v>
      </c>
    </row>
    <row r="400" spans="1:13">
      <c r="A400" s="216">
        <v>41465</v>
      </c>
      <c r="B400" s="217"/>
      <c r="C400" s="217" t="s">
        <v>1255</v>
      </c>
      <c r="D400" s="216">
        <v>41496</v>
      </c>
      <c r="E400" s="218">
        <v>61.66</v>
      </c>
      <c r="F400" s="216">
        <v>41488</v>
      </c>
      <c r="G400" s="218">
        <v>-61.66</v>
      </c>
      <c r="H400" s="219" t="s">
        <v>52</v>
      </c>
      <c r="I400" s="239" t="s">
        <v>1111</v>
      </c>
      <c r="J400" s="219" t="s">
        <v>16</v>
      </c>
      <c r="K400" s="220" t="str">
        <f>IF(J400&lt;&gt;"",VLOOKUP(J400,PContas!A:B,2,FALSE),"")</f>
        <v>MORADIA</v>
      </c>
      <c r="L400" s="221">
        <f t="shared" si="12"/>
        <v>10</v>
      </c>
      <c r="M400" s="221" t="str">
        <f t="shared" ca="1" si="13"/>
        <v>2013/08</v>
      </c>
    </row>
    <row r="401" spans="1:13">
      <c r="A401" s="216">
        <v>41465</v>
      </c>
      <c r="B401" s="217"/>
      <c r="C401" s="217" t="s">
        <v>464</v>
      </c>
      <c r="D401" s="216">
        <v>41496</v>
      </c>
      <c r="E401" s="218">
        <v>20</v>
      </c>
      <c r="F401" s="216">
        <v>41505</v>
      </c>
      <c r="G401" s="218">
        <v>-21.45</v>
      </c>
      <c r="H401" s="219" t="s">
        <v>52</v>
      </c>
      <c r="I401" s="239" t="s">
        <v>1111</v>
      </c>
      <c r="J401" s="219" t="s">
        <v>30</v>
      </c>
      <c r="K401" s="220" t="str">
        <f>IF(J401&lt;&gt;"",VLOOKUP(J401,PContas!A:B,2,FALSE),"")</f>
        <v>PROVISÃO</v>
      </c>
      <c r="L401" s="221">
        <f t="shared" si="12"/>
        <v>10</v>
      </c>
      <c r="M401" s="221" t="str">
        <f t="shared" ca="1" si="13"/>
        <v>2013/08</v>
      </c>
    </row>
    <row r="402" spans="1:13">
      <c r="A402" s="216">
        <v>41465</v>
      </c>
      <c r="B402" s="217" t="s">
        <v>1397</v>
      </c>
      <c r="C402" s="217"/>
      <c r="D402" s="216">
        <v>41506</v>
      </c>
      <c r="E402" s="218">
        <v>10</v>
      </c>
      <c r="F402" s="236">
        <v>41704</v>
      </c>
      <c r="G402" s="218">
        <v>10</v>
      </c>
      <c r="H402" s="219" t="s">
        <v>71</v>
      </c>
      <c r="I402" s="219" t="s">
        <v>2</v>
      </c>
      <c r="J402" s="219" t="s">
        <v>58</v>
      </c>
      <c r="K402" s="220" t="str">
        <f>IF(J402&lt;&gt;"",VLOOKUP(J402,PContas!A:B,2,FALSE),"")</f>
        <v>CLIENTES</v>
      </c>
      <c r="L402" s="221">
        <f t="shared" si="12"/>
        <v>20</v>
      </c>
      <c r="M402" s="221" t="str">
        <f t="shared" ca="1" si="13"/>
        <v>2013/08</v>
      </c>
    </row>
    <row r="403" spans="1:13">
      <c r="A403" s="216">
        <v>41465</v>
      </c>
      <c r="B403" s="217" t="s">
        <v>949</v>
      </c>
      <c r="C403" s="217"/>
      <c r="D403" s="216">
        <v>41506</v>
      </c>
      <c r="E403" s="218">
        <v>100</v>
      </c>
      <c r="F403" s="216">
        <v>41508</v>
      </c>
      <c r="G403" s="218">
        <v>100</v>
      </c>
      <c r="H403" s="219" t="s">
        <v>71</v>
      </c>
      <c r="I403" s="219" t="s">
        <v>2</v>
      </c>
      <c r="J403" s="219" t="s">
        <v>57</v>
      </c>
      <c r="K403" s="220" t="str">
        <f>IF(J403&lt;&gt;"",VLOOKUP(J403,PContas!A:B,2,FALSE),"")</f>
        <v>CLIENTES</v>
      </c>
      <c r="L403" s="221">
        <f t="shared" si="12"/>
        <v>20</v>
      </c>
      <c r="M403" s="221" t="str">
        <f t="shared" ca="1" si="13"/>
        <v>2013/08</v>
      </c>
    </row>
    <row r="404" spans="1:13">
      <c r="A404" s="216">
        <v>41465</v>
      </c>
      <c r="B404" s="217" t="s">
        <v>957</v>
      </c>
      <c r="C404" s="217" t="s">
        <v>984</v>
      </c>
      <c r="D404" s="216">
        <v>41506</v>
      </c>
      <c r="E404" s="218">
        <v>67.849999999999994</v>
      </c>
      <c r="F404" s="216">
        <v>41508</v>
      </c>
      <c r="G404" s="218">
        <v>67.849999999999994</v>
      </c>
      <c r="H404" s="219" t="s">
        <v>71</v>
      </c>
      <c r="I404" s="219" t="s">
        <v>2</v>
      </c>
      <c r="J404" s="219" t="s">
        <v>56</v>
      </c>
      <c r="K404" s="220" t="str">
        <f>IF(J404&lt;&gt;"",VLOOKUP(J404,PContas!A:B,2,FALSE),"")</f>
        <v>CLIENTES</v>
      </c>
      <c r="L404" s="221">
        <f t="shared" si="12"/>
        <v>20</v>
      </c>
      <c r="M404" s="221" t="str">
        <f t="shared" ca="1" si="13"/>
        <v>2013/08</v>
      </c>
    </row>
    <row r="405" spans="1:13">
      <c r="A405" s="216">
        <v>41465</v>
      </c>
      <c r="B405" s="217" t="s">
        <v>964</v>
      </c>
      <c r="C405" s="217" t="s">
        <v>984</v>
      </c>
      <c r="D405" s="216">
        <v>41506</v>
      </c>
      <c r="E405" s="218">
        <v>67.739999999999995</v>
      </c>
      <c r="F405" s="216">
        <v>41508</v>
      </c>
      <c r="G405" s="218">
        <v>67.739999999999995</v>
      </c>
      <c r="H405" s="219" t="s">
        <v>71</v>
      </c>
      <c r="I405" s="219" t="s">
        <v>2</v>
      </c>
      <c r="J405" s="219" t="s">
        <v>55</v>
      </c>
      <c r="K405" s="220" t="str">
        <f>IF(J405&lt;&gt;"",VLOOKUP(J405,PContas!A:B,2,FALSE),"")</f>
        <v>CLIENTES</v>
      </c>
      <c r="L405" s="221">
        <f t="shared" si="12"/>
        <v>20</v>
      </c>
      <c r="M405" s="221" t="str">
        <f t="shared" ca="1" si="13"/>
        <v>2013/08</v>
      </c>
    </row>
    <row r="406" spans="1:13">
      <c r="A406" s="216">
        <v>41465</v>
      </c>
      <c r="B406" s="217"/>
      <c r="C406" s="217"/>
      <c r="D406" s="216">
        <v>41511</v>
      </c>
      <c r="E406" s="218">
        <v>154.71</v>
      </c>
      <c r="F406" s="216">
        <v>41531</v>
      </c>
      <c r="G406" s="218">
        <v>-154.71</v>
      </c>
      <c r="H406" s="219" t="s">
        <v>52</v>
      </c>
      <c r="I406" s="219" t="s">
        <v>1111</v>
      </c>
      <c r="J406" s="219" t="s">
        <v>5</v>
      </c>
      <c r="K406" s="220" t="str">
        <f>IF(J406&lt;&gt;"",VLOOKUP(J406,PContas!A:B,2,FALSE),"")</f>
        <v>NET</v>
      </c>
      <c r="L406" s="221">
        <f t="shared" si="12"/>
        <v>25</v>
      </c>
      <c r="M406" s="221" t="str">
        <f t="shared" ca="1" si="13"/>
        <v>2013/08</v>
      </c>
    </row>
    <row r="407" spans="1:13">
      <c r="A407" s="216">
        <v>41465</v>
      </c>
      <c r="B407" s="217"/>
      <c r="C407" s="217"/>
      <c r="D407" s="216">
        <v>41511</v>
      </c>
      <c r="E407" s="218">
        <v>59.89</v>
      </c>
      <c r="F407" s="216">
        <v>41531</v>
      </c>
      <c r="G407" s="218">
        <v>-59.89</v>
      </c>
      <c r="H407" s="219" t="s">
        <v>52</v>
      </c>
      <c r="I407" s="239" t="s">
        <v>1111</v>
      </c>
      <c r="J407" s="219" t="s">
        <v>10</v>
      </c>
      <c r="K407" s="220" t="str">
        <f>IF(J407&lt;&gt;"",VLOOKUP(J407,PContas!A:B,2,FALSE),"")</f>
        <v>NET</v>
      </c>
      <c r="L407" s="221">
        <f t="shared" si="12"/>
        <v>25</v>
      </c>
      <c r="M407" s="221" t="str">
        <f t="shared" ca="1" si="13"/>
        <v>2013/08</v>
      </c>
    </row>
    <row r="408" spans="1:13">
      <c r="A408" s="216">
        <v>41465</v>
      </c>
      <c r="B408" s="217"/>
      <c r="C408" s="217"/>
      <c r="D408" s="216">
        <v>41511</v>
      </c>
      <c r="E408" s="218">
        <v>82.05</v>
      </c>
      <c r="F408" s="216">
        <v>41531</v>
      </c>
      <c r="G408" s="218">
        <v>-82.05</v>
      </c>
      <c r="H408" s="219" t="s">
        <v>52</v>
      </c>
      <c r="I408" s="239" t="s">
        <v>1111</v>
      </c>
      <c r="J408" s="219" t="s">
        <v>13</v>
      </c>
      <c r="K408" s="220" t="str">
        <f>IF(J408&lt;&gt;"",VLOOKUP(J408,PContas!A:B,2,FALSE),"")</f>
        <v>NET</v>
      </c>
      <c r="L408" s="221">
        <f t="shared" si="12"/>
        <v>25</v>
      </c>
      <c r="M408" s="221" t="str">
        <f t="shared" ca="1" si="13"/>
        <v>2013/08</v>
      </c>
    </row>
    <row r="409" spans="1:13">
      <c r="A409" s="216">
        <v>41465</v>
      </c>
      <c r="B409" s="217"/>
      <c r="C409" s="217"/>
      <c r="D409" s="216">
        <v>41640</v>
      </c>
      <c r="E409" s="218">
        <v>2500</v>
      </c>
      <c r="F409" s="216"/>
      <c r="G409" s="218">
        <v>-2500</v>
      </c>
      <c r="H409" s="219" t="s">
        <v>52</v>
      </c>
      <c r="I409" s="239" t="s">
        <v>2</v>
      </c>
      <c r="J409" s="219" t="s">
        <v>37</v>
      </c>
      <c r="K409" s="220" t="str">
        <f>IF(J409&lt;&gt;"",VLOOKUP(J409,PContas!A:B,2,FALSE),"")</f>
        <v>EMPRESTIMOS</v>
      </c>
      <c r="L409" s="221">
        <f t="shared" si="12"/>
        <v>1</v>
      </c>
      <c r="M409" s="221" t="str">
        <f t="shared" ca="1" si="13"/>
        <v>ATRASADO</v>
      </c>
    </row>
    <row r="410" spans="1:13">
      <c r="A410" s="216">
        <v>41465</v>
      </c>
      <c r="B410" s="217" t="s">
        <v>34</v>
      </c>
      <c r="C410" s="217"/>
      <c r="D410" s="216">
        <v>41640</v>
      </c>
      <c r="E410" s="218">
        <v>1000</v>
      </c>
      <c r="F410" s="216"/>
      <c r="G410" s="218">
        <v>-1000</v>
      </c>
      <c r="H410" s="219" t="s">
        <v>52</v>
      </c>
      <c r="I410" s="219" t="s">
        <v>2</v>
      </c>
      <c r="J410" s="219" t="s">
        <v>34</v>
      </c>
      <c r="K410" s="220" t="str">
        <f>IF(J410&lt;&gt;"",VLOOKUP(J410,PContas!A:B,2,FALSE),"")</f>
        <v>EMPRESTIMOS</v>
      </c>
      <c r="L410" s="221">
        <f t="shared" si="12"/>
        <v>1</v>
      </c>
      <c r="M410" s="221" t="str">
        <f t="shared" ca="1" si="13"/>
        <v>ATRASADO</v>
      </c>
    </row>
    <row r="411" spans="1:13">
      <c r="A411" s="216">
        <v>41465</v>
      </c>
      <c r="B411" s="217"/>
      <c r="C411" s="217"/>
      <c r="D411" s="216">
        <v>41518</v>
      </c>
      <c r="E411" s="218">
        <v>49.9</v>
      </c>
      <c r="F411" s="216">
        <v>41510</v>
      </c>
      <c r="G411" s="218">
        <v>-50.92</v>
      </c>
      <c r="H411" s="219" t="s">
        <v>52</v>
      </c>
      <c r="I411" s="219" t="s">
        <v>1111</v>
      </c>
      <c r="J411" s="219" t="s">
        <v>102</v>
      </c>
      <c r="K411" s="220" t="str">
        <f>IF(J411&lt;&gt;"",VLOOKUP(J411,PContas!A:B,2,FALSE),"")</f>
        <v>WEB</v>
      </c>
      <c r="L411" s="221">
        <f t="shared" si="12"/>
        <v>1</v>
      </c>
      <c r="M411" s="221" t="str">
        <f t="shared" ca="1" si="13"/>
        <v>2013/09</v>
      </c>
    </row>
    <row r="412" spans="1:13">
      <c r="A412" s="216">
        <v>41465</v>
      </c>
      <c r="B412" s="217"/>
      <c r="C412" s="217"/>
      <c r="D412" s="216">
        <v>41518</v>
      </c>
      <c r="E412" s="218">
        <v>51.08</v>
      </c>
      <c r="F412" s="216">
        <v>41510</v>
      </c>
      <c r="G412" s="218">
        <v>-51.08</v>
      </c>
      <c r="H412" s="219" t="s">
        <v>52</v>
      </c>
      <c r="I412" s="239" t="s">
        <v>1111</v>
      </c>
      <c r="J412" s="219" t="s">
        <v>28</v>
      </c>
      <c r="K412" s="220" t="str">
        <f>IF(J412&lt;&gt;"",VLOOKUP(J412,PContas!A:B,2,FALSE),"")</f>
        <v>SAUDE</v>
      </c>
      <c r="L412" s="221">
        <f t="shared" si="12"/>
        <v>1</v>
      </c>
      <c r="M412" s="221" t="str">
        <f t="shared" ca="1" si="13"/>
        <v>2013/09</v>
      </c>
    </row>
    <row r="413" spans="1:13">
      <c r="A413" s="216">
        <v>41465</v>
      </c>
      <c r="B413" s="217"/>
      <c r="C413" s="217" t="s">
        <v>465</v>
      </c>
      <c r="D413" s="216">
        <v>41527</v>
      </c>
      <c r="E413" s="218">
        <v>20</v>
      </c>
      <c r="F413" s="216">
        <v>41533</v>
      </c>
      <c r="G413" s="218">
        <v>-21.49</v>
      </c>
      <c r="H413" s="219" t="s">
        <v>52</v>
      </c>
      <c r="I413" s="239" t="s">
        <v>1111</v>
      </c>
      <c r="J413" s="219" t="s">
        <v>30</v>
      </c>
      <c r="K413" s="220" t="str">
        <f>IF(J413&lt;&gt;"",VLOOKUP(J413,PContas!A:B,2,FALSE),"")</f>
        <v>PROVISÃO</v>
      </c>
      <c r="L413" s="221">
        <f t="shared" si="12"/>
        <v>10</v>
      </c>
      <c r="M413" s="221" t="str">
        <f t="shared" ca="1" si="13"/>
        <v>2013/09</v>
      </c>
    </row>
    <row r="414" spans="1:13">
      <c r="A414" s="216">
        <v>41465</v>
      </c>
      <c r="B414" s="217"/>
      <c r="C414" s="217" t="s">
        <v>1254</v>
      </c>
      <c r="D414" s="216">
        <v>41527</v>
      </c>
      <c r="E414" s="218">
        <v>78.67</v>
      </c>
      <c r="F414" s="216">
        <v>41531</v>
      </c>
      <c r="G414" s="218">
        <v>-78.67</v>
      </c>
      <c r="H414" s="219" t="s">
        <v>52</v>
      </c>
      <c r="I414" s="219" t="s">
        <v>1111</v>
      </c>
      <c r="J414" s="219" t="s">
        <v>16</v>
      </c>
      <c r="K414" s="220" t="str">
        <f>IF(J414&lt;&gt;"",VLOOKUP(J414,PContas!A:B,2,FALSE),"")</f>
        <v>MORADIA</v>
      </c>
      <c r="L414" s="221">
        <f t="shared" si="12"/>
        <v>10</v>
      </c>
      <c r="M414" s="221" t="str">
        <f t="shared" ca="1" si="13"/>
        <v>2013/09</v>
      </c>
    </row>
    <row r="415" spans="1:13">
      <c r="A415" s="216">
        <v>41465</v>
      </c>
      <c r="B415" s="217" t="s">
        <v>963</v>
      </c>
      <c r="C415" s="217" t="s">
        <v>985</v>
      </c>
      <c r="D415" s="216">
        <v>41537</v>
      </c>
      <c r="E415" s="218">
        <v>67.739999999999995</v>
      </c>
      <c r="F415" s="216">
        <v>41537</v>
      </c>
      <c r="G415" s="218">
        <v>67.739999999999995</v>
      </c>
      <c r="H415" s="219" t="s">
        <v>71</v>
      </c>
      <c r="I415" s="239" t="s">
        <v>2</v>
      </c>
      <c r="J415" s="219" t="s">
        <v>55</v>
      </c>
      <c r="K415" s="220" t="str">
        <f>IF(J415&lt;&gt;"",VLOOKUP(J415,PContas!A:B,2,FALSE),"")</f>
        <v>CLIENTES</v>
      </c>
      <c r="L415" s="221">
        <f t="shared" si="12"/>
        <v>20</v>
      </c>
      <c r="M415" s="221" t="str">
        <f t="shared" ca="1" si="13"/>
        <v>2013/09</v>
      </c>
    </row>
    <row r="416" spans="1:13">
      <c r="A416" s="216">
        <v>41465</v>
      </c>
      <c r="B416" s="217" t="s">
        <v>956</v>
      </c>
      <c r="C416" s="217" t="s">
        <v>985</v>
      </c>
      <c r="D416" s="216">
        <v>41537</v>
      </c>
      <c r="E416" s="218">
        <v>67.849999999999994</v>
      </c>
      <c r="F416" s="216">
        <v>41537</v>
      </c>
      <c r="G416" s="218">
        <v>67.849999999999994</v>
      </c>
      <c r="H416" s="219" t="s">
        <v>71</v>
      </c>
      <c r="I416" s="219" t="s">
        <v>2</v>
      </c>
      <c r="J416" s="219" t="s">
        <v>56</v>
      </c>
      <c r="K416" s="220" t="str">
        <f>IF(J416&lt;&gt;"",VLOOKUP(J416,PContas!A:B,2,FALSE),"")</f>
        <v>CLIENTES</v>
      </c>
      <c r="L416" s="221">
        <f t="shared" si="12"/>
        <v>20</v>
      </c>
      <c r="M416" s="221" t="str">
        <f t="shared" ca="1" si="13"/>
        <v>2013/09</v>
      </c>
    </row>
    <row r="417" spans="1:13">
      <c r="A417" s="216">
        <v>41465</v>
      </c>
      <c r="B417" s="217" t="s">
        <v>948</v>
      </c>
      <c r="C417" s="217"/>
      <c r="D417" s="216">
        <v>41537</v>
      </c>
      <c r="E417" s="218">
        <v>100</v>
      </c>
      <c r="F417" s="216">
        <v>41508</v>
      </c>
      <c r="G417" s="218">
        <v>100</v>
      </c>
      <c r="H417" s="219" t="s">
        <v>71</v>
      </c>
      <c r="I417" s="219" t="s">
        <v>2</v>
      </c>
      <c r="J417" s="219" t="s">
        <v>57</v>
      </c>
      <c r="K417" s="220" t="str">
        <f>IF(J417&lt;&gt;"",VLOOKUP(J417,PContas!A:B,2,FALSE),"")</f>
        <v>CLIENTES</v>
      </c>
      <c r="L417" s="221">
        <f t="shared" si="12"/>
        <v>20</v>
      </c>
      <c r="M417" s="221" t="str">
        <f t="shared" ca="1" si="13"/>
        <v>2013/09</v>
      </c>
    </row>
    <row r="418" spans="1:13">
      <c r="A418" s="216">
        <v>41465</v>
      </c>
      <c r="B418" s="217" t="s">
        <v>1398</v>
      </c>
      <c r="C418" s="217"/>
      <c r="D418" s="216">
        <v>41537</v>
      </c>
      <c r="E418" s="218">
        <v>10</v>
      </c>
      <c r="F418" s="236">
        <v>41704</v>
      </c>
      <c r="G418" s="218">
        <v>10</v>
      </c>
      <c r="H418" s="219" t="s">
        <v>71</v>
      </c>
      <c r="I418" s="219" t="s">
        <v>2</v>
      </c>
      <c r="J418" s="219" t="s">
        <v>58</v>
      </c>
      <c r="K418" s="220" t="str">
        <f>IF(J418&lt;&gt;"",VLOOKUP(J418,PContas!A:B,2,FALSE),"")</f>
        <v>CLIENTES</v>
      </c>
      <c r="L418" s="221">
        <f t="shared" si="12"/>
        <v>20</v>
      </c>
      <c r="M418" s="221" t="str">
        <f t="shared" ca="1" si="13"/>
        <v>2013/09</v>
      </c>
    </row>
    <row r="419" spans="1:13">
      <c r="A419" s="216">
        <v>41465</v>
      </c>
      <c r="B419" s="217"/>
      <c r="C419" s="217"/>
      <c r="D419" s="216">
        <v>41542</v>
      </c>
      <c r="E419" s="218">
        <v>59.9</v>
      </c>
      <c r="F419" s="216">
        <v>41563</v>
      </c>
      <c r="G419" s="218">
        <v>-59.9</v>
      </c>
      <c r="H419" s="219" t="s">
        <v>52</v>
      </c>
      <c r="I419" s="219" t="s">
        <v>1111</v>
      </c>
      <c r="J419" s="219" t="s">
        <v>10</v>
      </c>
      <c r="K419" s="220" t="str">
        <f>IF(J419&lt;&gt;"",VLOOKUP(J419,PContas!A:B,2,FALSE),"")</f>
        <v>NET</v>
      </c>
      <c r="L419" s="221">
        <f t="shared" si="12"/>
        <v>25</v>
      </c>
      <c r="M419" s="221" t="str">
        <f t="shared" ca="1" si="13"/>
        <v>2013/09</v>
      </c>
    </row>
    <row r="420" spans="1:13">
      <c r="A420" s="216">
        <v>41465</v>
      </c>
      <c r="B420" s="217"/>
      <c r="C420" s="217"/>
      <c r="D420" s="216">
        <v>41542</v>
      </c>
      <c r="E420" s="218">
        <v>64.180000000000007</v>
      </c>
      <c r="F420" s="216">
        <v>41563</v>
      </c>
      <c r="G420" s="218">
        <v>-64.180000000000007</v>
      </c>
      <c r="H420" s="219" t="s">
        <v>52</v>
      </c>
      <c r="I420" s="239" t="s">
        <v>1111</v>
      </c>
      <c r="J420" s="219" t="s">
        <v>13</v>
      </c>
      <c r="K420" s="220" t="str">
        <f>IF(J420&lt;&gt;"",VLOOKUP(J420,PContas!A:B,2,FALSE),"")</f>
        <v>NET</v>
      </c>
      <c r="L420" s="221">
        <f t="shared" si="12"/>
        <v>25</v>
      </c>
      <c r="M420" s="221" t="str">
        <f t="shared" ca="1" si="13"/>
        <v>2013/09</v>
      </c>
    </row>
    <row r="421" spans="1:13">
      <c r="A421" s="216">
        <v>41465</v>
      </c>
      <c r="B421" s="217"/>
      <c r="C421" s="217"/>
      <c r="D421" s="216">
        <v>41542</v>
      </c>
      <c r="E421" s="218">
        <v>245.69</v>
      </c>
      <c r="F421" s="216">
        <v>41563</v>
      </c>
      <c r="G421" s="218">
        <v>-245.69</v>
      </c>
      <c r="H421" s="219" t="s">
        <v>52</v>
      </c>
      <c r="I421" s="239" t="s">
        <v>1111</v>
      </c>
      <c r="J421" s="219" t="s">
        <v>5</v>
      </c>
      <c r="K421" s="220" t="str">
        <f>IF(J421&lt;&gt;"",VLOOKUP(J421,PContas!A:B,2,FALSE),"")</f>
        <v>NET</v>
      </c>
      <c r="L421" s="221">
        <f t="shared" si="12"/>
        <v>25</v>
      </c>
      <c r="M421" s="221" t="str">
        <f t="shared" ca="1" si="13"/>
        <v>2013/09</v>
      </c>
    </row>
    <row r="422" spans="1:13">
      <c r="A422" s="216">
        <v>41465</v>
      </c>
      <c r="B422" s="217" t="s">
        <v>34</v>
      </c>
      <c r="C422" s="217"/>
      <c r="D422" s="216">
        <v>41640</v>
      </c>
      <c r="E422" s="218">
        <v>1000</v>
      </c>
      <c r="F422" s="216"/>
      <c r="G422" s="218">
        <v>-1000</v>
      </c>
      <c r="H422" s="219" t="s">
        <v>52</v>
      </c>
      <c r="I422" s="239" t="s">
        <v>2</v>
      </c>
      <c r="J422" s="219" t="s">
        <v>34</v>
      </c>
      <c r="K422" s="220" t="str">
        <f>IF(J422&lt;&gt;"",VLOOKUP(J422,PContas!A:B,2,FALSE),"")</f>
        <v>EMPRESTIMOS</v>
      </c>
      <c r="L422" s="221">
        <f t="shared" si="12"/>
        <v>1</v>
      </c>
      <c r="M422" s="221" t="str">
        <f t="shared" ca="1" si="13"/>
        <v>ATRASADO</v>
      </c>
    </row>
    <row r="423" spans="1:13">
      <c r="A423" s="216">
        <v>41465</v>
      </c>
      <c r="B423" s="217"/>
      <c r="C423" s="217"/>
      <c r="D423" s="216">
        <v>41548</v>
      </c>
      <c r="E423" s="218">
        <v>49.9</v>
      </c>
      <c r="F423" s="216">
        <v>41542</v>
      </c>
      <c r="G423" s="218">
        <v>-49.9</v>
      </c>
      <c r="H423" s="219" t="s">
        <v>52</v>
      </c>
      <c r="I423" s="219" t="s">
        <v>1111</v>
      </c>
      <c r="J423" s="219" t="s">
        <v>102</v>
      </c>
      <c r="K423" s="220" t="str">
        <f>IF(J423&lt;&gt;"",VLOOKUP(J423,PContas!A:B,2,FALSE),"")</f>
        <v>WEB</v>
      </c>
      <c r="L423" s="221">
        <f t="shared" si="12"/>
        <v>1</v>
      </c>
      <c r="M423" s="221" t="str">
        <f t="shared" ca="1" si="13"/>
        <v>2013/10</v>
      </c>
    </row>
    <row r="424" spans="1:13">
      <c r="A424" s="216">
        <v>41465</v>
      </c>
      <c r="B424" s="217"/>
      <c r="C424" s="217"/>
      <c r="D424" s="216">
        <v>41548</v>
      </c>
      <c r="E424" s="218">
        <v>51.08</v>
      </c>
      <c r="F424" s="216">
        <v>41548</v>
      </c>
      <c r="G424" s="218">
        <v>-51.08</v>
      </c>
      <c r="H424" s="219" t="s">
        <v>52</v>
      </c>
      <c r="I424" s="239" t="s">
        <v>1111</v>
      </c>
      <c r="J424" s="219" t="s">
        <v>28</v>
      </c>
      <c r="K424" s="220" t="str">
        <f>IF(J424&lt;&gt;"",VLOOKUP(J424,PContas!A:B,2,FALSE),"")</f>
        <v>SAUDE</v>
      </c>
      <c r="L424" s="221">
        <f t="shared" si="12"/>
        <v>1</v>
      </c>
      <c r="M424" s="221" t="str">
        <f t="shared" ca="1" si="13"/>
        <v>2013/10</v>
      </c>
    </row>
    <row r="425" spans="1:13">
      <c r="A425" s="216">
        <v>41465</v>
      </c>
      <c r="B425" s="217"/>
      <c r="C425" s="217" t="s">
        <v>940</v>
      </c>
      <c r="D425" s="216">
        <v>41557</v>
      </c>
      <c r="E425" s="218">
        <v>20</v>
      </c>
      <c r="F425" s="216">
        <v>41557</v>
      </c>
      <c r="G425" s="218">
        <v>-21.45</v>
      </c>
      <c r="H425" s="219" t="s">
        <v>52</v>
      </c>
      <c r="I425" s="239" t="s">
        <v>1111</v>
      </c>
      <c r="J425" s="219" t="s">
        <v>30</v>
      </c>
      <c r="K425" s="220" t="str">
        <f>IF(J425&lt;&gt;"",VLOOKUP(J425,PContas!A:B,2,FALSE),"")</f>
        <v>PROVISÃO</v>
      </c>
      <c r="L425" s="221">
        <f t="shared" si="12"/>
        <v>10</v>
      </c>
      <c r="M425" s="221" t="str">
        <f t="shared" ca="1" si="13"/>
        <v>2013/10</v>
      </c>
    </row>
    <row r="426" spans="1:13">
      <c r="A426" s="216">
        <v>41465</v>
      </c>
      <c r="B426" s="217"/>
      <c r="C426" s="217" t="s">
        <v>1253</v>
      </c>
      <c r="D426" s="216">
        <v>41557</v>
      </c>
      <c r="E426" s="218">
        <v>79.540000000000006</v>
      </c>
      <c r="F426" s="216">
        <v>41557</v>
      </c>
      <c r="G426" s="218">
        <v>-79.540000000000006</v>
      </c>
      <c r="H426" s="219" t="s">
        <v>52</v>
      </c>
      <c r="I426" s="219" t="s">
        <v>1111</v>
      </c>
      <c r="J426" s="219" t="s">
        <v>16</v>
      </c>
      <c r="K426" s="220" t="str">
        <f>IF(J426&lt;&gt;"",VLOOKUP(J426,PContas!A:B,2,FALSE),"")</f>
        <v>MORADIA</v>
      </c>
      <c r="L426" s="221">
        <f t="shared" si="12"/>
        <v>10</v>
      </c>
      <c r="M426" s="221" t="str">
        <f t="shared" ca="1" si="13"/>
        <v>2013/10</v>
      </c>
    </row>
    <row r="427" spans="1:13">
      <c r="A427" s="216">
        <v>41465</v>
      </c>
      <c r="B427" s="217"/>
      <c r="C427" s="217"/>
      <c r="D427" s="216">
        <v>41557</v>
      </c>
      <c r="E427" s="218">
        <v>511.44</v>
      </c>
      <c r="F427" s="216">
        <v>41578</v>
      </c>
      <c r="G427" s="218">
        <v>-511.44</v>
      </c>
      <c r="H427" s="219" t="s">
        <v>52</v>
      </c>
      <c r="I427" s="239" t="s">
        <v>2</v>
      </c>
      <c r="J427" s="219" t="s">
        <v>18</v>
      </c>
      <c r="K427" s="220" t="str">
        <f>IF(J427&lt;&gt;"",VLOOKUP(J427,PContas!A:B,2,FALSE),"")</f>
        <v>MORADIA</v>
      </c>
      <c r="L427" s="221">
        <f t="shared" si="12"/>
        <v>10</v>
      </c>
      <c r="M427" s="221" t="str">
        <f t="shared" ca="1" si="13"/>
        <v>2013/10</v>
      </c>
    </row>
    <row r="428" spans="1:13">
      <c r="A428" s="216">
        <v>41465</v>
      </c>
      <c r="B428" s="217" t="s">
        <v>962</v>
      </c>
      <c r="C428" s="217" t="s">
        <v>986</v>
      </c>
      <c r="D428" s="216">
        <v>41583</v>
      </c>
      <c r="E428" s="218">
        <v>67.739999999999995</v>
      </c>
      <c r="F428" s="216">
        <v>41583</v>
      </c>
      <c r="G428" s="218">
        <v>71.069999999999993</v>
      </c>
      <c r="H428" s="219" t="s">
        <v>71</v>
      </c>
      <c r="I428" s="219" t="s">
        <v>2</v>
      </c>
      <c r="J428" s="219" t="s">
        <v>55</v>
      </c>
      <c r="K428" s="220" t="str">
        <f>IF(J428&lt;&gt;"",VLOOKUP(J428,PContas!A:B,2,FALSE),"")</f>
        <v>CLIENTES</v>
      </c>
      <c r="L428" s="221">
        <f t="shared" si="12"/>
        <v>5</v>
      </c>
      <c r="M428" s="221" t="str">
        <f t="shared" ca="1" si="13"/>
        <v>2013/11</v>
      </c>
    </row>
    <row r="429" spans="1:13">
      <c r="A429" s="216">
        <v>41465</v>
      </c>
      <c r="B429" s="217" t="s">
        <v>955</v>
      </c>
      <c r="C429" s="217" t="s">
        <v>986</v>
      </c>
      <c r="D429" s="216">
        <v>41567</v>
      </c>
      <c r="E429" s="218">
        <v>67.849999999999994</v>
      </c>
      <c r="F429" s="216">
        <v>41567</v>
      </c>
      <c r="G429" s="218">
        <v>67.849999999999994</v>
      </c>
      <c r="H429" s="219" t="s">
        <v>71</v>
      </c>
      <c r="I429" s="219" t="s">
        <v>2</v>
      </c>
      <c r="J429" s="219" t="s">
        <v>56</v>
      </c>
      <c r="K429" s="220" t="str">
        <f>IF(J429&lt;&gt;"",VLOOKUP(J429,PContas!A:B,2,FALSE),"")</f>
        <v>CLIENTES</v>
      </c>
      <c r="L429" s="221">
        <f t="shared" si="12"/>
        <v>20</v>
      </c>
      <c r="M429" s="221" t="str">
        <f t="shared" ca="1" si="13"/>
        <v>2013/10</v>
      </c>
    </row>
    <row r="430" spans="1:13">
      <c r="A430" s="216">
        <v>41465</v>
      </c>
      <c r="B430" s="217" t="s">
        <v>947</v>
      </c>
      <c r="C430" s="217"/>
      <c r="D430" s="216">
        <v>41567</v>
      </c>
      <c r="E430" s="218">
        <v>100</v>
      </c>
      <c r="F430" s="216">
        <v>41567</v>
      </c>
      <c r="G430" s="218">
        <v>100</v>
      </c>
      <c r="H430" s="219" t="s">
        <v>71</v>
      </c>
      <c r="I430" s="219" t="s">
        <v>2</v>
      </c>
      <c r="J430" s="219" t="s">
        <v>57</v>
      </c>
      <c r="K430" s="220" t="str">
        <f>IF(J430&lt;&gt;"",VLOOKUP(J430,PContas!A:B,2,FALSE),"")</f>
        <v>CLIENTES</v>
      </c>
      <c r="L430" s="221">
        <f t="shared" si="12"/>
        <v>20</v>
      </c>
      <c r="M430" s="221" t="str">
        <f t="shared" ca="1" si="13"/>
        <v>2013/10</v>
      </c>
    </row>
    <row r="431" spans="1:13">
      <c r="A431" s="216">
        <v>41465</v>
      </c>
      <c r="B431" s="217" t="s">
        <v>1399</v>
      </c>
      <c r="C431" s="217"/>
      <c r="D431" s="216">
        <v>41567</v>
      </c>
      <c r="E431" s="218">
        <v>10</v>
      </c>
      <c r="F431" s="236">
        <v>41704</v>
      </c>
      <c r="G431" s="218">
        <v>10</v>
      </c>
      <c r="H431" s="219" t="s">
        <v>71</v>
      </c>
      <c r="I431" s="219" t="s">
        <v>2</v>
      </c>
      <c r="J431" s="219" t="s">
        <v>58</v>
      </c>
      <c r="K431" s="220" t="str">
        <f>IF(J431&lt;&gt;"",VLOOKUP(J431,PContas!A:B,2,FALSE),"")</f>
        <v>CLIENTES</v>
      </c>
      <c r="L431" s="221">
        <f t="shared" si="12"/>
        <v>20</v>
      </c>
      <c r="M431" s="221" t="str">
        <f t="shared" ca="1" si="13"/>
        <v>2013/10</v>
      </c>
    </row>
    <row r="432" spans="1:13">
      <c r="A432" s="216">
        <v>41465</v>
      </c>
      <c r="B432" s="217"/>
      <c r="C432" s="217"/>
      <c r="D432" s="216">
        <v>41572</v>
      </c>
      <c r="E432" s="218">
        <v>59.9</v>
      </c>
      <c r="F432" s="216">
        <v>41572</v>
      </c>
      <c r="G432" s="218">
        <v>-59.9</v>
      </c>
      <c r="H432" s="219" t="s">
        <v>52</v>
      </c>
      <c r="I432" s="219" t="s">
        <v>1111</v>
      </c>
      <c r="J432" s="219" t="s">
        <v>10</v>
      </c>
      <c r="K432" s="220" t="str">
        <f>IF(J432&lt;&gt;"",VLOOKUP(J432,PContas!A:B,2,FALSE),"")</f>
        <v>NET</v>
      </c>
      <c r="L432" s="221">
        <f t="shared" si="12"/>
        <v>25</v>
      </c>
      <c r="M432" s="221" t="str">
        <f t="shared" ca="1" si="13"/>
        <v>2013/10</v>
      </c>
    </row>
    <row r="433" spans="1:13">
      <c r="A433" s="216">
        <v>41465</v>
      </c>
      <c r="B433" s="217"/>
      <c r="C433" s="217"/>
      <c r="D433" s="216">
        <v>41572</v>
      </c>
      <c r="E433" s="218">
        <v>82.05</v>
      </c>
      <c r="F433" s="216">
        <v>41572</v>
      </c>
      <c r="G433" s="218">
        <v>-82.05</v>
      </c>
      <c r="H433" s="219" t="s">
        <v>52</v>
      </c>
      <c r="I433" s="239" t="s">
        <v>1111</v>
      </c>
      <c r="J433" s="219" t="s">
        <v>13</v>
      </c>
      <c r="K433" s="220" t="str">
        <f>IF(J433&lt;&gt;"",VLOOKUP(J433,PContas!A:B,2,FALSE),"")</f>
        <v>NET</v>
      </c>
      <c r="L433" s="221">
        <f t="shared" si="12"/>
        <v>25</v>
      </c>
      <c r="M433" s="221" t="str">
        <f t="shared" ca="1" si="13"/>
        <v>2013/10</v>
      </c>
    </row>
    <row r="434" spans="1:13">
      <c r="A434" s="216">
        <v>41465</v>
      </c>
      <c r="B434" s="217"/>
      <c r="C434" s="217"/>
      <c r="D434" s="216">
        <v>41572</v>
      </c>
      <c r="E434" s="218">
        <v>215</v>
      </c>
      <c r="F434" s="216">
        <v>41572</v>
      </c>
      <c r="G434" s="218">
        <v>-215</v>
      </c>
      <c r="H434" s="219" t="s">
        <v>52</v>
      </c>
      <c r="I434" s="239" t="s">
        <v>1111</v>
      </c>
      <c r="J434" s="219" t="s">
        <v>5</v>
      </c>
      <c r="K434" s="220" t="str">
        <f>IF(J434&lt;&gt;"",VLOOKUP(J434,PContas!A:B,2,FALSE),"")</f>
        <v>NET</v>
      </c>
      <c r="L434" s="221">
        <f t="shared" si="12"/>
        <v>25</v>
      </c>
      <c r="M434" s="221" t="str">
        <f t="shared" ca="1" si="13"/>
        <v>2013/10</v>
      </c>
    </row>
    <row r="435" spans="1:13">
      <c r="A435" s="216">
        <v>41465</v>
      </c>
      <c r="B435" s="217" t="s">
        <v>34</v>
      </c>
      <c r="C435" s="217"/>
      <c r="D435" s="216">
        <v>41640</v>
      </c>
      <c r="E435" s="218">
        <v>1000</v>
      </c>
      <c r="F435" s="216"/>
      <c r="G435" s="218">
        <v>-1000</v>
      </c>
      <c r="H435" s="219" t="s">
        <v>52</v>
      </c>
      <c r="I435" s="239" t="s">
        <v>2</v>
      </c>
      <c r="J435" s="219" t="s">
        <v>34</v>
      </c>
      <c r="K435" s="220" t="str">
        <f>IF(J435&lt;&gt;"",VLOOKUP(J435,PContas!A:B,2,FALSE),"")</f>
        <v>EMPRESTIMOS</v>
      </c>
      <c r="L435" s="221">
        <f t="shared" si="12"/>
        <v>1</v>
      </c>
      <c r="M435" s="221" t="str">
        <f t="shared" ca="1" si="13"/>
        <v>ATRASADO</v>
      </c>
    </row>
    <row r="436" spans="1:13">
      <c r="A436" s="216">
        <v>41465</v>
      </c>
      <c r="B436" s="217"/>
      <c r="C436" s="217"/>
      <c r="D436" s="216">
        <v>41579</v>
      </c>
      <c r="E436" s="218">
        <v>49.9</v>
      </c>
      <c r="F436" s="216">
        <v>41578</v>
      </c>
      <c r="G436" s="218">
        <v>-49.9</v>
      </c>
      <c r="H436" s="219" t="s">
        <v>52</v>
      </c>
      <c r="I436" s="219" t="s">
        <v>1111</v>
      </c>
      <c r="J436" s="219" t="s">
        <v>102</v>
      </c>
      <c r="K436" s="220" t="str">
        <f>IF(J436&lt;&gt;"",VLOOKUP(J436,PContas!A:B,2,FALSE),"")</f>
        <v>WEB</v>
      </c>
      <c r="L436" s="221">
        <f t="shared" si="12"/>
        <v>1</v>
      </c>
      <c r="M436" s="221" t="str">
        <f t="shared" ca="1" si="13"/>
        <v>2013/11</v>
      </c>
    </row>
    <row r="437" spans="1:13">
      <c r="A437" s="216">
        <v>41465</v>
      </c>
      <c r="B437" s="217"/>
      <c r="C437" s="217"/>
      <c r="D437" s="216">
        <v>41579</v>
      </c>
      <c r="E437" s="218">
        <v>51.08</v>
      </c>
      <c r="F437" s="216">
        <v>41584</v>
      </c>
      <c r="G437" s="218">
        <v>-56.19</v>
      </c>
      <c r="H437" s="219" t="s">
        <v>52</v>
      </c>
      <c r="I437" s="239" t="s">
        <v>1111</v>
      </c>
      <c r="J437" s="219" t="s">
        <v>28</v>
      </c>
      <c r="K437" s="220" t="str">
        <f>IF(J437&lt;&gt;"",VLOOKUP(J437,PContas!A:B,2,FALSE),"")</f>
        <v>SAUDE</v>
      </c>
      <c r="L437" s="221">
        <f t="shared" si="12"/>
        <v>1</v>
      </c>
      <c r="M437" s="221" t="str">
        <f t="shared" ca="1" si="13"/>
        <v>2013/11</v>
      </c>
    </row>
    <row r="438" spans="1:13">
      <c r="A438" s="216">
        <v>41465</v>
      </c>
      <c r="B438" s="217"/>
      <c r="C438" s="217" t="s">
        <v>1414</v>
      </c>
      <c r="D438" s="216">
        <v>41588</v>
      </c>
      <c r="E438" s="218">
        <v>20</v>
      </c>
      <c r="F438" s="216">
        <v>41589</v>
      </c>
      <c r="G438" s="218">
        <v>-21.45</v>
      </c>
      <c r="H438" s="219" t="s">
        <v>52</v>
      </c>
      <c r="I438" s="239" t="s">
        <v>1111</v>
      </c>
      <c r="J438" s="219" t="s">
        <v>30</v>
      </c>
      <c r="K438" s="220" t="str">
        <f>IF(J438&lt;&gt;"",VLOOKUP(J438,PContas!A:B,2,FALSE),"")</f>
        <v>PROVISÃO</v>
      </c>
      <c r="L438" s="221">
        <f t="shared" si="12"/>
        <v>10</v>
      </c>
      <c r="M438" s="221" t="str">
        <f t="shared" ca="1" si="13"/>
        <v>2013/11</v>
      </c>
    </row>
    <row r="439" spans="1:13">
      <c r="A439" s="216">
        <v>41465</v>
      </c>
      <c r="B439" s="217"/>
      <c r="C439" s="217" t="s">
        <v>1252</v>
      </c>
      <c r="D439" s="216">
        <v>41588</v>
      </c>
      <c r="E439" s="218">
        <v>79.98</v>
      </c>
      <c r="F439" s="216">
        <v>41627</v>
      </c>
      <c r="G439" s="218">
        <v>-79.98</v>
      </c>
      <c r="H439" s="219" t="s">
        <v>52</v>
      </c>
      <c r="I439" s="219" t="s">
        <v>1111</v>
      </c>
      <c r="J439" s="219" t="s">
        <v>16</v>
      </c>
      <c r="K439" s="220" t="str">
        <f>IF(J439&lt;&gt;"",VLOOKUP(J439,PContas!A:B,2,FALSE),"")</f>
        <v>MORADIA</v>
      </c>
      <c r="L439" s="221">
        <f t="shared" si="12"/>
        <v>10</v>
      </c>
      <c r="M439" s="221" t="str">
        <f t="shared" ca="1" si="13"/>
        <v>2013/11</v>
      </c>
    </row>
    <row r="440" spans="1:13">
      <c r="A440" s="216">
        <v>41465</v>
      </c>
      <c r="B440" s="217" t="s">
        <v>967</v>
      </c>
      <c r="C440" s="217" t="s">
        <v>987</v>
      </c>
      <c r="D440" s="216">
        <v>41598</v>
      </c>
      <c r="E440" s="218">
        <v>87.14</v>
      </c>
      <c r="F440" s="216">
        <v>41598</v>
      </c>
      <c r="G440" s="218">
        <v>87.14</v>
      </c>
      <c r="H440" s="219" t="s">
        <v>71</v>
      </c>
      <c r="I440" s="239" t="s">
        <v>2</v>
      </c>
      <c r="J440" s="219" t="s">
        <v>55</v>
      </c>
      <c r="K440" s="220" t="str">
        <f>IF(J440&lt;&gt;"",VLOOKUP(J440,PContas!A:B,2,FALSE),"")</f>
        <v>CLIENTES</v>
      </c>
      <c r="L440" s="221">
        <f t="shared" si="12"/>
        <v>20</v>
      </c>
      <c r="M440" s="221" t="str">
        <f t="shared" ca="1" si="13"/>
        <v>2013/11</v>
      </c>
    </row>
    <row r="441" spans="1:13">
      <c r="A441" s="216">
        <v>41465</v>
      </c>
      <c r="B441" s="217" t="s">
        <v>960</v>
      </c>
      <c r="C441" s="217" t="s">
        <v>987</v>
      </c>
      <c r="D441" s="216">
        <v>41598</v>
      </c>
      <c r="E441" s="218">
        <v>67.849999999999994</v>
      </c>
      <c r="F441" s="216">
        <v>41598</v>
      </c>
      <c r="G441" s="238">
        <v>67.849999999999994</v>
      </c>
      <c r="H441" s="219" t="s">
        <v>71</v>
      </c>
      <c r="I441" s="219" t="s">
        <v>2</v>
      </c>
      <c r="J441" s="219" t="s">
        <v>56</v>
      </c>
      <c r="K441" s="220" t="str">
        <f>IF(J441&lt;&gt;"",VLOOKUP(J441,PContas!A:B,2,FALSE),"")</f>
        <v>CLIENTES</v>
      </c>
      <c r="L441" s="221">
        <f t="shared" si="12"/>
        <v>20</v>
      </c>
      <c r="M441" s="221" t="str">
        <f t="shared" ca="1" si="13"/>
        <v>2013/11</v>
      </c>
    </row>
    <row r="442" spans="1:13">
      <c r="A442" s="216">
        <v>41465</v>
      </c>
      <c r="B442" s="217" t="s">
        <v>953</v>
      </c>
      <c r="C442" s="217"/>
      <c r="D442" s="216">
        <v>41598</v>
      </c>
      <c r="E442" s="218">
        <v>100</v>
      </c>
      <c r="F442" s="216">
        <v>41598</v>
      </c>
      <c r="G442" s="218">
        <v>100</v>
      </c>
      <c r="H442" s="219" t="s">
        <v>71</v>
      </c>
      <c r="I442" s="219" t="s">
        <v>2</v>
      </c>
      <c r="J442" s="219" t="s">
        <v>57</v>
      </c>
      <c r="K442" s="220" t="str">
        <f>IF(J442&lt;&gt;"",VLOOKUP(J442,PContas!A:B,2,FALSE),"")</f>
        <v>CLIENTES</v>
      </c>
      <c r="L442" s="221">
        <f t="shared" si="12"/>
        <v>20</v>
      </c>
      <c r="M442" s="221" t="str">
        <f t="shared" ca="1" si="13"/>
        <v>2013/11</v>
      </c>
    </row>
    <row r="443" spans="1:13">
      <c r="A443" s="216">
        <v>41465</v>
      </c>
      <c r="B443" s="217" t="s">
        <v>1400</v>
      </c>
      <c r="C443" s="217"/>
      <c r="D443" s="216">
        <v>41598</v>
      </c>
      <c r="E443" s="218">
        <v>10</v>
      </c>
      <c r="F443" s="236">
        <v>41704</v>
      </c>
      <c r="G443" s="218">
        <v>10</v>
      </c>
      <c r="H443" s="219" t="s">
        <v>71</v>
      </c>
      <c r="I443" s="219" t="s">
        <v>2</v>
      </c>
      <c r="J443" s="219" t="s">
        <v>58</v>
      </c>
      <c r="K443" s="220" t="str">
        <f>IF(J443&lt;&gt;"",VLOOKUP(J443,PContas!A:B,2,FALSE),"")</f>
        <v>CLIENTES</v>
      </c>
      <c r="L443" s="221">
        <f t="shared" si="12"/>
        <v>20</v>
      </c>
      <c r="M443" s="221" t="str">
        <f t="shared" ca="1" si="13"/>
        <v>2013/11</v>
      </c>
    </row>
    <row r="444" spans="1:13">
      <c r="A444" s="216">
        <v>41465</v>
      </c>
      <c r="B444" s="217"/>
      <c r="C444" s="217"/>
      <c r="D444" s="216">
        <v>41603</v>
      </c>
      <c r="E444" s="218">
        <v>64.900000000000006</v>
      </c>
      <c r="F444" s="216">
        <v>41624</v>
      </c>
      <c r="G444" s="218">
        <v>-64.900000000000006</v>
      </c>
      <c r="H444" s="219" t="s">
        <v>52</v>
      </c>
      <c r="I444" s="219" t="s">
        <v>1111</v>
      </c>
      <c r="J444" s="219" t="s">
        <v>10</v>
      </c>
      <c r="K444" s="220" t="str">
        <f>IF(J444&lt;&gt;"",VLOOKUP(J444,PContas!A:B,2,FALSE),"")</f>
        <v>NET</v>
      </c>
      <c r="L444" s="221">
        <f t="shared" si="12"/>
        <v>25</v>
      </c>
      <c r="M444" s="221" t="str">
        <f t="shared" ca="1" si="13"/>
        <v>2013/11</v>
      </c>
    </row>
    <row r="445" spans="1:13">
      <c r="A445" s="216">
        <v>41465</v>
      </c>
      <c r="B445" s="217"/>
      <c r="C445" s="217"/>
      <c r="D445" s="216">
        <v>41603</v>
      </c>
      <c r="E445" s="218">
        <v>63.9</v>
      </c>
      <c r="F445" s="216">
        <v>41624</v>
      </c>
      <c r="G445" s="218">
        <v>-63.9</v>
      </c>
      <c r="H445" s="219" t="s">
        <v>52</v>
      </c>
      <c r="I445" s="239" t="s">
        <v>1111</v>
      </c>
      <c r="J445" s="219" t="s">
        <v>13</v>
      </c>
      <c r="K445" s="220" t="str">
        <f>IF(J445&lt;&gt;"",VLOOKUP(J445,PContas!A:B,2,FALSE),"")</f>
        <v>NET</v>
      </c>
      <c r="L445" s="221">
        <f t="shared" si="12"/>
        <v>25</v>
      </c>
      <c r="M445" s="221" t="str">
        <f t="shared" ca="1" si="13"/>
        <v>2013/11</v>
      </c>
    </row>
    <row r="446" spans="1:13">
      <c r="A446" s="216">
        <v>41465</v>
      </c>
      <c r="B446" s="217"/>
      <c r="C446" s="217"/>
      <c r="D446" s="216">
        <v>41603</v>
      </c>
      <c r="E446" s="218">
        <v>246.33</v>
      </c>
      <c r="F446" s="216">
        <v>41624</v>
      </c>
      <c r="G446" s="218">
        <v>-246.33</v>
      </c>
      <c r="H446" s="219" t="s">
        <v>52</v>
      </c>
      <c r="I446" s="239" t="s">
        <v>1111</v>
      </c>
      <c r="J446" s="219" t="s">
        <v>5</v>
      </c>
      <c r="K446" s="220" t="str">
        <f>IF(J446&lt;&gt;"",VLOOKUP(J446,PContas!A:B,2,FALSE),"")</f>
        <v>NET</v>
      </c>
      <c r="L446" s="221">
        <f t="shared" si="12"/>
        <v>25</v>
      </c>
      <c r="M446" s="221" t="str">
        <f t="shared" ca="1" si="13"/>
        <v>2013/11</v>
      </c>
    </row>
    <row r="447" spans="1:13">
      <c r="A447" s="216">
        <v>41465</v>
      </c>
      <c r="B447" s="217" t="s">
        <v>34</v>
      </c>
      <c r="C447" s="217"/>
      <c r="D447" s="216">
        <v>41640</v>
      </c>
      <c r="E447" s="218">
        <v>1000</v>
      </c>
      <c r="F447" s="216"/>
      <c r="G447" s="218">
        <v>-1000</v>
      </c>
      <c r="H447" s="219" t="s">
        <v>52</v>
      </c>
      <c r="I447" s="239" t="s">
        <v>2</v>
      </c>
      <c r="J447" s="219" t="s">
        <v>34</v>
      </c>
      <c r="K447" s="220" t="str">
        <f>IF(J447&lt;&gt;"",VLOOKUP(J447,PContas!A:B,2,FALSE),"")</f>
        <v>EMPRESTIMOS</v>
      </c>
      <c r="L447" s="221">
        <f t="shared" si="12"/>
        <v>1</v>
      </c>
      <c r="M447" s="221" t="str">
        <f t="shared" ca="1" si="13"/>
        <v>ATRASADO</v>
      </c>
    </row>
    <row r="448" spans="1:13">
      <c r="A448" s="216">
        <v>41465</v>
      </c>
      <c r="B448" s="217"/>
      <c r="C448" s="217"/>
      <c r="D448" s="216">
        <v>41609</v>
      </c>
      <c r="E448" s="218">
        <v>49.9</v>
      </c>
      <c r="F448" s="216">
        <v>41610</v>
      </c>
      <c r="G448" s="218">
        <v>-49.9</v>
      </c>
      <c r="H448" s="219" t="s">
        <v>52</v>
      </c>
      <c r="I448" s="219" t="s">
        <v>1111</v>
      </c>
      <c r="J448" s="219" t="s">
        <v>102</v>
      </c>
      <c r="K448" s="220" t="str">
        <f>IF(J448&lt;&gt;"",VLOOKUP(J448,PContas!A:B,2,FALSE),"")</f>
        <v>WEB</v>
      </c>
      <c r="L448" s="221">
        <f t="shared" si="12"/>
        <v>1</v>
      </c>
      <c r="M448" s="221" t="str">
        <f t="shared" ca="1" si="13"/>
        <v>2013/12</v>
      </c>
    </row>
    <row r="449" spans="1:13">
      <c r="A449" s="216">
        <v>41465</v>
      </c>
      <c r="B449" s="217"/>
      <c r="C449" s="237" t="s">
        <v>1093</v>
      </c>
      <c r="D449" s="216">
        <v>41609</v>
      </c>
      <c r="E449" s="218">
        <v>51.08</v>
      </c>
      <c r="F449" s="216">
        <v>41628</v>
      </c>
      <c r="G449" s="218">
        <v>-51.46</v>
      </c>
      <c r="H449" s="219" t="s">
        <v>52</v>
      </c>
      <c r="I449" s="239" t="s">
        <v>1111</v>
      </c>
      <c r="J449" s="219" t="s">
        <v>28</v>
      </c>
      <c r="K449" s="220" t="str">
        <f>IF(J449&lt;&gt;"",VLOOKUP(J449,PContas!A:B,2,FALSE),"")</f>
        <v>SAUDE</v>
      </c>
      <c r="L449" s="221">
        <f t="shared" si="12"/>
        <v>1</v>
      </c>
      <c r="M449" s="221" t="str">
        <f t="shared" ca="1" si="13"/>
        <v>2013/12</v>
      </c>
    </row>
    <row r="450" spans="1:13">
      <c r="A450" s="216">
        <v>41465</v>
      </c>
      <c r="B450" s="217"/>
      <c r="C450" s="217"/>
      <c r="D450" s="216">
        <v>41618</v>
      </c>
      <c r="E450" s="218">
        <v>7.44</v>
      </c>
      <c r="F450" s="216">
        <v>41619</v>
      </c>
      <c r="G450" s="218">
        <v>-7.44</v>
      </c>
      <c r="H450" s="219" t="s">
        <v>52</v>
      </c>
      <c r="I450" s="239" t="s">
        <v>1111</v>
      </c>
      <c r="J450" s="219" t="s">
        <v>97</v>
      </c>
      <c r="K450" s="220" t="str">
        <f>IF(J450&lt;&gt;"",VLOOKUP(J450,PContas!A:B,2,FALSE),"")</f>
        <v>TARIFAS</v>
      </c>
      <c r="L450" s="221">
        <f t="shared" ref="L450:L513" si="14">DAY(D450)</f>
        <v>10</v>
      </c>
      <c r="M450" s="221" t="str">
        <f t="shared" ref="M450:M513" ca="1" si="15">IF(D450&lt;&gt;"",IF(F450="",IF(DAYS360(D450,NOW())&gt;0,"ATRASADO",YEAR(D450)&amp;"/"&amp;CHOOSE(MONTH(D450),"01","02","03","04","05","06","07","08","09","10","11","12")),YEAR(D450)&amp;"/"&amp;CHOOSE(MONTH(D450),"01","02","03","04","05","06","07","08","09","10","11","12")),"")</f>
        <v>2013/12</v>
      </c>
    </row>
    <row r="451" spans="1:13">
      <c r="A451" s="216">
        <v>41465</v>
      </c>
      <c r="B451" s="217"/>
      <c r="C451" s="217" t="s">
        <v>1415</v>
      </c>
      <c r="D451" s="216">
        <v>41618</v>
      </c>
      <c r="E451" s="218">
        <v>21.46</v>
      </c>
      <c r="F451" s="216">
        <v>41619</v>
      </c>
      <c r="G451" s="218">
        <v>-21.46</v>
      </c>
      <c r="H451" s="219" t="s">
        <v>52</v>
      </c>
      <c r="I451" s="239" t="s">
        <v>1111</v>
      </c>
      <c r="J451" s="219" t="s">
        <v>30</v>
      </c>
      <c r="K451" s="220" t="str">
        <f>IF(J451&lt;&gt;"",VLOOKUP(J451,PContas!A:B,2,FALSE),"")</f>
        <v>PROVISÃO</v>
      </c>
      <c r="L451" s="221">
        <f t="shared" si="14"/>
        <v>10</v>
      </c>
      <c r="M451" s="221" t="str">
        <f t="shared" ca="1" si="15"/>
        <v>2013/12</v>
      </c>
    </row>
    <row r="452" spans="1:13">
      <c r="A452" s="216">
        <v>41465</v>
      </c>
      <c r="B452" s="217"/>
      <c r="C452" s="217"/>
      <c r="D452" s="216">
        <v>41649</v>
      </c>
      <c r="E452" s="218">
        <v>55.38</v>
      </c>
      <c r="F452" s="216"/>
      <c r="G452" s="218">
        <v>-55.38</v>
      </c>
      <c r="H452" s="219" t="s">
        <v>52</v>
      </c>
      <c r="I452" s="219" t="s">
        <v>1111</v>
      </c>
      <c r="J452" s="219" t="s">
        <v>13</v>
      </c>
      <c r="K452" s="220" t="str">
        <f>IF(J452&lt;&gt;"",VLOOKUP(J452,PContas!A:B,2,FALSE),"")</f>
        <v>NET</v>
      </c>
      <c r="L452" s="221">
        <f t="shared" si="14"/>
        <v>10</v>
      </c>
      <c r="M452" s="221" t="str">
        <f t="shared" ca="1" si="15"/>
        <v>ATRASADO</v>
      </c>
    </row>
    <row r="453" spans="1:13">
      <c r="A453" s="216">
        <v>41465</v>
      </c>
      <c r="B453" s="217"/>
      <c r="C453" s="217"/>
      <c r="D453" s="216">
        <v>41649</v>
      </c>
      <c r="E453" s="218">
        <v>155.28</v>
      </c>
      <c r="F453" s="216"/>
      <c r="G453" s="218">
        <v>-155.28</v>
      </c>
      <c r="H453" s="219" t="s">
        <v>52</v>
      </c>
      <c r="I453" s="239" t="s">
        <v>1111</v>
      </c>
      <c r="J453" s="219" t="s">
        <v>5</v>
      </c>
      <c r="K453" s="220" t="str">
        <f>IF(J453&lt;&gt;"",VLOOKUP(J453,PContas!A:B,2,FALSE),"")</f>
        <v>NET</v>
      </c>
      <c r="L453" s="221">
        <f t="shared" si="14"/>
        <v>10</v>
      </c>
      <c r="M453" s="221" t="str">
        <f t="shared" ca="1" si="15"/>
        <v>ATRASADO</v>
      </c>
    </row>
    <row r="454" spans="1:13">
      <c r="A454" s="216">
        <v>41465</v>
      </c>
      <c r="B454" s="217" t="s">
        <v>34</v>
      </c>
      <c r="C454" s="217"/>
      <c r="D454" s="216">
        <v>41640</v>
      </c>
      <c r="E454" s="218">
        <v>1000</v>
      </c>
      <c r="F454" s="216"/>
      <c r="G454" s="218">
        <v>-1000</v>
      </c>
      <c r="H454" s="219" t="s">
        <v>52</v>
      </c>
      <c r="I454" s="239" t="s">
        <v>2</v>
      </c>
      <c r="J454" s="219" t="s">
        <v>34</v>
      </c>
      <c r="K454" s="220" t="str">
        <f>IF(J454&lt;&gt;"",VLOOKUP(J454,PContas!A:B,2,FALSE),"")</f>
        <v>EMPRESTIMOS</v>
      </c>
      <c r="L454" s="221">
        <f t="shared" si="14"/>
        <v>1</v>
      </c>
      <c r="M454" s="221" t="str">
        <f t="shared" ca="1" si="15"/>
        <v>ATRASADO</v>
      </c>
    </row>
    <row r="455" spans="1:13">
      <c r="A455" s="216">
        <v>41465</v>
      </c>
      <c r="B455" s="217"/>
      <c r="C455" s="217" t="s">
        <v>1416</v>
      </c>
      <c r="D455" s="216">
        <v>41649</v>
      </c>
      <c r="E455" s="218">
        <v>20</v>
      </c>
      <c r="F455" s="216">
        <v>41649</v>
      </c>
      <c r="G455" s="218">
        <v>-21.46</v>
      </c>
      <c r="H455" s="219" t="s">
        <v>52</v>
      </c>
      <c r="I455" s="239" t="s">
        <v>1111</v>
      </c>
      <c r="J455" s="219" t="s">
        <v>30</v>
      </c>
      <c r="K455" s="220" t="str">
        <f>IF(J455&lt;&gt;"",VLOOKUP(J455,PContas!A:B,2,FALSE),"")</f>
        <v>PROVISÃO</v>
      </c>
      <c r="L455" s="221">
        <f t="shared" si="14"/>
        <v>10</v>
      </c>
      <c r="M455" s="221" t="str">
        <f t="shared" ca="1" si="15"/>
        <v>2014/01</v>
      </c>
    </row>
    <row r="456" spans="1:13">
      <c r="A456" s="216">
        <v>41465</v>
      </c>
      <c r="B456" s="217"/>
      <c r="C456" s="217"/>
      <c r="D456" s="216">
        <v>41671</v>
      </c>
      <c r="E456" s="218">
        <v>30</v>
      </c>
      <c r="F456" s="216">
        <v>41680</v>
      </c>
      <c r="G456" s="218">
        <v>-30</v>
      </c>
      <c r="H456" s="219" t="s">
        <v>52</v>
      </c>
      <c r="I456" s="219" t="s">
        <v>1111</v>
      </c>
      <c r="J456" s="219" t="s">
        <v>19</v>
      </c>
      <c r="K456" s="220" t="str">
        <f>IF(J456&lt;&gt;"",VLOOKUP(J456,PContas!A:B,2,FALSE),"")</f>
        <v>WEB</v>
      </c>
      <c r="L456" s="221">
        <f t="shared" si="14"/>
        <v>1</v>
      </c>
      <c r="M456" s="221" t="str">
        <f t="shared" ca="1" si="15"/>
        <v>2014/02</v>
      </c>
    </row>
    <row r="457" spans="1:13">
      <c r="A457" s="216">
        <v>41465</v>
      </c>
      <c r="B457" s="217"/>
      <c r="C457" s="217" t="s">
        <v>1417</v>
      </c>
      <c r="D457" s="216">
        <v>41680</v>
      </c>
      <c r="E457" s="218">
        <v>20</v>
      </c>
      <c r="F457" s="216">
        <v>41680</v>
      </c>
      <c r="G457" s="218">
        <v>-21.46</v>
      </c>
      <c r="H457" s="219" t="s">
        <v>52</v>
      </c>
      <c r="I457" s="239" t="s">
        <v>1111</v>
      </c>
      <c r="J457" s="219" t="s">
        <v>30</v>
      </c>
      <c r="K457" s="220" t="str">
        <f>IF(J457&lt;&gt;"",VLOOKUP(J457,PContas!A:B,2,FALSE),"")</f>
        <v>PROVISÃO</v>
      </c>
      <c r="L457" s="221">
        <f t="shared" si="14"/>
        <v>10</v>
      </c>
      <c r="M457" s="221" t="str">
        <f t="shared" ca="1" si="15"/>
        <v>2014/02</v>
      </c>
    </row>
    <row r="458" spans="1:13">
      <c r="A458" s="216">
        <v>41465</v>
      </c>
      <c r="B458" s="217"/>
      <c r="C458" s="217"/>
      <c r="D458" s="216">
        <v>41708</v>
      </c>
      <c r="E458" s="218">
        <v>20</v>
      </c>
      <c r="F458" s="216"/>
      <c r="G458" s="218">
        <v>-21.46</v>
      </c>
      <c r="H458" s="219" t="s">
        <v>52</v>
      </c>
      <c r="I458" s="239" t="s">
        <v>1111</v>
      </c>
      <c r="J458" s="219" t="s">
        <v>30</v>
      </c>
      <c r="K458" s="220" t="str">
        <f>IF(J458&lt;&gt;"",VLOOKUP(J458,PContas!A:B,2,FALSE),"")</f>
        <v>PROVISÃO</v>
      </c>
      <c r="L458" s="221">
        <f t="shared" si="14"/>
        <v>10</v>
      </c>
      <c r="M458" s="221" t="str">
        <f t="shared" ca="1" si="15"/>
        <v>ATRASADO</v>
      </c>
    </row>
    <row r="459" spans="1:13">
      <c r="A459" s="216">
        <v>41465</v>
      </c>
      <c r="B459" s="217"/>
      <c r="C459" s="217"/>
      <c r="D459" s="216">
        <v>41739</v>
      </c>
      <c r="E459" s="218">
        <v>20</v>
      </c>
      <c r="F459" s="216"/>
      <c r="G459" s="218">
        <v>-21.46</v>
      </c>
      <c r="H459" s="219" t="s">
        <v>52</v>
      </c>
      <c r="I459" s="239" t="s">
        <v>1111</v>
      </c>
      <c r="J459" s="219" t="s">
        <v>30</v>
      </c>
      <c r="K459" s="220" t="str">
        <f>IF(J459&lt;&gt;"",VLOOKUP(J459,PContas!A:B,2,FALSE),"")</f>
        <v>PROVISÃO</v>
      </c>
      <c r="L459" s="221">
        <f t="shared" si="14"/>
        <v>10</v>
      </c>
      <c r="M459" s="221" t="str">
        <f t="shared" ca="1" si="15"/>
        <v>ATRASADO</v>
      </c>
    </row>
    <row r="460" spans="1:13">
      <c r="A460" s="216">
        <v>41465</v>
      </c>
      <c r="B460" s="217"/>
      <c r="C460" s="217"/>
      <c r="D460" s="216">
        <v>41769</v>
      </c>
      <c r="E460" s="218">
        <v>20</v>
      </c>
      <c r="F460" s="216"/>
      <c r="G460" s="218">
        <v>-21.46</v>
      </c>
      <c r="H460" s="219" t="s">
        <v>52</v>
      </c>
      <c r="I460" s="239" t="s">
        <v>1111</v>
      </c>
      <c r="J460" s="219" t="s">
        <v>30</v>
      </c>
      <c r="K460" s="220" t="str">
        <f>IF(J460&lt;&gt;"",VLOOKUP(J460,PContas!A:B,2,FALSE),"")</f>
        <v>PROVISÃO</v>
      </c>
      <c r="L460" s="221">
        <f t="shared" si="14"/>
        <v>10</v>
      </c>
      <c r="M460" s="221" t="str">
        <f t="shared" ca="1" si="15"/>
        <v>ATRASADO</v>
      </c>
    </row>
    <row r="461" spans="1:13">
      <c r="A461" s="216">
        <v>41465</v>
      </c>
      <c r="B461" s="217"/>
      <c r="C461" s="217"/>
      <c r="D461" s="216">
        <v>41800</v>
      </c>
      <c r="E461" s="218">
        <v>20</v>
      </c>
      <c r="F461" s="216"/>
      <c r="G461" s="218">
        <v>-21.46</v>
      </c>
      <c r="H461" s="219" t="s">
        <v>52</v>
      </c>
      <c r="I461" s="239" t="s">
        <v>1111</v>
      </c>
      <c r="J461" s="219" t="s">
        <v>30</v>
      </c>
      <c r="K461" s="220" t="str">
        <f>IF(J461&lt;&gt;"",VLOOKUP(J461,PContas!A:B,2,FALSE),"")</f>
        <v>PROVISÃO</v>
      </c>
      <c r="L461" s="221">
        <f t="shared" si="14"/>
        <v>10</v>
      </c>
      <c r="M461" s="221" t="str">
        <f t="shared" ca="1" si="15"/>
        <v>ATRASADO</v>
      </c>
    </row>
    <row r="462" spans="1:13">
      <c r="A462" s="216">
        <v>41465</v>
      </c>
      <c r="B462" s="217"/>
      <c r="C462" s="217"/>
      <c r="D462" s="216">
        <v>41830</v>
      </c>
      <c r="E462" s="218">
        <v>20</v>
      </c>
      <c r="F462" s="216"/>
      <c r="G462" s="218">
        <v>-21.46</v>
      </c>
      <c r="H462" s="219" t="s">
        <v>52</v>
      </c>
      <c r="I462" s="239" t="s">
        <v>1111</v>
      </c>
      <c r="J462" s="219" t="s">
        <v>30</v>
      </c>
      <c r="K462" s="220" t="str">
        <f>IF(J462&lt;&gt;"",VLOOKUP(J462,PContas!A:B,2,FALSE),"")</f>
        <v>PROVISÃO</v>
      </c>
      <c r="L462" s="221">
        <f t="shared" si="14"/>
        <v>10</v>
      </c>
      <c r="M462" s="221" t="str">
        <f t="shared" ca="1" si="15"/>
        <v>ATRASADO</v>
      </c>
    </row>
    <row r="463" spans="1:13">
      <c r="A463" s="216">
        <v>41465</v>
      </c>
      <c r="B463" s="217"/>
      <c r="C463" s="217"/>
      <c r="D463" s="216">
        <v>41861</v>
      </c>
      <c r="E463" s="218">
        <v>20</v>
      </c>
      <c r="F463" s="216"/>
      <c r="G463" s="218">
        <v>-21.46</v>
      </c>
      <c r="H463" s="219" t="s">
        <v>52</v>
      </c>
      <c r="I463" s="239" t="s">
        <v>1111</v>
      </c>
      <c r="J463" s="219" t="s">
        <v>30</v>
      </c>
      <c r="K463" s="220" t="str">
        <f>IF(J463&lt;&gt;"",VLOOKUP(J463,PContas!A:B,2,FALSE),"")</f>
        <v>PROVISÃO</v>
      </c>
      <c r="L463" s="221">
        <f t="shared" si="14"/>
        <v>10</v>
      </c>
      <c r="M463" s="221" t="str">
        <f t="shared" ca="1" si="15"/>
        <v>ATRASADO</v>
      </c>
    </row>
    <row r="464" spans="1:13">
      <c r="A464" s="216">
        <v>41465</v>
      </c>
      <c r="B464" s="217"/>
      <c r="C464" s="217"/>
      <c r="D464" s="216">
        <v>41892</v>
      </c>
      <c r="E464" s="218">
        <v>20</v>
      </c>
      <c r="F464" s="216"/>
      <c r="G464" s="218">
        <v>-21.46</v>
      </c>
      <c r="H464" s="219" t="s">
        <v>52</v>
      </c>
      <c r="I464" s="239" t="s">
        <v>1111</v>
      </c>
      <c r="J464" s="219" t="s">
        <v>30</v>
      </c>
      <c r="K464" s="220" t="str">
        <f>IF(J464&lt;&gt;"",VLOOKUP(J464,PContas!A:B,2,FALSE),"")</f>
        <v>PROVISÃO</v>
      </c>
      <c r="L464" s="221">
        <f t="shared" si="14"/>
        <v>10</v>
      </c>
      <c r="M464" s="221" t="str">
        <f t="shared" ca="1" si="15"/>
        <v>ATRASADO</v>
      </c>
    </row>
    <row r="465" spans="1:13">
      <c r="A465" s="216">
        <v>41465</v>
      </c>
      <c r="B465" s="217"/>
      <c r="C465" s="217"/>
      <c r="D465" s="216">
        <v>41922</v>
      </c>
      <c r="E465" s="218">
        <v>20</v>
      </c>
      <c r="F465" s="216"/>
      <c r="G465" s="218">
        <v>-21.46</v>
      </c>
      <c r="H465" s="219" t="s">
        <v>52</v>
      </c>
      <c r="I465" s="239" t="s">
        <v>1111</v>
      </c>
      <c r="J465" s="219" t="s">
        <v>30</v>
      </c>
      <c r="K465" s="220" t="str">
        <f>IF(J465&lt;&gt;"",VLOOKUP(J465,PContas!A:B,2,FALSE),"")</f>
        <v>PROVISÃO</v>
      </c>
      <c r="L465" s="221">
        <f t="shared" si="14"/>
        <v>10</v>
      </c>
      <c r="M465" s="221" t="str">
        <f t="shared" ca="1" si="15"/>
        <v>ATRASADO</v>
      </c>
    </row>
    <row r="466" spans="1:13">
      <c r="A466" s="216">
        <v>41465</v>
      </c>
      <c r="B466" s="217"/>
      <c r="C466" s="217"/>
      <c r="D466" s="216">
        <v>41953</v>
      </c>
      <c r="E466" s="218">
        <v>20</v>
      </c>
      <c r="F466" s="216"/>
      <c r="G466" s="218">
        <v>-21.46</v>
      </c>
      <c r="H466" s="219" t="s">
        <v>52</v>
      </c>
      <c r="I466" s="239" t="s">
        <v>1111</v>
      </c>
      <c r="J466" s="219" t="s">
        <v>30</v>
      </c>
      <c r="K466" s="220" t="str">
        <f>IF(J466&lt;&gt;"",VLOOKUP(J466,PContas!A:B,2,FALSE),"")</f>
        <v>PROVISÃO</v>
      </c>
      <c r="L466" s="221">
        <f t="shared" si="14"/>
        <v>10</v>
      </c>
      <c r="M466" s="221" t="str">
        <f t="shared" ca="1" si="15"/>
        <v>ATRASADO</v>
      </c>
    </row>
    <row r="467" spans="1:13">
      <c r="A467" s="216">
        <v>41465</v>
      </c>
      <c r="B467" s="217"/>
      <c r="C467" s="217"/>
      <c r="D467" s="216">
        <v>41983</v>
      </c>
      <c r="E467" s="218">
        <v>20</v>
      </c>
      <c r="F467" s="216"/>
      <c r="G467" s="218">
        <v>-21.46</v>
      </c>
      <c r="H467" s="219" t="s">
        <v>52</v>
      </c>
      <c r="I467" s="239" t="s">
        <v>1111</v>
      </c>
      <c r="J467" s="219" t="s">
        <v>30</v>
      </c>
      <c r="K467" s="220" t="str">
        <f>IF(J467&lt;&gt;"",VLOOKUP(J467,PContas!A:B,2,FALSE),"")</f>
        <v>PROVISÃO</v>
      </c>
      <c r="L467" s="221">
        <f t="shared" si="14"/>
        <v>10</v>
      </c>
      <c r="M467" s="221" t="str">
        <f t="shared" ca="1" si="15"/>
        <v>ATRASADO</v>
      </c>
    </row>
    <row r="468" spans="1:13">
      <c r="A468" s="216">
        <v>41465</v>
      </c>
      <c r="B468" s="217"/>
      <c r="C468" s="217"/>
      <c r="D468" s="216">
        <v>42014</v>
      </c>
      <c r="E468" s="218">
        <v>20</v>
      </c>
      <c r="F468" s="216"/>
      <c r="G468" s="218">
        <v>-21.46</v>
      </c>
      <c r="H468" s="219" t="s">
        <v>52</v>
      </c>
      <c r="I468" s="239" t="s">
        <v>1111</v>
      </c>
      <c r="J468" s="219" t="s">
        <v>30</v>
      </c>
      <c r="K468" s="220" t="str">
        <f>IF(J468&lt;&gt;"",VLOOKUP(J468,PContas!A:B,2,FALSE),"")</f>
        <v>PROVISÃO</v>
      </c>
      <c r="L468" s="221">
        <f t="shared" si="14"/>
        <v>10</v>
      </c>
      <c r="M468" s="221" t="str">
        <f t="shared" ca="1" si="15"/>
        <v>ATRASADO</v>
      </c>
    </row>
    <row r="469" spans="1:13">
      <c r="A469" s="216">
        <v>41465</v>
      </c>
      <c r="B469" s="217"/>
      <c r="C469" s="217"/>
      <c r="D469" s="216">
        <v>42045</v>
      </c>
      <c r="E469" s="218">
        <v>20</v>
      </c>
      <c r="F469" s="216"/>
      <c r="G469" s="218">
        <v>-21.46</v>
      </c>
      <c r="H469" s="219" t="s">
        <v>52</v>
      </c>
      <c r="I469" s="239" t="s">
        <v>1111</v>
      </c>
      <c r="J469" s="219" t="s">
        <v>30</v>
      </c>
      <c r="K469" s="220" t="str">
        <f>IF(J469&lt;&gt;"",VLOOKUP(J469,PContas!A:B,2,FALSE),"")</f>
        <v>PROVISÃO</v>
      </c>
      <c r="L469" s="221">
        <f t="shared" si="14"/>
        <v>10</v>
      </c>
      <c r="M469" s="221" t="str">
        <f t="shared" ca="1" si="15"/>
        <v>ATRASADO</v>
      </c>
    </row>
    <row r="470" spans="1:13">
      <c r="A470" s="216">
        <v>41465</v>
      </c>
      <c r="B470" s="217"/>
      <c r="C470" s="217"/>
      <c r="D470" s="216">
        <v>42073</v>
      </c>
      <c r="E470" s="218">
        <v>20</v>
      </c>
      <c r="F470" s="216"/>
      <c r="G470" s="218">
        <v>-21.46</v>
      </c>
      <c r="H470" s="219" t="s">
        <v>52</v>
      </c>
      <c r="I470" s="239" t="s">
        <v>1111</v>
      </c>
      <c r="J470" s="219" t="s">
        <v>30</v>
      </c>
      <c r="K470" s="220" t="str">
        <f>IF(J470&lt;&gt;"",VLOOKUP(J470,PContas!A:B,2,FALSE),"")</f>
        <v>PROVISÃO</v>
      </c>
      <c r="L470" s="221">
        <f t="shared" si="14"/>
        <v>10</v>
      </c>
      <c r="M470" s="221" t="str">
        <f t="shared" ca="1" si="15"/>
        <v>ATRASADO</v>
      </c>
    </row>
    <row r="471" spans="1:13">
      <c r="A471" s="216">
        <v>41465</v>
      </c>
      <c r="B471" s="217"/>
      <c r="C471" s="217"/>
      <c r="D471" s="216">
        <v>42104</v>
      </c>
      <c r="E471" s="218">
        <v>20</v>
      </c>
      <c r="F471" s="216"/>
      <c r="G471" s="218">
        <v>-21.46</v>
      </c>
      <c r="H471" s="219" t="s">
        <v>52</v>
      </c>
      <c r="I471" s="239" t="s">
        <v>1111</v>
      </c>
      <c r="J471" s="219" t="s">
        <v>30</v>
      </c>
      <c r="K471" s="220" t="str">
        <f>IF(J471&lt;&gt;"",VLOOKUP(J471,PContas!A:B,2,FALSE),"")</f>
        <v>PROVISÃO</v>
      </c>
      <c r="L471" s="221">
        <f t="shared" si="14"/>
        <v>10</v>
      </c>
      <c r="M471" s="221" t="str">
        <f t="shared" ca="1" si="15"/>
        <v>ATRASADO</v>
      </c>
    </row>
    <row r="472" spans="1:13">
      <c r="A472" s="216">
        <v>41465</v>
      </c>
      <c r="B472" s="217"/>
      <c r="C472" s="217"/>
      <c r="D472" s="216">
        <v>42134</v>
      </c>
      <c r="E472" s="218">
        <v>20</v>
      </c>
      <c r="F472" s="216"/>
      <c r="G472" s="218">
        <v>-21.46</v>
      </c>
      <c r="H472" s="219" t="s">
        <v>52</v>
      </c>
      <c r="I472" s="239" t="s">
        <v>1111</v>
      </c>
      <c r="J472" s="219" t="s">
        <v>30</v>
      </c>
      <c r="K472" s="220" t="str">
        <f>IF(J472&lt;&gt;"",VLOOKUP(J472,PContas!A:B,2,FALSE),"")</f>
        <v>PROVISÃO</v>
      </c>
      <c r="L472" s="221">
        <f t="shared" si="14"/>
        <v>10</v>
      </c>
      <c r="M472" s="221" t="str">
        <f t="shared" ca="1" si="15"/>
        <v>ATRASADO</v>
      </c>
    </row>
    <row r="473" spans="1:13">
      <c r="A473" s="216">
        <v>41465</v>
      </c>
      <c r="B473" s="217"/>
      <c r="C473" s="217"/>
      <c r="D473" s="216">
        <v>42165</v>
      </c>
      <c r="E473" s="218">
        <v>20</v>
      </c>
      <c r="F473" s="216"/>
      <c r="G473" s="218">
        <v>-21.46</v>
      </c>
      <c r="H473" s="219" t="s">
        <v>52</v>
      </c>
      <c r="I473" s="239" t="s">
        <v>1111</v>
      </c>
      <c r="J473" s="219" t="s">
        <v>30</v>
      </c>
      <c r="K473" s="220" t="str">
        <f>IF(J473&lt;&gt;"",VLOOKUP(J473,PContas!A:B,2,FALSE),"")</f>
        <v>PROVISÃO</v>
      </c>
      <c r="L473" s="221">
        <f t="shared" si="14"/>
        <v>10</v>
      </c>
      <c r="M473" s="221" t="str">
        <f t="shared" ca="1" si="15"/>
        <v>ATRASADO</v>
      </c>
    </row>
    <row r="474" spans="1:13">
      <c r="A474" s="216">
        <v>41465</v>
      </c>
      <c r="B474" s="217"/>
      <c r="C474" s="217"/>
      <c r="D474" s="216">
        <v>42195</v>
      </c>
      <c r="E474" s="218">
        <v>20</v>
      </c>
      <c r="F474" s="216"/>
      <c r="G474" s="218">
        <v>-21.46</v>
      </c>
      <c r="H474" s="219" t="s">
        <v>52</v>
      </c>
      <c r="I474" s="239" t="s">
        <v>1111</v>
      </c>
      <c r="J474" s="219" t="s">
        <v>30</v>
      </c>
      <c r="K474" s="220" t="str">
        <f>IF(J474&lt;&gt;"",VLOOKUP(J474,PContas!A:B,2,FALSE),"")</f>
        <v>PROVISÃO</v>
      </c>
      <c r="L474" s="221">
        <f t="shared" si="14"/>
        <v>10</v>
      </c>
      <c r="M474" s="221" t="str">
        <f t="shared" ca="1" si="15"/>
        <v>ATRASADO</v>
      </c>
    </row>
    <row r="475" spans="1:13">
      <c r="A475" s="216">
        <v>41465</v>
      </c>
      <c r="B475" s="217"/>
      <c r="C475" s="217"/>
      <c r="D475" s="216">
        <v>42226</v>
      </c>
      <c r="E475" s="218">
        <v>20</v>
      </c>
      <c r="F475" s="216"/>
      <c r="G475" s="218">
        <v>-21.46</v>
      </c>
      <c r="H475" s="219" t="s">
        <v>52</v>
      </c>
      <c r="I475" s="239" t="s">
        <v>1111</v>
      </c>
      <c r="J475" s="219" t="s">
        <v>30</v>
      </c>
      <c r="K475" s="220" t="str">
        <f>IF(J475&lt;&gt;"",VLOOKUP(J475,PContas!A:B,2,FALSE),"")</f>
        <v>PROVISÃO</v>
      </c>
      <c r="L475" s="221">
        <f t="shared" si="14"/>
        <v>10</v>
      </c>
      <c r="M475" s="221" t="str">
        <f t="shared" ca="1" si="15"/>
        <v>2015/08</v>
      </c>
    </row>
    <row r="476" spans="1:13">
      <c r="A476" s="216">
        <v>41465</v>
      </c>
      <c r="B476" s="217"/>
      <c r="C476" s="217"/>
      <c r="D476" s="216">
        <v>42257</v>
      </c>
      <c r="E476" s="218">
        <v>20</v>
      </c>
      <c r="F476" s="216"/>
      <c r="G476" s="218">
        <v>-21.46</v>
      </c>
      <c r="H476" s="219" t="s">
        <v>52</v>
      </c>
      <c r="I476" s="239" t="s">
        <v>1111</v>
      </c>
      <c r="J476" s="219" t="s">
        <v>30</v>
      </c>
      <c r="K476" s="220" t="str">
        <f>IF(J476&lt;&gt;"",VLOOKUP(J476,PContas!A:B,2,FALSE),"")</f>
        <v>PROVISÃO</v>
      </c>
      <c r="L476" s="221">
        <f t="shared" si="14"/>
        <v>10</v>
      </c>
      <c r="M476" s="221" t="str">
        <f t="shared" ca="1" si="15"/>
        <v>2015/09</v>
      </c>
    </row>
    <row r="477" spans="1:13">
      <c r="A477" s="216">
        <v>41465</v>
      </c>
      <c r="B477" s="217"/>
      <c r="C477" s="217"/>
      <c r="D477" s="216">
        <v>42287</v>
      </c>
      <c r="E477" s="218">
        <v>20</v>
      </c>
      <c r="F477" s="216"/>
      <c r="G477" s="218">
        <v>-21.46</v>
      </c>
      <c r="H477" s="219" t="s">
        <v>52</v>
      </c>
      <c r="I477" s="239" t="s">
        <v>1111</v>
      </c>
      <c r="J477" s="219" t="s">
        <v>30</v>
      </c>
      <c r="K477" s="220" t="str">
        <f>IF(J477&lt;&gt;"",VLOOKUP(J477,PContas!A:B,2,FALSE),"")</f>
        <v>PROVISÃO</v>
      </c>
      <c r="L477" s="221">
        <f t="shared" si="14"/>
        <v>10</v>
      </c>
      <c r="M477" s="221" t="str">
        <f t="shared" ca="1" si="15"/>
        <v>2015/10</v>
      </c>
    </row>
    <row r="478" spans="1:13">
      <c r="A478" s="216">
        <v>41465</v>
      </c>
      <c r="B478" s="217"/>
      <c r="C478" s="217"/>
      <c r="D478" s="216">
        <v>42318</v>
      </c>
      <c r="E478" s="218">
        <v>20</v>
      </c>
      <c r="F478" s="216"/>
      <c r="G478" s="218">
        <v>-21.46</v>
      </c>
      <c r="H478" s="219" t="s">
        <v>52</v>
      </c>
      <c r="I478" s="239" t="s">
        <v>1111</v>
      </c>
      <c r="J478" s="219" t="s">
        <v>30</v>
      </c>
      <c r="K478" s="220" t="str">
        <f>IF(J478&lt;&gt;"",VLOOKUP(J478,PContas!A:B,2,FALSE),"")</f>
        <v>PROVISÃO</v>
      </c>
      <c r="L478" s="221">
        <f t="shared" si="14"/>
        <v>10</v>
      </c>
      <c r="M478" s="221" t="str">
        <f t="shared" ca="1" si="15"/>
        <v>2015/11</v>
      </c>
    </row>
    <row r="479" spans="1:13">
      <c r="A479" s="216">
        <v>41465</v>
      </c>
      <c r="B479" s="217"/>
      <c r="C479" s="217"/>
      <c r="D479" s="216">
        <v>42348</v>
      </c>
      <c r="E479" s="218">
        <v>20</v>
      </c>
      <c r="F479" s="216"/>
      <c r="G479" s="218">
        <v>-21.46</v>
      </c>
      <c r="H479" s="219" t="s">
        <v>52</v>
      </c>
      <c r="I479" s="239" t="s">
        <v>1111</v>
      </c>
      <c r="J479" s="219" t="s">
        <v>30</v>
      </c>
      <c r="K479" s="220" t="str">
        <f>IF(J479&lt;&gt;"",VLOOKUP(J479,PContas!A:B,2,FALSE),"")</f>
        <v>PROVISÃO</v>
      </c>
      <c r="L479" s="221">
        <f t="shared" si="14"/>
        <v>10</v>
      </c>
      <c r="M479" s="221" t="str">
        <f t="shared" ca="1" si="15"/>
        <v>2015/12</v>
      </c>
    </row>
    <row r="480" spans="1:13">
      <c r="A480" s="216">
        <v>41465</v>
      </c>
      <c r="B480" s="217"/>
      <c r="C480" s="217"/>
      <c r="D480" s="216">
        <v>42379</v>
      </c>
      <c r="E480" s="218">
        <v>20</v>
      </c>
      <c r="F480" s="216"/>
      <c r="G480" s="218">
        <v>-21.46</v>
      </c>
      <c r="H480" s="219" t="s">
        <v>52</v>
      </c>
      <c r="I480" s="239" t="s">
        <v>1111</v>
      </c>
      <c r="J480" s="219" t="s">
        <v>30</v>
      </c>
      <c r="K480" s="220" t="str">
        <f>IF(J480&lt;&gt;"",VLOOKUP(J480,PContas!A:B,2,FALSE),"")</f>
        <v>PROVISÃO</v>
      </c>
      <c r="L480" s="221">
        <f t="shared" si="14"/>
        <v>10</v>
      </c>
      <c r="M480" s="221" t="str">
        <f t="shared" ca="1" si="15"/>
        <v>2016/01</v>
      </c>
    </row>
    <row r="481" spans="1:13">
      <c r="A481" s="216">
        <v>41465</v>
      </c>
      <c r="B481" s="217"/>
      <c r="C481" s="217"/>
      <c r="D481" s="216">
        <v>42410</v>
      </c>
      <c r="E481" s="218">
        <v>20</v>
      </c>
      <c r="F481" s="216"/>
      <c r="G481" s="218">
        <v>-21.46</v>
      </c>
      <c r="H481" s="219" t="s">
        <v>52</v>
      </c>
      <c r="I481" s="239" t="s">
        <v>1111</v>
      </c>
      <c r="J481" s="219" t="s">
        <v>30</v>
      </c>
      <c r="K481" s="220" t="str">
        <f>IF(J481&lt;&gt;"",VLOOKUP(J481,PContas!A:B,2,FALSE),"")</f>
        <v>PROVISÃO</v>
      </c>
      <c r="L481" s="221">
        <f t="shared" si="14"/>
        <v>10</v>
      </c>
      <c r="M481" s="221" t="str">
        <f t="shared" ca="1" si="15"/>
        <v>2016/02</v>
      </c>
    </row>
    <row r="482" spans="1:13">
      <c r="A482" s="216">
        <v>41465</v>
      </c>
      <c r="B482" s="217"/>
      <c r="C482" s="217"/>
      <c r="D482" s="216">
        <v>42439</v>
      </c>
      <c r="E482" s="218">
        <v>20</v>
      </c>
      <c r="F482" s="216"/>
      <c r="G482" s="218">
        <v>-21.46</v>
      </c>
      <c r="H482" s="219" t="s">
        <v>52</v>
      </c>
      <c r="I482" s="239" t="s">
        <v>1111</v>
      </c>
      <c r="J482" s="219" t="s">
        <v>30</v>
      </c>
      <c r="K482" s="220" t="str">
        <f>IF(J482&lt;&gt;"",VLOOKUP(J482,PContas!A:B,2,FALSE),"")</f>
        <v>PROVISÃO</v>
      </c>
      <c r="L482" s="221">
        <f t="shared" si="14"/>
        <v>10</v>
      </c>
      <c r="M482" s="221" t="str">
        <f t="shared" ca="1" si="15"/>
        <v>2016/03</v>
      </c>
    </row>
    <row r="483" spans="1:13">
      <c r="A483" s="216">
        <v>41465</v>
      </c>
      <c r="B483" s="217"/>
      <c r="C483" s="217"/>
      <c r="D483" s="216">
        <v>42470</v>
      </c>
      <c r="E483" s="218">
        <v>20</v>
      </c>
      <c r="F483" s="216"/>
      <c r="G483" s="218">
        <v>-21.46</v>
      </c>
      <c r="H483" s="219" t="s">
        <v>52</v>
      </c>
      <c r="I483" s="239" t="s">
        <v>1111</v>
      </c>
      <c r="J483" s="219" t="s">
        <v>30</v>
      </c>
      <c r="K483" s="220" t="str">
        <f>IF(J483&lt;&gt;"",VLOOKUP(J483,PContas!A:B,2,FALSE),"")</f>
        <v>PROVISÃO</v>
      </c>
      <c r="L483" s="221">
        <f t="shared" si="14"/>
        <v>10</v>
      </c>
      <c r="M483" s="221" t="str">
        <f t="shared" ca="1" si="15"/>
        <v>2016/04</v>
      </c>
    </row>
    <row r="484" spans="1:13">
      <c r="A484" s="216">
        <v>41465</v>
      </c>
      <c r="B484" s="217"/>
      <c r="C484" s="217"/>
      <c r="D484" s="216">
        <v>42500</v>
      </c>
      <c r="E484" s="218">
        <v>20</v>
      </c>
      <c r="F484" s="216"/>
      <c r="G484" s="218">
        <v>-21.46</v>
      </c>
      <c r="H484" s="219" t="s">
        <v>52</v>
      </c>
      <c r="I484" s="239" t="s">
        <v>1111</v>
      </c>
      <c r="J484" s="219" t="s">
        <v>30</v>
      </c>
      <c r="K484" s="220" t="str">
        <f>IF(J484&lt;&gt;"",VLOOKUP(J484,PContas!A:B,2,FALSE),"")</f>
        <v>PROVISÃO</v>
      </c>
      <c r="L484" s="221">
        <f t="shared" si="14"/>
        <v>10</v>
      </c>
      <c r="M484" s="221" t="str">
        <f t="shared" ca="1" si="15"/>
        <v>2016/05</v>
      </c>
    </row>
    <row r="485" spans="1:13">
      <c r="A485" s="216">
        <v>41465</v>
      </c>
      <c r="B485" s="217"/>
      <c r="C485" s="217"/>
      <c r="D485" s="216">
        <v>42531</v>
      </c>
      <c r="E485" s="218">
        <v>20</v>
      </c>
      <c r="F485" s="216"/>
      <c r="G485" s="218">
        <v>-21.46</v>
      </c>
      <c r="H485" s="219" t="s">
        <v>52</v>
      </c>
      <c r="I485" s="239" t="s">
        <v>1111</v>
      </c>
      <c r="J485" s="219" t="s">
        <v>30</v>
      </c>
      <c r="K485" s="220" t="str">
        <f>IF(J485&lt;&gt;"",VLOOKUP(J485,PContas!A:B,2,FALSE),"")</f>
        <v>PROVISÃO</v>
      </c>
      <c r="L485" s="221">
        <f t="shared" si="14"/>
        <v>10</v>
      </c>
      <c r="M485" s="221" t="str">
        <f t="shared" ca="1" si="15"/>
        <v>2016/06</v>
      </c>
    </row>
    <row r="486" spans="1:13">
      <c r="A486" s="216">
        <v>41465</v>
      </c>
      <c r="B486" s="217"/>
      <c r="C486" s="217"/>
      <c r="D486" s="216">
        <v>42561</v>
      </c>
      <c r="E486" s="218">
        <v>20</v>
      </c>
      <c r="F486" s="216"/>
      <c r="G486" s="218">
        <v>-21.46</v>
      </c>
      <c r="H486" s="219" t="s">
        <v>52</v>
      </c>
      <c r="I486" s="239" t="s">
        <v>1111</v>
      </c>
      <c r="J486" s="219" t="s">
        <v>30</v>
      </c>
      <c r="K486" s="220" t="str">
        <f>IF(J486&lt;&gt;"",VLOOKUP(J486,PContas!A:B,2,FALSE),"")</f>
        <v>PROVISÃO</v>
      </c>
      <c r="L486" s="221">
        <f t="shared" si="14"/>
        <v>10</v>
      </c>
      <c r="M486" s="221" t="str">
        <f t="shared" ca="1" si="15"/>
        <v>2016/07</v>
      </c>
    </row>
    <row r="487" spans="1:13">
      <c r="A487" s="216">
        <v>41465</v>
      </c>
      <c r="B487" s="217"/>
      <c r="C487" s="217"/>
      <c r="D487" s="216">
        <v>42592</v>
      </c>
      <c r="E487" s="218">
        <v>20</v>
      </c>
      <c r="F487" s="216"/>
      <c r="G487" s="218">
        <v>-21.46</v>
      </c>
      <c r="H487" s="219" t="s">
        <v>52</v>
      </c>
      <c r="I487" s="239" t="s">
        <v>1111</v>
      </c>
      <c r="J487" s="219" t="s">
        <v>30</v>
      </c>
      <c r="K487" s="220" t="str">
        <f>IF(J487&lt;&gt;"",VLOOKUP(J487,PContas!A:B,2,FALSE),"")</f>
        <v>PROVISÃO</v>
      </c>
      <c r="L487" s="221">
        <f t="shared" si="14"/>
        <v>10</v>
      </c>
      <c r="M487" s="221" t="str">
        <f t="shared" ca="1" si="15"/>
        <v>2016/08</v>
      </c>
    </row>
    <row r="488" spans="1:13">
      <c r="A488" s="216">
        <v>41465</v>
      </c>
      <c r="B488" s="217"/>
      <c r="C488" s="217"/>
      <c r="D488" s="216">
        <v>42623</v>
      </c>
      <c r="E488" s="218">
        <v>20</v>
      </c>
      <c r="F488" s="216"/>
      <c r="G488" s="218">
        <v>-21.46</v>
      </c>
      <c r="H488" s="219" t="s">
        <v>52</v>
      </c>
      <c r="I488" s="239" t="s">
        <v>1111</v>
      </c>
      <c r="J488" s="219" t="s">
        <v>30</v>
      </c>
      <c r="K488" s="220" t="str">
        <f>IF(J488&lt;&gt;"",VLOOKUP(J488,PContas!A:B,2,FALSE),"")</f>
        <v>PROVISÃO</v>
      </c>
      <c r="L488" s="221">
        <f t="shared" si="14"/>
        <v>10</v>
      </c>
      <c r="M488" s="221" t="str">
        <f t="shared" ca="1" si="15"/>
        <v>2016/09</v>
      </c>
    </row>
    <row r="489" spans="1:13">
      <c r="A489" s="216">
        <v>41465</v>
      </c>
      <c r="B489" s="217"/>
      <c r="C489" s="217"/>
      <c r="D489" s="216">
        <v>42653</v>
      </c>
      <c r="E489" s="218">
        <v>20</v>
      </c>
      <c r="F489" s="216"/>
      <c r="G489" s="218">
        <v>-21.46</v>
      </c>
      <c r="H489" s="219" t="s">
        <v>52</v>
      </c>
      <c r="I489" s="239" t="s">
        <v>1111</v>
      </c>
      <c r="J489" s="219" t="s">
        <v>30</v>
      </c>
      <c r="K489" s="220" t="str">
        <f>IF(J489&lt;&gt;"",VLOOKUP(J489,PContas!A:B,2,FALSE),"")</f>
        <v>PROVISÃO</v>
      </c>
      <c r="L489" s="221">
        <f t="shared" si="14"/>
        <v>10</v>
      </c>
      <c r="M489" s="221" t="str">
        <f t="shared" ca="1" si="15"/>
        <v>2016/10</v>
      </c>
    </row>
    <row r="490" spans="1:13">
      <c r="A490" s="216">
        <v>41465</v>
      </c>
      <c r="B490" s="217"/>
      <c r="C490" s="217"/>
      <c r="D490" s="216">
        <v>42684</v>
      </c>
      <c r="E490" s="218">
        <v>20</v>
      </c>
      <c r="F490" s="216"/>
      <c r="G490" s="218">
        <v>-21.46</v>
      </c>
      <c r="H490" s="219" t="s">
        <v>52</v>
      </c>
      <c r="I490" s="239" t="s">
        <v>1111</v>
      </c>
      <c r="J490" s="219" t="s">
        <v>30</v>
      </c>
      <c r="K490" s="220" t="str">
        <f>IF(J490&lt;&gt;"",VLOOKUP(J490,PContas!A:B,2,FALSE),"")</f>
        <v>PROVISÃO</v>
      </c>
      <c r="L490" s="221">
        <f t="shared" si="14"/>
        <v>10</v>
      </c>
      <c r="M490" s="221" t="str">
        <f t="shared" ca="1" si="15"/>
        <v>2016/11</v>
      </c>
    </row>
    <row r="491" spans="1:13">
      <c r="A491" s="216">
        <v>41465</v>
      </c>
      <c r="B491" s="217"/>
      <c r="C491" s="217"/>
      <c r="D491" s="216">
        <v>42714</v>
      </c>
      <c r="E491" s="218">
        <v>20</v>
      </c>
      <c r="F491" s="216"/>
      <c r="G491" s="218">
        <v>-21.46</v>
      </c>
      <c r="H491" s="219" t="s">
        <v>52</v>
      </c>
      <c r="I491" s="239" t="s">
        <v>1111</v>
      </c>
      <c r="J491" s="219" t="s">
        <v>30</v>
      </c>
      <c r="K491" s="220" t="str">
        <f>IF(J491&lt;&gt;"",VLOOKUP(J491,PContas!A:B,2,FALSE),"")</f>
        <v>PROVISÃO</v>
      </c>
      <c r="L491" s="221">
        <f t="shared" si="14"/>
        <v>10</v>
      </c>
      <c r="M491" s="221" t="str">
        <f t="shared" ca="1" si="15"/>
        <v>2016/12</v>
      </c>
    </row>
    <row r="492" spans="1:13">
      <c r="A492" s="216">
        <v>41465</v>
      </c>
      <c r="B492" s="217"/>
      <c r="C492" s="217"/>
      <c r="D492" s="216">
        <v>42745</v>
      </c>
      <c r="E492" s="218">
        <v>20</v>
      </c>
      <c r="F492" s="216"/>
      <c r="G492" s="218">
        <v>-21.46</v>
      </c>
      <c r="H492" s="219" t="s">
        <v>52</v>
      </c>
      <c r="I492" s="239" t="s">
        <v>1111</v>
      </c>
      <c r="J492" s="219" t="s">
        <v>30</v>
      </c>
      <c r="K492" s="220" t="str">
        <f>IF(J492&lt;&gt;"",VLOOKUP(J492,PContas!A:B,2,FALSE),"")</f>
        <v>PROVISÃO</v>
      </c>
      <c r="L492" s="221">
        <f t="shared" si="14"/>
        <v>10</v>
      </c>
      <c r="M492" s="221" t="str">
        <f t="shared" ca="1" si="15"/>
        <v>2017/01</v>
      </c>
    </row>
    <row r="493" spans="1:13">
      <c r="A493" s="216">
        <v>41465</v>
      </c>
      <c r="B493" s="217"/>
      <c r="C493" s="217"/>
      <c r="D493" s="216">
        <v>42776</v>
      </c>
      <c r="E493" s="218">
        <v>20</v>
      </c>
      <c r="F493" s="216"/>
      <c r="G493" s="218">
        <v>-21.46</v>
      </c>
      <c r="H493" s="219" t="s">
        <v>52</v>
      </c>
      <c r="I493" s="239" t="s">
        <v>1111</v>
      </c>
      <c r="J493" s="219" t="s">
        <v>30</v>
      </c>
      <c r="K493" s="220" t="str">
        <f>IF(J493&lt;&gt;"",VLOOKUP(J493,PContas!A:B,2,FALSE),"")</f>
        <v>PROVISÃO</v>
      </c>
      <c r="L493" s="221">
        <f t="shared" si="14"/>
        <v>10</v>
      </c>
      <c r="M493" s="221" t="str">
        <f t="shared" ca="1" si="15"/>
        <v>2017/02</v>
      </c>
    </row>
    <row r="494" spans="1:13">
      <c r="A494" s="216">
        <v>41465</v>
      </c>
      <c r="B494" s="217"/>
      <c r="C494" s="217"/>
      <c r="D494" s="216">
        <v>42804</v>
      </c>
      <c r="E494" s="218">
        <v>20</v>
      </c>
      <c r="F494" s="216"/>
      <c r="G494" s="218">
        <v>-21.46</v>
      </c>
      <c r="H494" s="219" t="s">
        <v>52</v>
      </c>
      <c r="I494" s="239" t="s">
        <v>1111</v>
      </c>
      <c r="J494" s="219" t="s">
        <v>30</v>
      </c>
      <c r="K494" s="220" t="str">
        <f>IF(J494&lt;&gt;"",VLOOKUP(J494,PContas!A:B,2,FALSE),"")</f>
        <v>PROVISÃO</v>
      </c>
      <c r="L494" s="221">
        <f t="shared" si="14"/>
        <v>10</v>
      </c>
      <c r="M494" s="221" t="str">
        <f t="shared" ca="1" si="15"/>
        <v>2017/03</v>
      </c>
    </row>
    <row r="495" spans="1:13">
      <c r="A495" s="216">
        <v>41465</v>
      </c>
      <c r="B495" s="217"/>
      <c r="C495" s="217"/>
      <c r="D495" s="216">
        <v>42835</v>
      </c>
      <c r="E495" s="218">
        <v>20</v>
      </c>
      <c r="F495" s="216"/>
      <c r="G495" s="218">
        <v>-21.46</v>
      </c>
      <c r="H495" s="219" t="s">
        <v>52</v>
      </c>
      <c r="I495" s="239" t="s">
        <v>1111</v>
      </c>
      <c r="J495" s="219" t="s">
        <v>30</v>
      </c>
      <c r="K495" s="220" t="str">
        <f>IF(J495&lt;&gt;"",VLOOKUP(J495,PContas!A:B,2,FALSE),"")</f>
        <v>PROVISÃO</v>
      </c>
      <c r="L495" s="221">
        <f t="shared" si="14"/>
        <v>10</v>
      </c>
      <c r="M495" s="221" t="str">
        <f t="shared" ca="1" si="15"/>
        <v>2017/04</v>
      </c>
    </row>
    <row r="496" spans="1:13">
      <c r="A496" s="216">
        <v>41465</v>
      </c>
      <c r="B496" s="217"/>
      <c r="C496" s="217"/>
      <c r="D496" s="216">
        <v>42865</v>
      </c>
      <c r="E496" s="218">
        <v>20</v>
      </c>
      <c r="F496" s="216"/>
      <c r="G496" s="218">
        <v>-21.46</v>
      </c>
      <c r="H496" s="219" t="s">
        <v>52</v>
      </c>
      <c r="I496" s="239" t="s">
        <v>1111</v>
      </c>
      <c r="J496" s="219" t="s">
        <v>30</v>
      </c>
      <c r="K496" s="220" t="str">
        <f>IF(J496&lt;&gt;"",VLOOKUP(J496,PContas!A:B,2,FALSE),"")</f>
        <v>PROVISÃO</v>
      </c>
      <c r="L496" s="221">
        <f t="shared" si="14"/>
        <v>10</v>
      </c>
      <c r="M496" s="221" t="str">
        <f t="shared" ca="1" si="15"/>
        <v>2017/05</v>
      </c>
    </row>
    <row r="497" spans="1:13">
      <c r="A497" s="216">
        <v>41467</v>
      </c>
      <c r="B497" s="217" t="s">
        <v>77</v>
      </c>
      <c r="C497" s="217"/>
      <c r="D497" s="216">
        <v>41475</v>
      </c>
      <c r="E497" s="218">
        <v>13</v>
      </c>
      <c r="F497" s="216">
        <v>41473</v>
      </c>
      <c r="G497" s="218">
        <v>-13</v>
      </c>
      <c r="H497" s="219" t="s">
        <v>52</v>
      </c>
      <c r="I497" s="219" t="s">
        <v>4</v>
      </c>
      <c r="J497" s="219" t="s">
        <v>21</v>
      </c>
      <c r="K497" s="220" t="str">
        <f>IF(J497&lt;&gt;"",VLOOKUP(J497,PContas!A:B,2,FALSE),"")</f>
        <v>IMPOSTOS</v>
      </c>
      <c r="L497" s="221">
        <f t="shared" si="14"/>
        <v>20</v>
      </c>
      <c r="M497" s="221" t="str">
        <f t="shared" ca="1" si="15"/>
        <v>2013/07</v>
      </c>
    </row>
    <row r="498" spans="1:13">
      <c r="A498" s="216">
        <v>41467</v>
      </c>
      <c r="B498" s="217" t="s">
        <v>89</v>
      </c>
      <c r="C498" s="217"/>
      <c r="D498" s="216">
        <v>41475</v>
      </c>
      <c r="E498" s="218">
        <v>3.6</v>
      </c>
      <c r="F498" s="216">
        <v>41473</v>
      </c>
      <c r="G498" s="218">
        <v>-3.6</v>
      </c>
      <c r="H498" s="219" t="s">
        <v>52</v>
      </c>
      <c r="I498" s="219" t="s">
        <v>4</v>
      </c>
      <c r="J498" s="219" t="s">
        <v>21</v>
      </c>
      <c r="K498" s="220" t="str">
        <f>IF(J498&lt;&gt;"",VLOOKUP(J498,PContas!A:B,2,FALSE),"")</f>
        <v>IMPOSTOS</v>
      </c>
      <c r="L498" s="221">
        <f t="shared" si="14"/>
        <v>20</v>
      </c>
      <c r="M498" s="221" t="str">
        <f t="shared" ca="1" si="15"/>
        <v>2013/07</v>
      </c>
    </row>
    <row r="499" spans="1:13">
      <c r="A499" s="216">
        <v>41468</v>
      </c>
      <c r="B499" s="217"/>
      <c r="C499" s="217"/>
      <c r="D499" s="216">
        <v>41475</v>
      </c>
      <c r="E499" s="218">
        <v>50</v>
      </c>
      <c r="F499" s="216">
        <v>41473</v>
      </c>
      <c r="G499" s="218">
        <v>-50</v>
      </c>
      <c r="H499" s="219" t="s">
        <v>52</v>
      </c>
      <c r="I499" s="219" t="s">
        <v>2</v>
      </c>
      <c r="J499" s="219" t="s">
        <v>9</v>
      </c>
      <c r="K499" s="220" t="str">
        <f>IF(J499&lt;&gt;"",VLOOKUP(J499,PContas!A:B,2,FALSE),"")</f>
        <v>AILTON</v>
      </c>
      <c r="L499" s="221">
        <f t="shared" si="14"/>
        <v>20</v>
      </c>
      <c r="M499" s="221" t="str">
        <f t="shared" ca="1" si="15"/>
        <v>2013/07</v>
      </c>
    </row>
    <row r="500" spans="1:13">
      <c r="A500" s="216">
        <v>41472</v>
      </c>
      <c r="B500" s="217" t="s">
        <v>93</v>
      </c>
      <c r="C500" s="217"/>
      <c r="D500" s="216">
        <v>41472</v>
      </c>
      <c r="E500" s="218">
        <v>150</v>
      </c>
      <c r="F500" s="216">
        <v>41472</v>
      </c>
      <c r="G500" s="218">
        <v>150</v>
      </c>
      <c r="H500" s="219" t="s">
        <v>71</v>
      </c>
      <c r="I500" s="219" t="s">
        <v>4</v>
      </c>
      <c r="J500" s="219" t="s">
        <v>62</v>
      </c>
      <c r="K500" s="220" t="str">
        <f>IF(J500&lt;&gt;"",VLOOKUP(J500,PContas!A:B,2,FALSE),"")</f>
        <v>CLIENTES</v>
      </c>
      <c r="L500" s="221">
        <f t="shared" si="14"/>
        <v>17</v>
      </c>
      <c r="M500" s="221" t="str">
        <f t="shared" ca="1" si="15"/>
        <v>2013/07</v>
      </c>
    </row>
    <row r="501" spans="1:13">
      <c r="A501" s="216">
        <v>41472</v>
      </c>
      <c r="B501" s="217"/>
      <c r="C501" s="217"/>
      <c r="D501" s="216">
        <v>41472</v>
      </c>
      <c r="E501" s="218">
        <v>32.200000000000003</v>
      </c>
      <c r="F501" s="216">
        <v>41472</v>
      </c>
      <c r="G501" s="218">
        <v>-32.200000000000003</v>
      </c>
      <c r="H501" s="219" t="s">
        <v>52</v>
      </c>
      <c r="I501" s="219" t="s">
        <v>2</v>
      </c>
      <c r="J501" s="219" t="s">
        <v>3</v>
      </c>
      <c r="K501" s="220" t="str">
        <f>IF(J501&lt;&gt;"",VLOOKUP(J501,PContas!A:B,2,FALSE),"")</f>
        <v>ALIMENTAÇÃO</v>
      </c>
      <c r="L501" s="221">
        <f t="shared" si="14"/>
        <v>17</v>
      </c>
      <c r="M501" s="221" t="str">
        <f t="shared" ca="1" si="15"/>
        <v>2013/07</v>
      </c>
    </row>
    <row r="502" spans="1:13">
      <c r="A502" s="216">
        <v>41472</v>
      </c>
      <c r="B502" s="217" t="s">
        <v>93</v>
      </c>
      <c r="C502" s="217"/>
      <c r="D502" s="216">
        <v>41475</v>
      </c>
      <c r="E502" s="218">
        <v>3.6</v>
      </c>
      <c r="F502" s="216">
        <v>41473</v>
      </c>
      <c r="G502" s="218">
        <v>-3</v>
      </c>
      <c r="H502" s="219" t="s">
        <v>52</v>
      </c>
      <c r="I502" s="219" t="s">
        <v>4</v>
      </c>
      <c r="J502" s="219" t="s">
        <v>21</v>
      </c>
      <c r="K502" s="220" t="str">
        <f>IF(J502&lt;&gt;"",VLOOKUP(J502,PContas!A:B,2,FALSE),"")</f>
        <v>IMPOSTOS</v>
      </c>
      <c r="L502" s="221">
        <f t="shared" si="14"/>
        <v>20</v>
      </c>
      <c r="M502" s="221" t="str">
        <f t="shared" ca="1" si="15"/>
        <v>2013/07</v>
      </c>
    </row>
    <row r="503" spans="1:13">
      <c r="A503" s="216">
        <v>41473</v>
      </c>
      <c r="B503" s="217"/>
      <c r="C503" s="217"/>
      <c r="D503" s="216">
        <v>41465</v>
      </c>
      <c r="E503" s="218">
        <v>4.3</v>
      </c>
      <c r="F503" s="216">
        <v>41465</v>
      </c>
      <c r="G503" s="218">
        <v>-4.3</v>
      </c>
      <c r="H503" s="219" t="s">
        <v>52</v>
      </c>
      <c r="I503" s="239" t="s">
        <v>1111</v>
      </c>
      <c r="J503" s="219" t="s">
        <v>97</v>
      </c>
      <c r="K503" s="220" t="str">
        <f>IF(J503&lt;&gt;"",VLOOKUP(J503,PContas!A:B,2,FALSE),"")</f>
        <v>TARIFAS</v>
      </c>
      <c r="L503" s="221">
        <f t="shared" si="14"/>
        <v>10</v>
      </c>
      <c r="M503" s="221" t="str">
        <f t="shared" ca="1" si="15"/>
        <v>2013/07</v>
      </c>
    </row>
    <row r="504" spans="1:13">
      <c r="A504" s="216">
        <v>41473</v>
      </c>
      <c r="B504" s="217"/>
      <c r="C504" s="217"/>
      <c r="D504" s="216">
        <v>41465</v>
      </c>
      <c r="E504" s="218">
        <v>4.5</v>
      </c>
      <c r="F504" s="216">
        <v>41465</v>
      </c>
      <c r="G504" s="218">
        <v>-4.5</v>
      </c>
      <c r="H504" s="219" t="s">
        <v>52</v>
      </c>
      <c r="I504" s="239" t="s">
        <v>1111</v>
      </c>
      <c r="J504" s="219" t="s">
        <v>97</v>
      </c>
      <c r="K504" s="220" t="str">
        <f>IF(J504&lt;&gt;"",VLOOKUP(J504,PContas!A:B,2,FALSE),"")</f>
        <v>TARIFAS</v>
      </c>
      <c r="L504" s="221">
        <f t="shared" si="14"/>
        <v>10</v>
      </c>
      <c r="M504" s="221" t="str">
        <f t="shared" ca="1" si="15"/>
        <v>2013/07</v>
      </c>
    </row>
    <row r="505" spans="1:13">
      <c r="A505" s="216">
        <v>41473</v>
      </c>
      <c r="B505" s="217"/>
      <c r="C505" s="217" t="s">
        <v>454</v>
      </c>
      <c r="D505" s="216">
        <v>41465</v>
      </c>
      <c r="E505" s="218">
        <v>19.5</v>
      </c>
      <c r="F505" s="216">
        <v>41472</v>
      </c>
      <c r="G505" s="218">
        <v>-19.5</v>
      </c>
      <c r="H505" s="219" t="s">
        <v>52</v>
      </c>
      <c r="I505" s="239" t="s">
        <v>1111</v>
      </c>
      <c r="J505" s="219" t="s">
        <v>96</v>
      </c>
      <c r="K505" s="220" t="str">
        <f>IF(J505&lt;&gt;"",VLOOKUP(J505,PContas!A:B,2,FALSE),"")</f>
        <v>TARIFAS</v>
      </c>
      <c r="L505" s="221">
        <f t="shared" si="14"/>
        <v>10</v>
      </c>
      <c r="M505" s="221" t="str">
        <f t="shared" ca="1" si="15"/>
        <v>2013/07</v>
      </c>
    </row>
    <row r="506" spans="1:13">
      <c r="A506" s="216">
        <v>41473</v>
      </c>
      <c r="B506" s="217"/>
      <c r="C506" s="217"/>
      <c r="D506" s="216">
        <v>41473</v>
      </c>
      <c r="E506" s="218">
        <v>18</v>
      </c>
      <c r="F506" s="216">
        <v>41473</v>
      </c>
      <c r="G506" s="218">
        <v>-18</v>
      </c>
      <c r="H506" s="219" t="s">
        <v>52</v>
      </c>
      <c r="I506" s="219" t="s">
        <v>2</v>
      </c>
      <c r="J506" s="219" t="s">
        <v>498</v>
      </c>
      <c r="K506" s="220" t="str">
        <f>IF(J506&lt;&gt;"",VLOOKUP(J506,PContas!A:B,2,FALSE),"")</f>
        <v>TELEFONIA</v>
      </c>
      <c r="L506" s="221">
        <f t="shared" si="14"/>
        <v>18</v>
      </c>
      <c r="M506" s="221" t="str">
        <f t="shared" ca="1" si="15"/>
        <v>2013/07</v>
      </c>
    </row>
    <row r="507" spans="1:13">
      <c r="A507" s="216">
        <v>41473</v>
      </c>
      <c r="B507" s="217" t="s">
        <v>94</v>
      </c>
      <c r="C507" s="217"/>
      <c r="D507" s="216">
        <v>41494</v>
      </c>
      <c r="E507" s="218">
        <v>250</v>
      </c>
      <c r="F507" s="216">
        <v>41494</v>
      </c>
      <c r="G507" s="218">
        <v>250</v>
      </c>
      <c r="H507" s="219" t="s">
        <v>71</v>
      </c>
      <c r="I507" s="219" t="s">
        <v>2</v>
      </c>
      <c r="J507" s="219" t="s">
        <v>95</v>
      </c>
      <c r="K507" s="220" t="str">
        <f>IF(J507&lt;&gt;"",VLOOKUP(J507,PContas!A:B,2,FALSE),"")</f>
        <v>CLIENTES</v>
      </c>
      <c r="L507" s="221">
        <f t="shared" si="14"/>
        <v>8</v>
      </c>
      <c r="M507" s="221" t="str">
        <f t="shared" ca="1" si="15"/>
        <v>2013/08</v>
      </c>
    </row>
    <row r="508" spans="1:13">
      <c r="A508" s="216">
        <v>41473</v>
      </c>
      <c r="B508" s="217" t="s">
        <v>94</v>
      </c>
      <c r="C508" s="217"/>
      <c r="D508" s="216">
        <v>41505</v>
      </c>
      <c r="E508" s="218">
        <v>250</v>
      </c>
      <c r="F508" s="216">
        <v>41505</v>
      </c>
      <c r="G508" s="218">
        <v>250</v>
      </c>
      <c r="H508" s="219" t="s">
        <v>71</v>
      </c>
      <c r="I508" s="219" t="s">
        <v>2</v>
      </c>
      <c r="J508" s="219" t="s">
        <v>95</v>
      </c>
      <c r="K508" s="220" t="str">
        <f>IF(J508&lt;&gt;"",VLOOKUP(J508,PContas!A:B,2,FALSE),"")</f>
        <v>CLIENTES</v>
      </c>
      <c r="L508" s="221">
        <f t="shared" si="14"/>
        <v>19</v>
      </c>
      <c r="M508" s="221" t="str">
        <f t="shared" ca="1" si="15"/>
        <v>2013/08</v>
      </c>
    </row>
    <row r="509" spans="1:13">
      <c r="A509" s="216">
        <v>41473</v>
      </c>
      <c r="B509" s="217" t="s">
        <v>94</v>
      </c>
      <c r="C509" s="217"/>
      <c r="D509" s="216">
        <v>41537</v>
      </c>
      <c r="E509" s="218">
        <v>200</v>
      </c>
      <c r="F509" s="216">
        <v>41548</v>
      </c>
      <c r="G509" s="218">
        <v>200</v>
      </c>
      <c r="H509" s="219" t="s">
        <v>71</v>
      </c>
      <c r="I509" s="219" t="s">
        <v>2</v>
      </c>
      <c r="J509" s="219" t="s">
        <v>95</v>
      </c>
      <c r="K509" s="220" t="str">
        <f>IF(J509&lt;&gt;"",VLOOKUP(J509,PContas!A:B,2,FALSE),"")</f>
        <v>CLIENTES</v>
      </c>
      <c r="L509" s="221">
        <f t="shared" si="14"/>
        <v>20</v>
      </c>
      <c r="M509" s="221" t="str">
        <f t="shared" ca="1" si="15"/>
        <v>2013/09</v>
      </c>
    </row>
    <row r="510" spans="1:13">
      <c r="A510" s="216">
        <v>41474</v>
      </c>
      <c r="B510" s="217"/>
      <c r="C510" s="217"/>
      <c r="D510" s="216">
        <v>41474</v>
      </c>
      <c r="E510" s="218">
        <v>13.45</v>
      </c>
      <c r="F510" s="216">
        <v>41474</v>
      </c>
      <c r="G510" s="218">
        <v>-13.45</v>
      </c>
      <c r="H510" s="219" t="s">
        <v>52</v>
      </c>
      <c r="I510" s="219" t="s">
        <v>2</v>
      </c>
      <c r="J510" s="219" t="s">
        <v>488</v>
      </c>
      <c r="K510" s="220" t="str">
        <f>IF(J510&lt;&gt;"",VLOOKUP(J510,PContas!A:B,2,FALSE),"")</f>
        <v>ALIMENTAÇÃO</v>
      </c>
      <c r="L510" s="221">
        <f t="shared" si="14"/>
        <v>19</v>
      </c>
      <c r="M510" s="221" t="str">
        <f t="shared" ca="1" si="15"/>
        <v>2013/07</v>
      </c>
    </row>
    <row r="511" spans="1:13">
      <c r="A511" s="216">
        <v>41474</v>
      </c>
      <c r="B511" s="217"/>
      <c r="C511" s="217"/>
      <c r="D511" s="216">
        <v>41474</v>
      </c>
      <c r="E511" s="218">
        <v>121.14</v>
      </c>
      <c r="F511" s="216">
        <v>41474</v>
      </c>
      <c r="G511" s="218">
        <v>-121.14</v>
      </c>
      <c r="H511" s="219" t="s">
        <v>52</v>
      </c>
      <c r="I511" s="219" t="s">
        <v>2</v>
      </c>
      <c r="J511" s="219" t="s">
        <v>3</v>
      </c>
      <c r="K511" s="220" t="str">
        <f>IF(J511&lt;&gt;"",VLOOKUP(J511,PContas!A:B,2,FALSE),"")</f>
        <v>ALIMENTAÇÃO</v>
      </c>
      <c r="L511" s="221">
        <f t="shared" si="14"/>
        <v>19</v>
      </c>
      <c r="M511" s="221" t="str">
        <f t="shared" ca="1" si="15"/>
        <v>2013/07</v>
      </c>
    </row>
    <row r="512" spans="1:13">
      <c r="A512" s="216">
        <v>41475</v>
      </c>
      <c r="B512" s="217"/>
      <c r="C512" s="217"/>
      <c r="D512" s="216">
        <v>41475</v>
      </c>
      <c r="E512" s="218">
        <v>6.15</v>
      </c>
      <c r="F512" s="216">
        <v>41475</v>
      </c>
      <c r="G512" s="218">
        <v>-6.15</v>
      </c>
      <c r="H512" s="219" t="s">
        <v>52</v>
      </c>
      <c r="I512" s="219" t="s">
        <v>2</v>
      </c>
      <c r="J512" s="219" t="s">
        <v>488</v>
      </c>
      <c r="K512" s="220" t="str">
        <f>IF(J512&lt;&gt;"",VLOOKUP(J512,PContas!A:B,2,FALSE),"")</f>
        <v>ALIMENTAÇÃO</v>
      </c>
      <c r="L512" s="221">
        <f t="shared" si="14"/>
        <v>20</v>
      </c>
      <c r="M512" s="221" t="str">
        <f t="shared" ca="1" si="15"/>
        <v>2013/07</v>
      </c>
    </row>
    <row r="513" spans="1:13">
      <c r="A513" s="216">
        <v>41475</v>
      </c>
      <c r="B513" s="217"/>
      <c r="C513" s="217"/>
      <c r="D513" s="216">
        <v>41475</v>
      </c>
      <c r="E513" s="218">
        <v>75.83</v>
      </c>
      <c r="F513" s="216">
        <v>41475</v>
      </c>
      <c r="G513" s="218">
        <v>-75.83</v>
      </c>
      <c r="H513" s="219" t="s">
        <v>52</v>
      </c>
      <c r="I513" s="219" t="s">
        <v>2</v>
      </c>
      <c r="J513" s="219" t="s">
        <v>3</v>
      </c>
      <c r="K513" s="220" t="str">
        <f>IF(J513&lt;&gt;"",VLOOKUP(J513,PContas!A:B,2,FALSE),"")</f>
        <v>ALIMENTAÇÃO</v>
      </c>
      <c r="L513" s="221">
        <f t="shared" si="14"/>
        <v>20</v>
      </c>
      <c r="M513" s="221" t="str">
        <f t="shared" ca="1" si="15"/>
        <v>2013/07</v>
      </c>
    </row>
    <row r="514" spans="1:13">
      <c r="A514" s="216">
        <v>41475</v>
      </c>
      <c r="B514" s="217"/>
      <c r="C514" s="217"/>
      <c r="D514" s="216">
        <v>41475</v>
      </c>
      <c r="E514" s="218">
        <v>11.99</v>
      </c>
      <c r="F514" s="216">
        <v>41475</v>
      </c>
      <c r="G514" s="218">
        <v>-11.99</v>
      </c>
      <c r="H514" s="219" t="s">
        <v>52</v>
      </c>
      <c r="I514" s="219" t="s">
        <v>2</v>
      </c>
      <c r="J514" s="219" t="s">
        <v>3</v>
      </c>
      <c r="K514" s="220" t="str">
        <f>IF(J514&lt;&gt;"",VLOOKUP(J514,PContas!A:B,2,FALSE),"")</f>
        <v>ALIMENTAÇÃO</v>
      </c>
      <c r="L514" s="221">
        <f t="shared" ref="L514:L577" si="16">DAY(D514)</f>
        <v>20</v>
      </c>
      <c r="M514" s="221" t="str">
        <f t="shared" ref="M514:M577" ca="1" si="17">IF(D514&lt;&gt;"",IF(F514="",IF(DAYS360(D514,NOW())&gt;0,"ATRASADO",YEAR(D514)&amp;"/"&amp;CHOOSE(MONTH(D514),"01","02","03","04","05","06","07","08","09","10","11","12")),YEAR(D514)&amp;"/"&amp;CHOOSE(MONTH(D514),"01","02","03","04","05","06","07","08","09","10","11","12")),"")</f>
        <v>2013/07</v>
      </c>
    </row>
    <row r="515" spans="1:13">
      <c r="A515" s="216">
        <v>41475</v>
      </c>
      <c r="B515" s="217"/>
      <c r="C515" s="217"/>
      <c r="D515" s="216">
        <v>41475</v>
      </c>
      <c r="E515" s="218">
        <v>10</v>
      </c>
      <c r="F515" s="216">
        <v>41475</v>
      </c>
      <c r="G515" s="218">
        <v>-10</v>
      </c>
      <c r="H515" s="219" t="s">
        <v>52</v>
      </c>
      <c r="I515" s="219" t="s">
        <v>2</v>
      </c>
      <c r="J515" s="219" t="s">
        <v>9</v>
      </c>
      <c r="K515" s="220" t="str">
        <f>IF(J515&lt;&gt;"",VLOOKUP(J515,PContas!A:B,2,FALSE),"")</f>
        <v>AILTON</v>
      </c>
      <c r="L515" s="221">
        <f t="shared" si="16"/>
        <v>20</v>
      </c>
      <c r="M515" s="221" t="str">
        <f t="shared" ca="1" si="17"/>
        <v>2013/07</v>
      </c>
    </row>
    <row r="516" spans="1:13">
      <c r="A516" s="216">
        <v>41476</v>
      </c>
      <c r="B516" s="217"/>
      <c r="C516" s="217"/>
      <c r="D516" s="216">
        <v>41476</v>
      </c>
      <c r="E516" s="218">
        <v>11.82</v>
      </c>
      <c r="F516" s="216">
        <v>41476</v>
      </c>
      <c r="G516" s="218">
        <v>-11.82</v>
      </c>
      <c r="H516" s="219" t="s">
        <v>52</v>
      </c>
      <c r="I516" s="219" t="s">
        <v>2</v>
      </c>
      <c r="J516" s="219" t="s">
        <v>488</v>
      </c>
      <c r="K516" s="220" t="str">
        <f>IF(J516&lt;&gt;"",VLOOKUP(J516,PContas!A:B,2,FALSE),"")</f>
        <v>ALIMENTAÇÃO</v>
      </c>
      <c r="L516" s="221">
        <f t="shared" si="16"/>
        <v>21</v>
      </c>
      <c r="M516" s="221" t="str">
        <f t="shared" ca="1" si="17"/>
        <v>2013/07</v>
      </c>
    </row>
    <row r="517" spans="1:13">
      <c r="A517" s="216">
        <v>41476</v>
      </c>
      <c r="B517" s="217"/>
      <c r="C517" s="217"/>
      <c r="D517" s="216">
        <v>41476</v>
      </c>
      <c r="E517" s="218">
        <v>27.5</v>
      </c>
      <c r="F517" s="216">
        <v>41476</v>
      </c>
      <c r="G517" s="218">
        <v>-27.5</v>
      </c>
      <c r="H517" s="219" t="s">
        <v>52</v>
      </c>
      <c r="I517" s="219" t="s">
        <v>2</v>
      </c>
      <c r="J517" s="219" t="s">
        <v>488</v>
      </c>
      <c r="K517" s="220" t="str">
        <f>IF(J517&lt;&gt;"",VLOOKUP(J517,PContas!A:B,2,FALSE),"")</f>
        <v>ALIMENTAÇÃO</v>
      </c>
      <c r="L517" s="221">
        <f t="shared" si="16"/>
        <v>21</v>
      </c>
      <c r="M517" s="221" t="str">
        <f t="shared" ca="1" si="17"/>
        <v>2013/07</v>
      </c>
    </row>
    <row r="518" spans="1:13">
      <c r="A518" s="216">
        <v>41476</v>
      </c>
      <c r="B518" s="217"/>
      <c r="C518" s="217"/>
      <c r="D518" s="216">
        <v>41476</v>
      </c>
      <c r="E518" s="218">
        <v>11.82</v>
      </c>
      <c r="F518" s="216">
        <v>41476</v>
      </c>
      <c r="G518" s="218">
        <v>-11.82</v>
      </c>
      <c r="H518" s="219" t="s">
        <v>52</v>
      </c>
      <c r="I518" s="219" t="s">
        <v>2</v>
      </c>
      <c r="J518" s="219" t="s">
        <v>3</v>
      </c>
      <c r="K518" s="220" t="str">
        <f>IF(J518&lt;&gt;"",VLOOKUP(J518,PContas!A:B,2,FALSE),"")</f>
        <v>ALIMENTAÇÃO</v>
      </c>
      <c r="L518" s="221">
        <f t="shared" si="16"/>
        <v>21</v>
      </c>
      <c r="M518" s="221" t="str">
        <f t="shared" ca="1" si="17"/>
        <v>2013/07</v>
      </c>
    </row>
    <row r="519" spans="1:13">
      <c r="A519" s="216">
        <v>41478</v>
      </c>
      <c r="B519" s="217"/>
      <c r="C519" s="217"/>
      <c r="D519" s="216">
        <v>41478</v>
      </c>
      <c r="E519" s="218">
        <v>5.2</v>
      </c>
      <c r="F519" s="216">
        <v>41478</v>
      </c>
      <c r="G519" s="218">
        <v>-5.2</v>
      </c>
      <c r="H519" s="219" t="s">
        <v>52</v>
      </c>
      <c r="I519" s="219" t="s">
        <v>2</v>
      </c>
      <c r="J519" s="219" t="s">
        <v>90</v>
      </c>
      <c r="K519" s="220" t="str">
        <f>IF(J519&lt;&gt;"",VLOOKUP(J519,PContas!A:B,2,FALSE),"")</f>
        <v>ALIMENTAÇÃO</v>
      </c>
      <c r="L519" s="221">
        <f t="shared" si="16"/>
        <v>23</v>
      </c>
      <c r="M519" s="221" t="str">
        <f t="shared" ca="1" si="17"/>
        <v>2013/07</v>
      </c>
    </row>
    <row r="520" spans="1:13">
      <c r="A520" s="216">
        <v>41478</v>
      </c>
      <c r="B520" s="217"/>
      <c r="C520" s="217"/>
      <c r="D520" s="216">
        <v>41478</v>
      </c>
      <c r="E520" s="218">
        <v>10.17</v>
      </c>
      <c r="F520" s="216">
        <v>41478</v>
      </c>
      <c r="G520" s="218">
        <v>-10.17</v>
      </c>
      <c r="H520" s="219" t="s">
        <v>52</v>
      </c>
      <c r="I520" s="219" t="s">
        <v>2</v>
      </c>
      <c r="J520" s="219" t="s">
        <v>90</v>
      </c>
      <c r="K520" s="220" t="str">
        <f>IF(J520&lt;&gt;"",VLOOKUP(J520,PContas!A:B,2,FALSE),"")</f>
        <v>ALIMENTAÇÃO</v>
      </c>
      <c r="L520" s="221">
        <f t="shared" si="16"/>
        <v>23</v>
      </c>
      <c r="M520" s="221" t="str">
        <f t="shared" ca="1" si="17"/>
        <v>2013/07</v>
      </c>
    </row>
    <row r="521" spans="1:13">
      <c r="A521" s="216">
        <v>41478</v>
      </c>
      <c r="B521" s="217"/>
      <c r="C521" s="217"/>
      <c r="D521" s="216">
        <v>41478</v>
      </c>
      <c r="E521" s="218">
        <v>10.17</v>
      </c>
      <c r="F521" s="216">
        <v>41478</v>
      </c>
      <c r="G521" s="218">
        <v>-10.17</v>
      </c>
      <c r="H521" s="219" t="s">
        <v>52</v>
      </c>
      <c r="I521" s="219" t="s">
        <v>2</v>
      </c>
      <c r="J521" s="219" t="s">
        <v>3</v>
      </c>
      <c r="K521" s="220" t="str">
        <f>IF(J521&lt;&gt;"",VLOOKUP(J521,PContas!A:B,2,FALSE),"")</f>
        <v>ALIMENTAÇÃO</v>
      </c>
      <c r="L521" s="221">
        <f t="shared" si="16"/>
        <v>23</v>
      </c>
      <c r="M521" s="221" t="str">
        <f t="shared" ca="1" si="17"/>
        <v>2013/07</v>
      </c>
    </row>
    <row r="522" spans="1:13">
      <c r="A522" s="216">
        <v>41479</v>
      </c>
      <c r="B522" s="217" t="s">
        <v>101</v>
      </c>
      <c r="C522" s="217"/>
      <c r="D522" s="216">
        <v>41479</v>
      </c>
      <c r="E522" s="218">
        <v>100</v>
      </c>
      <c r="F522" s="216">
        <v>41480</v>
      </c>
      <c r="G522" s="218">
        <v>100</v>
      </c>
      <c r="H522" s="219" t="s">
        <v>71</v>
      </c>
      <c r="I522" s="219" t="s">
        <v>2</v>
      </c>
      <c r="J522" s="219" t="s">
        <v>61</v>
      </c>
      <c r="K522" s="220" t="str">
        <f>IF(J522&lt;&gt;"",VLOOKUP(J522,PContas!A:B,2,FALSE),"")</f>
        <v>CLIENTES</v>
      </c>
      <c r="L522" s="221">
        <f t="shared" si="16"/>
        <v>24</v>
      </c>
      <c r="M522" s="221" t="str">
        <f t="shared" ca="1" si="17"/>
        <v>2013/07</v>
      </c>
    </row>
    <row r="523" spans="1:13">
      <c r="A523" s="216">
        <v>41479</v>
      </c>
      <c r="B523" s="217"/>
      <c r="C523" s="217"/>
      <c r="D523" s="216">
        <v>41479</v>
      </c>
      <c r="E523" s="218">
        <v>7.44</v>
      </c>
      <c r="F523" s="216">
        <v>41479</v>
      </c>
      <c r="G523" s="218">
        <v>-7.44</v>
      </c>
      <c r="H523" s="219" t="s">
        <v>52</v>
      </c>
      <c r="I523" s="239" t="s">
        <v>1111</v>
      </c>
      <c r="J523" s="219" t="s">
        <v>97</v>
      </c>
      <c r="K523" s="220" t="str">
        <f>IF(J523&lt;&gt;"",VLOOKUP(J523,PContas!A:B,2,FALSE),"")</f>
        <v>TARIFAS</v>
      </c>
      <c r="L523" s="221">
        <f t="shared" si="16"/>
        <v>24</v>
      </c>
      <c r="M523" s="221" t="str">
        <f t="shared" ca="1" si="17"/>
        <v>2013/07</v>
      </c>
    </row>
    <row r="524" spans="1:13">
      <c r="A524" s="216">
        <v>41480</v>
      </c>
      <c r="B524" s="217"/>
      <c r="C524" s="217"/>
      <c r="D524" s="216">
        <v>41480</v>
      </c>
      <c r="E524" s="218">
        <v>15.04</v>
      </c>
      <c r="F524" s="216">
        <v>41480</v>
      </c>
      <c r="G524" s="218">
        <v>-15.04</v>
      </c>
      <c r="H524" s="219" t="s">
        <v>52</v>
      </c>
      <c r="I524" s="219" t="s">
        <v>2</v>
      </c>
      <c r="J524" s="219" t="s">
        <v>3</v>
      </c>
      <c r="K524" s="220" t="str">
        <f>IF(J524&lt;&gt;"",VLOOKUP(J524,PContas!A:B,2,FALSE),"")</f>
        <v>ALIMENTAÇÃO</v>
      </c>
      <c r="L524" s="221">
        <f t="shared" si="16"/>
        <v>25</v>
      </c>
      <c r="M524" s="221" t="str">
        <f t="shared" ca="1" si="17"/>
        <v>2013/07</v>
      </c>
    </row>
    <row r="525" spans="1:13">
      <c r="A525" s="216">
        <v>41481</v>
      </c>
      <c r="B525" s="217"/>
      <c r="C525" s="217"/>
      <c r="D525" s="216">
        <v>41481</v>
      </c>
      <c r="E525" s="218">
        <v>65.33</v>
      </c>
      <c r="F525" s="216">
        <v>41481</v>
      </c>
      <c r="G525" s="218">
        <v>-65.33</v>
      </c>
      <c r="H525" s="219" t="s">
        <v>52</v>
      </c>
      <c r="I525" s="219" t="s">
        <v>2</v>
      </c>
      <c r="J525" s="219" t="s">
        <v>3</v>
      </c>
      <c r="K525" s="220" t="str">
        <f>IF(J525&lt;&gt;"",VLOOKUP(J525,PContas!A:B,2,FALSE),"")</f>
        <v>ALIMENTAÇÃO</v>
      </c>
      <c r="L525" s="221">
        <f t="shared" si="16"/>
        <v>26</v>
      </c>
      <c r="M525" s="221" t="str">
        <f t="shared" ca="1" si="17"/>
        <v>2013/07</v>
      </c>
    </row>
    <row r="526" spans="1:13">
      <c r="A526" s="216">
        <v>41482</v>
      </c>
      <c r="B526" s="217"/>
      <c r="C526" s="217"/>
      <c r="D526" s="216">
        <v>41482</v>
      </c>
      <c r="E526" s="218">
        <v>12.8</v>
      </c>
      <c r="F526" s="216">
        <v>41482</v>
      </c>
      <c r="G526" s="218">
        <v>-12.8</v>
      </c>
      <c r="H526" s="219" t="s">
        <v>52</v>
      </c>
      <c r="I526" s="219" t="s">
        <v>2</v>
      </c>
      <c r="J526" s="219" t="s">
        <v>32</v>
      </c>
      <c r="K526" s="220" t="str">
        <f>IF(J526&lt;&gt;"",VLOOKUP(J526,PContas!A:B,2,FALSE),"")</f>
        <v>AILTON</v>
      </c>
      <c r="L526" s="221">
        <f t="shared" si="16"/>
        <v>27</v>
      </c>
      <c r="M526" s="221" t="str">
        <f t="shared" ca="1" si="17"/>
        <v>2013/07</v>
      </c>
    </row>
    <row r="527" spans="1:13">
      <c r="A527" s="216">
        <v>41482</v>
      </c>
      <c r="B527" s="217"/>
      <c r="C527" s="217"/>
      <c r="D527" s="216">
        <v>41482</v>
      </c>
      <c r="E527" s="218">
        <v>10.9</v>
      </c>
      <c r="F527" s="216">
        <v>41482</v>
      </c>
      <c r="G527" s="218">
        <v>-10.9</v>
      </c>
      <c r="H527" s="219" t="s">
        <v>52</v>
      </c>
      <c r="I527" s="219" t="s">
        <v>2</v>
      </c>
      <c r="J527" s="219" t="s">
        <v>104</v>
      </c>
      <c r="K527" s="220" t="str">
        <f>IF(J527&lt;&gt;"",VLOOKUP(J527,PContas!A:B,2,FALSE),"")</f>
        <v>AILTON</v>
      </c>
      <c r="L527" s="221">
        <f t="shared" si="16"/>
        <v>27</v>
      </c>
      <c r="M527" s="221" t="str">
        <f t="shared" ca="1" si="17"/>
        <v>2013/07</v>
      </c>
    </row>
    <row r="528" spans="1:13">
      <c r="A528" s="216">
        <v>41483</v>
      </c>
      <c r="B528" s="217"/>
      <c r="C528" s="217"/>
      <c r="D528" s="216">
        <v>41483</v>
      </c>
      <c r="E528" s="218">
        <v>22</v>
      </c>
      <c r="F528" s="216">
        <v>41483</v>
      </c>
      <c r="G528" s="218">
        <v>-22</v>
      </c>
      <c r="H528" s="219" t="s">
        <v>52</v>
      </c>
      <c r="I528" s="219" t="s">
        <v>2</v>
      </c>
      <c r="J528" s="219" t="s">
        <v>488</v>
      </c>
      <c r="K528" s="220" t="str">
        <f>IF(J528&lt;&gt;"",VLOOKUP(J528,PContas!A:B,2,FALSE),"")</f>
        <v>ALIMENTAÇÃO</v>
      </c>
      <c r="L528" s="221">
        <f t="shared" si="16"/>
        <v>28</v>
      </c>
      <c r="M528" s="221" t="str">
        <f t="shared" ca="1" si="17"/>
        <v>2013/07</v>
      </c>
    </row>
    <row r="529" spans="1:13">
      <c r="A529" s="216">
        <v>41483</v>
      </c>
      <c r="B529" s="217"/>
      <c r="C529" s="217"/>
      <c r="D529" s="216">
        <v>41483</v>
      </c>
      <c r="E529" s="218">
        <v>3</v>
      </c>
      <c r="F529" s="216">
        <v>41483</v>
      </c>
      <c r="G529" s="218">
        <v>-3</v>
      </c>
      <c r="H529" s="219" t="s">
        <v>52</v>
      </c>
      <c r="I529" s="219" t="s">
        <v>2</v>
      </c>
      <c r="J529" s="219" t="s">
        <v>488</v>
      </c>
      <c r="K529" s="220" t="str">
        <f>IF(J529&lt;&gt;"",VLOOKUP(J529,PContas!A:B,2,FALSE),"")</f>
        <v>ALIMENTAÇÃO</v>
      </c>
      <c r="L529" s="221">
        <f t="shared" si="16"/>
        <v>28</v>
      </c>
      <c r="M529" s="221" t="str">
        <f t="shared" ca="1" si="17"/>
        <v>2013/07</v>
      </c>
    </row>
    <row r="530" spans="1:13">
      <c r="A530" s="216">
        <v>41483</v>
      </c>
      <c r="B530" s="217"/>
      <c r="C530" s="217"/>
      <c r="D530" s="216">
        <v>41483</v>
      </c>
      <c r="E530" s="218">
        <v>22.62</v>
      </c>
      <c r="F530" s="216">
        <v>41483</v>
      </c>
      <c r="G530" s="218">
        <v>-22.62</v>
      </c>
      <c r="H530" s="219" t="s">
        <v>52</v>
      </c>
      <c r="I530" s="219" t="s">
        <v>2</v>
      </c>
      <c r="J530" s="219" t="s">
        <v>3</v>
      </c>
      <c r="K530" s="220" t="str">
        <f>IF(J530&lt;&gt;"",VLOOKUP(J530,PContas!A:B,2,FALSE),"")</f>
        <v>ALIMENTAÇÃO</v>
      </c>
      <c r="L530" s="221">
        <f t="shared" si="16"/>
        <v>28</v>
      </c>
      <c r="M530" s="221" t="str">
        <f t="shared" ca="1" si="17"/>
        <v>2013/07</v>
      </c>
    </row>
    <row r="531" spans="1:13">
      <c r="A531" s="216">
        <v>41483</v>
      </c>
      <c r="B531" s="217"/>
      <c r="C531" s="217"/>
      <c r="D531" s="216">
        <v>41483</v>
      </c>
      <c r="E531" s="218">
        <v>26.43</v>
      </c>
      <c r="F531" s="216">
        <v>41483</v>
      </c>
      <c r="G531" s="218">
        <v>-26.43</v>
      </c>
      <c r="H531" s="219" t="s">
        <v>52</v>
      </c>
      <c r="I531" s="219" t="s">
        <v>2</v>
      </c>
      <c r="J531" s="219" t="s">
        <v>3</v>
      </c>
      <c r="K531" s="220" t="str">
        <f>IF(J531&lt;&gt;"",VLOOKUP(J531,PContas!A:B,2,FALSE),"")</f>
        <v>ALIMENTAÇÃO</v>
      </c>
      <c r="L531" s="221">
        <f t="shared" si="16"/>
        <v>28</v>
      </c>
      <c r="M531" s="221" t="str">
        <f t="shared" ca="1" si="17"/>
        <v>2013/07</v>
      </c>
    </row>
    <row r="532" spans="1:13">
      <c r="A532" s="216">
        <v>41483</v>
      </c>
      <c r="B532" s="217"/>
      <c r="C532" s="217"/>
      <c r="D532" s="216">
        <v>41483</v>
      </c>
      <c r="E532" s="218">
        <v>21.9</v>
      </c>
      <c r="F532" s="216">
        <v>41483</v>
      </c>
      <c r="G532" s="218">
        <v>-21.9</v>
      </c>
      <c r="H532" s="219" t="s">
        <v>52</v>
      </c>
      <c r="I532" s="219" t="s">
        <v>2</v>
      </c>
      <c r="J532" s="219" t="s">
        <v>105</v>
      </c>
      <c r="K532" s="220" t="str">
        <f>IF(J532&lt;&gt;"",VLOOKUP(J532,PContas!A:B,2,FALSE),"")</f>
        <v>AILTON</v>
      </c>
      <c r="L532" s="221">
        <f t="shared" si="16"/>
        <v>28</v>
      </c>
      <c r="M532" s="221" t="str">
        <f t="shared" ca="1" si="17"/>
        <v>2013/07</v>
      </c>
    </row>
    <row r="533" spans="1:13">
      <c r="A533" s="216">
        <v>41483</v>
      </c>
      <c r="B533" s="217"/>
      <c r="C533" s="217"/>
      <c r="D533" s="216">
        <v>41483</v>
      </c>
      <c r="E533" s="218">
        <v>22</v>
      </c>
      <c r="F533" s="216">
        <v>41483</v>
      </c>
      <c r="G533" s="218">
        <v>-22</v>
      </c>
      <c r="H533" s="219" t="s">
        <v>52</v>
      </c>
      <c r="I533" s="219" t="s">
        <v>2</v>
      </c>
      <c r="J533" s="219" t="s">
        <v>9</v>
      </c>
      <c r="K533" s="220" t="str">
        <f>IF(J533&lt;&gt;"",VLOOKUP(J533,PContas!A:B,2,FALSE),"")</f>
        <v>AILTON</v>
      </c>
      <c r="L533" s="221">
        <f t="shared" si="16"/>
        <v>28</v>
      </c>
      <c r="M533" s="221" t="str">
        <f t="shared" ca="1" si="17"/>
        <v>2013/07</v>
      </c>
    </row>
    <row r="534" spans="1:13">
      <c r="A534" s="216">
        <v>41484</v>
      </c>
      <c r="B534" s="217"/>
      <c r="C534" s="217"/>
      <c r="D534" s="216">
        <v>41484</v>
      </c>
      <c r="E534" s="218">
        <v>5.0999999999999996</v>
      </c>
      <c r="F534" s="216">
        <v>41484</v>
      </c>
      <c r="G534" s="218">
        <v>-5.0999999999999996</v>
      </c>
      <c r="H534" s="219" t="s">
        <v>52</v>
      </c>
      <c r="I534" s="219" t="s">
        <v>2</v>
      </c>
      <c r="J534" s="219" t="s">
        <v>32</v>
      </c>
      <c r="K534" s="220" t="str">
        <f>IF(J534&lt;&gt;"",VLOOKUP(J534,PContas!A:B,2,FALSE),"")</f>
        <v>AILTON</v>
      </c>
      <c r="L534" s="221">
        <f t="shared" si="16"/>
        <v>29</v>
      </c>
      <c r="M534" s="221" t="str">
        <f t="shared" ca="1" si="17"/>
        <v>2013/07</v>
      </c>
    </row>
    <row r="535" spans="1:13">
      <c r="A535" s="216">
        <v>41484</v>
      </c>
      <c r="B535" s="217"/>
      <c r="C535" s="217"/>
      <c r="D535" s="216">
        <v>41484</v>
      </c>
      <c r="E535" s="218">
        <v>12</v>
      </c>
      <c r="F535" s="216">
        <v>41484</v>
      </c>
      <c r="G535" s="218">
        <v>-12</v>
      </c>
      <c r="H535" s="219" t="s">
        <v>52</v>
      </c>
      <c r="I535" s="219" t="s">
        <v>2</v>
      </c>
      <c r="J535" s="219" t="s">
        <v>488</v>
      </c>
      <c r="K535" s="220" t="str">
        <f>IF(J535&lt;&gt;"",VLOOKUP(J535,PContas!A:B,2,FALSE),"")</f>
        <v>ALIMENTAÇÃO</v>
      </c>
      <c r="L535" s="221">
        <f t="shared" si="16"/>
        <v>29</v>
      </c>
      <c r="M535" s="221" t="str">
        <f t="shared" ca="1" si="17"/>
        <v>2013/07</v>
      </c>
    </row>
    <row r="536" spans="1:13">
      <c r="A536" s="216">
        <v>41484</v>
      </c>
      <c r="B536" s="217"/>
      <c r="C536" s="217"/>
      <c r="D536" s="216">
        <v>41484</v>
      </c>
      <c r="E536" s="218">
        <v>5.17</v>
      </c>
      <c r="F536" s="216">
        <v>41484</v>
      </c>
      <c r="G536" s="218">
        <v>-5.17</v>
      </c>
      <c r="H536" s="219" t="s">
        <v>52</v>
      </c>
      <c r="I536" s="219" t="s">
        <v>2</v>
      </c>
      <c r="J536" s="219" t="s">
        <v>3</v>
      </c>
      <c r="K536" s="220" t="str">
        <f>IF(J536&lt;&gt;"",VLOOKUP(J536,PContas!A:B,2,FALSE),"")</f>
        <v>ALIMENTAÇÃO</v>
      </c>
      <c r="L536" s="221">
        <f t="shared" si="16"/>
        <v>29</v>
      </c>
      <c r="M536" s="221" t="str">
        <f t="shared" ca="1" si="17"/>
        <v>2013/07</v>
      </c>
    </row>
    <row r="537" spans="1:13">
      <c r="A537" s="216">
        <v>41484</v>
      </c>
      <c r="B537" s="217"/>
      <c r="C537" s="217" t="s">
        <v>989</v>
      </c>
      <c r="D537" s="216">
        <v>41484</v>
      </c>
      <c r="E537" s="218">
        <v>10</v>
      </c>
      <c r="F537" s="216">
        <v>41484</v>
      </c>
      <c r="G537" s="218">
        <v>-10</v>
      </c>
      <c r="H537" s="219" t="s">
        <v>52</v>
      </c>
      <c r="I537" s="219" t="s">
        <v>2</v>
      </c>
      <c r="J537" s="219" t="s">
        <v>483</v>
      </c>
      <c r="K537" s="220" t="str">
        <f>IF(J537&lt;&gt;"",VLOOKUP(J537,PContas!A:B,2,FALSE),"")</f>
        <v>AILTON</v>
      </c>
      <c r="L537" s="221">
        <f t="shared" si="16"/>
        <v>29</v>
      </c>
      <c r="M537" s="221" t="str">
        <f t="shared" ca="1" si="17"/>
        <v>2013/07</v>
      </c>
    </row>
    <row r="538" spans="1:13">
      <c r="A538" s="216">
        <v>41485</v>
      </c>
      <c r="B538" s="217"/>
      <c r="C538" s="217"/>
      <c r="D538" s="216">
        <v>41485</v>
      </c>
      <c r="E538" s="218">
        <v>24.61</v>
      </c>
      <c r="F538" s="216">
        <v>41485</v>
      </c>
      <c r="G538" s="218">
        <v>-24.61</v>
      </c>
      <c r="H538" s="219" t="s">
        <v>52</v>
      </c>
      <c r="I538" s="219" t="s">
        <v>2</v>
      </c>
      <c r="J538" s="219" t="s">
        <v>3</v>
      </c>
      <c r="K538" s="220" t="str">
        <f>IF(J538&lt;&gt;"",VLOOKUP(J538,PContas!A:B,2,FALSE),"")</f>
        <v>ALIMENTAÇÃO</v>
      </c>
      <c r="L538" s="221">
        <f t="shared" si="16"/>
        <v>30</v>
      </c>
      <c r="M538" s="221" t="str">
        <f t="shared" ca="1" si="17"/>
        <v>2013/07</v>
      </c>
    </row>
    <row r="539" spans="1:13">
      <c r="A539" s="216">
        <v>41485</v>
      </c>
      <c r="B539" s="217"/>
      <c r="C539" s="217"/>
      <c r="D539" s="216">
        <v>41485</v>
      </c>
      <c r="E539" s="218">
        <v>9.61</v>
      </c>
      <c r="F539" s="216">
        <v>41485</v>
      </c>
      <c r="G539" s="218">
        <v>-9.61</v>
      </c>
      <c r="H539" s="219" t="s">
        <v>52</v>
      </c>
      <c r="I539" s="219" t="s">
        <v>2</v>
      </c>
      <c r="J539" s="219" t="s">
        <v>3</v>
      </c>
      <c r="K539" s="220" t="str">
        <f>IF(J539&lt;&gt;"",VLOOKUP(J539,PContas!A:B,2,FALSE),"")</f>
        <v>ALIMENTAÇÃO</v>
      </c>
      <c r="L539" s="221">
        <f t="shared" si="16"/>
        <v>30</v>
      </c>
      <c r="M539" s="221" t="str">
        <f t="shared" ca="1" si="17"/>
        <v>2013/07</v>
      </c>
    </row>
    <row r="540" spans="1:13">
      <c r="A540" s="216">
        <v>41486</v>
      </c>
      <c r="B540" s="217" t="s">
        <v>103</v>
      </c>
      <c r="C540" s="217"/>
      <c r="D540" s="216">
        <v>41486</v>
      </c>
      <c r="E540" s="218">
        <v>650</v>
      </c>
      <c r="F540" s="216">
        <v>41488</v>
      </c>
      <c r="G540" s="218">
        <v>650</v>
      </c>
      <c r="H540" s="219" t="s">
        <v>71</v>
      </c>
      <c r="I540" s="219" t="s">
        <v>2</v>
      </c>
      <c r="J540" s="219" t="s">
        <v>61</v>
      </c>
      <c r="K540" s="220" t="str">
        <f>IF(J540&lt;&gt;"",VLOOKUP(J540,PContas!A:B,2,FALSE),"")</f>
        <v>CLIENTES</v>
      </c>
      <c r="L540" s="221">
        <f t="shared" si="16"/>
        <v>31</v>
      </c>
      <c r="M540" s="221" t="str">
        <f t="shared" ca="1" si="17"/>
        <v>2013/07</v>
      </c>
    </row>
    <row r="541" spans="1:13">
      <c r="A541" s="216">
        <v>41486</v>
      </c>
      <c r="B541" s="217"/>
      <c r="C541" s="217"/>
      <c r="D541" s="216">
        <v>41456</v>
      </c>
      <c r="E541" s="218">
        <v>65</v>
      </c>
      <c r="F541" s="216">
        <v>41456</v>
      </c>
      <c r="G541" s="218">
        <v>-65</v>
      </c>
      <c r="H541" s="219" t="s">
        <v>52</v>
      </c>
      <c r="I541" s="219" t="s">
        <v>2</v>
      </c>
      <c r="J541" s="219" t="s">
        <v>90</v>
      </c>
      <c r="K541" s="220" t="str">
        <f>IF(J541&lt;&gt;"",VLOOKUP(J541,PContas!A:B,2,FALSE),"")</f>
        <v>ALIMENTAÇÃO</v>
      </c>
      <c r="L541" s="221">
        <f t="shared" si="16"/>
        <v>1</v>
      </c>
      <c r="M541" s="221" t="str">
        <f t="shared" ca="1" si="17"/>
        <v>2013/07</v>
      </c>
    </row>
    <row r="542" spans="1:13">
      <c r="A542" s="216">
        <v>41488</v>
      </c>
      <c r="B542" s="217"/>
      <c r="C542" s="217"/>
      <c r="D542" s="216">
        <v>41488</v>
      </c>
      <c r="E542" s="218">
        <v>57.6</v>
      </c>
      <c r="F542" s="216">
        <v>41488</v>
      </c>
      <c r="G542" s="218">
        <v>-57.6</v>
      </c>
      <c r="H542" s="219" t="s">
        <v>52</v>
      </c>
      <c r="I542" s="219" t="s">
        <v>2</v>
      </c>
      <c r="J542" s="219" t="s">
        <v>3</v>
      </c>
      <c r="K542" s="220" t="str">
        <f>IF(J542&lt;&gt;"",VLOOKUP(J542,PContas!A:B,2,FALSE),"")</f>
        <v>ALIMENTAÇÃO</v>
      </c>
      <c r="L542" s="221">
        <f t="shared" si="16"/>
        <v>2</v>
      </c>
      <c r="M542" s="221" t="str">
        <f t="shared" ca="1" si="17"/>
        <v>2013/08</v>
      </c>
    </row>
    <row r="543" spans="1:13">
      <c r="A543" s="216">
        <v>41488</v>
      </c>
      <c r="B543" s="217"/>
      <c r="C543" s="217" t="s">
        <v>503</v>
      </c>
      <c r="D543" s="216">
        <v>41496</v>
      </c>
      <c r="E543" s="218">
        <v>19.5</v>
      </c>
      <c r="F543" s="216">
        <v>41488</v>
      </c>
      <c r="G543" s="218">
        <v>-19.5</v>
      </c>
      <c r="H543" s="219" t="s">
        <v>52</v>
      </c>
      <c r="I543" s="239" t="s">
        <v>1111</v>
      </c>
      <c r="J543" s="219" t="s">
        <v>96</v>
      </c>
      <c r="K543" s="220" t="str">
        <f>IF(J543&lt;&gt;"",VLOOKUP(J543,PContas!A:B,2,FALSE),"")</f>
        <v>TARIFAS</v>
      </c>
      <c r="L543" s="221">
        <f t="shared" si="16"/>
        <v>10</v>
      </c>
      <c r="M543" s="221" t="str">
        <f t="shared" ca="1" si="17"/>
        <v>2013/08</v>
      </c>
    </row>
    <row r="544" spans="1:13">
      <c r="A544" s="216">
        <v>41488</v>
      </c>
      <c r="B544" s="217"/>
      <c r="C544" s="217" t="s">
        <v>502</v>
      </c>
      <c r="D544" s="216">
        <v>41527</v>
      </c>
      <c r="E544" s="218">
        <v>19.5</v>
      </c>
      <c r="F544" s="216">
        <v>41520</v>
      </c>
      <c r="G544" s="218">
        <v>-19.5</v>
      </c>
      <c r="H544" s="219" t="s">
        <v>52</v>
      </c>
      <c r="I544" s="239" t="s">
        <v>1111</v>
      </c>
      <c r="J544" s="219" t="s">
        <v>96</v>
      </c>
      <c r="K544" s="220" t="str">
        <f>IF(J544&lt;&gt;"",VLOOKUP(J544,PContas!A:B,2,FALSE),"")</f>
        <v>TARIFAS</v>
      </c>
      <c r="L544" s="221">
        <f t="shared" si="16"/>
        <v>10</v>
      </c>
      <c r="M544" s="221" t="str">
        <f t="shared" ca="1" si="17"/>
        <v>2013/09</v>
      </c>
    </row>
    <row r="545" spans="1:13">
      <c r="A545" s="216">
        <v>41488</v>
      </c>
      <c r="B545" s="217"/>
      <c r="C545" s="217" t="s">
        <v>509</v>
      </c>
      <c r="D545" s="216">
        <v>41557</v>
      </c>
      <c r="E545" s="218">
        <v>19.5</v>
      </c>
      <c r="F545" s="216">
        <v>41549</v>
      </c>
      <c r="G545" s="218">
        <v>-19.5</v>
      </c>
      <c r="H545" s="219" t="s">
        <v>52</v>
      </c>
      <c r="I545" s="239" t="s">
        <v>1111</v>
      </c>
      <c r="J545" s="219" t="s">
        <v>96</v>
      </c>
      <c r="K545" s="220" t="str">
        <f>IF(J545&lt;&gt;"",VLOOKUP(J545,PContas!A:B,2,FALSE),"")</f>
        <v>TARIFAS</v>
      </c>
      <c r="L545" s="221">
        <f t="shared" si="16"/>
        <v>10</v>
      </c>
      <c r="M545" s="221" t="str">
        <f t="shared" ca="1" si="17"/>
        <v>2013/10</v>
      </c>
    </row>
    <row r="546" spans="1:13">
      <c r="A546" s="216">
        <v>41488</v>
      </c>
      <c r="B546" s="217"/>
      <c r="C546" s="217" t="s">
        <v>510</v>
      </c>
      <c r="D546" s="216">
        <v>41588</v>
      </c>
      <c r="E546" s="218">
        <v>19.5</v>
      </c>
      <c r="F546" s="216">
        <v>41583</v>
      </c>
      <c r="G546" s="218">
        <v>-19.5</v>
      </c>
      <c r="H546" s="219" t="s">
        <v>52</v>
      </c>
      <c r="I546" s="239" t="s">
        <v>1111</v>
      </c>
      <c r="J546" s="219" t="s">
        <v>96</v>
      </c>
      <c r="K546" s="220" t="str">
        <f>IF(J546&lt;&gt;"",VLOOKUP(J546,PContas!A:B,2,FALSE),"")</f>
        <v>TARIFAS</v>
      </c>
      <c r="L546" s="221">
        <f t="shared" si="16"/>
        <v>10</v>
      </c>
      <c r="M546" s="221" t="str">
        <f t="shared" ca="1" si="17"/>
        <v>2013/11</v>
      </c>
    </row>
    <row r="547" spans="1:13">
      <c r="A547" s="216">
        <v>41488</v>
      </c>
      <c r="B547" s="217"/>
      <c r="C547" s="217" t="s">
        <v>511</v>
      </c>
      <c r="D547" s="216">
        <v>41618</v>
      </c>
      <c r="E547" s="218">
        <v>19.5</v>
      </c>
      <c r="F547" s="216">
        <v>41610</v>
      </c>
      <c r="G547" s="218">
        <v>-19.5</v>
      </c>
      <c r="H547" s="219" t="s">
        <v>52</v>
      </c>
      <c r="I547" s="239" t="s">
        <v>1111</v>
      </c>
      <c r="J547" s="219" t="s">
        <v>96</v>
      </c>
      <c r="K547" s="220" t="str">
        <f>IF(J547&lt;&gt;"",VLOOKUP(J547,PContas!A:B,2,FALSE),"")</f>
        <v>TARIFAS</v>
      </c>
      <c r="L547" s="221">
        <f t="shared" si="16"/>
        <v>10</v>
      </c>
      <c r="M547" s="221" t="str">
        <f t="shared" ca="1" si="17"/>
        <v>2013/12</v>
      </c>
    </row>
    <row r="548" spans="1:13">
      <c r="A548" s="216">
        <v>41488</v>
      </c>
      <c r="B548" s="217"/>
      <c r="C548" s="217" t="s">
        <v>512</v>
      </c>
      <c r="D548" s="216">
        <v>41649</v>
      </c>
      <c r="E548" s="218">
        <v>19.5</v>
      </c>
      <c r="F548" s="216">
        <v>41641</v>
      </c>
      <c r="G548" s="218">
        <v>-19.5</v>
      </c>
      <c r="H548" s="219" t="s">
        <v>52</v>
      </c>
      <c r="I548" s="239" t="s">
        <v>1111</v>
      </c>
      <c r="J548" s="219" t="s">
        <v>96</v>
      </c>
      <c r="K548" s="220" t="str">
        <f>IF(J548&lt;&gt;"",VLOOKUP(J548,PContas!A:B,2,FALSE),"")</f>
        <v>TARIFAS</v>
      </c>
      <c r="L548" s="221">
        <f t="shared" si="16"/>
        <v>10</v>
      </c>
      <c r="M548" s="221" t="str">
        <f t="shared" ca="1" si="17"/>
        <v>2014/01</v>
      </c>
    </row>
    <row r="549" spans="1:13">
      <c r="A549" s="216">
        <v>41489</v>
      </c>
      <c r="B549" s="217"/>
      <c r="C549" s="217"/>
      <c r="D549" s="216">
        <v>41489</v>
      </c>
      <c r="E549" s="218">
        <v>8.6999999999999993</v>
      </c>
      <c r="F549" s="216">
        <v>41489</v>
      </c>
      <c r="G549" s="218">
        <v>-8.6999999999999993</v>
      </c>
      <c r="H549" s="219" t="s">
        <v>52</v>
      </c>
      <c r="I549" s="219" t="s">
        <v>2</v>
      </c>
      <c r="J549" s="219" t="s">
        <v>3</v>
      </c>
      <c r="K549" s="220" t="str">
        <f>IF(J549&lt;&gt;"",VLOOKUP(J549,PContas!A:B,2,FALSE),"")</f>
        <v>ALIMENTAÇÃO</v>
      </c>
      <c r="L549" s="221">
        <f t="shared" si="16"/>
        <v>3</v>
      </c>
      <c r="M549" s="221" t="str">
        <f t="shared" ca="1" si="17"/>
        <v>2013/08</v>
      </c>
    </row>
    <row r="550" spans="1:13">
      <c r="A550" s="216">
        <v>41492</v>
      </c>
      <c r="B550" s="217"/>
      <c r="C550" s="217"/>
      <c r="D550" s="216">
        <v>41478</v>
      </c>
      <c r="E550" s="218">
        <v>5.2</v>
      </c>
      <c r="F550" s="216">
        <v>41478</v>
      </c>
      <c r="G550" s="218">
        <v>-5.2</v>
      </c>
      <c r="H550" s="219" t="s">
        <v>52</v>
      </c>
      <c r="I550" s="219" t="s">
        <v>2</v>
      </c>
      <c r="J550" s="219" t="s">
        <v>488</v>
      </c>
      <c r="K550" s="220" t="str">
        <f>IF(J550&lt;&gt;"",VLOOKUP(J550,PContas!A:B,2,FALSE),"")</f>
        <v>ALIMENTAÇÃO</v>
      </c>
      <c r="L550" s="221">
        <f t="shared" si="16"/>
        <v>23</v>
      </c>
      <c r="M550" s="221" t="str">
        <f t="shared" ca="1" si="17"/>
        <v>2013/07</v>
      </c>
    </row>
    <row r="551" spans="1:13">
      <c r="A551" s="216">
        <v>41492</v>
      </c>
      <c r="B551" s="217"/>
      <c r="C551" s="217"/>
      <c r="D551" s="216">
        <v>41487</v>
      </c>
      <c r="E551" s="218">
        <v>0.03</v>
      </c>
      <c r="F551" s="216">
        <v>41487</v>
      </c>
      <c r="G551" s="218">
        <v>-0.03</v>
      </c>
      <c r="H551" s="219" t="s">
        <v>52</v>
      </c>
      <c r="I551" s="239" t="s">
        <v>1111</v>
      </c>
      <c r="J551" s="219" t="s">
        <v>106</v>
      </c>
      <c r="K551" s="220" t="str">
        <f>IF(J551&lt;&gt;"",VLOOKUP(J551,PContas!A:B,2,FALSE),"")</f>
        <v>TARIFAS</v>
      </c>
      <c r="L551" s="221">
        <f t="shared" si="16"/>
        <v>1</v>
      </c>
      <c r="M551" s="221" t="str">
        <f t="shared" ca="1" si="17"/>
        <v>2013/08</v>
      </c>
    </row>
    <row r="552" spans="1:13">
      <c r="A552" s="216">
        <v>41492</v>
      </c>
      <c r="B552" s="217"/>
      <c r="C552" s="217"/>
      <c r="D552" s="216">
        <v>41492</v>
      </c>
      <c r="E552" s="218">
        <v>13.9</v>
      </c>
      <c r="F552" s="216">
        <v>41492</v>
      </c>
      <c r="G552" s="218">
        <v>-13.9</v>
      </c>
      <c r="H552" s="219" t="s">
        <v>52</v>
      </c>
      <c r="I552" s="219" t="s">
        <v>2</v>
      </c>
      <c r="J552" s="219" t="s">
        <v>488</v>
      </c>
      <c r="K552" s="220" t="str">
        <f>IF(J552&lt;&gt;"",VLOOKUP(J552,PContas!A:B,2,FALSE),"")</f>
        <v>ALIMENTAÇÃO</v>
      </c>
      <c r="L552" s="221">
        <f t="shared" si="16"/>
        <v>6</v>
      </c>
      <c r="M552" s="221" t="str">
        <f t="shared" ca="1" si="17"/>
        <v>2013/08</v>
      </c>
    </row>
    <row r="553" spans="1:13">
      <c r="A553" s="216">
        <v>41492</v>
      </c>
      <c r="B553" s="217"/>
      <c r="C553" s="217"/>
      <c r="D553" s="216">
        <v>41492</v>
      </c>
      <c r="E553" s="218">
        <v>3.72</v>
      </c>
      <c r="F553" s="216">
        <v>41492</v>
      </c>
      <c r="G553" s="218">
        <v>-3.72</v>
      </c>
      <c r="H553" s="219" t="s">
        <v>52</v>
      </c>
      <c r="I553" s="239" t="s">
        <v>1111</v>
      </c>
      <c r="J553" s="219" t="s">
        <v>97</v>
      </c>
      <c r="K553" s="220" t="str">
        <f>IF(J553&lt;&gt;"",VLOOKUP(J553,PContas!A:B,2,FALSE),"")</f>
        <v>TARIFAS</v>
      </c>
      <c r="L553" s="221">
        <f t="shared" si="16"/>
        <v>6</v>
      </c>
      <c r="M553" s="221" t="str">
        <f t="shared" ca="1" si="17"/>
        <v>2013/08</v>
      </c>
    </row>
    <row r="554" spans="1:13">
      <c r="A554" s="216">
        <v>41492</v>
      </c>
      <c r="B554" s="217"/>
      <c r="C554" s="217" t="s">
        <v>3</v>
      </c>
      <c r="D554" s="216">
        <v>41498</v>
      </c>
      <c r="E554" s="218">
        <v>187.33</v>
      </c>
      <c r="F554" s="216">
        <v>41500</v>
      </c>
      <c r="G554" s="218">
        <v>-187.33</v>
      </c>
      <c r="H554" s="219" t="s">
        <v>52</v>
      </c>
      <c r="I554" s="219" t="s">
        <v>2</v>
      </c>
      <c r="J554" s="219" t="s">
        <v>3</v>
      </c>
      <c r="K554" s="220" t="str">
        <f>IF(J554&lt;&gt;"",VLOOKUP(J554,PContas!A:B,2,FALSE),"")</f>
        <v>ALIMENTAÇÃO</v>
      </c>
      <c r="L554" s="221">
        <f t="shared" si="16"/>
        <v>12</v>
      </c>
      <c r="M554" s="221" t="str">
        <f t="shared" ca="1" si="17"/>
        <v>2013/08</v>
      </c>
    </row>
    <row r="555" spans="1:13">
      <c r="A555" s="216">
        <v>41492</v>
      </c>
      <c r="B555" s="217"/>
      <c r="C555" s="217" t="s">
        <v>453</v>
      </c>
      <c r="D555" s="216">
        <v>41498</v>
      </c>
      <c r="E555" s="218">
        <v>99.57</v>
      </c>
      <c r="F555" s="216">
        <v>41500</v>
      </c>
      <c r="G555" s="218">
        <v>-99.57</v>
      </c>
      <c r="H555" s="219" t="s">
        <v>52</v>
      </c>
      <c r="I555" s="219" t="s">
        <v>2</v>
      </c>
      <c r="J555" s="219" t="s">
        <v>105</v>
      </c>
      <c r="K555" s="220" t="str">
        <f>IF(J555&lt;&gt;"",VLOOKUP(J555,PContas!A:B,2,FALSE),"")</f>
        <v>AILTON</v>
      </c>
      <c r="L555" s="221">
        <f t="shared" si="16"/>
        <v>12</v>
      </c>
      <c r="M555" s="221" t="str">
        <f t="shared" ca="1" si="17"/>
        <v>2013/08</v>
      </c>
    </row>
    <row r="556" spans="1:13">
      <c r="A556" s="216">
        <v>41492</v>
      </c>
      <c r="B556" s="217"/>
      <c r="C556" s="217" t="s">
        <v>3</v>
      </c>
      <c r="D556" s="216">
        <v>41529</v>
      </c>
      <c r="E556" s="218">
        <v>149.79</v>
      </c>
      <c r="F556" s="216">
        <v>41529</v>
      </c>
      <c r="G556" s="218">
        <v>-36.69</v>
      </c>
      <c r="H556" s="219" t="s">
        <v>52</v>
      </c>
      <c r="I556" s="219" t="s">
        <v>2</v>
      </c>
      <c r="J556" s="219" t="s">
        <v>3</v>
      </c>
      <c r="K556" s="220" t="str">
        <f>IF(J556&lt;&gt;"",VLOOKUP(J556,PContas!A:B,2,FALSE),"")</f>
        <v>ALIMENTAÇÃO</v>
      </c>
      <c r="L556" s="221">
        <f t="shared" si="16"/>
        <v>12</v>
      </c>
      <c r="M556" s="221" t="str">
        <f t="shared" ca="1" si="17"/>
        <v>2013/09</v>
      </c>
    </row>
    <row r="557" spans="1:13">
      <c r="A557" s="216">
        <v>41494</v>
      </c>
      <c r="B557" s="217"/>
      <c r="C557" s="217"/>
      <c r="D557" s="216">
        <v>41494</v>
      </c>
      <c r="E557" s="218">
        <v>58.4</v>
      </c>
      <c r="F557" s="216">
        <v>41494</v>
      </c>
      <c r="G557" s="218">
        <v>-58.4</v>
      </c>
      <c r="H557" s="219" t="s">
        <v>52</v>
      </c>
      <c r="I557" s="219" t="s">
        <v>2</v>
      </c>
      <c r="J557" s="219" t="s">
        <v>488</v>
      </c>
      <c r="K557" s="220" t="str">
        <f>IF(J557&lt;&gt;"",VLOOKUP(J557,PContas!A:B,2,FALSE),"")</f>
        <v>ALIMENTAÇÃO</v>
      </c>
      <c r="L557" s="221">
        <f t="shared" si="16"/>
        <v>8</v>
      </c>
      <c r="M557" s="221" t="str">
        <f t="shared" ca="1" si="17"/>
        <v>2013/08</v>
      </c>
    </row>
    <row r="558" spans="1:13">
      <c r="A558" s="216">
        <v>41495</v>
      </c>
      <c r="B558" s="217"/>
      <c r="C558" s="217"/>
      <c r="D558" s="216">
        <v>41495</v>
      </c>
      <c r="E558" s="218">
        <v>80.37</v>
      </c>
      <c r="F558" s="216">
        <v>41495</v>
      </c>
      <c r="G558" s="218">
        <v>-80.37</v>
      </c>
      <c r="H558" s="219" t="s">
        <v>52</v>
      </c>
      <c r="I558" s="219" t="s">
        <v>2</v>
      </c>
      <c r="J558" s="219" t="s">
        <v>488</v>
      </c>
      <c r="K558" s="220" t="str">
        <f>IF(J558&lt;&gt;"",VLOOKUP(J558,PContas!A:B,2,FALSE),"")</f>
        <v>ALIMENTAÇÃO</v>
      </c>
      <c r="L558" s="221">
        <f t="shared" si="16"/>
        <v>9</v>
      </c>
      <c r="M558" s="221" t="str">
        <f t="shared" ca="1" si="17"/>
        <v>2013/08</v>
      </c>
    </row>
    <row r="559" spans="1:13">
      <c r="A559" s="216">
        <v>41495</v>
      </c>
      <c r="B559" s="217"/>
      <c r="C559" s="217"/>
      <c r="D559" s="216">
        <v>41495</v>
      </c>
      <c r="E559" s="218">
        <v>10.199999999999999</v>
      </c>
      <c r="F559" s="216">
        <v>41495</v>
      </c>
      <c r="G559" s="218">
        <v>-10.199999999999999</v>
      </c>
      <c r="H559" s="219" t="s">
        <v>52</v>
      </c>
      <c r="I559" s="219" t="s">
        <v>2</v>
      </c>
      <c r="J559" s="219" t="s">
        <v>488</v>
      </c>
      <c r="K559" s="220" t="str">
        <f>IF(J559&lt;&gt;"",VLOOKUP(J559,PContas!A:B,2,FALSE),"")</f>
        <v>ALIMENTAÇÃO</v>
      </c>
      <c r="L559" s="221">
        <f t="shared" si="16"/>
        <v>9</v>
      </c>
      <c r="M559" s="221" t="str">
        <f t="shared" ca="1" si="17"/>
        <v>2013/08</v>
      </c>
    </row>
    <row r="560" spans="1:13">
      <c r="A560" s="216">
        <v>41496</v>
      </c>
      <c r="B560" s="217" t="s">
        <v>466</v>
      </c>
      <c r="C560" s="217"/>
      <c r="D560" s="216">
        <v>41496</v>
      </c>
      <c r="E560" s="218">
        <v>400</v>
      </c>
      <c r="F560" s="216">
        <v>41496</v>
      </c>
      <c r="G560" s="218">
        <v>400</v>
      </c>
      <c r="H560" s="219" t="s">
        <v>71</v>
      </c>
      <c r="I560" s="219" t="s">
        <v>2</v>
      </c>
      <c r="J560" s="219" t="s">
        <v>69</v>
      </c>
      <c r="K560" s="220" t="str">
        <f>IF(J560&lt;&gt;"",VLOOKUP(J560,PContas!A:B,2,FALSE),"")</f>
        <v>CLIENTES</v>
      </c>
      <c r="L560" s="221">
        <f t="shared" si="16"/>
        <v>10</v>
      </c>
      <c r="M560" s="221" t="str">
        <f t="shared" ca="1" si="17"/>
        <v>2013/08</v>
      </c>
    </row>
    <row r="561" spans="1:13">
      <c r="A561" s="216">
        <v>41496</v>
      </c>
      <c r="B561" s="217"/>
      <c r="C561" s="217"/>
      <c r="D561" s="216">
        <v>41496</v>
      </c>
      <c r="E561" s="218">
        <v>6</v>
      </c>
      <c r="F561" s="216">
        <v>41496</v>
      </c>
      <c r="G561" s="218">
        <v>-6</v>
      </c>
      <c r="H561" s="219" t="s">
        <v>52</v>
      </c>
      <c r="I561" s="219" t="s">
        <v>2</v>
      </c>
      <c r="J561" s="219" t="s">
        <v>488</v>
      </c>
      <c r="K561" s="220" t="str">
        <f>IF(J561&lt;&gt;"",VLOOKUP(J561,PContas!A:B,2,FALSE),"")</f>
        <v>ALIMENTAÇÃO</v>
      </c>
      <c r="L561" s="221">
        <f t="shared" si="16"/>
        <v>10</v>
      </c>
      <c r="M561" s="221" t="str">
        <f t="shared" ca="1" si="17"/>
        <v>2013/08</v>
      </c>
    </row>
    <row r="562" spans="1:13">
      <c r="A562" s="216">
        <v>41497</v>
      </c>
      <c r="B562" s="217"/>
      <c r="C562" s="217"/>
      <c r="D562" s="216">
        <v>41497</v>
      </c>
      <c r="E562" s="218">
        <v>7.8</v>
      </c>
      <c r="F562" s="216">
        <v>41497</v>
      </c>
      <c r="G562" s="218">
        <v>-7.8</v>
      </c>
      <c r="H562" s="219" t="s">
        <v>52</v>
      </c>
      <c r="I562" s="219" t="s">
        <v>2</v>
      </c>
      <c r="J562" s="219" t="s">
        <v>90</v>
      </c>
      <c r="K562" s="220" t="str">
        <f>IF(J562&lt;&gt;"",VLOOKUP(J562,PContas!A:B,2,FALSE),"")</f>
        <v>ALIMENTAÇÃO</v>
      </c>
      <c r="L562" s="221">
        <f t="shared" si="16"/>
        <v>11</v>
      </c>
      <c r="M562" s="221" t="str">
        <f t="shared" ca="1" si="17"/>
        <v>2013/08</v>
      </c>
    </row>
    <row r="563" spans="1:13">
      <c r="A563" s="216">
        <v>41497</v>
      </c>
      <c r="B563" s="217"/>
      <c r="C563" s="217"/>
      <c r="D563" s="216">
        <v>41497</v>
      </c>
      <c r="E563" s="218">
        <v>49.9</v>
      </c>
      <c r="F563" s="216">
        <v>41497</v>
      </c>
      <c r="G563" s="218">
        <v>-49.9</v>
      </c>
      <c r="H563" s="219" t="s">
        <v>52</v>
      </c>
      <c r="I563" s="219" t="s">
        <v>2</v>
      </c>
      <c r="J563" s="219" t="s">
        <v>3</v>
      </c>
      <c r="K563" s="220" t="str">
        <f>IF(J563&lt;&gt;"",VLOOKUP(J563,PContas!A:B,2,FALSE),"")</f>
        <v>ALIMENTAÇÃO</v>
      </c>
      <c r="L563" s="221">
        <f t="shared" si="16"/>
        <v>11</v>
      </c>
      <c r="M563" s="221" t="str">
        <f t="shared" ca="1" si="17"/>
        <v>2013/08</v>
      </c>
    </row>
    <row r="564" spans="1:13">
      <c r="A564" s="216">
        <v>41498</v>
      </c>
      <c r="B564" s="217"/>
      <c r="C564" s="217"/>
      <c r="D564" s="216">
        <v>41498</v>
      </c>
      <c r="E564" s="218">
        <v>13.28</v>
      </c>
      <c r="F564" s="216">
        <v>41498</v>
      </c>
      <c r="G564" s="218">
        <v>-13.28</v>
      </c>
      <c r="H564" s="219" t="s">
        <v>52</v>
      </c>
      <c r="I564" s="219" t="s">
        <v>2</v>
      </c>
      <c r="J564" s="219" t="s">
        <v>488</v>
      </c>
      <c r="K564" s="220" t="str">
        <f>IF(J564&lt;&gt;"",VLOOKUP(J564,PContas!A:B,2,FALSE),"")</f>
        <v>ALIMENTAÇÃO</v>
      </c>
      <c r="L564" s="221">
        <f t="shared" si="16"/>
        <v>12</v>
      </c>
      <c r="M564" s="221" t="str">
        <f t="shared" ca="1" si="17"/>
        <v>2013/08</v>
      </c>
    </row>
    <row r="565" spans="1:13">
      <c r="A565" s="216">
        <v>41499</v>
      </c>
      <c r="B565" s="217"/>
      <c r="C565" s="217" t="s">
        <v>488</v>
      </c>
      <c r="D565" s="216">
        <v>41529</v>
      </c>
      <c r="E565" s="218">
        <v>41</v>
      </c>
      <c r="F565" s="216">
        <v>41529</v>
      </c>
      <c r="G565" s="218">
        <v>-41</v>
      </c>
      <c r="H565" s="219" t="s">
        <v>52</v>
      </c>
      <c r="I565" s="219" t="s">
        <v>2</v>
      </c>
      <c r="J565" s="219" t="s">
        <v>488</v>
      </c>
      <c r="K565" s="220" t="str">
        <f>IF(J565&lt;&gt;"",VLOOKUP(J565,PContas!A:B,2,FALSE),"")</f>
        <v>ALIMENTAÇÃO</v>
      </c>
      <c r="L565" s="221">
        <f t="shared" si="16"/>
        <v>12</v>
      </c>
      <c r="M565" s="221" t="str">
        <f t="shared" ca="1" si="17"/>
        <v>2013/09</v>
      </c>
    </row>
    <row r="566" spans="1:13">
      <c r="A566" s="216">
        <v>41501</v>
      </c>
      <c r="B566" s="217"/>
      <c r="C566" s="217" t="s">
        <v>471</v>
      </c>
      <c r="D566" s="216">
        <v>41511</v>
      </c>
      <c r="E566" s="218">
        <v>180</v>
      </c>
      <c r="F566" s="216">
        <v>41506</v>
      </c>
      <c r="G566" s="218">
        <v>-180</v>
      </c>
      <c r="H566" s="219" t="s">
        <v>52</v>
      </c>
      <c r="I566" s="239" t="s">
        <v>1111</v>
      </c>
      <c r="J566" s="219" t="s">
        <v>26</v>
      </c>
      <c r="K566" s="220" t="str">
        <f>IF(J566&lt;&gt;"",VLOOKUP(J566,PContas!A:B,2,FALSE),"")</f>
        <v>SAUDE</v>
      </c>
      <c r="L566" s="221">
        <f t="shared" si="16"/>
        <v>25</v>
      </c>
      <c r="M566" s="221" t="str">
        <f t="shared" ca="1" si="17"/>
        <v>2013/08</v>
      </c>
    </row>
    <row r="567" spans="1:13">
      <c r="A567" s="216">
        <v>41501</v>
      </c>
      <c r="B567" s="217" t="s">
        <v>471</v>
      </c>
      <c r="C567" s="217" t="s">
        <v>985</v>
      </c>
      <c r="D567" s="216">
        <v>41550</v>
      </c>
      <c r="E567" s="218">
        <v>160.69999999999999</v>
      </c>
      <c r="F567" s="216">
        <v>41536</v>
      </c>
      <c r="G567" s="218">
        <v>-160.69999999999999</v>
      </c>
      <c r="H567" s="219" t="s">
        <v>52</v>
      </c>
      <c r="I567" s="239" t="s">
        <v>1111</v>
      </c>
      <c r="J567" s="219" t="s">
        <v>26</v>
      </c>
      <c r="K567" s="220" t="str">
        <f>IF(J567&lt;&gt;"",VLOOKUP(J567,PContas!A:B,2,FALSE),"")</f>
        <v>SAUDE</v>
      </c>
      <c r="L567" s="221">
        <f t="shared" si="16"/>
        <v>3</v>
      </c>
      <c r="M567" s="221" t="str">
        <f t="shared" ca="1" si="17"/>
        <v>2013/10</v>
      </c>
    </row>
    <row r="568" spans="1:13">
      <c r="A568" s="216">
        <v>41501</v>
      </c>
      <c r="B568" s="217" t="s">
        <v>471</v>
      </c>
      <c r="C568" s="217" t="s">
        <v>986</v>
      </c>
      <c r="D568" s="216">
        <v>41572</v>
      </c>
      <c r="E568" s="218">
        <v>160.69999999999999</v>
      </c>
      <c r="F568" s="216">
        <v>41578</v>
      </c>
      <c r="G568" s="218">
        <v>-164.21</v>
      </c>
      <c r="H568" s="219" t="s">
        <v>52</v>
      </c>
      <c r="I568" s="239" t="s">
        <v>1111</v>
      </c>
      <c r="J568" s="219" t="s">
        <v>26</v>
      </c>
      <c r="K568" s="220" t="str">
        <f>IF(J568&lt;&gt;"",VLOOKUP(J568,PContas!A:B,2,FALSE),"")</f>
        <v>SAUDE</v>
      </c>
      <c r="L568" s="221">
        <f t="shared" si="16"/>
        <v>25</v>
      </c>
      <c r="M568" s="221" t="str">
        <f t="shared" ca="1" si="17"/>
        <v>2013/10</v>
      </c>
    </row>
    <row r="569" spans="1:13">
      <c r="A569" s="216">
        <v>41501</v>
      </c>
      <c r="B569" s="217" t="s">
        <v>471</v>
      </c>
      <c r="C569" s="217" t="s">
        <v>987</v>
      </c>
      <c r="D569" s="216">
        <v>41603</v>
      </c>
      <c r="E569" s="218">
        <v>160.69999999999999</v>
      </c>
      <c r="F569" s="216">
        <v>41610</v>
      </c>
      <c r="G569" s="218">
        <v>-164.26</v>
      </c>
      <c r="H569" s="219" t="s">
        <v>52</v>
      </c>
      <c r="I569" s="239" t="s">
        <v>1111</v>
      </c>
      <c r="J569" s="219" t="s">
        <v>26</v>
      </c>
      <c r="K569" s="220" t="str">
        <f>IF(J569&lt;&gt;"",VLOOKUP(J569,PContas!A:B,2,FALSE),"")</f>
        <v>SAUDE</v>
      </c>
      <c r="L569" s="221">
        <f t="shared" si="16"/>
        <v>25</v>
      </c>
      <c r="M569" s="221" t="str">
        <f t="shared" ca="1" si="17"/>
        <v>2013/11</v>
      </c>
    </row>
    <row r="570" spans="1:13">
      <c r="A570" s="216">
        <v>41501</v>
      </c>
      <c r="B570" s="217" t="s">
        <v>471</v>
      </c>
      <c r="C570" s="217" t="s">
        <v>988</v>
      </c>
      <c r="D570" s="216">
        <v>41659</v>
      </c>
      <c r="E570" s="218">
        <v>160.69999999999999</v>
      </c>
      <c r="F570" s="216">
        <v>41669</v>
      </c>
      <c r="G570" s="218">
        <v>-164.26</v>
      </c>
      <c r="H570" s="219" t="s">
        <v>52</v>
      </c>
      <c r="I570" s="219" t="s">
        <v>1111</v>
      </c>
      <c r="J570" s="219" t="s">
        <v>1094</v>
      </c>
      <c r="K570" s="220" t="str">
        <f>IF(J570&lt;&gt;"",VLOOKUP(J570,PContas!A:B,2,FALSE),"")</f>
        <v>RODRIGO</v>
      </c>
      <c r="L570" s="221">
        <f t="shared" si="16"/>
        <v>20</v>
      </c>
      <c r="M570" s="221" t="str">
        <f t="shared" ca="1" si="17"/>
        <v>2014/01</v>
      </c>
    </row>
    <row r="571" spans="1:13">
      <c r="A571" s="216">
        <v>41502</v>
      </c>
      <c r="B571" s="217" t="s">
        <v>474</v>
      </c>
      <c r="C571" s="217" t="s">
        <v>489</v>
      </c>
      <c r="D571" s="236">
        <v>41502</v>
      </c>
      <c r="E571" s="218">
        <v>400</v>
      </c>
      <c r="F571" s="216">
        <v>41507</v>
      </c>
      <c r="G571" s="218">
        <v>400</v>
      </c>
      <c r="H571" s="219" t="s">
        <v>71</v>
      </c>
      <c r="I571" s="239" t="s">
        <v>4</v>
      </c>
      <c r="J571" s="219" t="s">
        <v>62</v>
      </c>
      <c r="K571" s="220" t="str">
        <f>IF(J571&lt;&gt;"",VLOOKUP(J571,PContas!A:B,2,FALSE),"")</f>
        <v>CLIENTES</v>
      </c>
      <c r="L571" s="221">
        <f t="shared" si="16"/>
        <v>16</v>
      </c>
      <c r="M571" s="221" t="str">
        <f t="shared" ca="1" si="17"/>
        <v>2013/08</v>
      </c>
    </row>
    <row r="572" spans="1:13">
      <c r="A572" s="216">
        <v>41502</v>
      </c>
      <c r="B572" s="217" t="s">
        <v>474</v>
      </c>
      <c r="C572" s="217" t="s">
        <v>489</v>
      </c>
      <c r="D572" s="216">
        <v>41502</v>
      </c>
      <c r="E572" s="218">
        <v>8</v>
      </c>
      <c r="F572" s="216">
        <v>41510</v>
      </c>
      <c r="G572" s="218">
        <v>-8</v>
      </c>
      <c r="H572" s="219" t="s">
        <v>52</v>
      </c>
      <c r="I572" s="219" t="s">
        <v>4</v>
      </c>
      <c r="J572" s="219" t="s">
        <v>21</v>
      </c>
      <c r="K572" s="220" t="str">
        <f>IF(J572&lt;&gt;"",VLOOKUP(J572,PContas!A:B,2,FALSE),"")</f>
        <v>IMPOSTOS</v>
      </c>
      <c r="L572" s="221">
        <f t="shared" si="16"/>
        <v>16</v>
      </c>
      <c r="M572" s="221" t="str">
        <f t="shared" ca="1" si="17"/>
        <v>2013/08</v>
      </c>
    </row>
    <row r="573" spans="1:13">
      <c r="A573" s="216">
        <v>41502</v>
      </c>
      <c r="B573" s="217"/>
      <c r="C573" s="217" t="s">
        <v>3</v>
      </c>
      <c r="D573" s="216">
        <v>41502</v>
      </c>
      <c r="E573" s="218">
        <v>131.66</v>
      </c>
      <c r="F573" s="216">
        <v>41502</v>
      </c>
      <c r="G573" s="218">
        <v>-131.66</v>
      </c>
      <c r="H573" s="219" t="s">
        <v>52</v>
      </c>
      <c r="I573" s="219" t="s">
        <v>2</v>
      </c>
      <c r="J573" s="219" t="s">
        <v>3</v>
      </c>
      <c r="K573" s="220" t="str">
        <f>IF(J573&lt;&gt;"",VLOOKUP(J573,PContas!A:B,2,FALSE),"")</f>
        <v>ALIMENTAÇÃO</v>
      </c>
      <c r="L573" s="221">
        <f t="shared" si="16"/>
        <v>16</v>
      </c>
      <c r="M573" s="221" t="str">
        <f t="shared" ca="1" si="17"/>
        <v>2013/08</v>
      </c>
    </row>
    <row r="574" spans="1:13">
      <c r="A574" s="216">
        <v>41503</v>
      </c>
      <c r="B574" s="217"/>
      <c r="C574" s="217" t="s">
        <v>34</v>
      </c>
      <c r="D574" s="216">
        <v>41503</v>
      </c>
      <c r="E574" s="218">
        <v>10</v>
      </c>
      <c r="F574" s="216">
        <v>41503</v>
      </c>
      <c r="G574" s="218">
        <v>-10</v>
      </c>
      <c r="H574" s="219" t="s">
        <v>52</v>
      </c>
      <c r="I574" s="219" t="s">
        <v>2</v>
      </c>
      <c r="J574" s="219" t="s">
        <v>9</v>
      </c>
      <c r="K574" s="220" t="str">
        <f>IF(J574&lt;&gt;"",VLOOKUP(J574,PContas!A:B,2,FALSE),"")</f>
        <v>AILTON</v>
      </c>
      <c r="L574" s="221">
        <f t="shared" si="16"/>
        <v>17</v>
      </c>
      <c r="M574" s="221" t="str">
        <f t="shared" ca="1" si="17"/>
        <v>2013/08</v>
      </c>
    </row>
    <row r="575" spans="1:13">
      <c r="A575" s="216">
        <v>41503</v>
      </c>
      <c r="B575" s="217"/>
      <c r="C575" s="217"/>
      <c r="D575" s="216">
        <v>41503</v>
      </c>
      <c r="E575" s="218">
        <v>20.86</v>
      </c>
      <c r="F575" s="216">
        <v>41503</v>
      </c>
      <c r="G575" s="218">
        <v>-20.86</v>
      </c>
      <c r="H575" s="219" t="s">
        <v>52</v>
      </c>
      <c r="I575" s="219" t="s">
        <v>2</v>
      </c>
      <c r="J575" s="219" t="s">
        <v>3</v>
      </c>
      <c r="K575" s="220" t="str">
        <f>IF(J575&lt;&gt;"",VLOOKUP(J575,PContas!A:B,2,FALSE),"")</f>
        <v>ALIMENTAÇÃO</v>
      </c>
      <c r="L575" s="221">
        <f t="shared" si="16"/>
        <v>17</v>
      </c>
      <c r="M575" s="221" t="str">
        <f t="shared" ca="1" si="17"/>
        <v>2013/08</v>
      </c>
    </row>
    <row r="576" spans="1:13">
      <c r="A576" s="216">
        <v>41506</v>
      </c>
      <c r="B576" s="217"/>
      <c r="C576" s="217" t="s">
        <v>488</v>
      </c>
      <c r="D576" s="216">
        <v>41506</v>
      </c>
      <c r="E576" s="218">
        <v>71.349999999999994</v>
      </c>
      <c r="F576" s="216">
        <v>41506</v>
      </c>
      <c r="G576" s="218">
        <v>-71.349999999999994</v>
      </c>
      <c r="H576" s="219" t="s">
        <v>52</v>
      </c>
      <c r="I576" s="219" t="s">
        <v>2</v>
      </c>
      <c r="J576" s="219" t="s">
        <v>488</v>
      </c>
      <c r="K576" s="220" t="str">
        <f>IF(J576&lt;&gt;"",VLOOKUP(J576,PContas!A:B,2,FALSE),"")</f>
        <v>ALIMENTAÇÃO</v>
      </c>
      <c r="L576" s="221">
        <f t="shared" si="16"/>
        <v>20</v>
      </c>
      <c r="M576" s="221" t="str">
        <f t="shared" ca="1" si="17"/>
        <v>2013/08</v>
      </c>
    </row>
    <row r="577" spans="1:13">
      <c r="A577" s="216">
        <v>41506</v>
      </c>
      <c r="B577" s="217"/>
      <c r="C577" s="217"/>
      <c r="D577" s="216">
        <v>41506</v>
      </c>
      <c r="E577" s="218">
        <v>3.72</v>
      </c>
      <c r="F577" s="216">
        <v>41506</v>
      </c>
      <c r="G577" s="218">
        <v>-3.72</v>
      </c>
      <c r="H577" s="219" t="s">
        <v>52</v>
      </c>
      <c r="I577" s="239" t="s">
        <v>1111</v>
      </c>
      <c r="J577" s="219" t="s">
        <v>97</v>
      </c>
      <c r="K577" s="220" t="str">
        <f>IF(J577&lt;&gt;"",VLOOKUP(J577,PContas!A:B,2,FALSE),"")</f>
        <v>TARIFAS</v>
      </c>
      <c r="L577" s="221">
        <f t="shared" si="16"/>
        <v>20</v>
      </c>
      <c r="M577" s="221" t="str">
        <f t="shared" ca="1" si="17"/>
        <v>2013/08</v>
      </c>
    </row>
    <row r="578" spans="1:13">
      <c r="A578" s="216">
        <v>41507</v>
      </c>
      <c r="B578" s="217"/>
      <c r="C578" s="217"/>
      <c r="D578" s="216">
        <v>41507</v>
      </c>
      <c r="E578" s="218">
        <v>254.02</v>
      </c>
      <c r="F578" s="216">
        <v>41507</v>
      </c>
      <c r="G578" s="218">
        <v>-254.02</v>
      </c>
      <c r="H578" s="219" t="s">
        <v>52</v>
      </c>
      <c r="I578" s="219" t="s">
        <v>2</v>
      </c>
      <c r="J578" s="219" t="s">
        <v>3</v>
      </c>
      <c r="K578" s="220" t="str">
        <f>IF(J578&lt;&gt;"",VLOOKUP(J578,PContas!A:B,2,FALSE),"")</f>
        <v>ALIMENTAÇÃO</v>
      </c>
      <c r="L578" s="221">
        <f t="shared" ref="L578:L641" si="18">DAY(D578)</f>
        <v>21</v>
      </c>
      <c r="M578" s="221" t="str">
        <f t="shared" ref="M578:M641" ca="1" si="19">IF(D578&lt;&gt;"",IF(F578="",IF(DAYS360(D578,NOW())&gt;0,"ATRASADO",YEAR(D578)&amp;"/"&amp;CHOOSE(MONTH(D578),"01","02","03","04","05","06","07","08","09","10","11","12")),YEAR(D578)&amp;"/"&amp;CHOOSE(MONTH(D578),"01","02","03","04","05","06","07","08","09","10","11","12")),"")</f>
        <v>2013/08</v>
      </c>
    </row>
    <row r="579" spans="1:13">
      <c r="A579" s="216">
        <v>41507</v>
      </c>
      <c r="B579" s="217"/>
      <c r="C579" s="217" t="s">
        <v>476</v>
      </c>
      <c r="D579" s="216">
        <v>41507</v>
      </c>
      <c r="E579" s="218">
        <v>13</v>
      </c>
      <c r="F579" s="216">
        <v>41507</v>
      </c>
      <c r="G579" s="218">
        <v>-13</v>
      </c>
      <c r="H579" s="219" t="s">
        <v>52</v>
      </c>
      <c r="I579" s="219" t="s">
        <v>2</v>
      </c>
      <c r="J579" s="219" t="s">
        <v>9</v>
      </c>
      <c r="K579" s="220" t="str">
        <f>IF(J579&lt;&gt;"",VLOOKUP(J579,PContas!A:B,2,FALSE),"")</f>
        <v>AILTON</v>
      </c>
      <c r="L579" s="221">
        <f t="shared" si="18"/>
        <v>21</v>
      </c>
      <c r="M579" s="221" t="str">
        <f t="shared" ca="1" si="19"/>
        <v>2013/08</v>
      </c>
    </row>
    <row r="580" spans="1:13">
      <c r="A580" s="216">
        <v>41508</v>
      </c>
      <c r="B580" s="217"/>
      <c r="C580" s="217" t="s">
        <v>477</v>
      </c>
      <c r="D580" s="216">
        <v>41508</v>
      </c>
      <c r="E580" s="218">
        <v>50</v>
      </c>
      <c r="F580" s="216">
        <v>41508</v>
      </c>
      <c r="G580" s="218">
        <v>50</v>
      </c>
      <c r="H580" s="219" t="s">
        <v>71</v>
      </c>
      <c r="I580" s="219" t="s">
        <v>2</v>
      </c>
      <c r="J580" s="219" t="s">
        <v>68</v>
      </c>
      <c r="K580" s="220" t="str">
        <f>IF(J580&lt;&gt;"",VLOOKUP(J580,PContas!A:B,2,FALSE),"")</f>
        <v>VENDAS</v>
      </c>
      <c r="L580" s="221">
        <f t="shared" si="18"/>
        <v>22</v>
      </c>
      <c r="M580" s="221" t="str">
        <f t="shared" ca="1" si="19"/>
        <v>2013/08</v>
      </c>
    </row>
    <row r="581" spans="1:13">
      <c r="A581" s="216">
        <v>41508</v>
      </c>
      <c r="B581" s="217"/>
      <c r="C581" s="217" t="s">
        <v>485</v>
      </c>
      <c r="D581" s="216">
        <v>41508</v>
      </c>
      <c r="E581" s="218">
        <v>20</v>
      </c>
      <c r="F581" s="216">
        <v>41508</v>
      </c>
      <c r="G581" s="218">
        <v>-20</v>
      </c>
      <c r="H581" s="219" t="s">
        <v>52</v>
      </c>
      <c r="I581" s="239" t="s">
        <v>1111</v>
      </c>
      <c r="J581" s="219" t="s">
        <v>486</v>
      </c>
      <c r="K581" s="220" t="str">
        <f>IF(J581&lt;&gt;"",VLOOKUP(J581,PContas!A:B,2,FALSE),"")</f>
        <v>SAUDE</v>
      </c>
      <c r="L581" s="221">
        <f t="shared" si="18"/>
        <v>22</v>
      </c>
      <c r="M581" s="221" t="str">
        <f t="shared" ca="1" si="19"/>
        <v>2013/08</v>
      </c>
    </row>
    <row r="582" spans="1:13">
      <c r="A582" s="216">
        <v>41508</v>
      </c>
      <c r="B582" s="217"/>
      <c r="C582" s="217" t="s">
        <v>478</v>
      </c>
      <c r="D582" s="216">
        <v>41508</v>
      </c>
      <c r="E582" s="218">
        <v>14</v>
      </c>
      <c r="F582" s="216">
        <v>41508</v>
      </c>
      <c r="G582" s="218">
        <v>-14</v>
      </c>
      <c r="H582" s="219" t="s">
        <v>52</v>
      </c>
      <c r="I582" s="219" t="s">
        <v>2</v>
      </c>
      <c r="J582" s="219" t="s">
        <v>483</v>
      </c>
      <c r="K582" s="220" t="str">
        <f>IF(J582&lt;&gt;"",VLOOKUP(J582,PContas!A:B,2,FALSE),"")</f>
        <v>AILTON</v>
      </c>
      <c r="L582" s="221">
        <f t="shared" si="18"/>
        <v>22</v>
      </c>
      <c r="M582" s="221" t="str">
        <f t="shared" ca="1" si="19"/>
        <v>2013/08</v>
      </c>
    </row>
    <row r="583" spans="1:13">
      <c r="A583" s="216">
        <v>41508</v>
      </c>
      <c r="B583" s="217"/>
      <c r="C583" s="217" t="s">
        <v>479</v>
      </c>
      <c r="D583" s="216">
        <v>41508</v>
      </c>
      <c r="E583" s="218">
        <v>30</v>
      </c>
      <c r="F583" s="216">
        <v>41508</v>
      </c>
      <c r="G583" s="218">
        <v>-30</v>
      </c>
      <c r="H583" s="219" t="s">
        <v>52</v>
      </c>
      <c r="I583" s="219" t="s">
        <v>2</v>
      </c>
      <c r="J583" s="219" t="s">
        <v>483</v>
      </c>
      <c r="K583" s="220" t="str">
        <f>IF(J583&lt;&gt;"",VLOOKUP(J583,PContas!A:B,2,FALSE),"")</f>
        <v>AILTON</v>
      </c>
      <c r="L583" s="221">
        <f t="shared" si="18"/>
        <v>22</v>
      </c>
      <c r="M583" s="221" t="str">
        <f t="shared" ca="1" si="19"/>
        <v>2013/08</v>
      </c>
    </row>
    <row r="584" spans="1:13">
      <c r="A584" s="216">
        <v>41508</v>
      </c>
      <c r="B584" s="217"/>
      <c r="C584" s="217" t="s">
        <v>480</v>
      </c>
      <c r="D584" s="216">
        <v>41508</v>
      </c>
      <c r="E584" s="218">
        <v>20</v>
      </c>
      <c r="F584" s="216">
        <v>41508</v>
      </c>
      <c r="G584" s="218">
        <v>-20</v>
      </c>
      <c r="H584" s="219" t="s">
        <v>52</v>
      </c>
      <c r="I584" s="219" t="s">
        <v>2</v>
      </c>
      <c r="J584" s="219" t="s">
        <v>483</v>
      </c>
      <c r="K584" s="220" t="str">
        <f>IF(J584&lt;&gt;"",VLOOKUP(J584,PContas!A:B,2,FALSE),"")</f>
        <v>AILTON</v>
      </c>
      <c r="L584" s="221">
        <f t="shared" si="18"/>
        <v>22</v>
      </c>
      <c r="M584" s="221" t="str">
        <f t="shared" ca="1" si="19"/>
        <v>2013/08</v>
      </c>
    </row>
    <row r="585" spans="1:13">
      <c r="A585" s="216">
        <v>41508</v>
      </c>
      <c r="B585" s="217"/>
      <c r="C585" s="217" t="s">
        <v>481</v>
      </c>
      <c r="D585" s="216">
        <v>41508</v>
      </c>
      <c r="E585" s="218">
        <v>20</v>
      </c>
      <c r="F585" s="216">
        <v>41508</v>
      </c>
      <c r="G585" s="218">
        <v>-20</v>
      </c>
      <c r="H585" s="219" t="s">
        <v>52</v>
      </c>
      <c r="I585" s="219" t="s">
        <v>2</v>
      </c>
      <c r="J585" s="219" t="s">
        <v>9</v>
      </c>
      <c r="K585" s="220" t="str">
        <f>IF(J585&lt;&gt;"",VLOOKUP(J585,PContas!A:B,2,FALSE),"")</f>
        <v>AILTON</v>
      </c>
      <c r="L585" s="221">
        <f t="shared" si="18"/>
        <v>22</v>
      </c>
      <c r="M585" s="221" t="str">
        <f t="shared" ca="1" si="19"/>
        <v>2013/08</v>
      </c>
    </row>
    <row r="586" spans="1:13">
      <c r="A586" s="216">
        <v>41508</v>
      </c>
      <c r="B586" s="217"/>
      <c r="C586" s="217" t="s">
        <v>482</v>
      </c>
      <c r="D586" s="216">
        <v>41508</v>
      </c>
      <c r="E586" s="218">
        <v>15.9</v>
      </c>
      <c r="F586" s="216">
        <v>41508</v>
      </c>
      <c r="G586" s="218">
        <v>-15.9</v>
      </c>
      <c r="H586" s="219" t="s">
        <v>52</v>
      </c>
      <c r="I586" s="219" t="s">
        <v>2</v>
      </c>
      <c r="J586" s="219" t="s">
        <v>104</v>
      </c>
      <c r="K586" s="220" t="str">
        <f>IF(J586&lt;&gt;"",VLOOKUP(J586,PContas!A:B,2,FALSE),"")</f>
        <v>AILTON</v>
      </c>
      <c r="L586" s="221">
        <f t="shared" si="18"/>
        <v>22</v>
      </c>
      <c r="M586" s="221" t="str">
        <f t="shared" ca="1" si="19"/>
        <v>2013/08</v>
      </c>
    </row>
    <row r="587" spans="1:13">
      <c r="A587" s="216">
        <v>41508</v>
      </c>
      <c r="B587" s="217"/>
      <c r="C587" s="217"/>
      <c r="D587" s="216">
        <v>41508</v>
      </c>
      <c r="E587" s="218">
        <v>17.2</v>
      </c>
      <c r="F587" s="216">
        <v>41508</v>
      </c>
      <c r="G587" s="218">
        <v>-17.2</v>
      </c>
      <c r="H587" s="219" t="s">
        <v>52</v>
      </c>
      <c r="I587" s="219" t="s">
        <v>2</v>
      </c>
      <c r="J587" s="219" t="s">
        <v>488</v>
      </c>
      <c r="K587" s="220" t="str">
        <f>IF(J587&lt;&gt;"",VLOOKUP(J587,PContas!A:B,2,FALSE),"")</f>
        <v>ALIMENTAÇÃO</v>
      </c>
      <c r="L587" s="221">
        <f t="shared" si="18"/>
        <v>22</v>
      </c>
      <c r="M587" s="221" t="str">
        <f t="shared" ca="1" si="19"/>
        <v>2013/08</v>
      </c>
    </row>
    <row r="588" spans="1:13">
      <c r="A588" s="216">
        <v>41508</v>
      </c>
      <c r="B588" s="217"/>
      <c r="C588" s="217"/>
      <c r="D588" s="216">
        <v>41508</v>
      </c>
      <c r="E588" s="218">
        <v>3.82</v>
      </c>
      <c r="F588" s="216">
        <v>41508</v>
      </c>
      <c r="G588" s="218">
        <v>-3.82</v>
      </c>
      <c r="H588" s="219" t="s">
        <v>52</v>
      </c>
      <c r="I588" s="219" t="s">
        <v>2</v>
      </c>
      <c r="J588" s="219" t="s">
        <v>488</v>
      </c>
      <c r="K588" s="220" t="str">
        <f>IF(J588&lt;&gt;"",VLOOKUP(J588,PContas!A:B,2,FALSE),"")</f>
        <v>ALIMENTAÇÃO</v>
      </c>
      <c r="L588" s="221">
        <f t="shared" si="18"/>
        <v>22</v>
      </c>
      <c r="M588" s="221" t="str">
        <f t="shared" ca="1" si="19"/>
        <v>2013/08</v>
      </c>
    </row>
    <row r="589" spans="1:13">
      <c r="A589" s="216">
        <v>41508</v>
      </c>
      <c r="B589" s="217"/>
      <c r="C589" s="217"/>
      <c r="D589" s="216">
        <v>41508</v>
      </c>
      <c r="E589" s="218">
        <v>16.170000000000002</v>
      </c>
      <c r="F589" s="216">
        <v>41508</v>
      </c>
      <c r="G589" s="218">
        <v>-16.170000000000002</v>
      </c>
      <c r="H589" s="219" t="s">
        <v>52</v>
      </c>
      <c r="I589" s="219" t="s">
        <v>2</v>
      </c>
      <c r="J589" s="219" t="s">
        <v>488</v>
      </c>
      <c r="K589" s="220" t="str">
        <f>IF(J589&lt;&gt;"",VLOOKUP(J589,PContas!A:B,2,FALSE),"")</f>
        <v>ALIMENTAÇÃO</v>
      </c>
      <c r="L589" s="221">
        <f t="shared" si="18"/>
        <v>22</v>
      </c>
      <c r="M589" s="221" t="str">
        <f t="shared" ca="1" si="19"/>
        <v>2013/08</v>
      </c>
    </row>
    <row r="590" spans="1:13">
      <c r="A590" s="216">
        <v>41508</v>
      </c>
      <c r="B590" s="217"/>
      <c r="C590" s="217"/>
      <c r="D590" s="216">
        <v>41508</v>
      </c>
      <c r="E590" s="218">
        <v>7.44</v>
      </c>
      <c r="F590" s="216">
        <v>41508</v>
      </c>
      <c r="G590" s="218">
        <v>-7.44</v>
      </c>
      <c r="H590" s="219" t="s">
        <v>52</v>
      </c>
      <c r="I590" s="239" t="s">
        <v>1111</v>
      </c>
      <c r="J590" s="219" t="s">
        <v>97</v>
      </c>
      <c r="K590" s="220" t="str">
        <f>IF(J590&lt;&gt;"",VLOOKUP(J590,PContas!A:B,2,FALSE),"")</f>
        <v>TARIFAS</v>
      </c>
      <c r="L590" s="221">
        <f t="shared" si="18"/>
        <v>22</v>
      </c>
      <c r="M590" s="221" t="str">
        <f t="shared" ca="1" si="19"/>
        <v>2013/08</v>
      </c>
    </row>
    <row r="591" spans="1:13">
      <c r="A591" s="216">
        <v>41509</v>
      </c>
      <c r="B591" s="217"/>
      <c r="C591" s="217"/>
      <c r="D591" s="216">
        <v>41509</v>
      </c>
      <c r="E591" s="218">
        <v>45.64</v>
      </c>
      <c r="F591" s="216">
        <v>41509</v>
      </c>
      <c r="G591" s="218">
        <v>-45.64</v>
      </c>
      <c r="H591" s="219" t="s">
        <v>52</v>
      </c>
      <c r="I591" s="219" t="s">
        <v>2</v>
      </c>
      <c r="J591" s="219" t="s">
        <v>3</v>
      </c>
      <c r="K591" s="220" t="str">
        <f>IF(J591&lt;&gt;"",VLOOKUP(J591,PContas!A:B,2,FALSE),"")</f>
        <v>ALIMENTAÇÃO</v>
      </c>
      <c r="L591" s="221">
        <f t="shared" si="18"/>
        <v>23</v>
      </c>
      <c r="M591" s="221" t="str">
        <f t="shared" ca="1" si="19"/>
        <v>2013/08</v>
      </c>
    </row>
    <row r="592" spans="1:13">
      <c r="A592" s="216">
        <v>41510</v>
      </c>
      <c r="B592" s="217"/>
      <c r="C592" s="217" t="s">
        <v>3</v>
      </c>
      <c r="D592" s="216">
        <v>41510</v>
      </c>
      <c r="E592" s="218">
        <v>39.340000000000003</v>
      </c>
      <c r="F592" s="216">
        <v>41510</v>
      </c>
      <c r="G592" s="218">
        <v>-39.340000000000003</v>
      </c>
      <c r="H592" s="219" t="s">
        <v>52</v>
      </c>
      <c r="I592" s="219" t="s">
        <v>2</v>
      </c>
      <c r="J592" s="219" t="s">
        <v>3</v>
      </c>
      <c r="K592" s="220" t="str">
        <f>IF(J592&lt;&gt;"",VLOOKUP(J592,PContas!A:B,2,FALSE),"")</f>
        <v>ALIMENTAÇÃO</v>
      </c>
      <c r="L592" s="221">
        <f t="shared" si="18"/>
        <v>24</v>
      </c>
      <c r="M592" s="221" t="str">
        <f t="shared" ca="1" si="19"/>
        <v>2013/08</v>
      </c>
    </row>
    <row r="593" spans="1:13">
      <c r="A593" s="216">
        <v>41510</v>
      </c>
      <c r="B593" s="217"/>
      <c r="C593" s="217"/>
      <c r="D593" s="216">
        <v>41510</v>
      </c>
      <c r="E593" s="218">
        <v>9</v>
      </c>
      <c r="F593" s="216">
        <v>41510</v>
      </c>
      <c r="G593" s="218">
        <v>-9</v>
      </c>
      <c r="H593" s="219" t="s">
        <v>52</v>
      </c>
      <c r="I593" s="219" t="s">
        <v>2</v>
      </c>
      <c r="J593" s="219" t="s">
        <v>9</v>
      </c>
      <c r="K593" s="220" t="str">
        <f>IF(J593&lt;&gt;"",VLOOKUP(J593,PContas!A:B,2,FALSE),"")</f>
        <v>AILTON</v>
      </c>
      <c r="L593" s="221">
        <f t="shared" si="18"/>
        <v>24</v>
      </c>
      <c r="M593" s="221" t="str">
        <f t="shared" ca="1" si="19"/>
        <v>2013/08</v>
      </c>
    </row>
    <row r="594" spans="1:13">
      <c r="A594" s="216">
        <v>41510</v>
      </c>
      <c r="B594" s="217"/>
      <c r="C594" s="217" t="s">
        <v>488</v>
      </c>
      <c r="D594" s="216">
        <v>41510</v>
      </c>
      <c r="E594" s="218">
        <v>160.6</v>
      </c>
      <c r="F594" s="216">
        <v>41510</v>
      </c>
      <c r="G594" s="218">
        <v>-160.6</v>
      </c>
      <c r="H594" s="219" t="s">
        <v>52</v>
      </c>
      <c r="I594" s="219" t="s">
        <v>2</v>
      </c>
      <c r="J594" s="219" t="s">
        <v>3</v>
      </c>
      <c r="K594" s="220" t="str">
        <f>IF(J594&lt;&gt;"",VLOOKUP(J594,PContas!A:B,2,FALSE),"")</f>
        <v>ALIMENTAÇÃO</v>
      </c>
      <c r="L594" s="221">
        <f t="shared" si="18"/>
        <v>24</v>
      </c>
      <c r="M594" s="221" t="str">
        <f t="shared" ca="1" si="19"/>
        <v>2013/08</v>
      </c>
    </row>
    <row r="595" spans="1:13">
      <c r="A595" s="216">
        <v>41511</v>
      </c>
      <c r="B595" s="217"/>
      <c r="C595" s="217"/>
      <c r="D595" s="216">
        <v>41511</v>
      </c>
      <c r="E595" s="218">
        <v>46.97</v>
      </c>
      <c r="F595" s="216">
        <v>41511</v>
      </c>
      <c r="G595" s="218">
        <v>-46.97</v>
      </c>
      <c r="H595" s="219" t="s">
        <v>52</v>
      </c>
      <c r="I595" s="219" t="s">
        <v>2</v>
      </c>
      <c r="J595" s="219" t="s">
        <v>3</v>
      </c>
      <c r="K595" s="220" t="str">
        <f>IF(J595&lt;&gt;"",VLOOKUP(J595,PContas!A:B,2,FALSE),"")</f>
        <v>ALIMENTAÇÃO</v>
      </c>
      <c r="L595" s="221">
        <f t="shared" si="18"/>
        <v>25</v>
      </c>
      <c r="M595" s="221" t="str">
        <f t="shared" ca="1" si="19"/>
        <v>2013/08</v>
      </c>
    </row>
    <row r="596" spans="1:13">
      <c r="A596" s="216">
        <v>41511</v>
      </c>
      <c r="B596" s="217"/>
      <c r="C596" s="217"/>
      <c r="D596" s="216">
        <v>41511</v>
      </c>
      <c r="E596" s="218">
        <v>36.380000000000003</v>
      </c>
      <c r="F596" s="216">
        <v>41511</v>
      </c>
      <c r="G596" s="218">
        <v>-36.380000000000003</v>
      </c>
      <c r="H596" s="219" t="s">
        <v>52</v>
      </c>
      <c r="I596" s="219" t="s">
        <v>2</v>
      </c>
      <c r="J596" s="219" t="s">
        <v>3</v>
      </c>
      <c r="K596" s="220" t="str">
        <f>IF(J596&lt;&gt;"",VLOOKUP(J596,PContas!A:B,2,FALSE),"")</f>
        <v>ALIMENTAÇÃO</v>
      </c>
      <c r="L596" s="221">
        <f t="shared" si="18"/>
        <v>25</v>
      </c>
      <c r="M596" s="221" t="str">
        <f t="shared" ca="1" si="19"/>
        <v>2013/08</v>
      </c>
    </row>
    <row r="597" spans="1:13">
      <c r="A597" s="216">
        <v>41511</v>
      </c>
      <c r="B597" s="217"/>
      <c r="C597" s="217" t="s">
        <v>34</v>
      </c>
      <c r="D597" s="216">
        <v>41511</v>
      </c>
      <c r="E597" s="218">
        <v>18</v>
      </c>
      <c r="F597" s="216">
        <v>41511</v>
      </c>
      <c r="G597" s="218">
        <v>-18</v>
      </c>
      <c r="H597" s="219" t="s">
        <v>52</v>
      </c>
      <c r="I597" s="219" t="s">
        <v>2</v>
      </c>
      <c r="J597" s="219" t="s">
        <v>1024</v>
      </c>
      <c r="K597" s="220" t="str">
        <f>IF(J597&lt;&gt;"",VLOOKUP(J597,PContas!A:B,2,FALSE),"")</f>
        <v>TELEFONIA</v>
      </c>
      <c r="L597" s="221">
        <f t="shared" si="18"/>
        <v>25</v>
      </c>
      <c r="M597" s="221" t="str">
        <f t="shared" ca="1" si="19"/>
        <v>2013/08</v>
      </c>
    </row>
    <row r="598" spans="1:13">
      <c r="A598" s="216">
        <v>41512</v>
      </c>
      <c r="B598" s="217"/>
      <c r="C598" s="217"/>
      <c r="D598" s="216">
        <v>41512</v>
      </c>
      <c r="E598" s="218">
        <v>17.27</v>
      </c>
      <c r="F598" s="216">
        <v>41512</v>
      </c>
      <c r="G598" s="218">
        <v>-17.27</v>
      </c>
      <c r="H598" s="219" t="s">
        <v>52</v>
      </c>
      <c r="I598" s="219" t="s">
        <v>2</v>
      </c>
      <c r="J598" s="219" t="s">
        <v>3</v>
      </c>
      <c r="K598" s="220" t="str">
        <f>IF(J598&lt;&gt;"",VLOOKUP(J598,PContas!A:B,2,FALSE),"")</f>
        <v>ALIMENTAÇÃO</v>
      </c>
      <c r="L598" s="221">
        <f t="shared" si="18"/>
        <v>26</v>
      </c>
      <c r="M598" s="221" t="str">
        <f t="shared" ca="1" si="19"/>
        <v>2013/08</v>
      </c>
    </row>
    <row r="599" spans="1:13">
      <c r="A599" s="216">
        <v>41513</v>
      </c>
      <c r="B599" s="217"/>
      <c r="C599" s="217"/>
      <c r="D599" s="216">
        <v>41513</v>
      </c>
      <c r="E599" s="218">
        <v>55.48</v>
      </c>
      <c r="F599" s="216">
        <v>41513</v>
      </c>
      <c r="G599" s="218">
        <v>-55.48</v>
      </c>
      <c r="H599" s="219" t="s">
        <v>52</v>
      </c>
      <c r="I599" s="219" t="s">
        <v>2</v>
      </c>
      <c r="J599" s="219" t="s">
        <v>3</v>
      </c>
      <c r="K599" s="220" t="str">
        <f>IF(J599&lt;&gt;"",VLOOKUP(J599,PContas!A:B,2,FALSE),"")</f>
        <v>ALIMENTAÇÃO</v>
      </c>
      <c r="L599" s="221">
        <f t="shared" si="18"/>
        <v>27</v>
      </c>
      <c r="M599" s="221" t="str">
        <f t="shared" ca="1" si="19"/>
        <v>2013/08</v>
      </c>
    </row>
    <row r="600" spans="1:13">
      <c r="A600" s="216">
        <v>41514</v>
      </c>
      <c r="B600" s="217"/>
      <c r="C600" s="217"/>
      <c r="D600" s="216">
        <v>41514</v>
      </c>
      <c r="E600" s="218">
        <v>19.59</v>
      </c>
      <c r="F600" s="216">
        <v>41514</v>
      </c>
      <c r="G600" s="218">
        <v>-19.59</v>
      </c>
      <c r="H600" s="219" t="s">
        <v>52</v>
      </c>
      <c r="I600" s="219" t="s">
        <v>2</v>
      </c>
      <c r="J600" s="219" t="s">
        <v>3</v>
      </c>
      <c r="K600" s="220" t="str">
        <f>IF(J600&lt;&gt;"",VLOOKUP(J600,PContas!A:B,2,FALSE),"")</f>
        <v>ALIMENTAÇÃO</v>
      </c>
      <c r="L600" s="221">
        <f t="shared" si="18"/>
        <v>28</v>
      </c>
      <c r="M600" s="221" t="str">
        <f t="shared" ca="1" si="19"/>
        <v>2013/08</v>
      </c>
    </row>
    <row r="601" spans="1:13">
      <c r="A601" s="216">
        <v>41515</v>
      </c>
      <c r="B601" s="217" t="s">
        <v>490</v>
      </c>
      <c r="C601" s="217"/>
      <c r="D601" s="216">
        <v>41515</v>
      </c>
      <c r="E601" s="218">
        <v>200</v>
      </c>
      <c r="F601" s="216">
        <v>41516</v>
      </c>
      <c r="G601" s="218">
        <v>200</v>
      </c>
      <c r="H601" s="219" t="s">
        <v>71</v>
      </c>
      <c r="I601" s="219" t="s">
        <v>2</v>
      </c>
      <c r="J601" s="219" t="s">
        <v>80</v>
      </c>
      <c r="K601" s="220" t="str">
        <f>IF(J601&lt;&gt;"",VLOOKUP(J601,PContas!A:B,2,FALSE),"")</f>
        <v>CLIENTES</v>
      </c>
      <c r="L601" s="221">
        <f t="shared" si="18"/>
        <v>29</v>
      </c>
      <c r="M601" s="221" t="str">
        <f t="shared" ca="1" si="19"/>
        <v>2013/08</v>
      </c>
    </row>
    <row r="602" spans="1:13">
      <c r="A602" s="216">
        <v>41515</v>
      </c>
      <c r="B602" s="217" t="s">
        <v>490</v>
      </c>
      <c r="C602" s="217"/>
      <c r="D602" s="216">
        <v>41515</v>
      </c>
      <c r="E602" s="218">
        <v>6</v>
      </c>
      <c r="F602" s="216">
        <v>41515</v>
      </c>
      <c r="G602" s="218">
        <v>-6</v>
      </c>
      <c r="H602" s="219" t="s">
        <v>52</v>
      </c>
      <c r="I602" s="219" t="s">
        <v>2</v>
      </c>
      <c r="J602" s="219" t="s">
        <v>9</v>
      </c>
      <c r="K602" s="220" t="str">
        <f>IF(J602&lt;&gt;"",VLOOKUP(J602,PContas!A:B,2,FALSE),"")</f>
        <v>AILTON</v>
      </c>
      <c r="L602" s="221">
        <f t="shared" si="18"/>
        <v>29</v>
      </c>
      <c r="M602" s="221" t="str">
        <f t="shared" ca="1" si="19"/>
        <v>2013/08</v>
      </c>
    </row>
    <row r="603" spans="1:13">
      <c r="A603" s="216">
        <v>41515</v>
      </c>
      <c r="B603" s="217" t="s">
        <v>490</v>
      </c>
      <c r="C603" s="217"/>
      <c r="D603" s="216">
        <v>41515</v>
      </c>
      <c r="E603" s="218">
        <v>11</v>
      </c>
      <c r="F603" s="216">
        <v>41515</v>
      </c>
      <c r="G603" s="218">
        <v>-11</v>
      </c>
      <c r="H603" s="219" t="s">
        <v>52</v>
      </c>
      <c r="I603" s="219" t="s">
        <v>2</v>
      </c>
      <c r="J603" s="219" t="s">
        <v>488</v>
      </c>
      <c r="K603" s="220" t="str">
        <f>IF(J603&lt;&gt;"",VLOOKUP(J603,PContas!A:B,2,FALSE),"")</f>
        <v>ALIMENTAÇÃO</v>
      </c>
      <c r="L603" s="221">
        <f t="shared" si="18"/>
        <v>29</v>
      </c>
      <c r="M603" s="221" t="str">
        <f t="shared" ca="1" si="19"/>
        <v>2013/08</v>
      </c>
    </row>
    <row r="604" spans="1:13">
      <c r="A604" s="216">
        <v>41515</v>
      </c>
      <c r="B604" s="217" t="s">
        <v>490</v>
      </c>
      <c r="C604" s="217"/>
      <c r="D604" s="216">
        <v>41515</v>
      </c>
      <c r="E604" s="218">
        <v>2.2999999999999998</v>
      </c>
      <c r="F604" s="216">
        <v>41515</v>
      </c>
      <c r="G604" s="218">
        <v>-2.2999999999999998</v>
      </c>
      <c r="H604" s="219" t="s">
        <v>52</v>
      </c>
      <c r="I604" s="219" t="s">
        <v>2</v>
      </c>
      <c r="J604" s="219" t="s">
        <v>488</v>
      </c>
      <c r="K604" s="220" t="str">
        <f>IF(J604&lt;&gt;"",VLOOKUP(J604,PContas!A:B,2,FALSE),"")</f>
        <v>ALIMENTAÇÃO</v>
      </c>
      <c r="L604" s="221">
        <f t="shared" si="18"/>
        <v>29</v>
      </c>
      <c r="M604" s="221" t="str">
        <f t="shared" ca="1" si="19"/>
        <v>2013/08</v>
      </c>
    </row>
    <row r="605" spans="1:13">
      <c r="A605" s="216">
        <v>41516</v>
      </c>
      <c r="B605" s="217"/>
      <c r="C605" s="217"/>
      <c r="D605" s="216">
        <v>41516</v>
      </c>
      <c r="E605" s="218">
        <v>29.41</v>
      </c>
      <c r="F605" s="216">
        <v>41516</v>
      </c>
      <c r="G605" s="218">
        <v>-29.41</v>
      </c>
      <c r="H605" s="219" t="s">
        <v>52</v>
      </c>
      <c r="I605" s="219" t="s">
        <v>2</v>
      </c>
      <c r="J605" s="219" t="s">
        <v>3</v>
      </c>
      <c r="K605" s="220" t="str">
        <f>IF(J605&lt;&gt;"",VLOOKUP(J605,PContas!A:B,2,FALSE),"")</f>
        <v>ALIMENTAÇÃO</v>
      </c>
      <c r="L605" s="221">
        <f t="shared" si="18"/>
        <v>30</v>
      </c>
      <c r="M605" s="221" t="str">
        <f t="shared" ca="1" si="19"/>
        <v>2013/08</v>
      </c>
    </row>
    <row r="606" spans="1:13">
      <c r="A606" s="216">
        <v>41517</v>
      </c>
      <c r="B606" s="217"/>
      <c r="C606" s="217"/>
      <c r="D606" s="216">
        <v>41517</v>
      </c>
      <c r="E606" s="218">
        <v>20</v>
      </c>
      <c r="F606" s="216">
        <v>41517</v>
      </c>
      <c r="G606" s="218">
        <v>-20</v>
      </c>
      <c r="H606" s="219" t="s">
        <v>52</v>
      </c>
      <c r="I606" s="219" t="s">
        <v>2</v>
      </c>
      <c r="J606" s="219" t="s">
        <v>9</v>
      </c>
      <c r="K606" s="220" t="str">
        <f>IF(J606&lt;&gt;"",VLOOKUP(J606,PContas!A:B,2,FALSE),"")</f>
        <v>AILTON</v>
      </c>
      <c r="L606" s="221">
        <f t="shared" si="18"/>
        <v>31</v>
      </c>
      <c r="M606" s="221" t="str">
        <f t="shared" ca="1" si="19"/>
        <v>2013/08</v>
      </c>
    </row>
    <row r="607" spans="1:13">
      <c r="A607" s="216">
        <v>41517</v>
      </c>
      <c r="B607" s="217"/>
      <c r="C607" s="217" t="s">
        <v>491</v>
      </c>
      <c r="D607" s="216">
        <v>41517</v>
      </c>
      <c r="E607" s="218">
        <v>2.1</v>
      </c>
      <c r="F607" s="216">
        <v>41517</v>
      </c>
      <c r="G607" s="218">
        <v>-2.1</v>
      </c>
      <c r="H607" s="219" t="s">
        <v>52</v>
      </c>
      <c r="I607" s="219" t="s">
        <v>2</v>
      </c>
      <c r="J607" s="219" t="s">
        <v>32</v>
      </c>
      <c r="K607" s="220" t="str">
        <f>IF(J607&lt;&gt;"",VLOOKUP(J607,PContas!A:B,2,FALSE),"")</f>
        <v>AILTON</v>
      </c>
      <c r="L607" s="221">
        <f t="shared" si="18"/>
        <v>31</v>
      </c>
      <c r="M607" s="221" t="str">
        <f t="shared" ca="1" si="19"/>
        <v>2013/08</v>
      </c>
    </row>
    <row r="608" spans="1:13">
      <c r="A608" s="216">
        <v>41517</v>
      </c>
      <c r="B608" s="217"/>
      <c r="C608" s="217"/>
      <c r="D608" s="216">
        <v>41517</v>
      </c>
      <c r="E608" s="218">
        <v>2.7</v>
      </c>
      <c r="F608" s="216">
        <v>41517</v>
      </c>
      <c r="G608" s="218">
        <v>-2.7</v>
      </c>
      <c r="H608" s="219" t="s">
        <v>52</v>
      </c>
      <c r="I608" s="219" t="s">
        <v>2</v>
      </c>
      <c r="J608" s="219" t="s">
        <v>488</v>
      </c>
      <c r="K608" s="220" t="str">
        <f>IF(J608&lt;&gt;"",VLOOKUP(J608,PContas!A:B,2,FALSE),"")</f>
        <v>ALIMENTAÇÃO</v>
      </c>
      <c r="L608" s="221">
        <f t="shared" si="18"/>
        <v>31</v>
      </c>
      <c r="M608" s="221" t="str">
        <f t="shared" ca="1" si="19"/>
        <v>2013/08</v>
      </c>
    </row>
    <row r="609" spans="1:13">
      <c r="A609" s="216">
        <v>41517</v>
      </c>
      <c r="B609" s="217"/>
      <c r="C609" s="217"/>
      <c r="D609" s="216">
        <v>41487</v>
      </c>
      <c r="E609" s="218">
        <v>65</v>
      </c>
      <c r="F609" s="216">
        <v>41487</v>
      </c>
      <c r="G609" s="218">
        <v>-65</v>
      </c>
      <c r="H609" s="219" t="s">
        <v>52</v>
      </c>
      <c r="I609" s="219" t="s">
        <v>2</v>
      </c>
      <c r="J609" s="219" t="s">
        <v>90</v>
      </c>
      <c r="K609" s="220" t="str">
        <f>IF(J609&lt;&gt;"",VLOOKUP(J609,PContas!A:B,2,FALSE),"")</f>
        <v>ALIMENTAÇÃO</v>
      </c>
      <c r="L609" s="221">
        <f t="shared" si="18"/>
        <v>1</v>
      </c>
      <c r="M609" s="221" t="str">
        <f t="shared" ca="1" si="19"/>
        <v>2013/08</v>
      </c>
    </row>
    <row r="610" spans="1:13">
      <c r="A610" s="216">
        <v>41520</v>
      </c>
      <c r="B610" s="217"/>
      <c r="C610" s="217"/>
      <c r="D610" s="216">
        <v>41520</v>
      </c>
      <c r="E610" s="218">
        <v>60.05</v>
      </c>
      <c r="F610" s="216">
        <v>41520</v>
      </c>
      <c r="G610" s="218">
        <v>-60.05</v>
      </c>
      <c r="H610" s="219" t="s">
        <v>52</v>
      </c>
      <c r="I610" s="219" t="s">
        <v>2</v>
      </c>
      <c r="J610" s="219" t="s">
        <v>3</v>
      </c>
      <c r="K610" s="220" t="str">
        <f>IF(J610&lt;&gt;"",VLOOKUP(J610,PContas!A:B,2,FALSE),"")</f>
        <v>ALIMENTAÇÃO</v>
      </c>
      <c r="L610" s="221">
        <f t="shared" si="18"/>
        <v>3</v>
      </c>
      <c r="M610" s="221" t="str">
        <f t="shared" ca="1" si="19"/>
        <v>2013/09</v>
      </c>
    </row>
    <row r="611" spans="1:13">
      <c r="A611" s="216">
        <v>41522</v>
      </c>
      <c r="B611" s="217"/>
      <c r="C611" s="217"/>
      <c r="D611" s="216">
        <v>41522</v>
      </c>
      <c r="E611" s="218">
        <v>18</v>
      </c>
      <c r="F611" s="216">
        <v>41522</v>
      </c>
      <c r="G611" s="218">
        <v>-18</v>
      </c>
      <c r="H611" s="219" t="s">
        <v>52</v>
      </c>
      <c r="I611" s="219" t="s">
        <v>2</v>
      </c>
      <c r="J611" s="219" t="s">
        <v>498</v>
      </c>
      <c r="K611" s="220" t="str">
        <f>IF(J611&lt;&gt;"",VLOOKUP(J611,PContas!A:B,2,FALSE),"")</f>
        <v>TELEFONIA</v>
      </c>
      <c r="L611" s="221">
        <f t="shared" si="18"/>
        <v>5</v>
      </c>
      <c r="M611" s="221" t="str">
        <f t="shared" ca="1" si="19"/>
        <v>2013/09</v>
      </c>
    </row>
    <row r="612" spans="1:13">
      <c r="A612" s="216">
        <v>41522</v>
      </c>
      <c r="B612" s="217"/>
      <c r="C612" s="217"/>
      <c r="D612" s="216">
        <v>41522</v>
      </c>
      <c r="E612" s="218">
        <v>55.69</v>
      </c>
      <c r="F612" s="216">
        <v>41522</v>
      </c>
      <c r="G612" s="218">
        <v>-55.69</v>
      </c>
      <c r="H612" s="219" t="s">
        <v>52</v>
      </c>
      <c r="I612" s="219" t="s">
        <v>2</v>
      </c>
      <c r="J612" s="219" t="s">
        <v>3</v>
      </c>
      <c r="K612" s="220" t="str">
        <f>IF(J612&lt;&gt;"",VLOOKUP(J612,PContas!A:B,2,FALSE),"")</f>
        <v>ALIMENTAÇÃO</v>
      </c>
      <c r="L612" s="221">
        <f t="shared" si="18"/>
        <v>5</v>
      </c>
      <c r="M612" s="221" t="str">
        <f t="shared" ca="1" si="19"/>
        <v>2013/09</v>
      </c>
    </row>
    <row r="613" spans="1:13">
      <c r="A613" s="216">
        <v>41524</v>
      </c>
      <c r="B613" s="217"/>
      <c r="C613" s="217"/>
      <c r="D613" s="216">
        <v>41524</v>
      </c>
      <c r="E613" s="218">
        <v>46.44</v>
      </c>
      <c r="F613" s="216">
        <v>41524</v>
      </c>
      <c r="G613" s="218">
        <v>-46.44</v>
      </c>
      <c r="H613" s="219" t="s">
        <v>52</v>
      </c>
      <c r="I613" s="219" t="s">
        <v>2</v>
      </c>
      <c r="J613" s="219" t="s">
        <v>3</v>
      </c>
      <c r="K613" s="220" t="str">
        <f>IF(J613&lt;&gt;"",VLOOKUP(J613,PContas!A:B,2,FALSE),"")</f>
        <v>ALIMENTAÇÃO</v>
      </c>
      <c r="L613" s="221">
        <f t="shared" si="18"/>
        <v>7</v>
      </c>
      <c r="M613" s="221" t="str">
        <f t="shared" ca="1" si="19"/>
        <v>2013/09</v>
      </c>
    </row>
    <row r="614" spans="1:13">
      <c r="A614" s="216">
        <v>41529</v>
      </c>
      <c r="B614" s="217" t="s">
        <v>492</v>
      </c>
      <c r="C614" s="217"/>
      <c r="D614" s="216">
        <v>41529</v>
      </c>
      <c r="E614" s="218">
        <v>200</v>
      </c>
      <c r="F614" s="216">
        <v>41542</v>
      </c>
      <c r="G614" s="218">
        <v>200</v>
      </c>
      <c r="H614" s="219" t="s">
        <v>71</v>
      </c>
      <c r="I614" s="219" t="s">
        <v>2</v>
      </c>
      <c r="J614" s="219" t="s">
        <v>61</v>
      </c>
      <c r="K614" s="220" t="str">
        <f>IF(J614&lt;&gt;"",VLOOKUP(J614,PContas!A:B,2,FALSE),"")</f>
        <v>CLIENTES</v>
      </c>
      <c r="L614" s="221">
        <f t="shared" si="18"/>
        <v>12</v>
      </c>
      <c r="M614" s="221" t="str">
        <f t="shared" ca="1" si="19"/>
        <v>2013/09</v>
      </c>
    </row>
    <row r="615" spans="1:13">
      <c r="A615" s="216">
        <v>41532</v>
      </c>
      <c r="B615" s="217"/>
      <c r="C615" s="217"/>
      <c r="D615" s="216">
        <v>41532</v>
      </c>
      <c r="E615" s="218">
        <v>602.11</v>
      </c>
      <c r="F615" s="216">
        <v>41532</v>
      </c>
      <c r="G615" s="218">
        <v>-602.11</v>
      </c>
      <c r="H615" s="219" t="s">
        <v>52</v>
      </c>
      <c r="I615" s="219" t="s">
        <v>2</v>
      </c>
      <c r="J615" s="219" t="s">
        <v>3</v>
      </c>
      <c r="K615" s="220" t="str">
        <f>IF(J615&lt;&gt;"",VLOOKUP(J615,PContas!A:B,2,FALSE),"")</f>
        <v>ALIMENTAÇÃO</v>
      </c>
      <c r="L615" s="221">
        <f t="shared" si="18"/>
        <v>15</v>
      </c>
      <c r="M615" s="221" t="str">
        <f t="shared" ca="1" si="19"/>
        <v>2013/09</v>
      </c>
    </row>
    <row r="616" spans="1:13">
      <c r="A616" s="216">
        <v>41532</v>
      </c>
      <c r="B616" s="217"/>
      <c r="C616" s="217"/>
      <c r="D616" s="216">
        <v>41532</v>
      </c>
      <c r="E616" s="218">
        <v>8</v>
      </c>
      <c r="F616" s="216">
        <v>41532</v>
      </c>
      <c r="G616" s="218">
        <v>-8</v>
      </c>
      <c r="H616" s="219" t="s">
        <v>52</v>
      </c>
      <c r="I616" s="219" t="s">
        <v>2</v>
      </c>
      <c r="J616" s="219" t="s">
        <v>488</v>
      </c>
      <c r="K616" s="220" t="str">
        <f>IF(J616&lt;&gt;"",VLOOKUP(J616,PContas!A:B,2,FALSE),"")</f>
        <v>ALIMENTAÇÃO</v>
      </c>
      <c r="L616" s="221">
        <f t="shared" si="18"/>
        <v>15</v>
      </c>
      <c r="M616" s="221" t="str">
        <f t="shared" ca="1" si="19"/>
        <v>2013/09</v>
      </c>
    </row>
    <row r="617" spans="1:13">
      <c r="A617" s="216">
        <v>41532</v>
      </c>
      <c r="B617" s="217"/>
      <c r="C617" s="217"/>
      <c r="D617" s="216">
        <v>41532</v>
      </c>
      <c r="E617" s="218">
        <v>20</v>
      </c>
      <c r="F617" s="216">
        <v>41532</v>
      </c>
      <c r="G617" s="218">
        <v>-20</v>
      </c>
      <c r="H617" s="219" t="s">
        <v>52</v>
      </c>
      <c r="I617" s="219" t="s">
        <v>2</v>
      </c>
      <c r="J617" s="219" t="s">
        <v>9</v>
      </c>
      <c r="K617" s="220" t="str">
        <f>IF(J617&lt;&gt;"",VLOOKUP(J617,PContas!A:B,2,FALSE),"")</f>
        <v>AILTON</v>
      </c>
      <c r="L617" s="221">
        <f t="shared" si="18"/>
        <v>15</v>
      </c>
      <c r="M617" s="221" t="str">
        <f t="shared" ca="1" si="19"/>
        <v>2013/09</v>
      </c>
    </row>
    <row r="618" spans="1:13">
      <c r="A618" s="216">
        <v>41534</v>
      </c>
      <c r="B618" s="217"/>
      <c r="C618" s="217"/>
      <c r="D618" s="216">
        <v>41534</v>
      </c>
      <c r="E618" s="218">
        <v>37.5</v>
      </c>
      <c r="F618" s="216">
        <v>41534</v>
      </c>
      <c r="G618" s="218">
        <v>-37.5</v>
      </c>
      <c r="H618" s="219" t="s">
        <v>52</v>
      </c>
      <c r="I618" s="219" t="s">
        <v>2</v>
      </c>
      <c r="J618" s="219" t="s">
        <v>488</v>
      </c>
      <c r="K618" s="220" t="str">
        <f>IF(J618&lt;&gt;"",VLOOKUP(J618,PContas!A:B,2,FALSE),"")</f>
        <v>ALIMENTAÇÃO</v>
      </c>
      <c r="L618" s="221">
        <f t="shared" si="18"/>
        <v>17</v>
      </c>
      <c r="M618" s="221" t="str">
        <f t="shared" ca="1" si="19"/>
        <v>2013/09</v>
      </c>
    </row>
    <row r="619" spans="1:13">
      <c r="A619" s="216">
        <v>41534</v>
      </c>
      <c r="B619" s="217"/>
      <c r="C619" s="217"/>
      <c r="D619" s="216">
        <v>41534</v>
      </c>
      <c r="E619" s="218">
        <v>41.12</v>
      </c>
      <c r="F619" s="216">
        <v>41534</v>
      </c>
      <c r="G619" s="218">
        <v>-41.12</v>
      </c>
      <c r="H619" s="219" t="s">
        <v>52</v>
      </c>
      <c r="I619" s="219" t="s">
        <v>2</v>
      </c>
      <c r="J619" s="219" t="s">
        <v>488</v>
      </c>
      <c r="K619" s="220" t="str">
        <f>IF(J619&lt;&gt;"",VLOOKUP(J619,PContas!A:B,2,FALSE),"")</f>
        <v>ALIMENTAÇÃO</v>
      </c>
      <c r="L619" s="221">
        <f t="shared" si="18"/>
        <v>17</v>
      </c>
      <c r="M619" s="221" t="str">
        <f t="shared" ca="1" si="19"/>
        <v>2013/09</v>
      </c>
    </row>
    <row r="620" spans="1:13">
      <c r="A620" s="216">
        <v>41534</v>
      </c>
      <c r="B620" s="217"/>
      <c r="C620" s="217" t="s">
        <v>494</v>
      </c>
      <c r="D620" s="216">
        <v>41534</v>
      </c>
      <c r="E620" s="218">
        <v>10</v>
      </c>
      <c r="F620" s="216">
        <v>41534</v>
      </c>
      <c r="G620" s="218">
        <v>-10</v>
      </c>
      <c r="H620" s="219" t="s">
        <v>52</v>
      </c>
      <c r="I620" s="219" t="s">
        <v>2</v>
      </c>
      <c r="J620" s="219" t="s">
        <v>493</v>
      </c>
      <c r="K620" s="220" t="str">
        <f>IF(J620&lt;&gt;"",VLOOKUP(J620,PContas!A:B,2,FALSE),"")</f>
        <v>TELEFONIA</v>
      </c>
      <c r="L620" s="221">
        <f t="shared" si="18"/>
        <v>17</v>
      </c>
      <c r="M620" s="221" t="str">
        <f t="shared" ca="1" si="19"/>
        <v>2013/09</v>
      </c>
    </row>
    <row r="621" spans="1:13">
      <c r="A621" s="216">
        <v>41535</v>
      </c>
      <c r="B621" s="217"/>
      <c r="C621" s="217"/>
      <c r="D621" s="216">
        <v>41535</v>
      </c>
      <c r="E621" s="218">
        <v>7.4</v>
      </c>
      <c r="F621" s="216">
        <v>41535</v>
      </c>
      <c r="G621" s="218">
        <v>-7.4</v>
      </c>
      <c r="H621" s="219" t="s">
        <v>52</v>
      </c>
      <c r="I621" s="239" t="s">
        <v>1111</v>
      </c>
      <c r="J621" s="219" t="s">
        <v>501</v>
      </c>
      <c r="K621" s="220" t="str">
        <f>IF(J621&lt;&gt;"",VLOOKUP(J621,PContas!A:B,2,FALSE),"")</f>
        <v>TARIFAS</v>
      </c>
      <c r="L621" s="221">
        <f t="shared" si="18"/>
        <v>18</v>
      </c>
      <c r="M621" s="221" t="str">
        <f t="shared" ca="1" si="19"/>
        <v>2013/09</v>
      </c>
    </row>
    <row r="622" spans="1:13">
      <c r="A622" s="216">
        <v>41536</v>
      </c>
      <c r="B622" s="217" t="s">
        <v>497</v>
      </c>
      <c r="C622" s="223"/>
      <c r="D622" s="216">
        <v>41548</v>
      </c>
      <c r="E622" s="218">
        <v>300</v>
      </c>
      <c r="F622" s="216">
        <v>41548</v>
      </c>
      <c r="G622" s="218">
        <v>300</v>
      </c>
      <c r="H622" s="219" t="s">
        <v>71</v>
      </c>
      <c r="I622" s="219" t="s">
        <v>2</v>
      </c>
      <c r="J622" s="219" t="s">
        <v>80</v>
      </c>
      <c r="K622" s="220" t="str">
        <f>IF(J622&lt;&gt;"",VLOOKUP(J622,PContas!A:B,2,FALSE),"")</f>
        <v>CLIENTES</v>
      </c>
      <c r="L622" s="221">
        <f t="shared" si="18"/>
        <v>1</v>
      </c>
      <c r="M622" s="221" t="str">
        <f t="shared" ca="1" si="19"/>
        <v>2013/10</v>
      </c>
    </row>
    <row r="623" spans="1:13">
      <c r="A623" s="216">
        <v>41536</v>
      </c>
      <c r="B623" s="217" t="s">
        <v>497</v>
      </c>
      <c r="C623" s="223"/>
      <c r="D623" s="216">
        <v>41548</v>
      </c>
      <c r="E623" s="218">
        <v>350</v>
      </c>
      <c r="F623" s="216">
        <v>41557</v>
      </c>
      <c r="G623" s="218">
        <v>350</v>
      </c>
      <c r="H623" s="219" t="s">
        <v>71</v>
      </c>
      <c r="I623" s="219" t="s">
        <v>2</v>
      </c>
      <c r="J623" s="219" t="s">
        <v>80</v>
      </c>
      <c r="K623" s="220" t="str">
        <f>IF(J623&lt;&gt;"",VLOOKUP(J623,PContas!A:B,2,FALSE),"")</f>
        <v>CLIENTES</v>
      </c>
      <c r="L623" s="221">
        <f t="shared" si="18"/>
        <v>1</v>
      </c>
      <c r="M623" s="221" t="str">
        <f t="shared" ca="1" si="19"/>
        <v>2013/10</v>
      </c>
    </row>
    <row r="624" spans="1:13">
      <c r="A624" s="216">
        <v>41536</v>
      </c>
      <c r="B624" s="217"/>
      <c r="C624" s="217"/>
      <c r="D624" s="216">
        <v>41536</v>
      </c>
      <c r="E624" s="218">
        <v>29.2</v>
      </c>
      <c r="F624" s="216">
        <v>41536</v>
      </c>
      <c r="G624" s="218">
        <v>-29.2</v>
      </c>
      <c r="H624" s="219" t="s">
        <v>52</v>
      </c>
      <c r="I624" s="219" t="s">
        <v>2</v>
      </c>
      <c r="J624" s="219" t="s">
        <v>3</v>
      </c>
      <c r="K624" s="220" t="str">
        <f>IF(J624&lt;&gt;"",VLOOKUP(J624,PContas!A:B,2,FALSE),"")</f>
        <v>ALIMENTAÇÃO</v>
      </c>
      <c r="L624" s="221">
        <f t="shared" si="18"/>
        <v>19</v>
      </c>
      <c r="M624" s="221" t="str">
        <f t="shared" ca="1" si="19"/>
        <v>2013/09</v>
      </c>
    </row>
    <row r="625" spans="1:13">
      <c r="A625" s="216">
        <v>41536</v>
      </c>
      <c r="B625" s="217"/>
      <c r="C625" s="217"/>
      <c r="D625" s="216">
        <v>41536</v>
      </c>
      <c r="E625" s="218">
        <v>3.78</v>
      </c>
      <c r="F625" s="216">
        <v>41536</v>
      </c>
      <c r="G625" s="218">
        <v>-3.78</v>
      </c>
      <c r="H625" s="219" t="s">
        <v>52</v>
      </c>
      <c r="I625" s="219" t="s">
        <v>2</v>
      </c>
      <c r="J625" s="219" t="s">
        <v>488</v>
      </c>
      <c r="K625" s="220" t="str">
        <f>IF(J625&lt;&gt;"",VLOOKUP(J625,PContas!A:B,2,FALSE),"")</f>
        <v>ALIMENTAÇÃO</v>
      </c>
      <c r="L625" s="221">
        <f t="shared" si="18"/>
        <v>19</v>
      </c>
      <c r="M625" s="221" t="str">
        <f t="shared" ca="1" si="19"/>
        <v>2013/09</v>
      </c>
    </row>
    <row r="626" spans="1:13">
      <c r="A626" s="216">
        <v>41536</v>
      </c>
      <c r="B626" s="217"/>
      <c r="C626" s="217"/>
      <c r="D626" s="216">
        <v>41536</v>
      </c>
      <c r="E626" s="218">
        <v>15.5</v>
      </c>
      <c r="F626" s="216">
        <v>41536</v>
      </c>
      <c r="G626" s="218">
        <v>-15.5</v>
      </c>
      <c r="H626" s="219" t="s">
        <v>52</v>
      </c>
      <c r="I626" s="219" t="s">
        <v>2</v>
      </c>
      <c r="J626" s="219" t="s">
        <v>488</v>
      </c>
      <c r="K626" s="220" t="str">
        <f>IF(J626&lt;&gt;"",VLOOKUP(J626,PContas!A:B,2,FALSE),"")</f>
        <v>ALIMENTAÇÃO</v>
      </c>
      <c r="L626" s="221">
        <f t="shared" si="18"/>
        <v>19</v>
      </c>
      <c r="M626" s="221" t="str">
        <f t="shared" ca="1" si="19"/>
        <v>2013/09</v>
      </c>
    </row>
    <row r="627" spans="1:13">
      <c r="A627" s="216">
        <v>41536</v>
      </c>
      <c r="B627" s="217"/>
      <c r="C627" s="217"/>
      <c r="D627" s="216">
        <v>41536</v>
      </c>
      <c r="E627" s="218">
        <v>20</v>
      </c>
      <c r="F627" s="216">
        <v>41536</v>
      </c>
      <c r="G627" s="218">
        <v>-20</v>
      </c>
      <c r="H627" s="219" t="s">
        <v>52</v>
      </c>
      <c r="I627" s="219" t="s">
        <v>2</v>
      </c>
      <c r="J627" s="219" t="s">
        <v>9</v>
      </c>
      <c r="K627" s="220" t="str">
        <f>IF(J627&lt;&gt;"",VLOOKUP(J627,PContas!A:B,2,FALSE),"")</f>
        <v>AILTON</v>
      </c>
      <c r="L627" s="221">
        <f t="shared" si="18"/>
        <v>19</v>
      </c>
      <c r="M627" s="221" t="str">
        <f t="shared" ca="1" si="19"/>
        <v>2013/09</v>
      </c>
    </row>
    <row r="628" spans="1:13">
      <c r="A628" s="216">
        <v>41537</v>
      </c>
      <c r="B628" s="217"/>
      <c r="C628" s="217" t="s">
        <v>499</v>
      </c>
      <c r="D628" s="216">
        <v>41588</v>
      </c>
      <c r="E628" s="218">
        <v>100</v>
      </c>
      <c r="F628" s="216">
        <v>41578</v>
      </c>
      <c r="G628" s="218">
        <v>-100</v>
      </c>
      <c r="H628" s="219" t="s">
        <v>52</v>
      </c>
      <c r="I628" s="219" t="s">
        <v>2</v>
      </c>
      <c r="J628" s="219" t="s">
        <v>105</v>
      </c>
      <c r="K628" s="220" t="str">
        <f>IF(J628&lt;&gt;"",VLOOKUP(J628,PContas!A:B,2,FALSE),"")</f>
        <v>AILTON</v>
      </c>
      <c r="L628" s="221">
        <f t="shared" si="18"/>
        <v>10</v>
      </c>
      <c r="M628" s="221" t="str">
        <f t="shared" ca="1" si="19"/>
        <v>2013/11</v>
      </c>
    </row>
    <row r="629" spans="1:13">
      <c r="A629" s="216">
        <v>41538</v>
      </c>
      <c r="B629" s="217"/>
      <c r="C629" s="217"/>
      <c r="D629" s="216">
        <v>41538</v>
      </c>
      <c r="E629" s="218">
        <v>8.4499999999999993</v>
      </c>
      <c r="F629" s="216">
        <v>41538</v>
      </c>
      <c r="G629" s="218">
        <v>-8.4499999999999993</v>
      </c>
      <c r="H629" s="219" t="s">
        <v>52</v>
      </c>
      <c r="I629" s="219" t="s">
        <v>2</v>
      </c>
      <c r="J629" s="219" t="s">
        <v>488</v>
      </c>
      <c r="K629" s="220" t="str">
        <f>IF(J629&lt;&gt;"",VLOOKUP(J629,PContas!A:B,2,FALSE),"")</f>
        <v>ALIMENTAÇÃO</v>
      </c>
      <c r="L629" s="221">
        <f t="shared" si="18"/>
        <v>21</v>
      </c>
      <c r="M629" s="221" t="str">
        <f t="shared" ca="1" si="19"/>
        <v>2013/09</v>
      </c>
    </row>
    <row r="630" spans="1:13">
      <c r="A630" s="216">
        <v>41538</v>
      </c>
      <c r="B630" s="217"/>
      <c r="C630" s="217"/>
      <c r="D630" s="216">
        <v>41538</v>
      </c>
      <c r="E630" s="218">
        <v>16</v>
      </c>
      <c r="F630" s="216">
        <v>41538</v>
      </c>
      <c r="G630" s="218">
        <v>-16</v>
      </c>
      <c r="H630" s="219" t="s">
        <v>52</v>
      </c>
      <c r="I630" s="219" t="s">
        <v>2</v>
      </c>
      <c r="J630" s="219" t="s">
        <v>488</v>
      </c>
      <c r="K630" s="220" t="str">
        <f>IF(J630&lt;&gt;"",VLOOKUP(J630,PContas!A:B,2,FALSE),"")</f>
        <v>ALIMENTAÇÃO</v>
      </c>
      <c r="L630" s="221">
        <f t="shared" si="18"/>
        <v>21</v>
      </c>
      <c r="M630" s="221" t="str">
        <f t="shared" ca="1" si="19"/>
        <v>2013/09</v>
      </c>
    </row>
    <row r="631" spans="1:13">
      <c r="A631" s="216">
        <v>41538</v>
      </c>
      <c r="B631" s="217"/>
      <c r="C631" s="217"/>
      <c r="D631" s="216">
        <v>41538</v>
      </c>
      <c r="E631" s="218">
        <v>12.35</v>
      </c>
      <c r="F631" s="216">
        <v>41538</v>
      </c>
      <c r="G631" s="218">
        <v>-12.35</v>
      </c>
      <c r="H631" s="219" t="s">
        <v>52</v>
      </c>
      <c r="I631" s="219" t="s">
        <v>2</v>
      </c>
      <c r="J631" s="219" t="s">
        <v>488</v>
      </c>
      <c r="K631" s="220" t="str">
        <f>IF(J631&lt;&gt;"",VLOOKUP(J631,PContas!A:B,2,FALSE),"")</f>
        <v>ALIMENTAÇÃO</v>
      </c>
      <c r="L631" s="221">
        <f t="shared" si="18"/>
        <v>21</v>
      </c>
      <c r="M631" s="221" t="str">
        <f t="shared" ca="1" si="19"/>
        <v>2013/09</v>
      </c>
    </row>
    <row r="632" spans="1:13">
      <c r="A632" s="216">
        <v>41538</v>
      </c>
      <c r="B632" s="217"/>
      <c r="C632" s="217"/>
      <c r="D632" s="216">
        <v>41538</v>
      </c>
      <c r="E632" s="218">
        <v>36.11</v>
      </c>
      <c r="F632" s="216">
        <v>41538</v>
      </c>
      <c r="G632" s="218">
        <v>-36.11</v>
      </c>
      <c r="H632" s="219" t="s">
        <v>52</v>
      </c>
      <c r="I632" s="219" t="s">
        <v>2</v>
      </c>
      <c r="J632" s="219" t="s">
        <v>488</v>
      </c>
      <c r="K632" s="220" t="str">
        <f>IF(J632&lt;&gt;"",VLOOKUP(J632,PContas!A:B,2,FALSE),"")</f>
        <v>ALIMENTAÇÃO</v>
      </c>
      <c r="L632" s="221">
        <f t="shared" si="18"/>
        <v>21</v>
      </c>
      <c r="M632" s="221" t="str">
        <f t="shared" ca="1" si="19"/>
        <v>2013/09</v>
      </c>
    </row>
    <row r="633" spans="1:13">
      <c r="A633" s="216">
        <v>41538</v>
      </c>
      <c r="B633" s="217"/>
      <c r="C633" s="217"/>
      <c r="D633" s="216">
        <v>41538</v>
      </c>
      <c r="E633" s="218">
        <v>3.35</v>
      </c>
      <c r="F633" s="216">
        <v>41538</v>
      </c>
      <c r="G633" s="218">
        <v>-3.35</v>
      </c>
      <c r="H633" s="219" t="s">
        <v>52</v>
      </c>
      <c r="I633" s="219" t="s">
        <v>2</v>
      </c>
      <c r="J633" s="219" t="s">
        <v>3</v>
      </c>
      <c r="K633" s="220" t="str">
        <f>IF(J633&lt;&gt;"",VLOOKUP(J633,PContas!A:B,2,FALSE),"")</f>
        <v>ALIMENTAÇÃO</v>
      </c>
      <c r="L633" s="221">
        <f t="shared" si="18"/>
        <v>21</v>
      </c>
      <c r="M633" s="221" t="str">
        <f t="shared" ca="1" si="19"/>
        <v>2013/09</v>
      </c>
    </row>
    <row r="634" spans="1:13">
      <c r="A634" s="216">
        <v>41538</v>
      </c>
      <c r="B634" s="217"/>
      <c r="C634" s="217"/>
      <c r="D634" s="216">
        <v>41538</v>
      </c>
      <c r="E634" s="218">
        <v>6</v>
      </c>
      <c r="F634" s="216">
        <v>41538</v>
      </c>
      <c r="G634" s="218">
        <v>-6</v>
      </c>
      <c r="H634" s="219" t="s">
        <v>52</v>
      </c>
      <c r="I634" s="219" t="s">
        <v>2</v>
      </c>
      <c r="J634" s="219" t="s">
        <v>3</v>
      </c>
      <c r="K634" s="220" t="str">
        <f>IF(J634&lt;&gt;"",VLOOKUP(J634,PContas!A:B,2,FALSE),"")</f>
        <v>ALIMENTAÇÃO</v>
      </c>
      <c r="L634" s="221">
        <f t="shared" si="18"/>
        <v>21</v>
      </c>
      <c r="M634" s="221" t="str">
        <f t="shared" ca="1" si="19"/>
        <v>2013/09</v>
      </c>
    </row>
    <row r="635" spans="1:13">
      <c r="A635" s="216">
        <v>41538</v>
      </c>
      <c r="B635" s="217"/>
      <c r="C635" s="217" t="s">
        <v>500</v>
      </c>
      <c r="D635" s="216">
        <v>41538</v>
      </c>
      <c r="E635" s="218">
        <v>13.5</v>
      </c>
      <c r="F635" s="216">
        <v>41538</v>
      </c>
      <c r="G635" s="218">
        <v>-13.5</v>
      </c>
      <c r="H635" s="219" t="s">
        <v>52</v>
      </c>
      <c r="I635" s="219" t="s">
        <v>2</v>
      </c>
      <c r="J635" s="219" t="s">
        <v>105</v>
      </c>
      <c r="K635" s="220" t="str">
        <f>IF(J635&lt;&gt;"",VLOOKUP(J635,PContas!A:B,2,FALSE),"")</f>
        <v>AILTON</v>
      </c>
      <c r="L635" s="221">
        <f t="shared" si="18"/>
        <v>21</v>
      </c>
      <c r="M635" s="221" t="str">
        <f t="shared" ca="1" si="19"/>
        <v>2013/09</v>
      </c>
    </row>
    <row r="636" spans="1:13">
      <c r="A636" s="216">
        <v>41541</v>
      </c>
      <c r="B636" s="217"/>
      <c r="C636" s="217"/>
      <c r="D636" s="216">
        <v>41541</v>
      </c>
      <c r="E636" s="218">
        <v>23.63</v>
      </c>
      <c r="F636" s="216">
        <v>41541</v>
      </c>
      <c r="G636" s="218">
        <v>-23.63</v>
      </c>
      <c r="H636" s="219" t="s">
        <v>52</v>
      </c>
      <c r="I636" s="219" t="s">
        <v>2</v>
      </c>
      <c r="J636" s="219" t="s">
        <v>3</v>
      </c>
      <c r="K636" s="220" t="str">
        <f>IF(J636&lt;&gt;"",VLOOKUP(J636,PContas!A:B,2,FALSE),"")</f>
        <v>ALIMENTAÇÃO</v>
      </c>
      <c r="L636" s="221">
        <f t="shared" si="18"/>
        <v>24</v>
      </c>
      <c r="M636" s="221" t="str">
        <f t="shared" ca="1" si="19"/>
        <v>2013/09</v>
      </c>
    </row>
    <row r="637" spans="1:13">
      <c r="A637" s="216">
        <v>41542</v>
      </c>
      <c r="B637" s="217"/>
      <c r="C637" s="217"/>
      <c r="D637" s="216">
        <v>41542</v>
      </c>
      <c r="E637" s="218">
        <v>15</v>
      </c>
      <c r="F637" s="216">
        <v>41542</v>
      </c>
      <c r="G637" s="218">
        <v>-15</v>
      </c>
      <c r="H637" s="219" t="s">
        <v>52</v>
      </c>
      <c r="I637" s="219" t="s">
        <v>2</v>
      </c>
      <c r="J637" s="219" t="s">
        <v>493</v>
      </c>
      <c r="K637" s="220" t="str">
        <f>IF(J637&lt;&gt;"",VLOOKUP(J637,PContas!A:B,2,FALSE),"")</f>
        <v>TELEFONIA</v>
      </c>
      <c r="L637" s="221">
        <f t="shared" si="18"/>
        <v>25</v>
      </c>
      <c r="M637" s="221" t="str">
        <f t="shared" ca="1" si="19"/>
        <v>2013/09</v>
      </c>
    </row>
    <row r="638" spans="1:13">
      <c r="A638" s="216">
        <v>41542</v>
      </c>
      <c r="B638" s="217"/>
      <c r="C638" s="217"/>
      <c r="D638" s="216">
        <v>41542</v>
      </c>
      <c r="E638" s="218">
        <v>13</v>
      </c>
      <c r="F638" s="216">
        <v>41542</v>
      </c>
      <c r="G638" s="218">
        <v>-13</v>
      </c>
      <c r="H638" s="219" t="s">
        <v>52</v>
      </c>
      <c r="I638" s="219" t="s">
        <v>2</v>
      </c>
      <c r="J638" s="219" t="s">
        <v>498</v>
      </c>
      <c r="K638" s="220" t="str">
        <f>IF(J638&lt;&gt;"",VLOOKUP(J638,PContas!A:B,2,FALSE),"")</f>
        <v>TELEFONIA</v>
      </c>
      <c r="L638" s="221">
        <f t="shared" si="18"/>
        <v>25</v>
      </c>
      <c r="M638" s="221" t="str">
        <f t="shared" ca="1" si="19"/>
        <v>2013/09</v>
      </c>
    </row>
    <row r="639" spans="1:13">
      <c r="A639" s="216">
        <v>41543</v>
      </c>
      <c r="B639" s="217" t="s">
        <v>513</v>
      </c>
      <c r="C639" s="217"/>
      <c r="D639" s="216">
        <v>41543</v>
      </c>
      <c r="E639" s="218">
        <v>150</v>
      </c>
      <c r="F639" s="216">
        <v>41548</v>
      </c>
      <c r="G639" s="218">
        <v>150</v>
      </c>
      <c r="H639" s="219" t="s">
        <v>71</v>
      </c>
      <c r="I639" s="219" t="s">
        <v>2</v>
      </c>
      <c r="J639" s="219" t="s">
        <v>514</v>
      </c>
      <c r="K639" s="220" t="str">
        <f>IF(J639&lt;&gt;"",VLOOKUP(J639,PContas!A:B,2,FALSE),"")</f>
        <v>CLIENTES</v>
      </c>
      <c r="L639" s="221">
        <f t="shared" si="18"/>
        <v>26</v>
      </c>
      <c r="M639" s="221" t="str">
        <f t="shared" ca="1" si="19"/>
        <v>2013/09</v>
      </c>
    </row>
    <row r="640" spans="1:13">
      <c r="A640" s="216">
        <v>41543</v>
      </c>
      <c r="B640" s="217"/>
      <c r="C640" s="217"/>
      <c r="D640" s="216">
        <v>41543</v>
      </c>
      <c r="E640" s="218">
        <v>57.35</v>
      </c>
      <c r="F640" s="216">
        <v>41543</v>
      </c>
      <c r="G640" s="218">
        <v>-57.35</v>
      </c>
      <c r="H640" s="219" t="s">
        <v>52</v>
      </c>
      <c r="I640" s="219" t="s">
        <v>2</v>
      </c>
      <c r="J640" s="219" t="s">
        <v>3</v>
      </c>
      <c r="K640" s="220" t="str">
        <f>IF(J640&lt;&gt;"",VLOOKUP(J640,PContas!A:B,2,FALSE),"")</f>
        <v>ALIMENTAÇÃO</v>
      </c>
      <c r="L640" s="221">
        <f t="shared" si="18"/>
        <v>26</v>
      </c>
      <c r="M640" s="221" t="str">
        <f t="shared" ca="1" si="19"/>
        <v>2013/09</v>
      </c>
    </row>
    <row r="641" spans="1:13">
      <c r="A641" s="216">
        <v>41545</v>
      </c>
      <c r="B641" s="217"/>
      <c r="C641" s="217"/>
      <c r="D641" s="216">
        <v>41545</v>
      </c>
      <c r="E641" s="218">
        <v>25.51</v>
      </c>
      <c r="F641" s="216">
        <v>41545</v>
      </c>
      <c r="G641" s="218">
        <v>-25.51</v>
      </c>
      <c r="H641" s="219" t="s">
        <v>52</v>
      </c>
      <c r="I641" s="219" t="s">
        <v>2</v>
      </c>
      <c r="J641" s="219" t="s">
        <v>488</v>
      </c>
      <c r="K641" s="220" t="str">
        <f>IF(J641&lt;&gt;"",VLOOKUP(J641,PContas!A:B,2,FALSE),"")</f>
        <v>ALIMENTAÇÃO</v>
      </c>
      <c r="L641" s="221">
        <f t="shared" si="18"/>
        <v>28</v>
      </c>
      <c r="M641" s="221" t="str">
        <f t="shared" ca="1" si="19"/>
        <v>2013/09</v>
      </c>
    </row>
    <row r="642" spans="1:13">
      <c r="A642" s="216">
        <v>41545</v>
      </c>
      <c r="B642" s="217"/>
      <c r="C642" s="217"/>
      <c r="D642" s="216">
        <v>41545</v>
      </c>
      <c r="E642" s="218">
        <v>35</v>
      </c>
      <c r="F642" s="216">
        <v>41545</v>
      </c>
      <c r="G642" s="218">
        <v>-35</v>
      </c>
      <c r="H642" s="219" t="s">
        <v>52</v>
      </c>
      <c r="I642" s="219" t="s">
        <v>2</v>
      </c>
      <c r="J642" s="219" t="s">
        <v>488</v>
      </c>
      <c r="K642" s="220" t="str">
        <f>IF(J642&lt;&gt;"",VLOOKUP(J642,PContas!A:B,2,FALSE),"")</f>
        <v>ALIMENTAÇÃO</v>
      </c>
      <c r="L642" s="221">
        <f t="shared" ref="L642:L703" si="20">DAY(D642)</f>
        <v>28</v>
      </c>
      <c r="M642" s="221" t="str">
        <f t="shared" ref="M642:M703" ca="1" si="21">IF(D642&lt;&gt;"",IF(F642="",IF(DAYS360(D642,NOW())&gt;0,"ATRASADO",YEAR(D642)&amp;"/"&amp;CHOOSE(MONTH(D642),"01","02","03","04","05","06","07","08","09","10","11","12")),YEAR(D642)&amp;"/"&amp;CHOOSE(MONTH(D642),"01","02","03","04","05","06","07","08","09","10","11","12")),"")</f>
        <v>2013/09</v>
      </c>
    </row>
    <row r="643" spans="1:13">
      <c r="A643" s="216">
        <v>41545</v>
      </c>
      <c r="B643" s="217"/>
      <c r="C643" s="217"/>
      <c r="D643" s="216">
        <v>41545</v>
      </c>
      <c r="E643" s="218">
        <v>18</v>
      </c>
      <c r="F643" s="216">
        <v>41545</v>
      </c>
      <c r="G643" s="218">
        <v>-18</v>
      </c>
      <c r="H643" s="219" t="s">
        <v>52</v>
      </c>
      <c r="I643" s="219" t="s">
        <v>2</v>
      </c>
      <c r="J643" s="219" t="s">
        <v>488</v>
      </c>
      <c r="K643" s="220" t="str">
        <f>IF(J643&lt;&gt;"",VLOOKUP(J643,PContas!A:B,2,FALSE),"")</f>
        <v>ALIMENTAÇÃO</v>
      </c>
      <c r="L643" s="221">
        <f t="shared" si="20"/>
        <v>28</v>
      </c>
      <c r="M643" s="221" t="str">
        <f t="shared" ca="1" si="21"/>
        <v>2013/09</v>
      </c>
    </row>
    <row r="644" spans="1:13">
      <c r="A644" s="216">
        <v>41545</v>
      </c>
      <c r="B644" s="217"/>
      <c r="C644" s="217"/>
      <c r="D644" s="216">
        <v>41545</v>
      </c>
      <c r="E644" s="218">
        <v>6</v>
      </c>
      <c r="F644" s="216">
        <v>41545</v>
      </c>
      <c r="G644" s="218">
        <v>-6</v>
      </c>
      <c r="H644" s="219" t="s">
        <v>52</v>
      </c>
      <c r="I644" s="219" t="s">
        <v>2</v>
      </c>
      <c r="J644" s="219" t="s">
        <v>9</v>
      </c>
      <c r="K644" s="220" t="str">
        <f>IF(J644&lt;&gt;"",VLOOKUP(J644,PContas!A:B,2,FALSE),"")</f>
        <v>AILTON</v>
      </c>
      <c r="L644" s="221">
        <f t="shared" si="20"/>
        <v>28</v>
      </c>
      <c r="M644" s="221" t="str">
        <f t="shared" ca="1" si="21"/>
        <v>2013/09</v>
      </c>
    </row>
    <row r="645" spans="1:13">
      <c r="A645" s="216">
        <v>41546</v>
      </c>
      <c r="B645" s="217"/>
      <c r="C645" s="217"/>
      <c r="D645" s="216">
        <v>41546</v>
      </c>
      <c r="E645" s="218">
        <v>38.340000000000003</v>
      </c>
      <c r="F645" s="216">
        <v>41546</v>
      </c>
      <c r="G645" s="218">
        <v>-38.340000000000003</v>
      </c>
      <c r="H645" s="219" t="s">
        <v>52</v>
      </c>
      <c r="I645" s="219" t="s">
        <v>2</v>
      </c>
      <c r="J645" s="219" t="s">
        <v>3</v>
      </c>
      <c r="K645" s="220" t="str">
        <f>IF(J645&lt;&gt;"",VLOOKUP(J645,PContas!A:B,2,FALSE),"")</f>
        <v>ALIMENTAÇÃO</v>
      </c>
      <c r="L645" s="221">
        <f t="shared" si="20"/>
        <v>29</v>
      </c>
      <c r="M645" s="221" t="str">
        <f t="shared" ca="1" si="21"/>
        <v>2013/09</v>
      </c>
    </row>
    <row r="646" spans="1:13">
      <c r="A646" s="216">
        <v>41547</v>
      </c>
      <c r="B646" s="217" t="s">
        <v>971</v>
      </c>
      <c r="C646" s="217"/>
      <c r="D646" s="216">
        <v>41547</v>
      </c>
      <c r="E646" s="218">
        <v>20</v>
      </c>
      <c r="F646" s="216">
        <v>41547</v>
      </c>
      <c r="G646" s="218">
        <v>-20</v>
      </c>
      <c r="H646" s="219" t="s">
        <v>52</v>
      </c>
      <c r="I646" s="219" t="s">
        <v>2</v>
      </c>
      <c r="J646" s="219" t="s">
        <v>9</v>
      </c>
      <c r="K646" s="220" t="str">
        <f>IF(J646&lt;&gt;"",VLOOKUP(J646,PContas!A:B,2,FALSE),"")</f>
        <v>AILTON</v>
      </c>
      <c r="L646" s="221">
        <f t="shared" si="20"/>
        <v>30</v>
      </c>
      <c r="M646" s="221" t="str">
        <f t="shared" ca="1" si="21"/>
        <v>2013/09</v>
      </c>
    </row>
    <row r="647" spans="1:13">
      <c r="A647" s="216">
        <v>41547</v>
      </c>
      <c r="B647" s="217" t="s">
        <v>971</v>
      </c>
      <c r="C647" s="217"/>
      <c r="D647" s="216">
        <v>41547</v>
      </c>
      <c r="E647" s="218">
        <v>8.9</v>
      </c>
      <c r="F647" s="216">
        <v>41547</v>
      </c>
      <c r="G647" s="218">
        <v>-8.9</v>
      </c>
      <c r="H647" s="219" t="s">
        <v>52</v>
      </c>
      <c r="I647" s="219" t="s">
        <v>2</v>
      </c>
      <c r="J647" s="219" t="s">
        <v>488</v>
      </c>
      <c r="K647" s="220" t="str">
        <f>IF(J647&lt;&gt;"",VLOOKUP(J647,PContas!A:B,2,FALSE),"")</f>
        <v>ALIMENTAÇÃO</v>
      </c>
      <c r="L647" s="221">
        <f t="shared" si="20"/>
        <v>30</v>
      </c>
      <c r="M647" s="221" t="str">
        <f t="shared" ca="1" si="21"/>
        <v>2013/09</v>
      </c>
    </row>
    <row r="648" spans="1:13">
      <c r="A648" s="216">
        <v>41547</v>
      </c>
      <c r="B648" s="217" t="s">
        <v>971</v>
      </c>
      <c r="C648" s="217"/>
      <c r="D648" s="216">
        <v>41547</v>
      </c>
      <c r="E648" s="218">
        <v>9.33</v>
      </c>
      <c r="F648" s="216">
        <v>41547</v>
      </c>
      <c r="G648" s="218">
        <v>-9.33</v>
      </c>
      <c r="H648" s="219" t="s">
        <v>52</v>
      </c>
      <c r="I648" s="219" t="s">
        <v>2</v>
      </c>
      <c r="J648" s="219" t="s">
        <v>488</v>
      </c>
      <c r="K648" s="220" t="str">
        <f>IF(J648&lt;&gt;"",VLOOKUP(J648,PContas!A:B,2,FALSE),"")</f>
        <v>ALIMENTAÇÃO</v>
      </c>
      <c r="L648" s="221">
        <f t="shared" si="20"/>
        <v>30</v>
      </c>
      <c r="M648" s="221" t="str">
        <f t="shared" ca="1" si="21"/>
        <v>2013/09</v>
      </c>
    </row>
    <row r="649" spans="1:13">
      <c r="A649" s="216">
        <v>41547</v>
      </c>
      <c r="B649" s="217"/>
      <c r="C649" s="217"/>
      <c r="D649" s="216">
        <v>41518</v>
      </c>
      <c r="E649" s="218">
        <v>65</v>
      </c>
      <c r="F649" s="216">
        <v>41518</v>
      </c>
      <c r="G649" s="218">
        <v>-65</v>
      </c>
      <c r="H649" s="219" t="s">
        <v>52</v>
      </c>
      <c r="I649" s="219" t="s">
        <v>2</v>
      </c>
      <c r="J649" s="219" t="s">
        <v>90</v>
      </c>
      <c r="K649" s="220" t="str">
        <f>IF(J649&lt;&gt;"",VLOOKUP(J649,PContas!A:B,2,FALSE),"")</f>
        <v>ALIMENTAÇÃO</v>
      </c>
      <c r="L649" s="221">
        <f t="shared" si="20"/>
        <v>1</v>
      </c>
      <c r="M649" s="221" t="str">
        <f t="shared" ca="1" si="21"/>
        <v>2013/09</v>
      </c>
    </row>
    <row r="650" spans="1:13">
      <c r="A650" s="216">
        <v>41547</v>
      </c>
      <c r="B650" s="217"/>
      <c r="C650" s="217"/>
      <c r="D650" s="216">
        <v>41547</v>
      </c>
      <c r="E650" s="218">
        <v>44</v>
      </c>
      <c r="F650" s="216">
        <v>41547</v>
      </c>
      <c r="G650" s="218">
        <v>-44</v>
      </c>
      <c r="H650" s="219" t="s">
        <v>52</v>
      </c>
      <c r="I650" s="239" t="s">
        <v>1111</v>
      </c>
      <c r="J650" s="219" t="s">
        <v>98</v>
      </c>
      <c r="K650" s="220" t="str">
        <f>IF(J650&lt;&gt;"",VLOOKUP(J650,PContas!A:B,2,FALSE),"")</f>
        <v>TARIFAS</v>
      </c>
      <c r="L650" s="221">
        <f t="shared" si="20"/>
        <v>30</v>
      </c>
      <c r="M650" s="221" t="str">
        <f t="shared" ca="1" si="21"/>
        <v>2013/09</v>
      </c>
    </row>
    <row r="651" spans="1:13">
      <c r="A651" s="216">
        <v>41548</v>
      </c>
      <c r="B651" s="217"/>
      <c r="C651" s="217"/>
      <c r="D651" s="216">
        <v>41548</v>
      </c>
      <c r="E651" s="218">
        <v>38.15</v>
      </c>
      <c r="F651" s="216">
        <v>41548</v>
      </c>
      <c r="G651" s="218">
        <v>-38.15</v>
      </c>
      <c r="H651" s="219" t="s">
        <v>52</v>
      </c>
      <c r="I651" s="219" t="s">
        <v>2</v>
      </c>
      <c r="J651" s="219" t="s">
        <v>3</v>
      </c>
      <c r="K651" s="220" t="str">
        <f>IF(J651&lt;&gt;"",VLOOKUP(J651,PContas!A:B,2,FALSE),"")</f>
        <v>ALIMENTAÇÃO</v>
      </c>
      <c r="L651" s="221">
        <f t="shared" si="20"/>
        <v>1</v>
      </c>
      <c r="M651" s="221" t="str">
        <f t="shared" ca="1" si="21"/>
        <v>2013/10</v>
      </c>
    </row>
    <row r="652" spans="1:13">
      <c r="A652" s="216">
        <v>41548</v>
      </c>
      <c r="B652" s="217" t="s">
        <v>971</v>
      </c>
      <c r="C652" s="217"/>
      <c r="D652" s="216">
        <v>41549</v>
      </c>
      <c r="E652" s="218">
        <v>450</v>
      </c>
      <c r="F652" s="216">
        <v>41551</v>
      </c>
      <c r="G652" s="218">
        <v>450</v>
      </c>
      <c r="H652" s="219" t="s">
        <v>71</v>
      </c>
      <c r="I652" s="219" t="s">
        <v>2</v>
      </c>
      <c r="J652" s="219" t="s">
        <v>56</v>
      </c>
      <c r="K652" s="220" t="str">
        <f>IF(J652&lt;&gt;"",VLOOKUP(J652,PContas!A:B,2,FALSE),"")</f>
        <v>CLIENTES</v>
      </c>
      <c r="L652" s="221">
        <f t="shared" si="20"/>
        <v>2</v>
      </c>
      <c r="M652" s="221" t="str">
        <f t="shared" ca="1" si="21"/>
        <v>2013/10</v>
      </c>
    </row>
    <row r="653" spans="1:13">
      <c r="A653" s="216">
        <v>41549</v>
      </c>
      <c r="B653" s="217"/>
      <c r="C653" s="217"/>
      <c r="D653" s="216">
        <v>41549</v>
      </c>
      <c r="E653" s="218">
        <v>116.75</v>
      </c>
      <c r="F653" s="216">
        <v>41549</v>
      </c>
      <c r="G653" s="218">
        <v>-116.75</v>
      </c>
      <c r="H653" s="219" t="s">
        <v>52</v>
      </c>
      <c r="I653" s="219" t="s">
        <v>2</v>
      </c>
      <c r="J653" s="219" t="s">
        <v>3</v>
      </c>
      <c r="K653" s="220" t="str">
        <f>IF(J653&lt;&gt;"",VLOOKUP(J653,PContas!A:B,2,FALSE),"")</f>
        <v>ALIMENTAÇÃO</v>
      </c>
      <c r="L653" s="221">
        <f t="shared" si="20"/>
        <v>2</v>
      </c>
      <c r="M653" s="221" t="str">
        <f t="shared" ca="1" si="21"/>
        <v>2013/10</v>
      </c>
    </row>
    <row r="654" spans="1:13">
      <c r="A654" s="216">
        <v>41549</v>
      </c>
      <c r="B654" s="217"/>
      <c r="C654" s="217"/>
      <c r="D654" s="216">
        <v>41549</v>
      </c>
      <c r="E654" s="218">
        <v>20</v>
      </c>
      <c r="F654" s="216">
        <v>41549</v>
      </c>
      <c r="G654" s="218">
        <v>-20</v>
      </c>
      <c r="H654" s="219" t="s">
        <v>52</v>
      </c>
      <c r="I654" s="219" t="s">
        <v>2</v>
      </c>
      <c r="J654" s="219" t="s">
        <v>517</v>
      </c>
      <c r="K654" s="220" t="str">
        <f>IF(J654&lt;&gt;"",VLOOKUP(J654,PContas!A:B,2,FALSE),"")</f>
        <v>AILTON</v>
      </c>
      <c r="L654" s="221">
        <f t="shared" si="20"/>
        <v>2</v>
      </c>
      <c r="M654" s="221" t="str">
        <f t="shared" ca="1" si="21"/>
        <v>2013/10</v>
      </c>
    </row>
    <row r="655" spans="1:13">
      <c r="A655" s="216">
        <v>41550</v>
      </c>
      <c r="B655" s="217" t="s">
        <v>497</v>
      </c>
      <c r="C655" s="217"/>
      <c r="D655" s="216">
        <v>41550</v>
      </c>
      <c r="E655" s="218">
        <v>6</v>
      </c>
      <c r="F655" s="216">
        <v>41550</v>
      </c>
      <c r="G655" s="218">
        <v>-6</v>
      </c>
      <c r="H655" s="219" t="s">
        <v>52</v>
      </c>
      <c r="I655" s="219" t="s">
        <v>2</v>
      </c>
      <c r="J655" s="219" t="s">
        <v>9</v>
      </c>
      <c r="K655" s="220" t="str">
        <f>IF(J655&lt;&gt;"",VLOOKUP(J655,PContas!A:B,2,FALSE),"")</f>
        <v>AILTON</v>
      </c>
      <c r="L655" s="221">
        <f t="shared" si="20"/>
        <v>3</v>
      </c>
      <c r="M655" s="221" t="str">
        <f t="shared" ca="1" si="21"/>
        <v>2013/10</v>
      </c>
    </row>
    <row r="656" spans="1:13">
      <c r="A656" s="216">
        <v>41550</v>
      </c>
      <c r="B656" s="217"/>
      <c r="C656" s="217"/>
      <c r="D656" s="216">
        <v>41550</v>
      </c>
      <c r="E656" s="218">
        <v>27.77</v>
      </c>
      <c r="F656" s="216">
        <v>41550</v>
      </c>
      <c r="G656" s="218">
        <v>-27.77</v>
      </c>
      <c r="H656" s="219" t="s">
        <v>52</v>
      </c>
      <c r="I656" s="219" t="s">
        <v>2</v>
      </c>
      <c r="J656" s="219" t="s">
        <v>3</v>
      </c>
      <c r="K656" s="220" t="str">
        <f>IF(J656&lt;&gt;"",VLOOKUP(J656,PContas!A:B,2,FALSE),"")</f>
        <v>ALIMENTAÇÃO</v>
      </c>
      <c r="L656" s="221">
        <f t="shared" si="20"/>
        <v>3</v>
      </c>
      <c r="M656" s="221" t="str">
        <f t="shared" ca="1" si="21"/>
        <v>2013/10</v>
      </c>
    </row>
    <row r="657" spans="1:13">
      <c r="A657" s="216">
        <v>41552</v>
      </c>
      <c r="B657" s="217"/>
      <c r="C657" s="217"/>
      <c r="D657" s="216">
        <v>41552</v>
      </c>
      <c r="E657" s="218">
        <v>5.34</v>
      </c>
      <c r="F657" s="216">
        <v>41552</v>
      </c>
      <c r="G657" s="218">
        <v>-5.34</v>
      </c>
      <c r="H657" s="219" t="s">
        <v>52</v>
      </c>
      <c r="I657" s="219" t="s">
        <v>2</v>
      </c>
      <c r="J657" s="219" t="s">
        <v>488</v>
      </c>
      <c r="K657" s="220" t="str">
        <f>IF(J657&lt;&gt;"",VLOOKUP(J657,PContas!A:B,2,FALSE),"")</f>
        <v>ALIMENTAÇÃO</v>
      </c>
      <c r="L657" s="221">
        <f t="shared" si="20"/>
        <v>5</v>
      </c>
      <c r="M657" s="221" t="str">
        <f t="shared" ca="1" si="21"/>
        <v>2013/10</v>
      </c>
    </row>
    <row r="658" spans="1:13">
      <c r="A658" s="216">
        <v>41552</v>
      </c>
      <c r="B658" s="217"/>
      <c r="C658" s="217"/>
      <c r="D658" s="216">
        <v>41552</v>
      </c>
      <c r="E658" s="218">
        <v>7.65</v>
      </c>
      <c r="F658" s="216">
        <v>41552</v>
      </c>
      <c r="G658" s="218">
        <v>-7.65</v>
      </c>
      <c r="H658" s="219" t="s">
        <v>52</v>
      </c>
      <c r="I658" s="219" t="s">
        <v>2</v>
      </c>
      <c r="J658" s="219" t="s">
        <v>9</v>
      </c>
      <c r="K658" s="220" t="str">
        <f>IF(J658&lt;&gt;"",VLOOKUP(J658,PContas!A:B,2,FALSE),"")</f>
        <v>AILTON</v>
      </c>
      <c r="L658" s="221">
        <f t="shared" si="20"/>
        <v>5</v>
      </c>
      <c r="M658" s="221" t="str">
        <f t="shared" ca="1" si="21"/>
        <v>2013/10</v>
      </c>
    </row>
    <row r="659" spans="1:13">
      <c r="A659" s="216">
        <v>41552</v>
      </c>
      <c r="B659" s="217"/>
      <c r="C659" s="217"/>
      <c r="D659" s="216">
        <v>41552</v>
      </c>
      <c r="E659" s="218">
        <v>9.24</v>
      </c>
      <c r="F659" s="216">
        <v>41552</v>
      </c>
      <c r="G659" s="218">
        <v>-9.24</v>
      </c>
      <c r="H659" s="219" t="s">
        <v>52</v>
      </c>
      <c r="I659" s="219" t="s">
        <v>2</v>
      </c>
      <c r="J659" s="219" t="s">
        <v>3</v>
      </c>
      <c r="K659" s="220" t="str">
        <f>IF(J659&lt;&gt;"",VLOOKUP(J659,PContas!A:B,2,FALSE),"")</f>
        <v>ALIMENTAÇÃO</v>
      </c>
      <c r="L659" s="221">
        <f t="shared" si="20"/>
        <v>5</v>
      </c>
      <c r="M659" s="221" t="str">
        <f t="shared" ca="1" si="21"/>
        <v>2013/10</v>
      </c>
    </row>
    <row r="660" spans="1:13">
      <c r="A660" s="216">
        <v>41553</v>
      </c>
      <c r="B660" s="217"/>
      <c r="C660" s="217"/>
      <c r="D660" s="216">
        <v>41553</v>
      </c>
      <c r="E660" s="218">
        <v>51.51</v>
      </c>
      <c r="F660" s="216">
        <v>41553</v>
      </c>
      <c r="G660" s="218">
        <v>-51.51</v>
      </c>
      <c r="H660" s="219" t="s">
        <v>52</v>
      </c>
      <c r="I660" s="219" t="s">
        <v>2</v>
      </c>
      <c r="J660" s="219" t="s">
        <v>3</v>
      </c>
      <c r="K660" s="220" t="str">
        <f>IF(J660&lt;&gt;"",VLOOKUP(J660,PContas!A:B,2,FALSE),"")</f>
        <v>ALIMENTAÇÃO</v>
      </c>
      <c r="L660" s="221">
        <f t="shared" si="20"/>
        <v>6</v>
      </c>
      <c r="M660" s="221" t="str">
        <f t="shared" ca="1" si="21"/>
        <v>2013/10</v>
      </c>
    </row>
    <row r="661" spans="1:13">
      <c r="A661" s="216">
        <v>41553</v>
      </c>
      <c r="B661" s="217"/>
      <c r="C661" s="217"/>
      <c r="D661" s="216">
        <v>41553</v>
      </c>
      <c r="E661" s="218">
        <v>30</v>
      </c>
      <c r="F661" s="216">
        <v>41553</v>
      </c>
      <c r="G661" s="218">
        <v>-30</v>
      </c>
      <c r="H661" s="219" t="s">
        <v>52</v>
      </c>
      <c r="I661" s="219" t="s">
        <v>2</v>
      </c>
      <c r="J661" s="219" t="s">
        <v>9</v>
      </c>
      <c r="K661" s="220" t="str">
        <f>IF(J661&lt;&gt;"",VLOOKUP(J661,PContas!A:B,2,FALSE),"")</f>
        <v>AILTON</v>
      </c>
      <c r="L661" s="221">
        <f t="shared" si="20"/>
        <v>6</v>
      </c>
      <c r="M661" s="221" t="str">
        <f t="shared" ca="1" si="21"/>
        <v>2013/10</v>
      </c>
    </row>
    <row r="662" spans="1:13">
      <c r="A662" s="216">
        <v>41553</v>
      </c>
      <c r="B662" s="217"/>
      <c r="C662" s="217"/>
      <c r="D662" s="216">
        <v>41553</v>
      </c>
      <c r="E662" s="218">
        <v>26.28</v>
      </c>
      <c r="F662" s="216">
        <v>41553</v>
      </c>
      <c r="G662" s="218">
        <v>-26.28</v>
      </c>
      <c r="H662" s="219" t="s">
        <v>52</v>
      </c>
      <c r="I662" s="219" t="s">
        <v>2</v>
      </c>
      <c r="J662" s="219" t="s">
        <v>3</v>
      </c>
      <c r="K662" s="220" t="str">
        <f>IF(J662&lt;&gt;"",VLOOKUP(J662,PContas!A:B,2,FALSE),"")</f>
        <v>ALIMENTAÇÃO</v>
      </c>
      <c r="L662" s="221">
        <f t="shared" si="20"/>
        <v>6</v>
      </c>
      <c r="M662" s="221" t="str">
        <f t="shared" ca="1" si="21"/>
        <v>2013/10</v>
      </c>
    </row>
    <row r="663" spans="1:13">
      <c r="A663" s="216">
        <v>41553</v>
      </c>
      <c r="B663" s="217"/>
      <c r="C663" s="217"/>
      <c r="D663" s="216">
        <v>41553</v>
      </c>
      <c r="E663" s="218">
        <v>20.39</v>
      </c>
      <c r="F663" s="216">
        <v>41553</v>
      </c>
      <c r="G663" s="218">
        <v>-20.39</v>
      </c>
      <c r="H663" s="219" t="s">
        <v>52</v>
      </c>
      <c r="I663" s="219" t="s">
        <v>2</v>
      </c>
      <c r="J663" s="219" t="s">
        <v>3</v>
      </c>
      <c r="K663" s="220" t="str">
        <f>IF(J663&lt;&gt;"",VLOOKUP(J663,PContas!A:B,2,FALSE),"")</f>
        <v>ALIMENTAÇÃO</v>
      </c>
      <c r="L663" s="221">
        <f t="shared" si="20"/>
        <v>6</v>
      </c>
      <c r="M663" s="221" t="str">
        <f t="shared" ca="1" si="21"/>
        <v>2013/10</v>
      </c>
    </row>
    <row r="664" spans="1:13">
      <c r="A664" s="216">
        <v>41553</v>
      </c>
      <c r="B664" s="217"/>
      <c r="C664" s="217"/>
      <c r="D664" s="216">
        <v>41553</v>
      </c>
      <c r="E664" s="218">
        <v>14</v>
      </c>
      <c r="F664" s="216">
        <v>41553</v>
      </c>
      <c r="G664" s="218">
        <v>-14</v>
      </c>
      <c r="H664" s="219" t="s">
        <v>52</v>
      </c>
      <c r="I664" s="219" t="s">
        <v>2</v>
      </c>
      <c r="J664" s="219" t="s">
        <v>3</v>
      </c>
      <c r="K664" s="220" t="str">
        <f>IF(J664&lt;&gt;"",VLOOKUP(J664,PContas!A:B,2,FALSE),"")</f>
        <v>ALIMENTAÇÃO</v>
      </c>
      <c r="L664" s="221">
        <f t="shared" si="20"/>
        <v>6</v>
      </c>
      <c r="M664" s="221" t="str">
        <f t="shared" ca="1" si="21"/>
        <v>2013/10</v>
      </c>
    </row>
    <row r="665" spans="1:13">
      <c r="A665" s="216">
        <v>41553</v>
      </c>
      <c r="B665" s="217"/>
      <c r="C665" s="217" t="s">
        <v>653</v>
      </c>
      <c r="D665" s="216">
        <v>41553</v>
      </c>
      <c r="E665" s="218">
        <v>23</v>
      </c>
      <c r="F665" s="216">
        <v>41553</v>
      </c>
      <c r="G665" s="218">
        <v>-23</v>
      </c>
      <c r="H665" s="219" t="s">
        <v>52</v>
      </c>
      <c r="I665" s="219" t="s">
        <v>2</v>
      </c>
      <c r="J665" s="219" t="s">
        <v>9</v>
      </c>
      <c r="K665" s="220" t="str">
        <f>IF(J665&lt;&gt;"",VLOOKUP(J665,PContas!A:B,2,FALSE),"")</f>
        <v>AILTON</v>
      </c>
      <c r="L665" s="221">
        <f t="shared" si="20"/>
        <v>6</v>
      </c>
      <c r="M665" s="221" t="str">
        <f t="shared" ca="1" si="21"/>
        <v>2013/10</v>
      </c>
    </row>
    <row r="666" spans="1:13">
      <c r="A666" s="216">
        <v>41553</v>
      </c>
      <c r="B666" s="217"/>
      <c r="C666" s="217"/>
      <c r="D666" s="216">
        <v>41553</v>
      </c>
      <c r="E666" s="218">
        <v>28.59</v>
      </c>
      <c r="F666" s="216">
        <v>41553</v>
      </c>
      <c r="G666" s="218">
        <v>-28.59</v>
      </c>
      <c r="H666" s="219" t="s">
        <v>52</v>
      </c>
      <c r="I666" s="219" t="s">
        <v>2</v>
      </c>
      <c r="J666" s="219" t="s">
        <v>3</v>
      </c>
      <c r="K666" s="220" t="str">
        <f>IF(J666&lt;&gt;"",VLOOKUP(J666,PContas!A:B,2,FALSE),"")</f>
        <v>ALIMENTAÇÃO</v>
      </c>
      <c r="L666" s="221">
        <f t="shared" si="20"/>
        <v>6</v>
      </c>
      <c r="M666" s="221" t="str">
        <f t="shared" ca="1" si="21"/>
        <v>2013/10</v>
      </c>
    </row>
    <row r="667" spans="1:13">
      <c r="A667" s="216">
        <v>41555</v>
      </c>
      <c r="B667" s="217"/>
      <c r="C667" s="217"/>
      <c r="D667" s="216">
        <v>41555</v>
      </c>
      <c r="E667" s="218">
        <v>35.880000000000003</v>
      </c>
      <c r="F667" s="216">
        <v>41555</v>
      </c>
      <c r="G667" s="218">
        <v>-35.880000000000003</v>
      </c>
      <c r="H667" s="219" t="s">
        <v>52</v>
      </c>
      <c r="I667" s="219" t="s">
        <v>2</v>
      </c>
      <c r="J667" s="219" t="s">
        <v>3</v>
      </c>
      <c r="K667" s="220" t="str">
        <f>IF(J667&lt;&gt;"",VLOOKUP(J667,PContas!A:B,2,FALSE),"")</f>
        <v>ALIMENTAÇÃO</v>
      </c>
      <c r="L667" s="221">
        <f t="shared" si="20"/>
        <v>8</v>
      </c>
      <c r="M667" s="221" t="str">
        <f t="shared" ca="1" si="21"/>
        <v>2013/10</v>
      </c>
    </row>
    <row r="668" spans="1:13">
      <c r="A668" s="216">
        <v>41556</v>
      </c>
      <c r="B668" s="217"/>
      <c r="C668" s="217"/>
      <c r="D668" s="216">
        <v>41556</v>
      </c>
      <c r="E668" s="218">
        <v>41</v>
      </c>
      <c r="F668" s="216">
        <v>41556</v>
      </c>
      <c r="G668" s="218">
        <v>-41</v>
      </c>
      <c r="H668" s="219" t="s">
        <v>52</v>
      </c>
      <c r="I668" s="219" t="s">
        <v>2</v>
      </c>
      <c r="J668" s="219" t="s">
        <v>488</v>
      </c>
      <c r="K668" s="220" t="str">
        <f>IF(J668&lt;&gt;"",VLOOKUP(J668,PContas!A:B,2,FALSE),"")</f>
        <v>ALIMENTAÇÃO</v>
      </c>
      <c r="L668" s="221">
        <f t="shared" si="20"/>
        <v>9</v>
      </c>
      <c r="M668" s="221" t="str">
        <f t="shared" ca="1" si="21"/>
        <v>2013/10</v>
      </c>
    </row>
    <row r="669" spans="1:13">
      <c r="A669" s="216">
        <v>41556</v>
      </c>
      <c r="B669" s="217" t="s">
        <v>649</v>
      </c>
      <c r="C669" s="217"/>
      <c r="D669" s="216">
        <v>41556</v>
      </c>
      <c r="E669" s="218">
        <v>100</v>
      </c>
      <c r="F669" s="216">
        <v>41556</v>
      </c>
      <c r="G669" s="218">
        <v>100</v>
      </c>
      <c r="H669" s="219" t="s">
        <v>71</v>
      </c>
      <c r="I669" s="219" t="s">
        <v>2</v>
      </c>
      <c r="J669" s="219" t="s">
        <v>61</v>
      </c>
      <c r="K669" s="220" t="str">
        <f>IF(J669&lt;&gt;"",VLOOKUP(J669,PContas!A:B,2,FALSE),"")</f>
        <v>CLIENTES</v>
      </c>
      <c r="L669" s="221">
        <f t="shared" si="20"/>
        <v>9</v>
      </c>
      <c r="M669" s="221" t="str">
        <f t="shared" ca="1" si="21"/>
        <v>2013/10</v>
      </c>
    </row>
    <row r="670" spans="1:13">
      <c r="A670" s="216">
        <v>41556</v>
      </c>
      <c r="B670" s="217" t="s">
        <v>650</v>
      </c>
      <c r="C670" s="217"/>
      <c r="D670" s="216">
        <v>41562</v>
      </c>
      <c r="E670" s="218">
        <v>350</v>
      </c>
      <c r="F670" s="216">
        <v>41562</v>
      </c>
      <c r="G670" s="218">
        <v>350</v>
      </c>
      <c r="H670" s="219" t="s">
        <v>71</v>
      </c>
      <c r="I670" s="219" t="s">
        <v>2</v>
      </c>
      <c r="J670" s="219" t="s">
        <v>651</v>
      </c>
      <c r="K670" s="220" t="str">
        <f>IF(J670&lt;&gt;"",VLOOKUP(J670,PContas!A:B,2,FALSE),"")</f>
        <v>CLIENTES</v>
      </c>
      <c r="L670" s="221">
        <f t="shared" si="20"/>
        <v>15</v>
      </c>
      <c r="M670" s="221" t="str">
        <f t="shared" ca="1" si="21"/>
        <v>2013/10</v>
      </c>
    </row>
    <row r="671" spans="1:13">
      <c r="A671" s="216">
        <v>41556</v>
      </c>
      <c r="B671" s="217" t="s">
        <v>650</v>
      </c>
      <c r="C671" s="217" t="s">
        <v>1006</v>
      </c>
      <c r="D671" s="216">
        <v>41562</v>
      </c>
      <c r="E671" s="218">
        <v>7.68</v>
      </c>
      <c r="F671" s="216">
        <v>41562</v>
      </c>
      <c r="G671" s="218">
        <v>7.68</v>
      </c>
      <c r="H671" s="219" t="s">
        <v>71</v>
      </c>
      <c r="I671" s="219" t="s">
        <v>2</v>
      </c>
      <c r="J671" s="219" t="s">
        <v>651</v>
      </c>
      <c r="K671" s="220" t="str">
        <f>IF(J671&lt;&gt;"",VLOOKUP(J671,PContas!A:B,2,FALSE),"")</f>
        <v>CLIENTES</v>
      </c>
      <c r="L671" s="221">
        <f t="shared" si="20"/>
        <v>15</v>
      </c>
      <c r="M671" s="221" t="str">
        <f t="shared" ca="1" si="21"/>
        <v>2013/10</v>
      </c>
    </row>
    <row r="672" spans="1:13">
      <c r="A672" s="216">
        <v>41557</v>
      </c>
      <c r="B672" s="217"/>
      <c r="C672" s="217"/>
      <c r="D672" s="216">
        <v>41557</v>
      </c>
      <c r="E672" s="218">
        <v>31.7</v>
      </c>
      <c r="F672" s="216">
        <v>41557</v>
      </c>
      <c r="G672" s="218">
        <v>-31.7</v>
      </c>
      <c r="H672" s="219" t="s">
        <v>52</v>
      </c>
      <c r="I672" s="219" t="s">
        <v>2</v>
      </c>
      <c r="J672" s="219" t="s">
        <v>104</v>
      </c>
      <c r="K672" s="220" t="str">
        <f>IF(J672&lt;&gt;"",VLOOKUP(J672,PContas!A:B,2,FALSE),"")</f>
        <v>AILTON</v>
      </c>
      <c r="L672" s="221">
        <f t="shared" si="20"/>
        <v>10</v>
      </c>
      <c r="M672" s="221" t="str">
        <f t="shared" ca="1" si="21"/>
        <v>2013/10</v>
      </c>
    </row>
    <row r="673" spans="1:13">
      <c r="A673" s="216">
        <v>41557</v>
      </c>
      <c r="B673" s="217"/>
      <c r="C673" s="217"/>
      <c r="D673" s="216">
        <v>41557</v>
      </c>
      <c r="E673" s="218">
        <v>23.96</v>
      </c>
      <c r="F673" s="216">
        <v>41557</v>
      </c>
      <c r="G673" s="218">
        <v>-23.96</v>
      </c>
      <c r="H673" s="219" t="s">
        <v>52</v>
      </c>
      <c r="I673" s="219" t="s">
        <v>2</v>
      </c>
      <c r="J673" s="219" t="s">
        <v>3</v>
      </c>
      <c r="K673" s="220" t="str">
        <f>IF(J673&lt;&gt;"",VLOOKUP(J673,PContas!A:B,2,FALSE),"")</f>
        <v>ALIMENTAÇÃO</v>
      </c>
      <c r="L673" s="221">
        <f t="shared" si="20"/>
        <v>10</v>
      </c>
      <c r="M673" s="221" t="str">
        <f t="shared" ca="1" si="21"/>
        <v>2013/10</v>
      </c>
    </row>
    <row r="674" spans="1:13">
      <c r="A674" s="216">
        <v>41557</v>
      </c>
      <c r="B674" s="217"/>
      <c r="C674" s="217"/>
      <c r="D674" s="216">
        <v>41557</v>
      </c>
      <c r="E674" s="218">
        <v>39.450000000000003</v>
      </c>
      <c r="F674" s="216">
        <v>41557</v>
      </c>
      <c r="G674" s="218">
        <v>-39.450000000000003</v>
      </c>
      <c r="H674" s="219" t="s">
        <v>52</v>
      </c>
      <c r="I674" s="219" t="s">
        <v>2</v>
      </c>
      <c r="J674" s="219" t="s">
        <v>3</v>
      </c>
      <c r="K674" s="220" t="str">
        <f>IF(J674&lt;&gt;"",VLOOKUP(J674,PContas!A:B,2,FALSE),"")</f>
        <v>ALIMENTAÇÃO</v>
      </c>
      <c r="L674" s="221">
        <f t="shared" si="20"/>
        <v>10</v>
      </c>
      <c r="M674" s="221" t="str">
        <f t="shared" ca="1" si="21"/>
        <v>2013/10</v>
      </c>
    </row>
    <row r="675" spans="1:13">
      <c r="A675" s="216">
        <v>41557</v>
      </c>
      <c r="B675" s="217"/>
      <c r="C675" s="217"/>
      <c r="D675" s="216">
        <v>41557</v>
      </c>
      <c r="E675" s="218">
        <v>7.44</v>
      </c>
      <c r="F675" s="216">
        <v>41557</v>
      </c>
      <c r="G675" s="218">
        <v>-7.44</v>
      </c>
      <c r="H675" s="219" t="s">
        <v>52</v>
      </c>
      <c r="I675" s="239" t="s">
        <v>1111</v>
      </c>
      <c r="J675" s="219" t="s">
        <v>97</v>
      </c>
      <c r="K675" s="220" t="str">
        <f>IF(J675&lt;&gt;"",VLOOKUP(J675,PContas!A:B,2,FALSE),"")</f>
        <v>TARIFAS</v>
      </c>
      <c r="L675" s="221">
        <f t="shared" si="20"/>
        <v>10</v>
      </c>
      <c r="M675" s="221" t="str">
        <f t="shared" ca="1" si="21"/>
        <v>2013/10</v>
      </c>
    </row>
    <row r="676" spans="1:13">
      <c r="A676" s="216">
        <v>41559</v>
      </c>
      <c r="B676" s="217"/>
      <c r="C676" s="217"/>
      <c r="D676" s="216">
        <v>41559</v>
      </c>
      <c r="E676" s="218">
        <v>70.900000000000006</v>
      </c>
      <c r="F676" s="216">
        <v>41559</v>
      </c>
      <c r="G676" s="218">
        <v>-70.900000000000006</v>
      </c>
      <c r="H676" s="219" t="s">
        <v>52</v>
      </c>
      <c r="I676" s="219" t="s">
        <v>2</v>
      </c>
      <c r="J676" s="219" t="s">
        <v>3</v>
      </c>
      <c r="K676" s="220" t="str">
        <f>IF(J676&lt;&gt;"",VLOOKUP(J676,PContas!A:B,2,FALSE),"")</f>
        <v>ALIMENTAÇÃO</v>
      </c>
      <c r="L676" s="221">
        <f t="shared" si="20"/>
        <v>12</v>
      </c>
      <c r="M676" s="221" t="str">
        <f t="shared" ca="1" si="21"/>
        <v>2013/10</v>
      </c>
    </row>
    <row r="677" spans="1:13">
      <c r="A677" s="216">
        <v>41559</v>
      </c>
      <c r="B677" s="217"/>
      <c r="C677" s="217" t="s">
        <v>471</v>
      </c>
      <c r="D677" s="216">
        <v>41559</v>
      </c>
      <c r="E677" s="218">
        <v>15</v>
      </c>
      <c r="F677" s="216">
        <v>41559</v>
      </c>
      <c r="G677" s="218">
        <v>-15</v>
      </c>
      <c r="H677" s="219" t="s">
        <v>52</v>
      </c>
      <c r="I677" s="219" t="s">
        <v>2</v>
      </c>
      <c r="J677" s="219" t="s">
        <v>105</v>
      </c>
      <c r="K677" s="220" t="str">
        <f>IF(J677&lt;&gt;"",VLOOKUP(J677,PContas!A:B,2,FALSE),"")</f>
        <v>AILTON</v>
      </c>
      <c r="L677" s="221">
        <f t="shared" si="20"/>
        <v>12</v>
      </c>
      <c r="M677" s="221" t="str">
        <f t="shared" ca="1" si="21"/>
        <v>2013/10</v>
      </c>
    </row>
    <row r="678" spans="1:13">
      <c r="A678" s="216">
        <v>41559</v>
      </c>
      <c r="B678" s="217"/>
      <c r="C678" s="217"/>
      <c r="D678" s="216">
        <v>41559</v>
      </c>
      <c r="E678" s="218">
        <v>10.9</v>
      </c>
      <c r="F678" s="216">
        <v>41559</v>
      </c>
      <c r="G678" s="218">
        <v>-10.9</v>
      </c>
      <c r="H678" s="219" t="s">
        <v>52</v>
      </c>
      <c r="I678" s="219" t="s">
        <v>2</v>
      </c>
      <c r="J678" s="219" t="s">
        <v>488</v>
      </c>
      <c r="K678" s="220" t="str">
        <f>IF(J678&lt;&gt;"",VLOOKUP(J678,PContas!A:B,2,FALSE),"")</f>
        <v>ALIMENTAÇÃO</v>
      </c>
      <c r="L678" s="221">
        <f t="shared" si="20"/>
        <v>12</v>
      </c>
      <c r="M678" s="221" t="str">
        <f t="shared" ca="1" si="21"/>
        <v>2013/10</v>
      </c>
    </row>
    <row r="679" spans="1:13">
      <c r="A679" s="216">
        <v>41559</v>
      </c>
      <c r="B679" s="217"/>
      <c r="C679" s="217"/>
      <c r="D679" s="216">
        <v>41559</v>
      </c>
      <c r="E679" s="218">
        <v>34</v>
      </c>
      <c r="F679" s="216">
        <v>41559</v>
      </c>
      <c r="G679" s="218">
        <v>-34</v>
      </c>
      <c r="H679" s="219" t="s">
        <v>52</v>
      </c>
      <c r="I679" s="219" t="s">
        <v>2</v>
      </c>
      <c r="J679" s="219" t="s">
        <v>488</v>
      </c>
      <c r="K679" s="220" t="str">
        <f>IF(J679&lt;&gt;"",VLOOKUP(J679,PContas!A:B,2,FALSE),"")</f>
        <v>ALIMENTAÇÃO</v>
      </c>
      <c r="L679" s="221">
        <f t="shared" si="20"/>
        <v>12</v>
      </c>
      <c r="M679" s="221" t="str">
        <f t="shared" ca="1" si="21"/>
        <v>2013/10</v>
      </c>
    </row>
    <row r="680" spans="1:13">
      <c r="A680" s="216">
        <v>41559</v>
      </c>
      <c r="B680" s="217"/>
      <c r="C680" s="217" t="s">
        <v>652</v>
      </c>
      <c r="D680" s="216">
        <v>41559</v>
      </c>
      <c r="E680" s="218">
        <v>27</v>
      </c>
      <c r="F680" s="216">
        <v>41559</v>
      </c>
      <c r="G680" s="218">
        <v>-27</v>
      </c>
      <c r="H680" s="219" t="s">
        <v>52</v>
      </c>
      <c r="I680" s="219" t="s">
        <v>2</v>
      </c>
      <c r="J680" s="219" t="s">
        <v>9</v>
      </c>
      <c r="K680" s="220" t="str">
        <f>IF(J680&lt;&gt;"",VLOOKUP(J680,PContas!A:B,2,FALSE),"")</f>
        <v>AILTON</v>
      </c>
      <c r="L680" s="221">
        <f t="shared" si="20"/>
        <v>12</v>
      </c>
      <c r="M680" s="221" t="str">
        <f t="shared" ca="1" si="21"/>
        <v>2013/10</v>
      </c>
    </row>
    <row r="681" spans="1:13">
      <c r="A681" s="216">
        <v>41560</v>
      </c>
      <c r="B681" s="217"/>
      <c r="C681" s="217"/>
      <c r="D681" s="216">
        <v>41560</v>
      </c>
      <c r="E681" s="218">
        <v>11.3</v>
      </c>
      <c r="F681" s="216">
        <v>41560</v>
      </c>
      <c r="G681" s="218">
        <v>-11.3</v>
      </c>
      <c r="H681" s="219" t="s">
        <v>52</v>
      </c>
      <c r="I681" s="219" t="s">
        <v>2</v>
      </c>
      <c r="J681" s="219" t="s">
        <v>488</v>
      </c>
      <c r="K681" s="220" t="str">
        <f>IF(J681&lt;&gt;"",VLOOKUP(J681,PContas!A:B,2,FALSE),"")</f>
        <v>ALIMENTAÇÃO</v>
      </c>
      <c r="L681" s="221">
        <f t="shared" si="20"/>
        <v>13</v>
      </c>
      <c r="M681" s="221" t="str">
        <f t="shared" ca="1" si="21"/>
        <v>2013/10</v>
      </c>
    </row>
    <row r="682" spans="1:13">
      <c r="A682" s="216">
        <v>41560</v>
      </c>
      <c r="B682" s="217"/>
      <c r="C682" s="217"/>
      <c r="D682" s="216">
        <v>41560</v>
      </c>
      <c r="E682" s="218">
        <v>32.1</v>
      </c>
      <c r="F682" s="216">
        <v>41560</v>
      </c>
      <c r="G682" s="218">
        <v>-32.1</v>
      </c>
      <c r="H682" s="219" t="s">
        <v>52</v>
      </c>
      <c r="I682" s="219" t="s">
        <v>2</v>
      </c>
      <c r="J682" s="219" t="s">
        <v>3</v>
      </c>
      <c r="K682" s="220" t="str">
        <f>IF(J682&lt;&gt;"",VLOOKUP(J682,PContas!A:B,2,FALSE),"")</f>
        <v>ALIMENTAÇÃO</v>
      </c>
      <c r="L682" s="221">
        <f t="shared" si="20"/>
        <v>13</v>
      </c>
      <c r="M682" s="221" t="str">
        <f t="shared" ca="1" si="21"/>
        <v>2013/10</v>
      </c>
    </row>
    <row r="683" spans="1:13">
      <c r="A683" s="216">
        <v>41561</v>
      </c>
      <c r="B683" s="217" t="s">
        <v>969</v>
      </c>
      <c r="C683" s="217" t="s">
        <v>970</v>
      </c>
      <c r="D683" s="216">
        <v>41561</v>
      </c>
      <c r="E683" s="218">
        <v>200</v>
      </c>
      <c r="F683" s="216">
        <v>41610</v>
      </c>
      <c r="G683" s="218">
        <v>200</v>
      </c>
      <c r="H683" s="219" t="s">
        <v>71</v>
      </c>
      <c r="I683" s="219" t="s">
        <v>2</v>
      </c>
      <c r="J683" s="219" t="s">
        <v>59</v>
      </c>
      <c r="K683" s="220" t="str">
        <f>IF(J683&lt;&gt;"",VLOOKUP(J683,PContas!A:B,2,FALSE),"")</f>
        <v>CLIENTES</v>
      </c>
      <c r="L683" s="221">
        <f t="shared" si="20"/>
        <v>14</v>
      </c>
      <c r="M683" s="221" t="str">
        <f t="shared" ca="1" si="21"/>
        <v>2013/10</v>
      </c>
    </row>
    <row r="684" spans="1:13">
      <c r="A684" s="216">
        <v>41562</v>
      </c>
      <c r="B684" s="217"/>
      <c r="C684" s="217"/>
      <c r="D684" s="216">
        <v>41562</v>
      </c>
      <c r="E684" s="218">
        <v>31.9</v>
      </c>
      <c r="F684" s="216">
        <v>41562</v>
      </c>
      <c r="G684" s="218">
        <v>-31.9</v>
      </c>
      <c r="H684" s="219" t="s">
        <v>52</v>
      </c>
      <c r="I684" s="219" t="s">
        <v>2</v>
      </c>
      <c r="J684" s="219" t="s">
        <v>488</v>
      </c>
      <c r="K684" s="220" t="str">
        <f>IF(J684&lt;&gt;"",VLOOKUP(J684,PContas!A:B,2,FALSE),"")</f>
        <v>ALIMENTAÇÃO</v>
      </c>
      <c r="L684" s="221">
        <f t="shared" si="20"/>
        <v>15</v>
      </c>
      <c r="M684" s="221" t="str">
        <f t="shared" ca="1" si="21"/>
        <v>2013/10</v>
      </c>
    </row>
    <row r="685" spans="1:13">
      <c r="A685" s="216">
        <v>41562</v>
      </c>
      <c r="B685" s="217"/>
      <c r="C685" s="217"/>
      <c r="D685" s="216">
        <v>41562</v>
      </c>
      <c r="E685" s="218">
        <v>28.7</v>
      </c>
      <c r="F685" s="216">
        <v>41562</v>
      </c>
      <c r="G685" s="218">
        <v>-28.7</v>
      </c>
      <c r="H685" s="219" t="s">
        <v>52</v>
      </c>
      <c r="I685" s="219" t="s">
        <v>2</v>
      </c>
      <c r="J685" s="219" t="s">
        <v>488</v>
      </c>
      <c r="K685" s="220" t="str">
        <f>IF(J685&lt;&gt;"",VLOOKUP(J685,PContas!A:B,2,FALSE),"")</f>
        <v>ALIMENTAÇÃO</v>
      </c>
      <c r="L685" s="221">
        <f t="shared" si="20"/>
        <v>15</v>
      </c>
      <c r="M685" s="221" t="str">
        <f t="shared" ca="1" si="21"/>
        <v>2013/10</v>
      </c>
    </row>
    <row r="686" spans="1:13">
      <c r="A686" s="216">
        <v>41562</v>
      </c>
      <c r="B686" s="217"/>
      <c r="C686" s="217"/>
      <c r="D686" s="216">
        <v>41562</v>
      </c>
      <c r="E686" s="218">
        <v>20.75</v>
      </c>
      <c r="F686" s="216">
        <v>41562</v>
      </c>
      <c r="G686" s="218">
        <v>-20.75</v>
      </c>
      <c r="H686" s="219" t="s">
        <v>52</v>
      </c>
      <c r="I686" s="219" t="s">
        <v>2</v>
      </c>
      <c r="J686" s="219" t="s">
        <v>488</v>
      </c>
      <c r="K686" s="220" t="str">
        <f>IF(J686&lt;&gt;"",VLOOKUP(J686,PContas!A:B,2,FALSE),"")</f>
        <v>ALIMENTAÇÃO</v>
      </c>
      <c r="L686" s="221">
        <f t="shared" si="20"/>
        <v>15</v>
      </c>
      <c r="M686" s="221" t="str">
        <f t="shared" ca="1" si="21"/>
        <v>2013/10</v>
      </c>
    </row>
    <row r="687" spans="1:13">
      <c r="A687" s="216">
        <v>41562</v>
      </c>
      <c r="B687" s="217"/>
      <c r="C687" s="217"/>
      <c r="D687" s="216">
        <v>41562</v>
      </c>
      <c r="E687" s="218">
        <v>6.25</v>
      </c>
      <c r="F687" s="216">
        <v>41562</v>
      </c>
      <c r="G687" s="218">
        <v>-6.25</v>
      </c>
      <c r="H687" s="219" t="s">
        <v>52</v>
      </c>
      <c r="I687" s="219" t="s">
        <v>2</v>
      </c>
      <c r="J687" s="219" t="s">
        <v>488</v>
      </c>
      <c r="K687" s="220" t="str">
        <f>IF(J687&lt;&gt;"",VLOOKUP(J687,PContas!A:B,2,FALSE),"")</f>
        <v>ALIMENTAÇÃO</v>
      </c>
      <c r="L687" s="221">
        <f t="shared" si="20"/>
        <v>15</v>
      </c>
      <c r="M687" s="221" t="str">
        <f t="shared" ca="1" si="21"/>
        <v>2013/10</v>
      </c>
    </row>
    <row r="688" spans="1:13">
      <c r="A688" s="216">
        <v>41562</v>
      </c>
      <c r="B688" s="217"/>
      <c r="C688" s="217"/>
      <c r="D688" s="216">
        <v>41562</v>
      </c>
      <c r="E688" s="218">
        <v>29.5</v>
      </c>
      <c r="F688" s="216">
        <v>41562</v>
      </c>
      <c r="G688" s="218">
        <v>-29.5</v>
      </c>
      <c r="H688" s="219" t="s">
        <v>52</v>
      </c>
      <c r="I688" s="219" t="s">
        <v>2</v>
      </c>
      <c r="J688" s="219" t="s">
        <v>488</v>
      </c>
      <c r="K688" s="220" t="str">
        <f>IF(J688&lt;&gt;"",VLOOKUP(J688,PContas!A:B,2,FALSE),"")</f>
        <v>ALIMENTAÇÃO</v>
      </c>
      <c r="L688" s="221">
        <f t="shared" si="20"/>
        <v>15</v>
      </c>
      <c r="M688" s="221" t="str">
        <f t="shared" ca="1" si="21"/>
        <v>2013/10</v>
      </c>
    </row>
    <row r="689" spans="1:13">
      <c r="A689" s="216">
        <v>41564</v>
      </c>
      <c r="B689" s="217"/>
      <c r="C689" s="217"/>
      <c r="D689" s="216">
        <v>41564</v>
      </c>
      <c r="E689" s="218">
        <v>13.53</v>
      </c>
      <c r="F689" s="216">
        <v>41564</v>
      </c>
      <c r="G689" s="218">
        <v>-13.53</v>
      </c>
      <c r="H689" s="219" t="s">
        <v>52</v>
      </c>
      <c r="I689" s="219" t="s">
        <v>2</v>
      </c>
      <c r="J689" s="219" t="s">
        <v>488</v>
      </c>
      <c r="K689" s="220" t="str">
        <f>IF(J689&lt;&gt;"",VLOOKUP(J689,PContas!A:B,2,FALSE),"")</f>
        <v>ALIMENTAÇÃO</v>
      </c>
      <c r="L689" s="221">
        <f t="shared" si="20"/>
        <v>17</v>
      </c>
      <c r="M689" s="221" t="str">
        <f t="shared" ca="1" si="21"/>
        <v>2013/10</v>
      </c>
    </row>
    <row r="690" spans="1:13">
      <c r="A690" s="216">
        <v>41566</v>
      </c>
      <c r="B690" s="217"/>
      <c r="C690" s="217"/>
      <c r="D690" s="216">
        <v>41566</v>
      </c>
      <c r="E690" s="218">
        <v>72.41</v>
      </c>
      <c r="F690" s="216">
        <v>41566</v>
      </c>
      <c r="G690" s="218">
        <v>-72.41</v>
      </c>
      <c r="H690" s="219" t="s">
        <v>52</v>
      </c>
      <c r="I690" s="219" t="s">
        <v>2</v>
      </c>
      <c r="J690" s="219" t="s">
        <v>3</v>
      </c>
      <c r="K690" s="220" t="str">
        <f>IF(J690&lt;&gt;"",VLOOKUP(J690,PContas!A:B,2,FALSE),"")</f>
        <v>ALIMENTAÇÃO</v>
      </c>
      <c r="L690" s="221">
        <f t="shared" si="20"/>
        <v>19</v>
      </c>
      <c r="M690" s="221" t="str">
        <f t="shared" ca="1" si="21"/>
        <v>2013/10</v>
      </c>
    </row>
    <row r="691" spans="1:13">
      <c r="A691" s="216">
        <v>41566</v>
      </c>
      <c r="B691" s="217"/>
      <c r="C691" s="217"/>
      <c r="D691" s="216">
        <v>41566</v>
      </c>
      <c r="E691" s="218">
        <v>2.4900000000000002</v>
      </c>
      <c r="F691" s="216">
        <v>41566</v>
      </c>
      <c r="G691" s="218">
        <v>-2.4900000000000002</v>
      </c>
      <c r="H691" s="219" t="s">
        <v>52</v>
      </c>
      <c r="I691" s="219" t="s">
        <v>2</v>
      </c>
      <c r="J691" s="219" t="s">
        <v>3</v>
      </c>
      <c r="K691" s="220" t="str">
        <f>IF(J691&lt;&gt;"",VLOOKUP(J691,PContas!A:B,2,FALSE),"")</f>
        <v>ALIMENTAÇÃO</v>
      </c>
      <c r="L691" s="221">
        <f t="shared" si="20"/>
        <v>19</v>
      </c>
      <c r="M691" s="221" t="str">
        <f t="shared" ca="1" si="21"/>
        <v>2013/10</v>
      </c>
    </row>
    <row r="692" spans="1:13">
      <c r="A692" s="216">
        <v>41566</v>
      </c>
      <c r="B692" s="217"/>
      <c r="C692" s="217"/>
      <c r="D692" s="216">
        <v>41566</v>
      </c>
      <c r="E692" s="218">
        <v>22.17</v>
      </c>
      <c r="F692" s="216">
        <v>41566</v>
      </c>
      <c r="G692" s="218">
        <v>-22.17</v>
      </c>
      <c r="H692" s="219" t="s">
        <v>52</v>
      </c>
      <c r="I692" s="219" t="s">
        <v>2</v>
      </c>
      <c r="J692" s="219" t="s">
        <v>3</v>
      </c>
      <c r="K692" s="220" t="str">
        <f>IF(J692&lt;&gt;"",VLOOKUP(J692,PContas!A:B,2,FALSE),"")</f>
        <v>ALIMENTAÇÃO</v>
      </c>
      <c r="L692" s="221">
        <f t="shared" si="20"/>
        <v>19</v>
      </c>
      <c r="M692" s="221" t="str">
        <f t="shared" ca="1" si="21"/>
        <v>2013/10</v>
      </c>
    </row>
    <row r="693" spans="1:13">
      <c r="A693" s="216">
        <v>41569</v>
      </c>
      <c r="B693" s="217"/>
      <c r="C693" s="217"/>
      <c r="D693" s="216">
        <v>41569</v>
      </c>
      <c r="E693" s="218">
        <v>13</v>
      </c>
      <c r="F693" s="216">
        <v>41569</v>
      </c>
      <c r="G693" s="218">
        <v>-13</v>
      </c>
      <c r="H693" s="219" t="s">
        <v>52</v>
      </c>
      <c r="I693" s="219" t="s">
        <v>2</v>
      </c>
      <c r="J693" s="219" t="s">
        <v>488</v>
      </c>
      <c r="K693" s="220" t="str">
        <f>IF(J693&lt;&gt;"",VLOOKUP(J693,PContas!A:B,2,FALSE),"")</f>
        <v>ALIMENTAÇÃO</v>
      </c>
      <c r="L693" s="221">
        <f t="shared" si="20"/>
        <v>22</v>
      </c>
      <c r="M693" s="221" t="str">
        <f t="shared" ca="1" si="21"/>
        <v>2013/10</v>
      </c>
    </row>
    <row r="694" spans="1:13">
      <c r="A694" s="216">
        <v>41570</v>
      </c>
      <c r="B694" s="217"/>
      <c r="C694" s="217"/>
      <c r="D694" s="216">
        <v>41570</v>
      </c>
      <c r="E694" s="218">
        <v>20.49</v>
      </c>
      <c r="F694" s="216">
        <v>41570</v>
      </c>
      <c r="G694" s="218">
        <v>-20.49</v>
      </c>
      <c r="H694" s="219" t="s">
        <v>52</v>
      </c>
      <c r="I694" s="219" t="s">
        <v>2</v>
      </c>
      <c r="J694" s="219" t="s">
        <v>3</v>
      </c>
      <c r="K694" s="220" t="str">
        <f>IF(J694&lt;&gt;"",VLOOKUP(J694,PContas!A:B,2,FALSE),"")</f>
        <v>ALIMENTAÇÃO</v>
      </c>
      <c r="L694" s="221">
        <f t="shared" si="20"/>
        <v>23</v>
      </c>
      <c r="M694" s="221" t="str">
        <f t="shared" ca="1" si="21"/>
        <v>2013/10</v>
      </c>
    </row>
    <row r="695" spans="1:13">
      <c r="A695" s="216">
        <v>41573</v>
      </c>
      <c r="B695" s="217"/>
      <c r="C695" s="217"/>
      <c r="D695" s="216">
        <v>41573</v>
      </c>
      <c r="E695" s="218">
        <v>20</v>
      </c>
      <c r="F695" s="216">
        <v>41573</v>
      </c>
      <c r="G695" s="218">
        <v>-20</v>
      </c>
      <c r="H695" s="219" t="s">
        <v>52</v>
      </c>
      <c r="I695" s="219" t="s">
        <v>2</v>
      </c>
      <c r="J695" s="219" t="s">
        <v>9</v>
      </c>
      <c r="K695" s="220" t="str">
        <f>IF(J695&lt;&gt;"",VLOOKUP(J695,PContas!A:B,2,FALSE),"")</f>
        <v>AILTON</v>
      </c>
      <c r="L695" s="221">
        <f t="shared" si="20"/>
        <v>26</v>
      </c>
      <c r="M695" s="221" t="str">
        <f t="shared" ca="1" si="21"/>
        <v>2013/10</v>
      </c>
    </row>
    <row r="696" spans="1:13">
      <c r="A696" s="216">
        <v>41573</v>
      </c>
      <c r="B696" s="217"/>
      <c r="C696" s="217"/>
      <c r="D696" s="216">
        <v>41573</v>
      </c>
      <c r="E696" s="218">
        <v>6</v>
      </c>
      <c r="F696" s="216">
        <v>41573</v>
      </c>
      <c r="G696" s="218">
        <v>-6</v>
      </c>
      <c r="H696" s="219" t="s">
        <v>52</v>
      </c>
      <c r="I696" s="219" t="s">
        <v>2</v>
      </c>
      <c r="J696" s="219" t="s">
        <v>488</v>
      </c>
      <c r="K696" s="220" t="str">
        <f>IF(J696&lt;&gt;"",VLOOKUP(J696,PContas!A:B,2,FALSE),"")</f>
        <v>ALIMENTAÇÃO</v>
      </c>
      <c r="L696" s="221">
        <f t="shared" si="20"/>
        <v>26</v>
      </c>
      <c r="M696" s="221" t="str">
        <f t="shared" ca="1" si="21"/>
        <v>2013/10</v>
      </c>
    </row>
    <row r="697" spans="1:13">
      <c r="A697" s="216">
        <v>41573</v>
      </c>
      <c r="B697" s="217"/>
      <c r="C697" s="217"/>
      <c r="D697" s="216">
        <v>41573</v>
      </c>
      <c r="E697" s="218">
        <v>58.8</v>
      </c>
      <c r="F697" s="216">
        <v>41573</v>
      </c>
      <c r="G697" s="218">
        <v>-58.8</v>
      </c>
      <c r="H697" s="219" t="s">
        <v>52</v>
      </c>
      <c r="I697" s="219" t="s">
        <v>2</v>
      </c>
      <c r="J697" s="219" t="s">
        <v>488</v>
      </c>
      <c r="K697" s="220" t="str">
        <f>IF(J697&lt;&gt;"",VLOOKUP(J697,PContas!A:B,2,FALSE),"")</f>
        <v>ALIMENTAÇÃO</v>
      </c>
      <c r="L697" s="221">
        <f t="shared" si="20"/>
        <v>26</v>
      </c>
      <c r="M697" s="221" t="str">
        <f t="shared" ca="1" si="21"/>
        <v>2013/10</v>
      </c>
    </row>
    <row r="698" spans="1:13">
      <c r="A698" s="216">
        <v>41574</v>
      </c>
      <c r="B698" s="217"/>
      <c r="C698" s="217"/>
      <c r="D698" s="216">
        <v>41574</v>
      </c>
      <c r="E698" s="218">
        <v>4.5</v>
      </c>
      <c r="F698" s="216">
        <v>41574</v>
      </c>
      <c r="G698" s="218">
        <v>-4.5</v>
      </c>
      <c r="H698" s="219" t="s">
        <v>52</v>
      </c>
      <c r="I698" s="219" t="s">
        <v>2</v>
      </c>
      <c r="J698" s="219" t="s">
        <v>488</v>
      </c>
      <c r="K698" s="220" t="str">
        <f>IF(J698&lt;&gt;"",VLOOKUP(J698,PContas!A:B,2,FALSE),"")</f>
        <v>ALIMENTAÇÃO</v>
      </c>
      <c r="L698" s="221">
        <f t="shared" si="20"/>
        <v>27</v>
      </c>
      <c r="M698" s="221" t="str">
        <f t="shared" ca="1" si="21"/>
        <v>2013/10</v>
      </c>
    </row>
    <row r="699" spans="1:13">
      <c r="A699" s="216">
        <v>41574</v>
      </c>
      <c r="B699" s="217"/>
      <c r="C699" s="217"/>
      <c r="D699" s="216">
        <v>41574</v>
      </c>
      <c r="E699" s="218">
        <v>22.04</v>
      </c>
      <c r="F699" s="216">
        <v>41574</v>
      </c>
      <c r="G699" s="218">
        <v>-22.04</v>
      </c>
      <c r="H699" s="219" t="s">
        <v>52</v>
      </c>
      <c r="I699" s="219" t="s">
        <v>2</v>
      </c>
      <c r="J699" s="219" t="s">
        <v>3</v>
      </c>
      <c r="K699" s="220" t="str">
        <f>IF(J699&lt;&gt;"",VLOOKUP(J699,PContas!A:B,2,FALSE),"")</f>
        <v>ALIMENTAÇÃO</v>
      </c>
      <c r="L699" s="221">
        <f t="shared" si="20"/>
        <v>27</v>
      </c>
      <c r="M699" s="221" t="str">
        <f t="shared" ca="1" si="21"/>
        <v>2013/10</v>
      </c>
    </row>
    <row r="700" spans="1:13">
      <c r="A700" s="216">
        <v>41575</v>
      </c>
      <c r="B700" s="217" t="s">
        <v>945</v>
      </c>
      <c r="C700" s="217"/>
      <c r="D700" s="216">
        <v>41575</v>
      </c>
      <c r="E700" s="218">
        <v>100</v>
      </c>
      <c r="F700" s="216">
        <v>41575</v>
      </c>
      <c r="G700" s="218">
        <v>100</v>
      </c>
      <c r="H700" s="219" t="s">
        <v>71</v>
      </c>
      <c r="I700" s="219" t="s">
        <v>2</v>
      </c>
      <c r="J700" s="219" t="s">
        <v>80</v>
      </c>
      <c r="K700" s="220" t="str">
        <f>IF(J700&lt;&gt;"",VLOOKUP(J700,PContas!A:B,2,FALSE),"")</f>
        <v>CLIENTES</v>
      </c>
      <c r="L700" s="221">
        <f t="shared" si="20"/>
        <v>28</v>
      </c>
      <c r="M700" s="221" t="str">
        <f t="shared" ca="1" si="21"/>
        <v>2013/10</v>
      </c>
    </row>
    <row r="701" spans="1:13">
      <c r="A701" s="216">
        <v>41575</v>
      </c>
      <c r="B701" s="217" t="s">
        <v>946</v>
      </c>
      <c r="C701" s="217"/>
      <c r="D701" s="216">
        <v>41578</v>
      </c>
      <c r="E701" s="218">
        <v>170</v>
      </c>
      <c r="F701" s="216">
        <v>41578</v>
      </c>
      <c r="G701" s="218">
        <v>170</v>
      </c>
      <c r="H701" s="219" t="s">
        <v>71</v>
      </c>
      <c r="I701" s="219" t="s">
        <v>2</v>
      </c>
      <c r="J701" s="219" t="s">
        <v>651</v>
      </c>
      <c r="K701" s="220" t="str">
        <f>IF(J701&lt;&gt;"",VLOOKUP(J701,PContas!A:B,2,FALSE),"")</f>
        <v>CLIENTES</v>
      </c>
      <c r="L701" s="221">
        <f t="shared" si="20"/>
        <v>31</v>
      </c>
      <c r="M701" s="221" t="str">
        <f t="shared" ca="1" si="21"/>
        <v>2013/10</v>
      </c>
    </row>
    <row r="702" spans="1:13">
      <c r="A702" s="216">
        <v>41576</v>
      </c>
      <c r="B702" s="217" t="s">
        <v>942</v>
      </c>
      <c r="C702" s="217"/>
      <c r="D702" s="216">
        <v>41576</v>
      </c>
      <c r="E702" s="218">
        <v>300</v>
      </c>
      <c r="F702" s="216">
        <v>41576</v>
      </c>
      <c r="G702" s="218">
        <v>300</v>
      </c>
      <c r="H702" s="219" t="s">
        <v>71</v>
      </c>
      <c r="I702" s="219" t="s">
        <v>2</v>
      </c>
      <c r="J702" s="219" t="s">
        <v>514</v>
      </c>
      <c r="K702" s="220" t="str">
        <f>IF(J702&lt;&gt;"",VLOOKUP(J702,PContas!A:B,2,FALSE),"")</f>
        <v>CLIENTES</v>
      </c>
      <c r="L702" s="221">
        <f t="shared" si="20"/>
        <v>29</v>
      </c>
      <c r="M702" s="221" t="str">
        <f t="shared" ca="1" si="21"/>
        <v>2013/10</v>
      </c>
    </row>
    <row r="703" spans="1:13">
      <c r="A703" s="216">
        <v>41576</v>
      </c>
      <c r="B703" s="217"/>
      <c r="C703" s="217"/>
      <c r="D703" s="216">
        <v>41576</v>
      </c>
      <c r="E703" s="218">
        <v>10</v>
      </c>
      <c r="F703" s="216">
        <v>41576</v>
      </c>
      <c r="G703" s="218">
        <v>-10</v>
      </c>
      <c r="H703" s="219" t="s">
        <v>52</v>
      </c>
      <c r="I703" s="219" t="s">
        <v>2</v>
      </c>
      <c r="J703" s="219" t="s">
        <v>9</v>
      </c>
      <c r="K703" s="220" t="str">
        <f>IF(J703&lt;&gt;"",VLOOKUP(J703,PContas!A:B,2,FALSE),"")</f>
        <v>AILTON</v>
      </c>
      <c r="L703" s="221">
        <f t="shared" si="20"/>
        <v>29</v>
      </c>
      <c r="M703" s="221" t="str">
        <f t="shared" ca="1" si="21"/>
        <v>2013/10</v>
      </c>
    </row>
    <row r="704" spans="1:13">
      <c r="A704" s="216">
        <v>41576</v>
      </c>
      <c r="B704" s="217"/>
      <c r="C704" s="217"/>
      <c r="D704" s="216">
        <v>41576</v>
      </c>
      <c r="E704" s="218">
        <v>11.27</v>
      </c>
      <c r="F704" s="216">
        <v>41576</v>
      </c>
      <c r="G704" s="218">
        <v>-11.27</v>
      </c>
      <c r="H704" s="219" t="s">
        <v>52</v>
      </c>
      <c r="I704" s="219" t="s">
        <v>2</v>
      </c>
      <c r="J704" s="219" t="s">
        <v>488</v>
      </c>
      <c r="K704" s="220" t="str">
        <f>IF(J704&lt;&gt;"",VLOOKUP(J704,PContas!A:B,2,FALSE),"")</f>
        <v>ALIMENTAÇÃO</v>
      </c>
      <c r="L704" s="221">
        <f t="shared" ref="L704:L767" si="22">DAY(D704)</f>
        <v>29</v>
      </c>
      <c r="M704" s="221" t="str">
        <f t="shared" ref="M704:M767" ca="1" si="23">IF(D704&lt;&gt;"",IF(F704="",IF(DAYS360(D704,NOW())&gt;0,"ATRASADO",YEAR(D704)&amp;"/"&amp;CHOOSE(MONTH(D704),"01","02","03","04","05","06","07","08","09","10","11","12")),YEAR(D704)&amp;"/"&amp;CHOOSE(MONTH(D704),"01","02","03","04","05","06","07","08","09","10","11","12")),"")</f>
        <v>2013/10</v>
      </c>
    </row>
    <row r="705" spans="1:13">
      <c r="A705" s="216">
        <v>41576</v>
      </c>
      <c r="B705" s="217"/>
      <c r="C705" s="217"/>
      <c r="D705" s="216">
        <v>41576</v>
      </c>
      <c r="E705" s="218">
        <v>18.260000000000002</v>
      </c>
      <c r="F705" s="216">
        <v>41576</v>
      </c>
      <c r="G705" s="218">
        <v>-18.260000000000002</v>
      </c>
      <c r="H705" s="219" t="s">
        <v>52</v>
      </c>
      <c r="I705" s="219" t="s">
        <v>2</v>
      </c>
      <c r="J705" s="219" t="s">
        <v>488</v>
      </c>
      <c r="K705" s="220" t="str">
        <f>IF(J705&lt;&gt;"",VLOOKUP(J705,PContas!A:B,2,FALSE),"")</f>
        <v>ALIMENTAÇÃO</v>
      </c>
      <c r="L705" s="221">
        <f t="shared" si="22"/>
        <v>29</v>
      </c>
      <c r="M705" s="221" t="str">
        <f t="shared" ca="1" si="23"/>
        <v>2013/10</v>
      </c>
    </row>
    <row r="706" spans="1:13">
      <c r="A706" s="216">
        <v>41576</v>
      </c>
      <c r="B706" s="217" t="s">
        <v>1007</v>
      </c>
      <c r="C706" s="217" t="s">
        <v>1008</v>
      </c>
      <c r="D706" s="216">
        <v>41576</v>
      </c>
      <c r="E706" s="218">
        <v>30.1</v>
      </c>
      <c r="F706" s="216">
        <v>41576</v>
      </c>
      <c r="G706" s="218">
        <v>30.1</v>
      </c>
      <c r="H706" s="219" t="s">
        <v>71</v>
      </c>
      <c r="I706" s="219" t="s">
        <v>2</v>
      </c>
      <c r="J706" s="219" t="s">
        <v>61</v>
      </c>
      <c r="K706" s="220" t="str">
        <f>IF(J706&lt;&gt;"",VLOOKUP(J706,PContas!A:B,2,FALSE),"")</f>
        <v>CLIENTES</v>
      </c>
      <c r="L706" s="221">
        <f t="shared" si="22"/>
        <v>29</v>
      </c>
      <c r="M706" s="221" t="str">
        <f t="shared" ca="1" si="23"/>
        <v>2013/10</v>
      </c>
    </row>
    <row r="707" spans="1:13">
      <c r="A707" s="216">
        <v>41577</v>
      </c>
      <c r="B707" s="217" t="s">
        <v>943</v>
      </c>
      <c r="C707" s="217"/>
      <c r="D707" s="216">
        <v>41577</v>
      </c>
      <c r="E707" s="218">
        <v>500</v>
      </c>
      <c r="F707" s="216">
        <v>41577</v>
      </c>
      <c r="G707" s="218">
        <v>500</v>
      </c>
      <c r="H707" s="219" t="s">
        <v>71</v>
      </c>
      <c r="I707" s="219" t="s">
        <v>2</v>
      </c>
      <c r="J707" s="219" t="s">
        <v>61</v>
      </c>
      <c r="K707" s="220" t="str">
        <f>IF(J707&lt;&gt;"",VLOOKUP(J707,PContas!A:B,2,FALSE),"")</f>
        <v>CLIENTES</v>
      </c>
      <c r="L707" s="221">
        <f t="shared" si="22"/>
        <v>30</v>
      </c>
      <c r="M707" s="221" t="str">
        <f t="shared" ca="1" si="23"/>
        <v>2013/10</v>
      </c>
    </row>
    <row r="708" spans="1:13">
      <c r="A708" s="216">
        <v>41577</v>
      </c>
      <c r="B708" s="217" t="s">
        <v>943</v>
      </c>
      <c r="C708" s="217"/>
      <c r="D708" s="216">
        <v>41577</v>
      </c>
      <c r="E708" s="218">
        <v>19.899999999999999</v>
      </c>
      <c r="F708" s="216">
        <v>41577</v>
      </c>
      <c r="G708" s="218">
        <v>-19.899999999999999</v>
      </c>
      <c r="H708" s="219" t="s">
        <v>52</v>
      </c>
      <c r="I708" s="219" t="s">
        <v>2</v>
      </c>
      <c r="J708" s="219" t="s">
        <v>488</v>
      </c>
      <c r="K708" s="220" t="str">
        <f>IF(J708&lt;&gt;"",VLOOKUP(J708,PContas!A:B,2,FALSE),"")</f>
        <v>ALIMENTAÇÃO</v>
      </c>
      <c r="L708" s="221">
        <f t="shared" si="22"/>
        <v>30</v>
      </c>
      <c r="M708" s="221" t="str">
        <f t="shared" ca="1" si="23"/>
        <v>2013/10</v>
      </c>
    </row>
    <row r="709" spans="1:13">
      <c r="A709" s="216">
        <v>41577</v>
      </c>
      <c r="B709" s="217" t="s">
        <v>943</v>
      </c>
      <c r="C709" s="217"/>
      <c r="D709" s="216">
        <v>41577</v>
      </c>
      <c r="E709" s="218">
        <v>19.899999999999999</v>
      </c>
      <c r="F709" s="216">
        <v>41577</v>
      </c>
      <c r="G709" s="218">
        <v>-15.8</v>
      </c>
      <c r="H709" s="219" t="s">
        <v>52</v>
      </c>
      <c r="I709" s="219" t="s">
        <v>2</v>
      </c>
      <c r="J709" s="219" t="s">
        <v>9</v>
      </c>
      <c r="K709" s="220" t="str">
        <f>IF(J709&lt;&gt;"",VLOOKUP(J709,PContas!A:B,2,FALSE),"")</f>
        <v>AILTON</v>
      </c>
      <c r="L709" s="221">
        <f t="shared" si="22"/>
        <v>30</v>
      </c>
      <c r="M709" s="221" t="str">
        <f t="shared" ca="1" si="23"/>
        <v>2013/10</v>
      </c>
    </row>
    <row r="710" spans="1:13">
      <c r="A710" s="216">
        <v>41577</v>
      </c>
      <c r="B710" s="217" t="s">
        <v>943</v>
      </c>
      <c r="C710" s="217"/>
      <c r="D710" s="216">
        <v>41577</v>
      </c>
      <c r="E710" s="218">
        <v>6</v>
      </c>
      <c r="F710" s="216">
        <v>41577</v>
      </c>
      <c r="G710" s="218">
        <v>-6</v>
      </c>
      <c r="H710" s="219" t="s">
        <v>52</v>
      </c>
      <c r="I710" s="219" t="s">
        <v>2</v>
      </c>
      <c r="J710" s="219" t="s">
        <v>488</v>
      </c>
      <c r="K710" s="220" t="str">
        <f>IF(J710&lt;&gt;"",VLOOKUP(J710,PContas!A:B,2,FALSE),"")</f>
        <v>ALIMENTAÇÃO</v>
      </c>
      <c r="L710" s="221">
        <f t="shared" si="22"/>
        <v>30</v>
      </c>
      <c r="M710" s="221" t="str">
        <f t="shared" ca="1" si="23"/>
        <v>2013/10</v>
      </c>
    </row>
    <row r="711" spans="1:13">
      <c r="A711" s="216">
        <v>41577</v>
      </c>
      <c r="B711" s="217" t="s">
        <v>515</v>
      </c>
      <c r="C711" s="217" t="s">
        <v>973</v>
      </c>
      <c r="D711" s="216">
        <v>41618</v>
      </c>
      <c r="E711" s="218">
        <v>323.92</v>
      </c>
      <c r="F711" s="216">
        <v>41626</v>
      </c>
      <c r="G711" s="218">
        <v>323.92</v>
      </c>
      <c r="H711" s="219" t="s">
        <v>71</v>
      </c>
      <c r="I711" s="219" t="s">
        <v>2</v>
      </c>
      <c r="J711" s="219" t="s">
        <v>972</v>
      </c>
      <c r="K711" s="220" t="str">
        <f>IF(J711&lt;&gt;"",VLOOKUP(J711,PContas!A:B,2,FALSE),"")</f>
        <v>CLIENTES</v>
      </c>
      <c r="L711" s="221">
        <f t="shared" si="22"/>
        <v>10</v>
      </c>
      <c r="M711" s="221" t="str">
        <f t="shared" ca="1" si="23"/>
        <v>2013/12</v>
      </c>
    </row>
    <row r="712" spans="1:13">
      <c r="A712" s="216">
        <v>41577</v>
      </c>
      <c r="B712" s="217" t="s">
        <v>515</v>
      </c>
      <c r="C712" s="217" t="s">
        <v>997</v>
      </c>
      <c r="D712" s="216">
        <v>41618</v>
      </c>
      <c r="E712" s="218">
        <v>13.51</v>
      </c>
      <c r="F712" s="216">
        <v>41626</v>
      </c>
      <c r="G712" s="218">
        <v>-13.51</v>
      </c>
      <c r="H712" s="219" t="s">
        <v>52</v>
      </c>
      <c r="I712" s="219" t="s">
        <v>4</v>
      </c>
      <c r="J712" s="219" t="s">
        <v>999</v>
      </c>
      <c r="K712" s="220" t="str">
        <f>IF(J712&lt;&gt;"",VLOOKUP(J712,PContas!A:B,2,FALSE),"")</f>
        <v>COBRANÇA</v>
      </c>
      <c r="L712" s="221">
        <f t="shared" si="22"/>
        <v>10</v>
      </c>
      <c r="M712" s="221" t="str">
        <f t="shared" ca="1" si="23"/>
        <v>2013/12</v>
      </c>
    </row>
    <row r="713" spans="1:13">
      <c r="A713" s="216">
        <v>41577</v>
      </c>
      <c r="B713" s="217" t="s">
        <v>515</v>
      </c>
      <c r="C713" s="217" t="s">
        <v>998</v>
      </c>
      <c r="D713" s="216">
        <v>41618</v>
      </c>
      <c r="E713" s="218">
        <v>12.57</v>
      </c>
      <c r="F713" s="216">
        <v>41626</v>
      </c>
      <c r="G713" s="218">
        <v>-12.57</v>
      </c>
      <c r="H713" s="219" t="s">
        <v>52</v>
      </c>
      <c r="I713" s="219" t="s">
        <v>4</v>
      </c>
      <c r="J713" s="219" t="s">
        <v>999</v>
      </c>
      <c r="K713" s="220" t="str">
        <f>IF(J713&lt;&gt;"",VLOOKUP(J713,PContas!A:B,2,FALSE),"")</f>
        <v>COBRANÇA</v>
      </c>
      <c r="L713" s="221">
        <f t="shared" si="22"/>
        <v>10</v>
      </c>
      <c r="M713" s="221" t="str">
        <f t="shared" ca="1" si="23"/>
        <v>2013/12</v>
      </c>
    </row>
    <row r="714" spans="1:13">
      <c r="A714" s="216">
        <v>41577</v>
      </c>
      <c r="B714" s="217" t="s">
        <v>515</v>
      </c>
      <c r="C714" s="217" t="s">
        <v>974</v>
      </c>
      <c r="D714" s="216">
        <v>41583</v>
      </c>
      <c r="E714" s="218">
        <v>18.46</v>
      </c>
      <c r="F714" s="216">
        <v>41583</v>
      </c>
      <c r="G714" s="218">
        <v>18.46</v>
      </c>
      <c r="H714" s="219" t="s">
        <v>71</v>
      </c>
      <c r="I714" s="219" t="s">
        <v>2</v>
      </c>
      <c r="J714" s="219" t="s">
        <v>972</v>
      </c>
      <c r="K714" s="220" t="str">
        <f>IF(J714&lt;&gt;"",VLOOKUP(J714,PContas!A:B,2,FALSE),"")</f>
        <v>CLIENTES</v>
      </c>
      <c r="L714" s="221">
        <f t="shared" si="22"/>
        <v>5</v>
      </c>
      <c r="M714" s="221" t="str">
        <f t="shared" ca="1" si="23"/>
        <v>2013/11</v>
      </c>
    </row>
    <row r="715" spans="1:13">
      <c r="A715" s="216">
        <v>41578</v>
      </c>
      <c r="B715" s="217"/>
      <c r="C715" s="217"/>
      <c r="D715" s="216">
        <v>41578</v>
      </c>
      <c r="E715" s="218">
        <v>20</v>
      </c>
      <c r="F715" s="216">
        <v>41578</v>
      </c>
      <c r="G715" s="218">
        <v>-20</v>
      </c>
      <c r="H715" s="219" t="s">
        <v>52</v>
      </c>
      <c r="I715" s="219" t="s">
        <v>2</v>
      </c>
      <c r="J715" s="219" t="s">
        <v>9</v>
      </c>
      <c r="K715" s="220" t="str">
        <f>IF(J715&lt;&gt;"",VLOOKUP(J715,PContas!A:B,2,FALSE),"")</f>
        <v>AILTON</v>
      </c>
      <c r="L715" s="221">
        <f t="shared" si="22"/>
        <v>31</v>
      </c>
      <c r="M715" s="221" t="str">
        <f t="shared" ca="1" si="23"/>
        <v>2013/10</v>
      </c>
    </row>
    <row r="716" spans="1:13">
      <c r="A716" s="216">
        <v>41578</v>
      </c>
      <c r="B716" s="217"/>
      <c r="C716" s="217"/>
      <c r="D716" s="216">
        <v>41578</v>
      </c>
      <c r="E716" s="218">
        <v>13</v>
      </c>
      <c r="F716" s="216">
        <v>41578</v>
      </c>
      <c r="G716" s="218">
        <v>-13</v>
      </c>
      <c r="H716" s="219" t="s">
        <v>52</v>
      </c>
      <c r="I716" s="219" t="s">
        <v>2</v>
      </c>
      <c r="J716" s="219" t="s">
        <v>498</v>
      </c>
      <c r="K716" s="220" t="str">
        <f>IF(J716&lt;&gt;"",VLOOKUP(J716,PContas!A:B,2,FALSE),"")</f>
        <v>TELEFONIA</v>
      </c>
      <c r="L716" s="221">
        <f t="shared" si="22"/>
        <v>31</v>
      </c>
      <c r="M716" s="221" t="str">
        <f t="shared" ca="1" si="23"/>
        <v>2013/10</v>
      </c>
    </row>
    <row r="717" spans="1:13">
      <c r="A717" s="216">
        <v>41578</v>
      </c>
      <c r="B717" s="217"/>
      <c r="C717" s="217"/>
      <c r="D717" s="216">
        <v>41578</v>
      </c>
      <c r="E717" s="218">
        <v>11.9</v>
      </c>
      <c r="F717" s="216">
        <v>41578</v>
      </c>
      <c r="G717" s="218">
        <v>-11.9</v>
      </c>
      <c r="H717" s="219" t="s">
        <v>52</v>
      </c>
      <c r="I717" s="219" t="s">
        <v>2</v>
      </c>
      <c r="J717" s="219" t="s">
        <v>104</v>
      </c>
      <c r="K717" s="220" t="str">
        <f>IF(J717&lt;&gt;"",VLOOKUP(J717,PContas!A:B,2,FALSE),"")</f>
        <v>AILTON</v>
      </c>
      <c r="L717" s="221">
        <f t="shared" si="22"/>
        <v>31</v>
      </c>
      <c r="M717" s="221" t="str">
        <f t="shared" ca="1" si="23"/>
        <v>2013/10</v>
      </c>
    </row>
    <row r="718" spans="1:13">
      <c r="A718" s="216">
        <v>41578</v>
      </c>
      <c r="B718" s="217"/>
      <c r="C718" s="217"/>
      <c r="D718" s="216">
        <v>41548</v>
      </c>
      <c r="E718" s="218">
        <v>65</v>
      </c>
      <c r="F718" s="216">
        <v>41548</v>
      </c>
      <c r="G718" s="218">
        <v>-65</v>
      </c>
      <c r="H718" s="219" t="s">
        <v>52</v>
      </c>
      <c r="I718" s="219" t="s">
        <v>2</v>
      </c>
      <c r="J718" s="219" t="s">
        <v>90</v>
      </c>
      <c r="K718" s="220" t="str">
        <f>IF(J718&lt;&gt;"",VLOOKUP(J718,PContas!A:B,2,FALSE),"")</f>
        <v>ALIMENTAÇÃO</v>
      </c>
      <c r="L718" s="221">
        <f t="shared" si="22"/>
        <v>1</v>
      </c>
      <c r="M718" s="221" t="str">
        <f t="shared" ca="1" si="23"/>
        <v>2013/10</v>
      </c>
    </row>
    <row r="719" spans="1:13">
      <c r="A719" s="216">
        <v>41580</v>
      </c>
      <c r="B719" s="217"/>
      <c r="C719" s="217"/>
      <c r="D719" s="216">
        <v>41580</v>
      </c>
      <c r="E719" s="218">
        <v>41.69</v>
      </c>
      <c r="F719" s="216">
        <v>41580</v>
      </c>
      <c r="G719" s="218">
        <v>-41.69</v>
      </c>
      <c r="H719" s="219" t="s">
        <v>52</v>
      </c>
      <c r="I719" s="219" t="s">
        <v>2</v>
      </c>
      <c r="J719" s="219" t="s">
        <v>3</v>
      </c>
      <c r="K719" s="220" t="str">
        <f>IF(J719&lt;&gt;"",VLOOKUP(J719,PContas!A:B,2,FALSE),"")</f>
        <v>ALIMENTAÇÃO</v>
      </c>
      <c r="L719" s="221">
        <f t="shared" si="22"/>
        <v>2</v>
      </c>
      <c r="M719" s="221" t="str">
        <f t="shared" ca="1" si="23"/>
        <v>2013/11</v>
      </c>
    </row>
    <row r="720" spans="1:13">
      <c r="A720" s="216">
        <v>41581</v>
      </c>
      <c r="B720" s="217"/>
      <c r="C720" s="217"/>
      <c r="D720" s="216">
        <v>41581</v>
      </c>
      <c r="E720" s="218">
        <v>32.630000000000003</v>
      </c>
      <c r="F720" s="216">
        <v>41581</v>
      </c>
      <c r="G720" s="218">
        <v>-32.630000000000003</v>
      </c>
      <c r="H720" s="219" t="s">
        <v>52</v>
      </c>
      <c r="I720" s="219" t="s">
        <v>2</v>
      </c>
      <c r="J720" s="219" t="s">
        <v>3</v>
      </c>
      <c r="K720" s="220" t="str">
        <f>IF(J720&lt;&gt;"",VLOOKUP(J720,PContas!A:B,2,FALSE),"")</f>
        <v>ALIMENTAÇÃO</v>
      </c>
      <c r="L720" s="221">
        <f t="shared" si="22"/>
        <v>3</v>
      </c>
      <c r="M720" s="221" t="str">
        <f t="shared" ca="1" si="23"/>
        <v>2013/11</v>
      </c>
    </row>
    <row r="721" spans="1:13">
      <c r="A721" s="216">
        <v>41583</v>
      </c>
      <c r="B721" s="217" t="s">
        <v>975</v>
      </c>
      <c r="C721" s="217" t="s">
        <v>1020</v>
      </c>
      <c r="D721" s="216">
        <v>41583</v>
      </c>
      <c r="E721" s="218">
        <v>24</v>
      </c>
      <c r="F721" s="216">
        <v>41583</v>
      </c>
      <c r="G721" s="218">
        <v>-24</v>
      </c>
      <c r="H721" s="219" t="s">
        <v>52</v>
      </c>
      <c r="I721" s="219" t="s">
        <v>4</v>
      </c>
      <c r="J721" s="219" t="s">
        <v>21</v>
      </c>
      <c r="K721" s="220" t="str">
        <f>IF(J721&lt;&gt;"",VLOOKUP(J721,PContas!A:B,2,FALSE),"")</f>
        <v>IMPOSTOS</v>
      </c>
      <c r="L721" s="221">
        <f t="shared" si="22"/>
        <v>5</v>
      </c>
      <c r="M721" s="221" t="str">
        <f t="shared" ca="1" si="23"/>
        <v>2013/11</v>
      </c>
    </row>
    <row r="722" spans="1:13">
      <c r="A722" s="216">
        <v>41583</v>
      </c>
      <c r="B722" s="217" t="s">
        <v>975</v>
      </c>
      <c r="C722" s="217" t="s">
        <v>886</v>
      </c>
      <c r="D722" s="216">
        <v>41583</v>
      </c>
      <c r="E722" s="218">
        <v>7.5</v>
      </c>
      <c r="F722" s="216">
        <v>41583</v>
      </c>
      <c r="G722" s="218">
        <v>-7.5</v>
      </c>
      <c r="H722" s="219" t="s">
        <v>52</v>
      </c>
      <c r="I722" s="219" t="s">
        <v>2</v>
      </c>
      <c r="J722" s="219" t="s">
        <v>488</v>
      </c>
      <c r="K722" s="220" t="str">
        <f>IF(J722&lt;&gt;"",VLOOKUP(J722,PContas!A:B,2,FALSE),"")</f>
        <v>ALIMENTAÇÃO</v>
      </c>
      <c r="L722" s="221">
        <f t="shared" si="22"/>
        <v>5</v>
      </c>
      <c r="M722" s="221" t="str">
        <f t="shared" ca="1" si="23"/>
        <v>2013/11</v>
      </c>
    </row>
    <row r="723" spans="1:13">
      <c r="A723" s="216">
        <v>41583</v>
      </c>
      <c r="B723" s="217" t="s">
        <v>975</v>
      </c>
      <c r="C723" s="217" t="s">
        <v>976</v>
      </c>
      <c r="D723" s="216">
        <v>41583</v>
      </c>
      <c r="E723" s="218">
        <v>7</v>
      </c>
      <c r="F723" s="216">
        <v>41583</v>
      </c>
      <c r="G723" s="218">
        <v>-7</v>
      </c>
      <c r="H723" s="219" t="s">
        <v>52</v>
      </c>
      <c r="I723" s="219" t="s">
        <v>2</v>
      </c>
      <c r="J723" s="219" t="s">
        <v>9</v>
      </c>
      <c r="K723" s="220" t="str">
        <f>IF(J723&lt;&gt;"",VLOOKUP(J723,PContas!A:B,2,FALSE),"")</f>
        <v>AILTON</v>
      </c>
      <c r="L723" s="221">
        <f t="shared" si="22"/>
        <v>5</v>
      </c>
      <c r="M723" s="221" t="str">
        <f t="shared" ca="1" si="23"/>
        <v>2013/11</v>
      </c>
    </row>
    <row r="724" spans="1:13">
      <c r="A724" s="216">
        <v>41583</v>
      </c>
      <c r="B724" s="217" t="s">
        <v>975</v>
      </c>
      <c r="C724" s="217" t="s">
        <v>886</v>
      </c>
      <c r="D724" s="216">
        <v>41583</v>
      </c>
      <c r="E724" s="218">
        <v>6</v>
      </c>
      <c r="F724" s="216">
        <v>41583</v>
      </c>
      <c r="G724" s="218">
        <v>-6</v>
      </c>
      <c r="H724" s="219" t="s">
        <v>52</v>
      </c>
      <c r="I724" s="219" t="s">
        <v>2</v>
      </c>
      <c r="J724" s="219" t="s">
        <v>488</v>
      </c>
      <c r="K724" s="220" t="str">
        <f>IF(J724&lt;&gt;"",VLOOKUP(J724,PContas!A:B,2,FALSE),"")</f>
        <v>ALIMENTAÇÃO</v>
      </c>
      <c r="L724" s="221">
        <f t="shared" si="22"/>
        <v>5</v>
      </c>
      <c r="M724" s="221" t="str">
        <f t="shared" ca="1" si="23"/>
        <v>2013/11</v>
      </c>
    </row>
    <row r="725" spans="1:13">
      <c r="A725" s="216">
        <v>41583</v>
      </c>
      <c r="B725" s="217"/>
      <c r="C725" s="217"/>
      <c r="D725" s="216">
        <v>41583</v>
      </c>
      <c r="E725" s="218">
        <v>36.75</v>
      </c>
      <c r="F725" s="216">
        <v>41583</v>
      </c>
      <c r="G725" s="218">
        <v>-36.75</v>
      </c>
      <c r="H725" s="219" t="s">
        <v>52</v>
      </c>
      <c r="I725" s="219" t="s">
        <v>2</v>
      </c>
      <c r="J725" s="219" t="s">
        <v>488</v>
      </c>
      <c r="K725" s="220" t="str">
        <f>IF(J725&lt;&gt;"",VLOOKUP(J725,PContas!A:B,2,FALSE),"")</f>
        <v>ALIMENTAÇÃO</v>
      </c>
      <c r="L725" s="221">
        <f t="shared" si="22"/>
        <v>5</v>
      </c>
      <c r="M725" s="221" t="str">
        <f t="shared" ca="1" si="23"/>
        <v>2013/11</v>
      </c>
    </row>
    <row r="726" spans="1:13">
      <c r="A726" s="216">
        <v>41584</v>
      </c>
      <c r="B726" s="217"/>
      <c r="C726" s="217"/>
      <c r="D726" s="216">
        <v>41584</v>
      </c>
      <c r="E726" s="218">
        <v>4.9000000000000004</v>
      </c>
      <c r="F726" s="216">
        <v>41584</v>
      </c>
      <c r="G726" s="218">
        <v>-4.9000000000000004</v>
      </c>
      <c r="H726" s="219" t="s">
        <v>52</v>
      </c>
      <c r="I726" s="219" t="s">
        <v>2</v>
      </c>
      <c r="J726" s="219" t="s">
        <v>3</v>
      </c>
      <c r="K726" s="220" t="str">
        <f>IF(J726&lt;&gt;"",VLOOKUP(J726,PContas!A:B,2,FALSE),"")</f>
        <v>ALIMENTAÇÃO</v>
      </c>
      <c r="L726" s="221">
        <f t="shared" si="22"/>
        <v>6</v>
      </c>
      <c r="M726" s="221" t="str">
        <f t="shared" ca="1" si="23"/>
        <v>2013/11</v>
      </c>
    </row>
    <row r="727" spans="1:13">
      <c r="A727" s="216">
        <v>41584</v>
      </c>
      <c r="B727" s="217"/>
      <c r="C727" s="217" t="s">
        <v>3</v>
      </c>
      <c r="D727" s="216">
        <v>41584</v>
      </c>
      <c r="E727" s="218">
        <v>74.77</v>
      </c>
      <c r="F727" s="216">
        <v>41584</v>
      </c>
      <c r="G727" s="218">
        <v>-74.77</v>
      </c>
      <c r="H727" s="219" t="s">
        <v>52</v>
      </c>
      <c r="I727" s="219" t="s">
        <v>2</v>
      </c>
      <c r="J727" s="219" t="s">
        <v>3</v>
      </c>
      <c r="K727" s="220" t="str">
        <f>IF(J727&lt;&gt;"",VLOOKUP(J727,PContas!A:B,2,FALSE),"")</f>
        <v>ALIMENTAÇÃO</v>
      </c>
      <c r="L727" s="221">
        <f t="shared" si="22"/>
        <v>6</v>
      </c>
      <c r="M727" s="221" t="str">
        <f t="shared" ca="1" si="23"/>
        <v>2013/11</v>
      </c>
    </row>
    <row r="728" spans="1:13">
      <c r="A728" s="216">
        <v>41584</v>
      </c>
      <c r="B728" s="217"/>
      <c r="C728" s="217" t="s">
        <v>488</v>
      </c>
      <c r="D728" s="216">
        <v>41584</v>
      </c>
      <c r="E728" s="218">
        <v>19.899999999999999</v>
      </c>
      <c r="F728" s="216">
        <v>41584</v>
      </c>
      <c r="G728" s="218">
        <v>-19.899999999999999</v>
      </c>
      <c r="H728" s="219" t="s">
        <v>52</v>
      </c>
      <c r="I728" s="219" t="s">
        <v>2</v>
      </c>
      <c r="J728" s="219" t="s">
        <v>488</v>
      </c>
      <c r="K728" s="220" t="str">
        <f>IF(J728&lt;&gt;"",VLOOKUP(J728,PContas!A:B,2,FALSE),"")</f>
        <v>ALIMENTAÇÃO</v>
      </c>
      <c r="L728" s="221">
        <f t="shared" si="22"/>
        <v>6</v>
      </c>
      <c r="M728" s="221" t="str">
        <f t="shared" ca="1" si="23"/>
        <v>2013/11</v>
      </c>
    </row>
    <row r="729" spans="1:13">
      <c r="A729" s="216">
        <v>41584</v>
      </c>
      <c r="B729" s="237"/>
      <c r="C729" s="237" t="s">
        <v>488</v>
      </c>
      <c r="D729" s="216">
        <v>41584</v>
      </c>
      <c r="E729" s="238">
        <v>25</v>
      </c>
      <c r="F729" s="216">
        <v>41584</v>
      </c>
      <c r="G729" s="238">
        <v>-25</v>
      </c>
      <c r="H729" s="219" t="s">
        <v>52</v>
      </c>
      <c r="I729" s="219" t="s">
        <v>2</v>
      </c>
      <c r="J729" s="219" t="s">
        <v>488</v>
      </c>
      <c r="K729" s="220" t="str">
        <f>IF(J729&lt;&gt;"",VLOOKUP(J729,PContas!A:B,2,FALSE),"")</f>
        <v>ALIMENTAÇÃO</v>
      </c>
      <c r="L729" s="221">
        <f t="shared" si="22"/>
        <v>6</v>
      </c>
      <c r="M729" s="221" t="str">
        <f t="shared" ca="1" si="23"/>
        <v>2013/11</v>
      </c>
    </row>
    <row r="730" spans="1:13">
      <c r="A730" s="216">
        <v>41584</v>
      </c>
      <c r="B730" s="217"/>
      <c r="C730" s="217" t="s">
        <v>655</v>
      </c>
      <c r="D730" s="216">
        <v>41584</v>
      </c>
      <c r="E730" s="218">
        <v>31.95</v>
      </c>
      <c r="F730" s="216">
        <v>41584</v>
      </c>
      <c r="G730" s="218">
        <v>-31.95</v>
      </c>
      <c r="H730" s="219" t="s">
        <v>52</v>
      </c>
      <c r="I730" s="219" t="s">
        <v>2</v>
      </c>
      <c r="J730" s="219" t="s">
        <v>488</v>
      </c>
      <c r="K730" s="220" t="str">
        <f>IF(J730&lt;&gt;"",VLOOKUP(J730,PContas!A:B,2,FALSE),"")</f>
        <v>ALIMENTAÇÃO</v>
      </c>
      <c r="L730" s="221">
        <f t="shared" si="22"/>
        <v>6</v>
      </c>
      <c r="M730" s="221" t="str">
        <f t="shared" ca="1" si="23"/>
        <v>2013/11</v>
      </c>
    </row>
    <row r="731" spans="1:13">
      <c r="A731" s="216">
        <v>41584</v>
      </c>
      <c r="B731" s="217"/>
      <c r="C731" s="217" t="s">
        <v>655</v>
      </c>
      <c r="D731" s="216">
        <v>41584</v>
      </c>
      <c r="E731" s="218">
        <v>29.82</v>
      </c>
      <c r="F731" s="216">
        <v>41584</v>
      </c>
      <c r="G731" s="218">
        <v>-29.82</v>
      </c>
      <c r="H731" s="219" t="s">
        <v>52</v>
      </c>
      <c r="I731" s="219" t="s">
        <v>2</v>
      </c>
      <c r="J731" s="219" t="s">
        <v>105</v>
      </c>
      <c r="K731" s="220" t="str">
        <f>IF(J731&lt;&gt;"",VLOOKUP(J731,PContas!A:B,2,FALSE),"")</f>
        <v>AILTON</v>
      </c>
      <c r="L731" s="221">
        <f t="shared" si="22"/>
        <v>6</v>
      </c>
      <c r="M731" s="221" t="str">
        <f t="shared" ca="1" si="23"/>
        <v>2013/11</v>
      </c>
    </row>
    <row r="732" spans="1:13">
      <c r="A732" s="216">
        <v>41584</v>
      </c>
      <c r="B732" s="217"/>
      <c r="C732" s="217" t="s">
        <v>941</v>
      </c>
      <c r="D732" s="216">
        <v>41584</v>
      </c>
      <c r="E732" s="218">
        <v>40.799999999999997</v>
      </c>
      <c r="F732" s="216">
        <v>41584</v>
      </c>
      <c r="G732" s="218">
        <v>-40.799999999999997</v>
      </c>
      <c r="H732" s="219" t="s">
        <v>52</v>
      </c>
      <c r="I732" s="219" t="s">
        <v>2</v>
      </c>
      <c r="J732" s="219" t="s">
        <v>488</v>
      </c>
      <c r="K732" s="220" t="str">
        <f>IF(J732&lt;&gt;"",VLOOKUP(J732,PContas!A:B,2,FALSE),"")</f>
        <v>ALIMENTAÇÃO</v>
      </c>
      <c r="L732" s="221">
        <f t="shared" si="22"/>
        <v>6</v>
      </c>
      <c r="M732" s="221" t="str">
        <f t="shared" ca="1" si="23"/>
        <v>2013/11</v>
      </c>
    </row>
    <row r="733" spans="1:13">
      <c r="A733" s="216">
        <v>41584</v>
      </c>
      <c r="B733" s="217"/>
      <c r="C733" s="217" t="s">
        <v>879</v>
      </c>
      <c r="D733" s="216">
        <v>41584</v>
      </c>
      <c r="E733" s="218">
        <v>84.626666666666665</v>
      </c>
      <c r="F733" s="216">
        <v>41584</v>
      </c>
      <c r="G733" s="218">
        <v>-84.626666666666694</v>
      </c>
      <c r="H733" s="219" t="s">
        <v>52</v>
      </c>
      <c r="I733" s="219" t="s">
        <v>2</v>
      </c>
      <c r="J733" s="219" t="s">
        <v>29</v>
      </c>
      <c r="K733" s="220" t="str">
        <f>IF(J733&lt;&gt;"",VLOOKUP(J733,PContas!A:B,2,FALSE),"")</f>
        <v>AILTON</v>
      </c>
      <c r="L733" s="221">
        <f t="shared" si="22"/>
        <v>6</v>
      </c>
      <c r="M733" s="221" t="str">
        <f t="shared" ca="1" si="23"/>
        <v>2013/11</v>
      </c>
    </row>
    <row r="734" spans="1:13">
      <c r="A734" s="216">
        <v>41584</v>
      </c>
      <c r="B734" s="217" t="s">
        <v>975</v>
      </c>
      <c r="C734" s="217" t="s">
        <v>886</v>
      </c>
      <c r="D734" s="216">
        <v>41584</v>
      </c>
      <c r="E734" s="218">
        <v>1200</v>
      </c>
      <c r="F734" s="216">
        <v>41584</v>
      </c>
      <c r="G734" s="218">
        <v>1200</v>
      </c>
      <c r="H734" s="219" t="s">
        <v>71</v>
      </c>
      <c r="I734" s="219" t="s">
        <v>4</v>
      </c>
      <c r="J734" s="219" t="s">
        <v>62</v>
      </c>
      <c r="K734" s="220" t="str">
        <f>IF(J734&lt;&gt;"",VLOOKUP(J734,PContas!A:B,2,FALSE),"")</f>
        <v>CLIENTES</v>
      </c>
      <c r="L734" s="221">
        <f t="shared" si="22"/>
        <v>6</v>
      </c>
      <c r="M734" s="221" t="str">
        <f t="shared" ca="1" si="23"/>
        <v>2013/11</v>
      </c>
    </row>
    <row r="735" spans="1:13">
      <c r="A735" s="216">
        <v>41584</v>
      </c>
      <c r="B735" s="217"/>
      <c r="C735" s="217"/>
      <c r="D735" s="216">
        <v>41584</v>
      </c>
      <c r="E735" s="218">
        <v>15</v>
      </c>
      <c r="F735" s="216">
        <v>41584</v>
      </c>
      <c r="G735" s="218">
        <v>-15</v>
      </c>
      <c r="H735" s="219" t="s">
        <v>52</v>
      </c>
      <c r="I735" s="219" t="s">
        <v>2</v>
      </c>
      <c r="J735" s="219" t="s">
        <v>493</v>
      </c>
      <c r="K735" s="220" t="str">
        <f>IF(J735&lt;&gt;"",VLOOKUP(J735,PContas!A:B,2,FALSE),"")</f>
        <v>TELEFONIA</v>
      </c>
      <c r="L735" s="221">
        <f t="shared" si="22"/>
        <v>6</v>
      </c>
      <c r="M735" s="221" t="str">
        <f t="shared" ca="1" si="23"/>
        <v>2013/11</v>
      </c>
    </row>
    <row r="736" spans="1:13">
      <c r="A736" s="216">
        <v>41585</v>
      </c>
      <c r="B736" s="217"/>
      <c r="C736" s="217"/>
      <c r="D736" s="216">
        <v>41585</v>
      </c>
      <c r="E736" s="218">
        <v>59.8</v>
      </c>
      <c r="F736" s="216">
        <v>41621</v>
      </c>
      <c r="G736" s="218">
        <v>-59.8</v>
      </c>
      <c r="H736" s="219" t="s">
        <v>52</v>
      </c>
      <c r="I736" s="219" t="s">
        <v>2</v>
      </c>
      <c r="J736" s="219" t="s">
        <v>488</v>
      </c>
      <c r="K736" s="220" t="str">
        <f>IF(J736&lt;&gt;"",VLOOKUP(J736,PContas!A:B,2,FALSE),"")</f>
        <v>ALIMENTAÇÃO</v>
      </c>
      <c r="L736" s="221">
        <f t="shared" si="22"/>
        <v>7</v>
      </c>
      <c r="M736" s="221" t="str">
        <f t="shared" ca="1" si="23"/>
        <v>2013/11</v>
      </c>
    </row>
    <row r="737" spans="1:13">
      <c r="A737" s="216">
        <v>41586</v>
      </c>
      <c r="B737" s="217"/>
      <c r="C737" s="217"/>
      <c r="D737" s="216">
        <v>41586</v>
      </c>
      <c r="E737" s="218">
        <v>163.69999999999999</v>
      </c>
      <c r="F737" s="216">
        <v>41586</v>
      </c>
      <c r="G737" s="218">
        <v>-163.69999999999999</v>
      </c>
      <c r="H737" s="219" t="s">
        <v>52</v>
      </c>
      <c r="I737" s="219" t="s">
        <v>2</v>
      </c>
      <c r="J737" s="219" t="s">
        <v>3</v>
      </c>
      <c r="K737" s="220" t="str">
        <f>IF(J737&lt;&gt;"",VLOOKUP(J737,PContas!A:B,2,FALSE),"")</f>
        <v>ALIMENTAÇÃO</v>
      </c>
      <c r="L737" s="221">
        <f t="shared" si="22"/>
        <v>8</v>
      </c>
      <c r="M737" s="221" t="str">
        <f t="shared" ca="1" si="23"/>
        <v>2013/11</v>
      </c>
    </row>
    <row r="738" spans="1:13">
      <c r="A738" s="216">
        <v>41586</v>
      </c>
      <c r="B738" s="217"/>
      <c r="C738" s="217" t="s">
        <v>994</v>
      </c>
      <c r="D738" s="216">
        <v>41586</v>
      </c>
      <c r="E738" s="218">
        <v>12</v>
      </c>
      <c r="F738" s="216">
        <v>41586</v>
      </c>
      <c r="G738" s="218">
        <v>-12</v>
      </c>
      <c r="H738" s="219" t="s">
        <v>52</v>
      </c>
      <c r="I738" s="219" t="s">
        <v>2</v>
      </c>
      <c r="J738" s="219" t="s">
        <v>9</v>
      </c>
      <c r="K738" s="220" t="str">
        <f>IF(J738&lt;&gt;"",VLOOKUP(J738,PContas!A:B,2,FALSE),"")</f>
        <v>AILTON</v>
      </c>
      <c r="L738" s="221">
        <f t="shared" si="22"/>
        <v>8</v>
      </c>
      <c r="M738" s="221" t="str">
        <f t="shared" ca="1" si="23"/>
        <v>2013/11</v>
      </c>
    </row>
    <row r="739" spans="1:13">
      <c r="A739" s="236">
        <v>41586</v>
      </c>
      <c r="B739" s="237"/>
      <c r="C739" s="237"/>
      <c r="D739" s="236">
        <v>41586</v>
      </c>
      <c r="E739" s="238">
        <v>10</v>
      </c>
      <c r="F739" s="236">
        <v>41586</v>
      </c>
      <c r="G739" s="238">
        <v>-10</v>
      </c>
      <c r="H739" s="219" t="s">
        <v>52</v>
      </c>
      <c r="I739" s="219" t="s">
        <v>2</v>
      </c>
      <c r="J739" s="219" t="s">
        <v>9</v>
      </c>
      <c r="K739" s="220" t="str">
        <f>IF(J739&lt;&gt;"",VLOOKUP(J739,PContas!A:B,2,FALSE),"")</f>
        <v>AILTON</v>
      </c>
      <c r="L739" s="221">
        <f t="shared" si="22"/>
        <v>8</v>
      </c>
      <c r="M739" s="221" t="str">
        <f t="shared" ca="1" si="23"/>
        <v>2013/11</v>
      </c>
    </row>
    <row r="740" spans="1:13">
      <c r="A740" s="216">
        <v>41586</v>
      </c>
      <c r="B740" s="217" t="s">
        <v>1002</v>
      </c>
      <c r="C740" s="217" t="s">
        <v>1001</v>
      </c>
      <c r="D740" s="216">
        <v>41586</v>
      </c>
      <c r="E740" s="218">
        <v>20</v>
      </c>
      <c r="F740" s="216">
        <v>41586</v>
      </c>
      <c r="G740" s="218">
        <v>20</v>
      </c>
      <c r="H740" s="219" t="s">
        <v>71</v>
      </c>
      <c r="I740" s="219" t="s">
        <v>2</v>
      </c>
      <c r="J740" s="219" t="s">
        <v>972</v>
      </c>
      <c r="K740" s="220" t="str">
        <f>IF(J740&lt;&gt;"",VLOOKUP(J740,PContas!A:B,2,FALSE),"")</f>
        <v>CLIENTES</v>
      </c>
      <c r="L740" s="221">
        <f t="shared" si="22"/>
        <v>8</v>
      </c>
      <c r="M740" s="221" t="str">
        <f t="shared" ca="1" si="23"/>
        <v>2013/11</v>
      </c>
    </row>
    <row r="741" spans="1:13">
      <c r="A741" s="216">
        <v>41586</v>
      </c>
      <c r="B741" s="217" t="s">
        <v>1003</v>
      </c>
      <c r="C741" s="217"/>
      <c r="D741" s="216">
        <v>41586</v>
      </c>
      <c r="E741" s="218">
        <v>200</v>
      </c>
      <c r="F741" s="216">
        <v>41592</v>
      </c>
      <c r="G741" s="218">
        <v>200</v>
      </c>
      <c r="H741" s="219" t="s">
        <v>71</v>
      </c>
      <c r="I741" s="219" t="s">
        <v>2</v>
      </c>
      <c r="J741" s="219" t="s">
        <v>61</v>
      </c>
      <c r="K741" s="220" t="str">
        <f>IF(J741&lt;&gt;"",VLOOKUP(J741,PContas!A:B,2,FALSE),"")</f>
        <v>CLIENTES</v>
      </c>
      <c r="L741" s="221">
        <f t="shared" si="22"/>
        <v>8</v>
      </c>
      <c r="M741" s="221" t="str">
        <f t="shared" ca="1" si="23"/>
        <v>2013/11</v>
      </c>
    </row>
    <row r="742" spans="1:13">
      <c r="A742" s="236">
        <v>41586</v>
      </c>
      <c r="B742" s="237" t="s">
        <v>1003</v>
      </c>
      <c r="C742" s="237"/>
      <c r="D742" s="236">
        <v>41586</v>
      </c>
      <c r="E742" s="238">
        <v>10</v>
      </c>
      <c r="F742" s="236">
        <v>41586</v>
      </c>
      <c r="G742" s="238">
        <v>-10</v>
      </c>
      <c r="H742" s="219" t="s">
        <v>52</v>
      </c>
      <c r="I742" s="219" t="s">
        <v>2</v>
      </c>
      <c r="J742" s="219" t="s">
        <v>488</v>
      </c>
      <c r="K742" s="220" t="str">
        <f>IF(J742&lt;&gt;"",VLOOKUP(J742,PContas!A:B,2,FALSE),"")</f>
        <v>ALIMENTAÇÃO</v>
      </c>
      <c r="L742" s="221">
        <f t="shared" si="22"/>
        <v>8</v>
      </c>
      <c r="M742" s="221" t="str">
        <f t="shared" ca="1" si="23"/>
        <v>2013/11</v>
      </c>
    </row>
    <row r="743" spans="1:13">
      <c r="A743" s="216">
        <v>41587</v>
      </c>
      <c r="B743" s="217"/>
      <c r="C743" s="217" t="s">
        <v>995</v>
      </c>
      <c r="D743" s="216">
        <v>41587</v>
      </c>
      <c r="E743" s="218">
        <v>42.77</v>
      </c>
      <c r="F743" s="216">
        <v>41587</v>
      </c>
      <c r="G743" s="218">
        <v>-42.77</v>
      </c>
      <c r="H743" s="219" t="s">
        <v>52</v>
      </c>
      <c r="I743" s="219" t="s">
        <v>2</v>
      </c>
      <c r="J743" s="219" t="s">
        <v>3</v>
      </c>
      <c r="K743" s="220" t="str">
        <f>IF(J743&lt;&gt;"",VLOOKUP(J743,PContas!A:B,2,FALSE),"")</f>
        <v>ALIMENTAÇÃO</v>
      </c>
      <c r="L743" s="221">
        <f t="shared" si="22"/>
        <v>9</v>
      </c>
      <c r="M743" s="221" t="str">
        <f t="shared" ca="1" si="23"/>
        <v>2013/11</v>
      </c>
    </row>
    <row r="744" spans="1:13">
      <c r="A744" s="216">
        <v>41587</v>
      </c>
      <c r="B744" s="217"/>
      <c r="C744" s="217"/>
      <c r="D744" s="216">
        <v>41587</v>
      </c>
      <c r="E744" s="218">
        <v>100</v>
      </c>
      <c r="F744" s="216">
        <v>41621</v>
      </c>
      <c r="G744" s="218">
        <v>-100</v>
      </c>
      <c r="H744" s="219" t="s">
        <v>52</v>
      </c>
      <c r="I744" s="219" t="s">
        <v>2</v>
      </c>
      <c r="J744" s="219" t="s">
        <v>3</v>
      </c>
      <c r="K744" s="220" t="str">
        <f>IF(J744&lt;&gt;"",VLOOKUP(J744,PContas!A:B,2,FALSE),"")</f>
        <v>ALIMENTAÇÃO</v>
      </c>
      <c r="L744" s="221">
        <f t="shared" si="22"/>
        <v>9</v>
      </c>
      <c r="M744" s="221" t="str">
        <f t="shared" ca="1" si="23"/>
        <v>2013/11</v>
      </c>
    </row>
    <row r="745" spans="1:13">
      <c r="A745" s="216">
        <v>41587</v>
      </c>
      <c r="B745" s="217"/>
      <c r="C745" s="217" t="s">
        <v>996</v>
      </c>
      <c r="D745" s="216">
        <v>41587</v>
      </c>
      <c r="E745" s="218">
        <v>142.28</v>
      </c>
      <c r="F745" s="216">
        <v>41621</v>
      </c>
      <c r="G745" s="218">
        <v>-142.28</v>
      </c>
      <c r="H745" s="219" t="s">
        <v>52</v>
      </c>
      <c r="I745" s="219" t="s">
        <v>2</v>
      </c>
      <c r="J745" s="219" t="s">
        <v>488</v>
      </c>
      <c r="K745" s="220" t="str">
        <f>IF(J745&lt;&gt;"",VLOOKUP(J745,PContas!A:B,2,FALSE),"")</f>
        <v>ALIMENTAÇÃO</v>
      </c>
      <c r="L745" s="221">
        <f t="shared" si="22"/>
        <v>9</v>
      </c>
      <c r="M745" s="221" t="str">
        <f t="shared" ca="1" si="23"/>
        <v>2013/11</v>
      </c>
    </row>
    <row r="746" spans="1:13">
      <c r="A746" s="216">
        <v>41588</v>
      </c>
      <c r="B746" s="217"/>
      <c r="C746" s="217" t="s">
        <v>1251</v>
      </c>
      <c r="D746" s="216">
        <v>41618</v>
      </c>
      <c r="E746" s="218">
        <v>79.86</v>
      </c>
      <c r="F746" s="216">
        <v>41677</v>
      </c>
      <c r="G746" s="218">
        <v>-79.86</v>
      </c>
      <c r="H746" s="219" t="s">
        <v>52</v>
      </c>
      <c r="I746" s="219" t="s">
        <v>1111</v>
      </c>
      <c r="J746" s="219" t="s">
        <v>16</v>
      </c>
      <c r="K746" s="220" t="str">
        <f>IF(J746&lt;&gt;"",VLOOKUP(J746,PContas!A:B,2,FALSE),"")</f>
        <v>MORADIA</v>
      </c>
      <c r="L746" s="221">
        <f t="shared" si="22"/>
        <v>10</v>
      </c>
      <c r="M746" s="221" t="str">
        <f t="shared" ca="1" si="23"/>
        <v>2013/12</v>
      </c>
    </row>
    <row r="747" spans="1:13">
      <c r="A747" s="216">
        <v>41588</v>
      </c>
      <c r="B747" s="217"/>
      <c r="C747" s="217" t="s">
        <v>1093</v>
      </c>
      <c r="D747" s="216">
        <v>41649</v>
      </c>
      <c r="E747" s="218">
        <v>700</v>
      </c>
      <c r="F747" s="216"/>
      <c r="G747" s="218">
        <v>-700</v>
      </c>
      <c r="H747" s="219" t="s">
        <v>52</v>
      </c>
      <c r="I747" s="219" t="s">
        <v>1111</v>
      </c>
      <c r="J747" s="219" t="s">
        <v>18</v>
      </c>
      <c r="K747" s="220" t="str">
        <f>IF(J747&lt;&gt;"",VLOOKUP(J747,PContas!A:B,2,FALSE),"")</f>
        <v>MORADIA</v>
      </c>
      <c r="L747" s="221">
        <f t="shared" si="22"/>
        <v>10</v>
      </c>
      <c r="M747" s="221" t="str">
        <f t="shared" ca="1" si="23"/>
        <v>ATRASADO</v>
      </c>
    </row>
    <row r="748" spans="1:13">
      <c r="A748" s="216">
        <v>41589</v>
      </c>
      <c r="B748" s="217"/>
      <c r="C748" s="237"/>
      <c r="D748" s="216">
        <v>41589</v>
      </c>
      <c r="E748" s="218">
        <v>7.44</v>
      </c>
      <c r="F748" s="216">
        <v>41589</v>
      </c>
      <c r="G748" s="218">
        <v>-7.44</v>
      </c>
      <c r="H748" s="219" t="s">
        <v>52</v>
      </c>
      <c r="I748" s="239" t="s">
        <v>1111</v>
      </c>
      <c r="J748" s="219" t="s">
        <v>97</v>
      </c>
      <c r="K748" s="220" t="str">
        <f>IF(J748&lt;&gt;"",VLOOKUP(J748,PContas!A:B,2,FALSE),"")</f>
        <v>TARIFAS</v>
      </c>
      <c r="L748" s="221">
        <f t="shared" si="22"/>
        <v>11</v>
      </c>
      <c r="M748" s="221" t="str">
        <f t="shared" ca="1" si="23"/>
        <v>2013/11</v>
      </c>
    </row>
    <row r="749" spans="1:13">
      <c r="A749" s="216">
        <v>41589</v>
      </c>
      <c r="B749" s="217"/>
      <c r="C749" s="217" t="s">
        <v>34</v>
      </c>
      <c r="D749" s="216">
        <v>41589</v>
      </c>
      <c r="E749" s="218">
        <v>18</v>
      </c>
      <c r="F749" s="216">
        <v>41589</v>
      </c>
      <c r="G749" s="218">
        <v>-18</v>
      </c>
      <c r="H749" s="219" t="s">
        <v>52</v>
      </c>
      <c r="I749" s="239" t="s">
        <v>2</v>
      </c>
      <c r="J749" s="219" t="s">
        <v>1024</v>
      </c>
      <c r="K749" s="220" t="str">
        <f>IF(J749&lt;&gt;"",VLOOKUP(J749,PContas!A:B,2,FALSE),"")</f>
        <v>TELEFONIA</v>
      </c>
      <c r="L749" s="221">
        <f t="shared" si="22"/>
        <v>11</v>
      </c>
      <c r="M749" s="221" t="str">
        <f t="shared" ca="1" si="23"/>
        <v>2013/11</v>
      </c>
    </row>
    <row r="750" spans="1:13">
      <c r="A750" s="216">
        <v>41590</v>
      </c>
      <c r="B750" s="217"/>
      <c r="C750" s="217"/>
      <c r="D750" s="216">
        <v>41590</v>
      </c>
      <c r="E750" s="218">
        <v>20</v>
      </c>
      <c r="F750" s="216">
        <v>41590</v>
      </c>
      <c r="G750" s="218">
        <v>-20</v>
      </c>
      <c r="H750" s="219" t="s">
        <v>52</v>
      </c>
      <c r="I750" s="219" t="s">
        <v>2</v>
      </c>
      <c r="J750" s="219" t="s">
        <v>9</v>
      </c>
      <c r="K750" s="220" t="str">
        <f>IF(J750&lt;&gt;"",VLOOKUP(J750,PContas!A:B,2,FALSE),"")</f>
        <v>AILTON</v>
      </c>
      <c r="L750" s="221">
        <f t="shared" si="22"/>
        <v>12</v>
      </c>
      <c r="M750" s="221" t="str">
        <f t="shared" ca="1" si="23"/>
        <v>2013/11</v>
      </c>
    </row>
    <row r="751" spans="1:13">
      <c r="A751" s="216">
        <v>41590</v>
      </c>
      <c r="B751" s="217"/>
      <c r="C751" s="217"/>
      <c r="D751" s="216">
        <v>41590</v>
      </c>
      <c r="E751" s="218">
        <v>56.51</v>
      </c>
      <c r="F751" s="216">
        <v>41590</v>
      </c>
      <c r="G751" s="218">
        <v>-56.51</v>
      </c>
      <c r="H751" s="219" t="s">
        <v>52</v>
      </c>
      <c r="I751" s="219" t="s">
        <v>2</v>
      </c>
      <c r="J751" s="219" t="s">
        <v>3</v>
      </c>
      <c r="K751" s="220" t="str">
        <f>IF(J751&lt;&gt;"",VLOOKUP(J751,PContas!A:B,2,FALSE),"")</f>
        <v>ALIMENTAÇÃO</v>
      </c>
      <c r="L751" s="221">
        <f t="shared" si="22"/>
        <v>12</v>
      </c>
      <c r="M751" s="221" t="str">
        <f t="shared" ca="1" si="23"/>
        <v>2013/11</v>
      </c>
    </row>
    <row r="752" spans="1:13">
      <c r="A752" s="216">
        <v>41590</v>
      </c>
      <c r="B752" s="217"/>
      <c r="C752" s="217"/>
      <c r="D752" s="216">
        <v>41590</v>
      </c>
      <c r="E752" s="218">
        <v>11</v>
      </c>
      <c r="F752" s="216">
        <v>41590</v>
      </c>
      <c r="G752" s="218">
        <v>-11</v>
      </c>
      <c r="H752" s="219" t="s">
        <v>52</v>
      </c>
      <c r="I752" s="219" t="s">
        <v>2</v>
      </c>
      <c r="J752" s="219" t="s">
        <v>3</v>
      </c>
      <c r="K752" s="220" t="str">
        <f>IF(J752&lt;&gt;"",VLOOKUP(J752,PContas!A:B,2,FALSE),"")</f>
        <v>ALIMENTAÇÃO</v>
      </c>
      <c r="L752" s="221">
        <f t="shared" si="22"/>
        <v>12</v>
      </c>
      <c r="M752" s="221" t="str">
        <f t="shared" ca="1" si="23"/>
        <v>2013/11</v>
      </c>
    </row>
    <row r="753" spans="1:13">
      <c r="A753" s="216">
        <v>41592</v>
      </c>
      <c r="B753" s="217"/>
      <c r="C753" s="217"/>
      <c r="D753" s="216">
        <v>41592</v>
      </c>
      <c r="E753" s="238">
        <v>69.88</v>
      </c>
      <c r="F753" s="216">
        <v>41592</v>
      </c>
      <c r="G753" s="238">
        <v>-69.88</v>
      </c>
      <c r="H753" s="239" t="s">
        <v>52</v>
      </c>
      <c r="I753" s="239" t="s">
        <v>2</v>
      </c>
      <c r="J753" s="239" t="s">
        <v>3</v>
      </c>
      <c r="K753" s="220" t="str">
        <f>IF(J753&lt;&gt;"",VLOOKUP(J753,PContas!A:B,2,FALSE),"")</f>
        <v>ALIMENTAÇÃO</v>
      </c>
      <c r="L753" s="221">
        <f t="shared" si="22"/>
        <v>14</v>
      </c>
      <c r="M753" s="221" t="str">
        <f t="shared" ca="1" si="23"/>
        <v>2013/11</v>
      </c>
    </row>
    <row r="754" spans="1:13">
      <c r="A754" s="216">
        <v>41592</v>
      </c>
      <c r="B754" s="217"/>
      <c r="C754" s="217" t="s">
        <v>994</v>
      </c>
      <c r="D754" s="216">
        <v>41592</v>
      </c>
      <c r="E754" s="218">
        <v>12</v>
      </c>
      <c r="F754" s="216">
        <v>41592</v>
      </c>
      <c r="G754" s="218">
        <v>-12</v>
      </c>
      <c r="H754" s="219" t="s">
        <v>52</v>
      </c>
      <c r="I754" s="219" t="s">
        <v>2</v>
      </c>
      <c r="J754" s="219" t="s">
        <v>9</v>
      </c>
      <c r="K754" s="220" t="str">
        <f>IF(J754&lt;&gt;"",VLOOKUP(J754,PContas!A:B,2,FALSE),"")</f>
        <v>AILTON</v>
      </c>
      <c r="L754" s="221">
        <f t="shared" si="22"/>
        <v>14</v>
      </c>
      <c r="M754" s="221" t="str">
        <f t="shared" ca="1" si="23"/>
        <v>2013/11</v>
      </c>
    </row>
    <row r="755" spans="1:13">
      <c r="A755" s="216">
        <v>41592</v>
      </c>
      <c r="B755" s="217"/>
      <c r="C755" s="217"/>
      <c r="D755" s="216">
        <v>41592</v>
      </c>
      <c r="E755" s="238">
        <v>18.5</v>
      </c>
      <c r="F755" s="216">
        <v>41592</v>
      </c>
      <c r="G755" s="238">
        <v>-18.5</v>
      </c>
      <c r="H755" s="219" t="s">
        <v>52</v>
      </c>
      <c r="I755" s="219" t="s">
        <v>2</v>
      </c>
      <c r="J755" s="219" t="s">
        <v>488</v>
      </c>
      <c r="K755" s="220" t="str">
        <f>IF(J755&lt;&gt;"",VLOOKUP(J755,PContas!A:B,2,FALSE),"")</f>
        <v>ALIMENTAÇÃO</v>
      </c>
      <c r="L755" s="221">
        <f t="shared" si="22"/>
        <v>14</v>
      </c>
      <c r="M755" s="221" t="str">
        <f t="shared" ca="1" si="23"/>
        <v>2013/11</v>
      </c>
    </row>
    <row r="756" spans="1:13">
      <c r="A756" s="236">
        <v>41594</v>
      </c>
      <c r="B756" s="237"/>
      <c r="C756" s="237"/>
      <c r="D756" s="236">
        <v>41594</v>
      </c>
      <c r="E756" s="238">
        <v>25.66</v>
      </c>
      <c r="F756" s="236">
        <v>41594</v>
      </c>
      <c r="G756" s="238">
        <v>-25.66</v>
      </c>
      <c r="H756" s="219" t="s">
        <v>52</v>
      </c>
      <c r="I756" s="219" t="s">
        <v>2</v>
      </c>
      <c r="J756" s="219" t="s">
        <v>3</v>
      </c>
      <c r="K756" s="220" t="str">
        <f>IF(J756&lt;&gt;"",VLOOKUP(J756,PContas!A:B,2,FALSE),"")</f>
        <v>ALIMENTAÇÃO</v>
      </c>
      <c r="L756" s="221">
        <f t="shared" si="22"/>
        <v>16</v>
      </c>
      <c r="M756" s="221" t="str">
        <f t="shared" ca="1" si="23"/>
        <v>2013/11</v>
      </c>
    </row>
    <row r="757" spans="1:13">
      <c r="A757" s="236">
        <v>41594</v>
      </c>
      <c r="B757" s="237"/>
      <c r="C757" s="237" t="s">
        <v>994</v>
      </c>
      <c r="D757" s="236">
        <v>41594</v>
      </c>
      <c r="E757" s="238">
        <v>12</v>
      </c>
      <c r="F757" s="236">
        <v>41594</v>
      </c>
      <c r="G757" s="238">
        <v>-12</v>
      </c>
      <c r="H757" s="219" t="s">
        <v>52</v>
      </c>
      <c r="I757" s="219" t="s">
        <v>2</v>
      </c>
      <c r="J757" s="219" t="s">
        <v>9</v>
      </c>
      <c r="K757" s="220" t="str">
        <f>IF(J757&lt;&gt;"",VLOOKUP(J757,PContas!A:B,2,FALSE),"")</f>
        <v>AILTON</v>
      </c>
      <c r="L757" s="221">
        <f t="shared" si="22"/>
        <v>16</v>
      </c>
      <c r="M757" s="221" t="str">
        <f t="shared" ca="1" si="23"/>
        <v>2013/11</v>
      </c>
    </row>
    <row r="758" spans="1:13">
      <c r="A758" s="236">
        <v>41596</v>
      </c>
      <c r="B758" s="237"/>
      <c r="C758" s="217"/>
      <c r="D758" s="236">
        <v>41596</v>
      </c>
      <c r="E758" s="238">
        <v>24</v>
      </c>
      <c r="F758" s="236">
        <v>41596</v>
      </c>
      <c r="G758" s="238">
        <v>-24</v>
      </c>
      <c r="H758" s="239" t="s">
        <v>52</v>
      </c>
      <c r="I758" s="239" t="s">
        <v>2</v>
      </c>
      <c r="J758" s="239" t="s">
        <v>488</v>
      </c>
      <c r="K758" s="220" t="str">
        <f>IF(J758&lt;&gt;"",VLOOKUP(J758,PContas!A:B,2,FALSE),"")</f>
        <v>ALIMENTAÇÃO</v>
      </c>
      <c r="L758" s="221">
        <f t="shared" si="22"/>
        <v>18</v>
      </c>
      <c r="M758" s="221" t="str">
        <f t="shared" ca="1" si="23"/>
        <v>2013/11</v>
      </c>
    </row>
    <row r="759" spans="1:13">
      <c r="A759" s="236">
        <v>41597</v>
      </c>
      <c r="B759" s="237"/>
      <c r="C759" s="237"/>
      <c r="D759" s="236">
        <v>41597</v>
      </c>
      <c r="E759" s="238">
        <v>10</v>
      </c>
      <c r="F759" s="236">
        <v>41597</v>
      </c>
      <c r="G759" s="238">
        <v>-10</v>
      </c>
      <c r="H759" s="219" t="s">
        <v>52</v>
      </c>
      <c r="I759" s="219" t="s">
        <v>2</v>
      </c>
      <c r="J759" s="219" t="s">
        <v>9</v>
      </c>
      <c r="K759" s="220" t="str">
        <f>IF(J759&lt;&gt;"",VLOOKUP(J759,PContas!A:B,2,FALSE),"")</f>
        <v>AILTON</v>
      </c>
      <c r="L759" s="221">
        <f t="shared" si="22"/>
        <v>19</v>
      </c>
      <c r="M759" s="221" t="str">
        <f t="shared" ca="1" si="23"/>
        <v>2013/11</v>
      </c>
    </row>
    <row r="760" spans="1:13">
      <c r="A760" s="236">
        <v>41597</v>
      </c>
      <c r="B760" s="237"/>
      <c r="C760" s="217"/>
      <c r="D760" s="236">
        <v>41597</v>
      </c>
      <c r="E760" s="238">
        <v>115.32</v>
      </c>
      <c r="F760" s="236">
        <v>41621</v>
      </c>
      <c r="G760" s="238">
        <v>-115.32</v>
      </c>
      <c r="H760" s="239" t="s">
        <v>52</v>
      </c>
      <c r="I760" s="239" t="s">
        <v>2</v>
      </c>
      <c r="J760" s="239" t="s">
        <v>3</v>
      </c>
      <c r="K760" s="220" t="str">
        <f>IF(J760&lt;&gt;"",VLOOKUP(J760,PContas!A:B,2,FALSE),"")</f>
        <v>ALIMENTAÇÃO</v>
      </c>
      <c r="L760" s="221">
        <f t="shared" si="22"/>
        <v>19</v>
      </c>
      <c r="M760" s="221" t="str">
        <f t="shared" ca="1" si="23"/>
        <v>2013/11</v>
      </c>
    </row>
    <row r="761" spans="1:13">
      <c r="A761" s="236">
        <v>41597</v>
      </c>
      <c r="B761" s="237"/>
      <c r="C761" s="237"/>
      <c r="D761" s="236">
        <v>41597</v>
      </c>
      <c r="E761" s="238">
        <v>20</v>
      </c>
      <c r="F761" s="236">
        <v>41621</v>
      </c>
      <c r="G761" s="238">
        <v>-20</v>
      </c>
      <c r="H761" s="219" t="s">
        <v>52</v>
      </c>
      <c r="I761" s="219" t="s">
        <v>2</v>
      </c>
      <c r="J761" s="219" t="s">
        <v>488</v>
      </c>
      <c r="K761" s="220" t="str">
        <f>IF(J761&lt;&gt;"",VLOOKUP(J761,PContas!A:B,2,FALSE),"")</f>
        <v>ALIMENTAÇÃO</v>
      </c>
      <c r="L761" s="221">
        <f t="shared" si="22"/>
        <v>19</v>
      </c>
      <c r="M761" s="221" t="str">
        <f t="shared" ca="1" si="23"/>
        <v>2013/11</v>
      </c>
    </row>
    <row r="762" spans="1:13">
      <c r="A762" s="236">
        <v>41597</v>
      </c>
      <c r="B762" s="237"/>
      <c r="C762" s="237" t="s">
        <v>994</v>
      </c>
      <c r="D762" s="236">
        <v>41597</v>
      </c>
      <c r="E762" s="238">
        <v>12</v>
      </c>
      <c r="F762" s="216">
        <v>41597</v>
      </c>
      <c r="G762" s="238">
        <v>-12</v>
      </c>
      <c r="H762" s="239" t="s">
        <v>52</v>
      </c>
      <c r="I762" s="239" t="s">
        <v>2</v>
      </c>
      <c r="J762" s="239" t="s">
        <v>9</v>
      </c>
      <c r="K762" s="220" t="str">
        <f>IF(J762&lt;&gt;"",VLOOKUP(J762,PContas!A:B,2,FALSE),"")</f>
        <v>AILTON</v>
      </c>
      <c r="L762" s="221">
        <f t="shared" si="22"/>
        <v>19</v>
      </c>
      <c r="M762" s="221" t="str">
        <f t="shared" ca="1" si="23"/>
        <v>2013/11</v>
      </c>
    </row>
    <row r="763" spans="1:13">
      <c r="A763" s="236">
        <v>41598</v>
      </c>
      <c r="B763" s="237"/>
      <c r="C763" s="237" t="s">
        <v>485</v>
      </c>
      <c r="D763" s="236">
        <v>41598</v>
      </c>
      <c r="E763" s="238">
        <v>25</v>
      </c>
      <c r="F763" s="216">
        <v>41598</v>
      </c>
      <c r="G763" s="238">
        <v>-25</v>
      </c>
      <c r="H763" s="239" t="s">
        <v>52</v>
      </c>
      <c r="I763" s="239" t="s">
        <v>1111</v>
      </c>
      <c r="J763" s="219" t="s">
        <v>486</v>
      </c>
      <c r="K763" s="220" t="str">
        <f>IF(J763&lt;&gt;"",VLOOKUP(J763,PContas!A:B,2,FALSE),"")</f>
        <v>SAUDE</v>
      </c>
      <c r="L763" s="221">
        <f t="shared" si="22"/>
        <v>20</v>
      </c>
      <c r="M763" s="221" t="str">
        <f t="shared" ca="1" si="23"/>
        <v>2013/11</v>
      </c>
    </row>
    <row r="764" spans="1:13">
      <c r="A764" s="236">
        <v>41598</v>
      </c>
      <c r="B764" s="237"/>
      <c r="C764" s="237"/>
      <c r="D764" s="236">
        <v>41598</v>
      </c>
      <c r="E764" s="238">
        <v>10</v>
      </c>
      <c r="F764" s="236">
        <v>41598</v>
      </c>
      <c r="G764" s="238">
        <v>-10</v>
      </c>
      <c r="H764" s="219" t="s">
        <v>52</v>
      </c>
      <c r="I764" s="219" t="s">
        <v>2</v>
      </c>
      <c r="J764" s="219" t="s">
        <v>3</v>
      </c>
      <c r="K764" s="220" t="str">
        <f>IF(J764&lt;&gt;"",VLOOKUP(J764,PContas!A:B,2,FALSE),"")</f>
        <v>ALIMENTAÇÃO</v>
      </c>
      <c r="L764" s="221">
        <f t="shared" si="22"/>
        <v>20</v>
      </c>
      <c r="M764" s="221" t="str">
        <f t="shared" ca="1" si="23"/>
        <v>2013/11</v>
      </c>
    </row>
    <row r="765" spans="1:13">
      <c r="A765" s="236">
        <v>41601</v>
      </c>
      <c r="B765" s="237"/>
      <c r="C765" s="217" t="s">
        <v>1011</v>
      </c>
      <c r="D765" s="236">
        <v>41601</v>
      </c>
      <c r="E765" s="238">
        <v>30</v>
      </c>
      <c r="F765" s="236">
        <v>41601</v>
      </c>
      <c r="G765" s="238">
        <v>-30</v>
      </c>
      <c r="H765" s="239" t="s">
        <v>52</v>
      </c>
      <c r="I765" s="239" t="s">
        <v>2</v>
      </c>
      <c r="J765" s="239" t="s">
        <v>9</v>
      </c>
      <c r="K765" s="220" t="str">
        <f>IF(J765&lt;&gt;"",VLOOKUP(J765,PContas!A:B,2,FALSE),"")</f>
        <v>AILTON</v>
      </c>
      <c r="L765" s="221">
        <f t="shared" si="22"/>
        <v>23</v>
      </c>
      <c r="M765" s="221" t="str">
        <f t="shared" ca="1" si="23"/>
        <v>2013/11</v>
      </c>
    </row>
    <row r="766" spans="1:13">
      <c r="A766" s="236">
        <v>41601</v>
      </c>
      <c r="B766" s="237"/>
      <c r="C766" s="237"/>
      <c r="D766" s="236">
        <v>41601</v>
      </c>
      <c r="E766" s="238">
        <v>36.729999999999997</v>
      </c>
      <c r="F766" s="236">
        <v>41601</v>
      </c>
      <c r="G766" s="238">
        <v>-36.729999999999997</v>
      </c>
      <c r="H766" s="239" t="s">
        <v>52</v>
      </c>
      <c r="I766" s="239" t="s">
        <v>2</v>
      </c>
      <c r="J766" s="219" t="s">
        <v>3</v>
      </c>
      <c r="K766" s="220" t="str">
        <f>IF(J766&lt;&gt;"",VLOOKUP(J766,PContas!A:B,2,FALSE),"")</f>
        <v>ALIMENTAÇÃO</v>
      </c>
      <c r="L766" s="221">
        <f t="shared" si="22"/>
        <v>23</v>
      </c>
      <c r="M766" s="221" t="str">
        <f t="shared" ca="1" si="23"/>
        <v>2013/11</v>
      </c>
    </row>
    <row r="767" spans="1:13">
      <c r="A767" s="236">
        <v>41602</v>
      </c>
      <c r="B767" s="237"/>
      <c r="C767" s="237"/>
      <c r="D767" s="236">
        <v>41602</v>
      </c>
      <c r="E767" s="238">
        <v>17.059999999999999</v>
      </c>
      <c r="F767" s="236">
        <v>41602</v>
      </c>
      <c r="G767" s="238">
        <v>-17.059999999999999</v>
      </c>
      <c r="H767" s="239" t="s">
        <v>52</v>
      </c>
      <c r="I767" s="239" t="s">
        <v>2</v>
      </c>
      <c r="J767" s="239" t="s">
        <v>3</v>
      </c>
      <c r="K767" s="220" t="str">
        <f>IF(J767&lt;&gt;"",VLOOKUP(J767,PContas!A:B,2,FALSE),"")</f>
        <v>ALIMENTAÇÃO</v>
      </c>
      <c r="L767" s="221">
        <f t="shared" si="22"/>
        <v>24</v>
      </c>
      <c r="M767" s="221" t="str">
        <f t="shared" ca="1" si="23"/>
        <v>2013/11</v>
      </c>
    </row>
    <row r="768" spans="1:13">
      <c r="A768" s="236">
        <v>41602</v>
      </c>
      <c r="B768" s="237"/>
      <c r="C768" s="237"/>
      <c r="D768" s="236">
        <v>41602</v>
      </c>
      <c r="E768" s="238">
        <v>10.91</v>
      </c>
      <c r="F768" s="236">
        <v>41602</v>
      </c>
      <c r="G768" s="238">
        <v>-10.91</v>
      </c>
      <c r="H768" s="239" t="s">
        <v>52</v>
      </c>
      <c r="I768" s="239" t="s">
        <v>2</v>
      </c>
      <c r="J768" s="219" t="s">
        <v>3</v>
      </c>
      <c r="K768" s="220" t="str">
        <f>IF(J768&lt;&gt;"",VLOOKUP(J768,PContas!A:B,2,FALSE),"")</f>
        <v>ALIMENTAÇÃO</v>
      </c>
      <c r="L768" s="221">
        <f t="shared" ref="L768:L831" si="24">DAY(D768)</f>
        <v>24</v>
      </c>
      <c r="M768" s="221" t="str">
        <f t="shared" ref="M768:M831" ca="1" si="25">IF(D768&lt;&gt;"",IF(F768="",IF(DAYS360(D768,NOW())&gt;0,"ATRASADO",YEAR(D768)&amp;"/"&amp;CHOOSE(MONTH(D768),"01","02","03","04","05","06","07","08","09","10","11","12")),YEAR(D768)&amp;"/"&amp;CHOOSE(MONTH(D768),"01","02","03","04","05","06","07","08","09","10","11","12")),"")</f>
        <v>2013/11</v>
      </c>
    </row>
    <row r="769" spans="1:13">
      <c r="A769" s="216">
        <v>41604</v>
      </c>
      <c r="B769" s="217"/>
      <c r="C769" s="217"/>
      <c r="D769" s="216">
        <v>41604</v>
      </c>
      <c r="E769" s="218">
        <v>22.33</v>
      </c>
      <c r="F769" s="216">
        <v>41604</v>
      </c>
      <c r="G769" s="218">
        <v>-22.33</v>
      </c>
      <c r="H769" s="219" t="s">
        <v>52</v>
      </c>
      <c r="I769" s="219" t="s">
        <v>2</v>
      </c>
      <c r="J769" s="219" t="s">
        <v>3</v>
      </c>
      <c r="K769" s="220" t="str">
        <f>IF(J769&lt;&gt;"",VLOOKUP(J769,PContas!A:B,2,FALSE),"")</f>
        <v>ALIMENTAÇÃO</v>
      </c>
      <c r="L769" s="221">
        <f t="shared" si="24"/>
        <v>26</v>
      </c>
      <c r="M769" s="221" t="str">
        <f t="shared" ca="1" si="25"/>
        <v>2013/11</v>
      </c>
    </row>
    <row r="770" spans="1:13">
      <c r="A770" s="216">
        <v>41604</v>
      </c>
      <c r="B770" s="217"/>
      <c r="C770" s="217"/>
      <c r="D770" s="216">
        <v>41604</v>
      </c>
      <c r="E770" s="218">
        <v>25.23</v>
      </c>
      <c r="F770" s="216">
        <v>41604</v>
      </c>
      <c r="G770" s="218">
        <v>-25.23</v>
      </c>
      <c r="H770" s="219" t="s">
        <v>52</v>
      </c>
      <c r="I770" s="219" t="s">
        <v>2</v>
      </c>
      <c r="J770" s="219" t="s">
        <v>3</v>
      </c>
      <c r="K770" s="220" t="str">
        <f>IF(J770&lt;&gt;"",VLOOKUP(J770,PContas!A:B,2,FALSE),"")</f>
        <v>ALIMENTAÇÃO</v>
      </c>
      <c r="L770" s="221">
        <f t="shared" si="24"/>
        <v>26</v>
      </c>
      <c r="M770" s="221" t="str">
        <f t="shared" ca="1" si="25"/>
        <v>2013/11</v>
      </c>
    </row>
    <row r="771" spans="1:13">
      <c r="A771" s="216">
        <v>41604</v>
      </c>
      <c r="B771" s="217"/>
      <c r="C771" s="217"/>
      <c r="D771" s="216">
        <v>41604</v>
      </c>
      <c r="E771" s="218">
        <v>58.69</v>
      </c>
      <c r="F771" s="216">
        <v>41604</v>
      </c>
      <c r="G771" s="218">
        <v>-58.69</v>
      </c>
      <c r="H771" s="219" t="s">
        <v>52</v>
      </c>
      <c r="I771" s="219" t="s">
        <v>2</v>
      </c>
      <c r="J771" s="219" t="s">
        <v>3</v>
      </c>
      <c r="K771" s="220" t="str">
        <f>IF(J771&lt;&gt;"",VLOOKUP(J771,PContas!A:B,2,FALSE),"")</f>
        <v>ALIMENTAÇÃO</v>
      </c>
      <c r="L771" s="221">
        <f t="shared" si="24"/>
        <v>26</v>
      </c>
      <c r="M771" s="221" t="str">
        <f t="shared" ca="1" si="25"/>
        <v>2013/11</v>
      </c>
    </row>
    <row r="772" spans="1:13">
      <c r="A772" s="216">
        <v>41606</v>
      </c>
      <c r="B772" s="217" t="s">
        <v>1089</v>
      </c>
      <c r="C772" s="217"/>
      <c r="D772" s="216">
        <v>41606</v>
      </c>
      <c r="E772" s="218">
        <v>100</v>
      </c>
      <c r="F772" s="216">
        <v>41606</v>
      </c>
      <c r="G772" s="218">
        <v>100</v>
      </c>
      <c r="H772" s="219" t="s">
        <v>71</v>
      </c>
      <c r="I772" s="219" t="s">
        <v>2</v>
      </c>
      <c r="J772" s="219" t="s">
        <v>61</v>
      </c>
      <c r="K772" s="220" t="str">
        <f>IF(J772&lt;&gt;"",VLOOKUP(J772,PContas!A:B,2,FALSE),"")</f>
        <v>CLIENTES</v>
      </c>
      <c r="L772" s="221">
        <f t="shared" si="24"/>
        <v>28</v>
      </c>
      <c r="M772" s="221" t="str">
        <f t="shared" ca="1" si="25"/>
        <v>2013/11</v>
      </c>
    </row>
    <row r="773" spans="1:13">
      <c r="A773" s="216">
        <v>41607</v>
      </c>
      <c r="B773" s="217"/>
      <c r="C773" s="217" t="s">
        <v>941</v>
      </c>
      <c r="D773" s="216">
        <v>41607</v>
      </c>
      <c r="E773" s="218">
        <v>20.5</v>
      </c>
      <c r="F773" s="216">
        <v>41621</v>
      </c>
      <c r="G773" s="218">
        <v>-20.5</v>
      </c>
      <c r="H773" s="219" t="s">
        <v>52</v>
      </c>
      <c r="I773" s="219" t="s">
        <v>2</v>
      </c>
      <c r="J773" s="219" t="s">
        <v>488</v>
      </c>
      <c r="K773" s="220" t="str">
        <f>IF(J773&lt;&gt;"",VLOOKUP(J773,PContas!A:B,2,FALSE),"")</f>
        <v>ALIMENTAÇÃO</v>
      </c>
      <c r="L773" s="221">
        <f t="shared" si="24"/>
        <v>29</v>
      </c>
      <c r="M773" s="221" t="str">
        <f t="shared" ca="1" si="25"/>
        <v>2013/11</v>
      </c>
    </row>
    <row r="774" spans="1:13">
      <c r="A774" s="216">
        <v>41608</v>
      </c>
      <c r="B774" s="217"/>
      <c r="C774" s="217"/>
      <c r="D774" s="216">
        <v>41579</v>
      </c>
      <c r="E774" s="218">
        <v>65</v>
      </c>
      <c r="F774" s="216">
        <v>41579</v>
      </c>
      <c r="G774" s="218">
        <v>-65</v>
      </c>
      <c r="H774" s="219" t="s">
        <v>52</v>
      </c>
      <c r="I774" s="219" t="s">
        <v>2</v>
      </c>
      <c r="J774" s="219" t="s">
        <v>90</v>
      </c>
      <c r="K774" s="220" t="str">
        <f>IF(J774&lt;&gt;"",VLOOKUP(J774,PContas!A:B,2,FALSE),"")</f>
        <v>ALIMENTAÇÃO</v>
      </c>
      <c r="L774" s="221">
        <f t="shared" si="24"/>
        <v>1</v>
      </c>
      <c r="M774" s="221" t="str">
        <f t="shared" ca="1" si="25"/>
        <v>2013/11</v>
      </c>
    </row>
    <row r="775" spans="1:13">
      <c r="A775" s="216">
        <v>41610</v>
      </c>
      <c r="B775" s="217"/>
      <c r="C775" s="217"/>
      <c r="D775" s="216">
        <v>41610</v>
      </c>
      <c r="E775" s="218">
        <v>15.67</v>
      </c>
      <c r="F775" s="216">
        <v>41610</v>
      </c>
      <c r="G775" s="218">
        <v>-15.67</v>
      </c>
      <c r="H775" s="219" t="s">
        <v>52</v>
      </c>
      <c r="I775" s="219" t="s">
        <v>2</v>
      </c>
      <c r="J775" s="219" t="s">
        <v>3</v>
      </c>
      <c r="K775" s="220" t="str">
        <f>IF(J775&lt;&gt;"",VLOOKUP(J775,PContas!A:B,2,FALSE),"")</f>
        <v>ALIMENTAÇÃO</v>
      </c>
      <c r="L775" s="221">
        <f t="shared" si="24"/>
        <v>2</v>
      </c>
      <c r="M775" s="221" t="str">
        <f t="shared" ca="1" si="25"/>
        <v>2013/12</v>
      </c>
    </row>
    <row r="776" spans="1:13">
      <c r="A776" s="216">
        <v>41611</v>
      </c>
      <c r="B776" s="217"/>
      <c r="C776" s="217"/>
      <c r="D776" s="216">
        <v>41611</v>
      </c>
      <c r="E776" s="218">
        <v>16.2</v>
      </c>
      <c r="F776" s="216">
        <v>41611</v>
      </c>
      <c r="G776" s="218">
        <v>-16.2</v>
      </c>
      <c r="H776" s="219" t="s">
        <v>52</v>
      </c>
      <c r="I776" s="219" t="s">
        <v>2</v>
      </c>
      <c r="J776" s="219" t="s">
        <v>488</v>
      </c>
      <c r="K776" s="220" t="str">
        <f>IF(J776&lt;&gt;"",VLOOKUP(J776,PContas!A:B,2,FALSE),"")</f>
        <v>ALIMENTAÇÃO</v>
      </c>
      <c r="L776" s="221">
        <f t="shared" si="24"/>
        <v>3</v>
      </c>
      <c r="M776" s="221" t="str">
        <f t="shared" ca="1" si="25"/>
        <v>2013/12</v>
      </c>
    </row>
    <row r="777" spans="1:13">
      <c r="A777" s="216">
        <v>41611</v>
      </c>
      <c r="B777" s="217"/>
      <c r="C777" s="217"/>
      <c r="D777" s="216">
        <v>41611</v>
      </c>
      <c r="E777" s="218">
        <v>63.21</v>
      </c>
      <c r="F777" s="216">
        <v>41611</v>
      </c>
      <c r="G777" s="218">
        <v>-63.21</v>
      </c>
      <c r="H777" s="219" t="s">
        <v>52</v>
      </c>
      <c r="I777" s="219" t="s">
        <v>2</v>
      </c>
      <c r="J777" s="219" t="s">
        <v>3</v>
      </c>
      <c r="K777" s="220" t="str">
        <f>IF(J777&lt;&gt;"",VLOOKUP(J777,PContas!A:B,2,FALSE),"")</f>
        <v>ALIMENTAÇÃO</v>
      </c>
      <c r="L777" s="221">
        <f t="shared" si="24"/>
        <v>3</v>
      </c>
      <c r="M777" s="221" t="str">
        <f t="shared" ca="1" si="25"/>
        <v>2013/12</v>
      </c>
    </row>
    <row r="778" spans="1:13">
      <c r="A778" s="236">
        <v>41613</v>
      </c>
      <c r="B778" s="237"/>
      <c r="C778" s="237"/>
      <c r="D778" s="236">
        <v>41613</v>
      </c>
      <c r="E778" s="238">
        <v>3.62</v>
      </c>
      <c r="F778" s="236">
        <v>41613</v>
      </c>
      <c r="G778" s="238">
        <v>-3.62</v>
      </c>
      <c r="H778" s="239" t="s">
        <v>52</v>
      </c>
      <c r="I778" s="239" t="s">
        <v>2</v>
      </c>
      <c r="J778" s="239" t="s">
        <v>3</v>
      </c>
      <c r="K778" s="220" t="str">
        <f>IF(J778&lt;&gt;"",VLOOKUP(J778,PContas!A:B,2,FALSE),"")</f>
        <v>ALIMENTAÇÃO</v>
      </c>
      <c r="L778" s="221">
        <f t="shared" si="24"/>
        <v>5</v>
      </c>
      <c r="M778" s="221" t="str">
        <f t="shared" ca="1" si="25"/>
        <v>2013/12</v>
      </c>
    </row>
    <row r="779" spans="1:13">
      <c r="A779" s="236">
        <v>41614</v>
      </c>
      <c r="B779" s="237"/>
      <c r="C779" s="237" t="s">
        <v>655</v>
      </c>
      <c r="D779" s="236">
        <v>41614</v>
      </c>
      <c r="E779" s="238">
        <v>29.82</v>
      </c>
      <c r="F779" s="236">
        <v>41621</v>
      </c>
      <c r="G779" s="238">
        <v>-29.82</v>
      </c>
      <c r="H779" s="239" t="s">
        <v>52</v>
      </c>
      <c r="I779" s="239" t="s">
        <v>2</v>
      </c>
      <c r="J779" s="239" t="s">
        <v>105</v>
      </c>
      <c r="K779" s="220" t="str">
        <f>IF(J779&lt;&gt;"",VLOOKUP(J779,PContas!A:B,2,FALSE),"")</f>
        <v>AILTON</v>
      </c>
      <c r="L779" s="221">
        <f t="shared" si="24"/>
        <v>6</v>
      </c>
      <c r="M779" s="221" t="str">
        <f t="shared" ca="1" si="25"/>
        <v>2013/12</v>
      </c>
    </row>
    <row r="780" spans="1:13">
      <c r="A780" s="236">
        <v>41614</v>
      </c>
      <c r="B780" s="237" t="s">
        <v>34</v>
      </c>
      <c r="C780" s="237" t="s">
        <v>655</v>
      </c>
      <c r="D780" s="236">
        <v>41618</v>
      </c>
      <c r="E780" s="238">
        <v>29.82</v>
      </c>
      <c r="F780" s="216"/>
      <c r="G780" s="238">
        <v>-29.82</v>
      </c>
      <c r="H780" s="239" t="s">
        <v>52</v>
      </c>
      <c r="I780" s="239" t="s">
        <v>2</v>
      </c>
      <c r="J780" s="239" t="s">
        <v>105</v>
      </c>
      <c r="K780" s="220" t="str">
        <f>IF(J780&lt;&gt;"",VLOOKUP(J780,PContas!A:B,2,FALSE),"")</f>
        <v>AILTON</v>
      </c>
      <c r="L780" s="221">
        <f t="shared" si="24"/>
        <v>10</v>
      </c>
      <c r="M780" s="221" t="str">
        <f t="shared" ca="1" si="25"/>
        <v>ATRASADO</v>
      </c>
    </row>
    <row r="781" spans="1:13">
      <c r="A781" s="236">
        <v>41614</v>
      </c>
      <c r="B781" s="237" t="s">
        <v>34</v>
      </c>
      <c r="C781" s="237" t="s">
        <v>655</v>
      </c>
      <c r="D781" s="236">
        <v>41618</v>
      </c>
      <c r="E781" s="238">
        <v>29.82</v>
      </c>
      <c r="F781" s="236"/>
      <c r="G781" s="238">
        <v>-29.82</v>
      </c>
      <c r="H781" s="239" t="s">
        <v>52</v>
      </c>
      <c r="I781" s="239" t="s">
        <v>2</v>
      </c>
      <c r="J781" s="239" t="s">
        <v>105</v>
      </c>
      <c r="K781" s="220" t="str">
        <f>IF(J781&lt;&gt;"",VLOOKUP(J781,PContas!A:B,2,FALSE),"")</f>
        <v>AILTON</v>
      </c>
      <c r="L781" s="221">
        <f t="shared" si="24"/>
        <v>10</v>
      </c>
      <c r="M781" s="221" t="str">
        <f t="shared" ca="1" si="25"/>
        <v>ATRASADO</v>
      </c>
    </row>
    <row r="782" spans="1:13">
      <c r="A782" s="236">
        <v>41614</v>
      </c>
      <c r="B782" s="237" t="s">
        <v>34</v>
      </c>
      <c r="C782" s="237" t="s">
        <v>655</v>
      </c>
      <c r="D782" s="236">
        <v>41618</v>
      </c>
      <c r="E782" s="238">
        <v>29.82</v>
      </c>
      <c r="F782" s="236"/>
      <c r="G782" s="238">
        <v>-29.82</v>
      </c>
      <c r="H782" s="239" t="s">
        <v>52</v>
      </c>
      <c r="I782" s="239" t="s">
        <v>2</v>
      </c>
      <c r="J782" s="239" t="s">
        <v>105</v>
      </c>
      <c r="K782" s="220" t="str">
        <f>IF(J782&lt;&gt;"",VLOOKUP(J782,PContas!A:B,2,FALSE),"")</f>
        <v>AILTON</v>
      </c>
      <c r="L782" s="221">
        <f t="shared" si="24"/>
        <v>10</v>
      </c>
      <c r="M782" s="221" t="str">
        <f t="shared" ca="1" si="25"/>
        <v>ATRASADO</v>
      </c>
    </row>
    <row r="783" spans="1:13">
      <c r="A783" s="236">
        <v>41614</v>
      </c>
      <c r="B783" s="237"/>
      <c r="C783" s="237"/>
      <c r="D783" s="236">
        <v>41614</v>
      </c>
      <c r="E783" s="238">
        <v>8.84</v>
      </c>
      <c r="F783" s="236">
        <v>41614</v>
      </c>
      <c r="G783" s="238">
        <v>-8.84</v>
      </c>
      <c r="H783" s="239" t="s">
        <v>52</v>
      </c>
      <c r="I783" s="239" t="s">
        <v>2</v>
      </c>
      <c r="J783" s="239" t="s">
        <v>3</v>
      </c>
      <c r="K783" s="220" t="str">
        <f>IF(J783&lt;&gt;"",VLOOKUP(J783,PContas!A:B,2,FALSE),"")</f>
        <v>ALIMENTAÇÃO</v>
      </c>
      <c r="L783" s="221">
        <f t="shared" si="24"/>
        <v>6</v>
      </c>
      <c r="M783" s="221" t="str">
        <f t="shared" ca="1" si="25"/>
        <v>2013/12</v>
      </c>
    </row>
    <row r="784" spans="1:13">
      <c r="A784" s="236">
        <v>41616</v>
      </c>
      <c r="B784" s="237"/>
      <c r="C784" s="237"/>
      <c r="D784" s="236">
        <v>41616</v>
      </c>
      <c r="E784" s="238">
        <v>27.81</v>
      </c>
      <c r="F784" s="236">
        <v>41616</v>
      </c>
      <c r="G784" s="238">
        <v>-27.81</v>
      </c>
      <c r="H784" s="239" t="s">
        <v>52</v>
      </c>
      <c r="I784" s="239" t="s">
        <v>2</v>
      </c>
      <c r="J784" s="239" t="s">
        <v>3</v>
      </c>
      <c r="K784" s="220" t="str">
        <f>IF(J784&lt;&gt;"",VLOOKUP(J784,PContas!A:B,2,FALSE),"")</f>
        <v>ALIMENTAÇÃO</v>
      </c>
      <c r="L784" s="221">
        <f t="shared" si="24"/>
        <v>8</v>
      </c>
      <c r="M784" s="221" t="str">
        <f t="shared" ca="1" si="25"/>
        <v>2013/12</v>
      </c>
    </row>
    <row r="785" spans="1:13">
      <c r="A785" s="236">
        <v>41616</v>
      </c>
      <c r="B785" s="237"/>
      <c r="C785" s="237"/>
      <c r="D785" s="236">
        <v>41616</v>
      </c>
      <c r="E785" s="238">
        <v>20</v>
      </c>
      <c r="F785" s="236">
        <v>41616</v>
      </c>
      <c r="G785" s="238">
        <v>-20</v>
      </c>
      <c r="H785" s="239" t="s">
        <v>52</v>
      </c>
      <c r="I785" s="239" t="s">
        <v>2</v>
      </c>
      <c r="J785" s="239" t="s">
        <v>3</v>
      </c>
      <c r="K785" s="220" t="str">
        <f>IF(J785&lt;&gt;"",VLOOKUP(J785,PContas!A:B,2,FALSE),"")</f>
        <v>ALIMENTAÇÃO</v>
      </c>
      <c r="L785" s="221">
        <f t="shared" si="24"/>
        <v>8</v>
      </c>
      <c r="M785" s="221" t="str">
        <f t="shared" ca="1" si="25"/>
        <v>2013/12</v>
      </c>
    </row>
    <row r="786" spans="1:13">
      <c r="A786" s="236">
        <v>41618</v>
      </c>
      <c r="B786" s="237" t="s">
        <v>968</v>
      </c>
      <c r="C786" s="237" t="s">
        <v>988</v>
      </c>
      <c r="D786" s="236">
        <v>41628</v>
      </c>
      <c r="E786" s="218">
        <v>87.14</v>
      </c>
      <c r="F786" s="236">
        <v>41631</v>
      </c>
      <c r="G786" s="238">
        <v>87.14</v>
      </c>
      <c r="H786" s="239" t="s">
        <v>71</v>
      </c>
      <c r="I786" s="239" t="s">
        <v>2</v>
      </c>
      <c r="J786" s="239" t="s">
        <v>55</v>
      </c>
      <c r="K786" s="220" t="str">
        <f>IF(J786&lt;&gt;"",VLOOKUP(J786,PContas!A:B,2,FALSE),"")</f>
        <v>CLIENTES</v>
      </c>
      <c r="L786" s="221">
        <f t="shared" si="24"/>
        <v>20</v>
      </c>
      <c r="M786" s="221" t="str">
        <f t="shared" ca="1" si="25"/>
        <v>2013/12</v>
      </c>
    </row>
    <row r="787" spans="1:13">
      <c r="A787" s="236">
        <v>41618</v>
      </c>
      <c r="B787" s="237" t="s">
        <v>961</v>
      </c>
      <c r="C787" s="237" t="s">
        <v>988</v>
      </c>
      <c r="D787" s="236">
        <v>41628</v>
      </c>
      <c r="E787" s="238">
        <v>67.849999999999994</v>
      </c>
      <c r="F787" s="236">
        <v>41628</v>
      </c>
      <c r="G787" s="238">
        <v>67.849999999999994</v>
      </c>
      <c r="H787" s="239" t="s">
        <v>71</v>
      </c>
      <c r="I787" s="239" t="s">
        <v>2</v>
      </c>
      <c r="J787" s="239" t="s">
        <v>56</v>
      </c>
      <c r="K787" s="220" t="str">
        <f>IF(J787&lt;&gt;"",VLOOKUP(J787,PContas!A:B,2,FALSE),"")</f>
        <v>CLIENTES</v>
      </c>
      <c r="L787" s="221">
        <f t="shared" si="24"/>
        <v>20</v>
      </c>
      <c r="M787" s="221" t="str">
        <f t="shared" ca="1" si="25"/>
        <v>2013/12</v>
      </c>
    </row>
    <row r="788" spans="1:13">
      <c r="A788" s="236">
        <v>41618</v>
      </c>
      <c r="B788" s="237" t="s">
        <v>1074</v>
      </c>
      <c r="C788" s="237" t="s">
        <v>1075</v>
      </c>
      <c r="D788" s="236">
        <v>41628</v>
      </c>
      <c r="E788" s="238">
        <v>60</v>
      </c>
      <c r="F788" s="236">
        <v>41628</v>
      </c>
      <c r="G788" s="238">
        <v>60</v>
      </c>
      <c r="H788" s="239" t="s">
        <v>71</v>
      </c>
      <c r="I788" s="239" t="s">
        <v>2</v>
      </c>
      <c r="J788" s="239" t="s">
        <v>59</v>
      </c>
      <c r="K788" s="220" t="str">
        <f>IF(J788&lt;&gt;"",VLOOKUP(J788,PContas!A:B,2,FALSE),"")</f>
        <v>CLIENTES</v>
      </c>
      <c r="L788" s="221">
        <f t="shared" si="24"/>
        <v>20</v>
      </c>
      <c r="M788" s="221" t="str">
        <f t="shared" ca="1" si="25"/>
        <v>2013/12</v>
      </c>
    </row>
    <row r="789" spans="1:13">
      <c r="A789" s="236">
        <v>41618</v>
      </c>
      <c r="B789" s="237" t="s">
        <v>1012</v>
      </c>
      <c r="C789" s="237"/>
      <c r="D789" s="236">
        <v>41618</v>
      </c>
      <c r="E789" s="238">
        <v>100</v>
      </c>
      <c r="F789" s="236">
        <v>41618</v>
      </c>
      <c r="G789" s="238">
        <v>100</v>
      </c>
      <c r="H789" s="239" t="s">
        <v>71</v>
      </c>
      <c r="I789" s="239" t="s">
        <v>2</v>
      </c>
      <c r="J789" s="239" t="s">
        <v>514</v>
      </c>
      <c r="K789" s="220" t="str">
        <f>IF(J789&lt;&gt;"",VLOOKUP(J789,PContas!A:B,2,FALSE),"")</f>
        <v>CLIENTES</v>
      </c>
      <c r="L789" s="221">
        <f t="shared" si="24"/>
        <v>10</v>
      </c>
      <c r="M789" s="221" t="str">
        <f t="shared" ca="1" si="25"/>
        <v>2013/12</v>
      </c>
    </row>
    <row r="790" spans="1:13">
      <c r="A790" s="236">
        <v>41619</v>
      </c>
      <c r="B790" s="237"/>
      <c r="C790" s="237"/>
      <c r="D790" s="236">
        <v>41619</v>
      </c>
      <c r="E790" s="238">
        <v>19.32</v>
      </c>
      <c r="F790" s="236">
        <v>41619</v>
      </c>
      <c r="G790" s="238">
        <v>-19.32</v>
      </c>
      <c r="H790" s="239" t="s">
        <v>52</v>
      </c>
      <c r="I790" s="239" t="s">
        <v>2</v>
      </c>
      <c r="J790" s="239" t="s">
        <v>3</v>
      </c>
      <c r="K790" s="220" t="str">
        <f>IF(J790&lt;&gt;"",VLOOKUP(J790,PContas!A:B,2,FALSE),"")</f>
        <v>ALIMENTAÇÃO</v>
      </c>
      <c r="L790" s="221">
        <f t="shared" si="24"/>
        <v>11</v>
      </c>
      <c r="M790" s="221" t="str">
        <f t="shared" ca="1" si="25"/>
        <v>2013/12</v>
      </c>
    </row>
    <row r="791" spans="1:13">
      <c r="A791" s="236">
        <v>41620</v>
      </c>
      <c r="B791" s="237" t="s">
        <v>1022</v>
      </c>
      <c r="C791" s="237" t="s">
        <v>1021</v>
      </c>
      <c r="D791" s="236">
        <v>41626</v>
      </c>
      <c r="E791" s="238">
        <v>11</v>
      </c>
      <c r="F791" s="236">
        <v>41626</v>
      </c>
      <c r="G791" s="238">
        <v>-11</v>
      </c>
      <c r="H791" s="239" t="s">
        <v>52</v>
      </c>
      <c r="I791" s="239" t="s">
        <v>4</v>
      </c>
      <c r="J791" s="239" t="s">
        <v>21</v>
      </c>
      <c r="K791" s="220" t="str">
        <f>IF(J791&lt;&gt;"",VLOOKUP(J791,PContas!A:B,2,FALSE),"")</f>
        <v>IMPOSTOS</v>
      </c>
      <c r="L791" s="221">
        <f t="shared" si="24"/>
        <v>18</v>
      </c>
      <c r="M791" s="221" t="str">
        <f t="shared" ca="1" si="25"/>
        <v>2013/12</v>
      </c>
    </row>
    <row r="792" spans="1:13">
      <c r="A792" s="236">
        <v>41620</v>
      </c>
      <c r="B792" s="237"/>
      <c r="C792" s="237"/>
      <c r="D792" s="236">
        <v>41620</v>
      </c>
      <c r="E792" s="238">
        <v>9</v>
      </c>
      <c r="F792" s="236">
        <v>41620</v>
      </c>
      <c r="G792" s="238">
        <v>-9</v>
      </c>
      <c r="H792" s="239" t="s">
        <v>52</v>
      </c>
      <c r="I792" s="239" t="s">
        <v>2</v>
      </c>
      <c r="J792" s="239" t="s">
        <v>9</v>
      </c>
      <c r="K792" s="220" t="str">
        <f>IF(J792&lt;&gt;"",VLOOKUP(J792,PContas!A:B,2,FALSE),"")</f>
        <v>AILTON</v>
      </c>
      <c r="L792" s="221">
        <f t="shared" si="24"/>
        <v>12</v>
      </c>
      <c r="M792" s="221" t="str">
        <f t="shared" ca="1" si="25"/>
        <v>2013/12</v>
      </c>
    </row>
    <row r="793" spans="1:13">
      <c r="A793" s="236">
        <v>41620</v>
      </c>
      <c r="B793" s="237" t="s">
        <v>1013</v>
      </c>
      <c r="C793" s="237"/>
      <c r="D793" s="236">
        <v>41620</v>
      </c>
      <c r="E793" s="238">
        <v>550</v>
      </c>
      <c r="F793" s="236">
        <v>41621</v>
      </c>
      <c r="G793" s="238">
        <v>550</v>
      </c>
      <c r="H793" s="239" t="s">
        <v>71</v>
      </c>
      <c r="I793" s="239" t="s">
        <v>4</v>
      </c>
      <c r="J793" s="239" t="s">
        <v>62</v>
      </c>
      <c r="K793" s="220" t="str">
        <f>IF(J793&lt;&gt;"",VLOOKUP(J793,PContas!A:B,2,FALSE),"")</f>
        <v>CLIENTES</v>
      </c>
      <c r="L793" s="221">
        <f t="shared" si="24"/>
        <v>12</v>
      </c>
      <c r="M793" s="221" t="str">
        <f t="shared" ca="1" si="25"/>
        <v>2013/12</v>
      </c>
    </row>
    <row r="794" spans="1:13">
      <c r="A794" s="236">
        <v>41620</v>
      </c>
      <c r="B794" s="237"/>
      <c r="C794" s="237"/>
      <c r="D794" s="236">
        <v>41620</v>
      </c>
      <c r="E794" s="238">
        <v>11</v>
      </c>
      <c r="F794" s="236">
        <v>41620</v>
      </c>
      <c r="G794" s="238">
        <v>-11</v>
      </c>
      <c r="H794" s="239" t="s">
        <v>52</v>
      </c>
      <c r="I794" s="239" t="s">
        <v>2</v>
      </c>
      <c r="J794" s="239" t="s">
        <v>488</v>
      </c>
      <c r="K794" s="220" t="str">
        <f>IF(J794&lt;&gt;"",VLOOKUP(J794,PContas!A:B,2,FALSE),"")</f>
        <v>ALIMENTAÇÃO</v>
      </c>
      <c r="L794" s="221">
        <f t="shared" si="24"/>
        <v>12</v>
      </c>
      <c r="M794" s="221" t="str">
        <f t="shared" ca="1" si="25"/>
        <v>2013/12</v>
      </c>
    </row>
    <row r="795" spans="1:13">
      <c r="A795" s="236">
        <v>41620</v>
      </c>
      <c r="B795" s="237"/>
      <c r="C795" s="237"/>
      <c r="D795" s="236">
        <v>41620</v>
      </c>
      <c r="E795" s="238">
        <v>17.11</v>
      </c>
      <c r="F795" s="236">
        <v>41620</v>
      </c>
      <c r="G795" s="238">
        <v>-17.11</v>
      </c>
      <c r="H795" s="239" t="s">
        <v>52</v>
      </c>
      <c r="I795" s="239" t="s">
        <v>2</v>
      </c>
      <c r="J795" s="239" t="s">
        <v>3</v>
      </c>
      <c r="K795" s="220" t="str">
        <f>IF(J795&lt;&gt;"",VLOOKUP(J795,PContas!A:B,2,FALSE),"")</f>
        <v>ALIMENTAÇÃO</v>
      </c>
      <c r="L795" s="221">
        <f t="shared" si="24"/>
        <v>12</v>
      </c>
      <c r="M795" s="221" t="str">
        <f t="shared" ca="1" si="25"/>
        <v>2013/12</v>
      </c>
    </row>
    <row r="796" spans="1:13">
      <c r="A796" s="236">
        <v>41620</v>
      </c>
      <c r="B796" s="237"/>
      <c r="C796" s="237" t="s">
        <v>995</v>
      </c>
      <c r="D796" s="236">
        <v>41620</v>
      </c>
      <c r="E796" s="238">
        <v>8.15</v>
      </c>
      <c r="F796" s="236">
        <v>41620</v>
      </c>
      <c r="G796" s="238">
        <v>-8.15</v>
      </c>
      <c r="H796" s="239" t="s">
        <v>52</v>
      </c>
      <c r="I796" s="239" t="s">
        <v>2</v>
      </c>
      <c r="J796" s="239" t="s">
        <v>3</v>
      </c>
      <c r="K796" s="220" t="str">
        <f>IF(J796&lt;&gt;"",VLOOKUP(J796,PContas!A:B,2,FALSE),"")</f>
        <v>ALIMENTAÇÃO</v>
      </c>
      <c r="L796" s="221">
        <f t="shared" si="24"/>
        <v>12</v>
      </c>
      <c r="M796" s="221" t="str">
        <f t="shared" ca="1" si="25"/>
        <v>2013/12</v>
      </c>
    </row>
    <row r="797" spans="1:13">
      <c r="A797" s="236">
        <v>41621</v>
      </c>
      <c r="B797" s="237"/>
      <c r="C797" s="237"/>
      <c r="D797" s="236">
        <v>41621</v>
      </c>
      <c r="E797" s="238">
        <v>36.71</v>
      </c>
      <c r="F797" s="236">
        <v>41621</v>
      </c>
      <c r="G797" s="238">
        <v>-36.71</v>
      </c>
      <c r="H797" s="239" t="s">
        <v>52</v>
      </c>
      <c r="I797" s="239" t="s">
        <v>2</v>
      </c>
      <c r="J797" s="239" t="s">
        <v>488</v>
      </c>
      <c r="K797" s="220" t="str">
        <f>IF(J797&lt;&gt;"",VLOOKUP(J797,PContas!A:B,2,FALSE),"")</f>
        <v>ALIMENTAÇÃO</v>
      </c>
      <c r="L797" s="221">
        <f t="shared" si="24"/>
        <v>13</v>
      </c>
      <c r="M797" s="221" t="str">
        <f t="shared" ca="1" si="25"/>
        <v>2013/12</v>
      </c>
    </row>
    <row r="798" spans="1:13">
      <c r="A798" s="236">
        <v>41621</v>
      </c>
      <c r="B798" s="237"/>
      <c r="C798" s="237"/>
      <c r="D798" s="236">
        <v>41621</v>
      </c>
      <c r="E798" s="238">
        <v>10.66</v>
      </c>
      <c r="F798" s="236">
        <v>41621</v>
      </c>
      <c r="G798" s="238">
        <v>-10.66</v>
      </c>
      <c r="H798" s="239" t="s">
        <v>52</v>
      </c>
      <c r="I798" s="239" t="s">
        <v>2</v>
      </c>
      <c r="J798" s="239" t="s">
        <v>488</v>
      </c>
      <c r="K798" s="220" t="str">
        <f>IF(J798&lt;&gt;"",VLOOKUP(J798,PContas!A:B,2,FALSE),"")</f>
        <v>ALIMENTAÇÃO</v>
      </c>
      <c r="L798" s="221">
        <f t="shared" si="24"/>
        <v>13</v>
      </c>
      <c r="M798" s="221" t="str">
        <f t="shared" ca="1" si="25"/>
        <v>2013/12</v>
      </c>
    </row>
    <row r="799" spans="1:13">
      <c r="A799" s="236">
        <v>41621</v>
      </c>
      <c r="B799" s="237"/>
      <c r="C799" s="237"/>
      <c r="D799" s="236">
        <v>41621</v>
      </c>
      <c r="E799" s="238">
        <v>10</v>
      </c>
      <c r="F799" s="236">
        <v>41621</v>
      </c>
      <c r="G799" s="238">
        <v>-10</v>
      </c>
      <c r="H799" s="239" t="s">
        <v>52</v>
      </c>
      <c r="I799" s="239" t="s">
        <v>2</v>
      </c>
      <c r="J799" s="239" t="s">
        <v>488</v>
      </c>
      <c r="K799" s="220" t="str">
        <f>IF(J799&lt;&gt;"",VLOOKUP(J799,PContas!A:B,2,FALSE),"")</f>
        <v>ALIMENTAÇÃO</v>
      </c>
      <c r="L799" s="221">
        <f t="shared" si="24"/>
        <v>13</v>
      </c>
      <c r="M799" s="221" t="str">
        <f t="shared" ca="1" si="25"/>
        <v>2013/12</v>
      </c>
    </row>
    <row r="800" spans="1:13">
      <c r="A800" s="236">
        <v>41622</v>
      </c>
      <c r="B800" s="237"/>
      <c r="C800" s="237"/>
      <c r="D800" s="236">
        <v>41659</v>
      </c>
      <c r="E800" s="238">
        <v>250</v>
      </c>
      <c r="F800" s="236"/>
      <c r="G800" s="238">
        <v>-250</v>
      </c>
      <c r="H800" s="239" t="s">
        <v>52</v>
      </c>
      <c r="I800" s="239" t="s">
        <v>2</v>
      </c>
      <c r="J800" s="239" t="s">
        <v>1014</v>
      </c>
      <c r="K800" s="220" t="str">
        <f>IF(J800&lt;&gt;"",VLOOKUP(J800,PContas!A:B,2,FALSE),"")</f>
        <v>PROVISÃO</v>
      </c>
      <c r="L800" s="221">
        <f t="shared" si="24"/>
        <v>20</v>
      </c>
      <c r="M800" s="221" t="str">
        <f t="shared" ca="1" si="25"/>
        <v>ATRASADO</v>
      </c>
    </row>
    <row r="801" spans="1:13">
      <c r="A801" s="236">
        <v>41622</v>
      </c>
      <c r="B801" s="237"/>
      <c r="C801" s="237"/>
      <c r="D801" s="236">
        <v>41690</v>
      </c>
      <c r="E801" s="238">
        <v>250</v>
      </c>
      <c r="F801" s="236"/>
      <c r="G801" s="238">
        <v>-250</v>
      </c>
      <c r="H801" s="239" t="s">
        <v>52</v>
      </c>
      <c r="I801" s="239" t="s">
        <v>2</v>
      </c>
      <c r="J801" s="239" t="s">
        <v>1014</v>
      </c>
      <c r="K801" s="220" t="str">
        <f>IF(J801&lt;&gt;"",VLOOKUP(J801,PContas!A:B,2,FALSE),"")</f>
        <v>PROVISÃO</v>
      </c>
      <c r="L801" s="221">
        <f t="shared" si="24"/>
        <v>20</v>
      </c>
      <c r="M801" s="221" t="str">
        <f t="shared" ca="1" si="25"/>
        <v>ATRASADO</v>
      </c>
    </row>
    <row r="802" spans="1:13">
      <c r="A802" s="236">
        <v>41622</v>
      </c>
      <c r="B802" s="237"/>
      <c r="C802" s="237"/>
      <c r="D802" s="236">
        <v>41718</v>
      </c>
      <c r="E802" s="238">
        <v>250</v>
      </c>
      <c r="F802" s="236"/>
      <c r="G802" s="238">
        <v>-250</v>
      </c>
      <c r="H802" s="239" t="s">
        <v>52</v>
      </c>
      <c r="I802" s="239" t="s">
        <v>2</v>
      </c>
      <c r="J802" s="239" t="s">
        <v>1014</v>
      </c>
      <c r="K802" s="220" t="str">
        <f>IF(J802&lt;&gt;"",VLOOKUP(J802,PContas!A:B,2,FALSE),"")</f>
        <v>PROVISÃO</v>
      </c>
      <c r="L802" s="221">
        <f t="shared" si="24"/>
        <v>20</v>
      </c>
      <c r="M802" s="221" t="str">
        <f t="shared" ca="1" si="25"/>
        <v>ATRASADO</v>
      </c>
    </row>
    <row r="803" spans="1:13">
      <c r="A803" s="236">
        <v>41622</v>
      </c>
      <c r="B803" s="237"/>
      <c r="C803" s="237"/>
      <c r="D803" s="236">
        <v>41749</v>
      </c>
      <c r="E803" s="238">
        <v>250</v>
      </c>
      <c r="F803" s="236"/>
      <c r="G803" s="238">
        <v>-250</v>
      </c>
      <c r="H803" s="239" t="s">
        <v>52</v>
      </c>
      <c r="I803" s="239" t="s">
        <v>2</v>
      </c>
      <c r="J803" s="239" t="s">
        <v>1014</v>
      </c>
      <c r="K803" s="220" t="str">
        <f>IF(J803&lt;&gt;"",VLOOKUP(J803,PContas!A:B,2,FALSE),"")</f>
        <v>PROVISÃO</v>
      </c>
      <c r="L803" s="221">
        <f t="shared" si="24"/>
        <v>20</v>
      </c>
      <c r="M803" s="221" t="str">
        <f t="shared" ca="1" si="25"/>
        <v>ATRASADO</v>
      </c>
    </row>
    <row r="804" spans="1:13">
      <c r="A804" s="236">
        <v>41622</v>
      </c>
      <c r="B804" s="237"/>
      <c r="C804" s="237"/>
      <c r="D804" s="236">
        <v>41779</v>
      </c>
      <c r="E804" s="238">
        <v>250</v>
      </c>
      <c r="F804" s="236"/>
      <c r="G804" s="238">
        <v>-250</v>
      </c>
      <c r="H804" s="239" t="s">
        <v>52</v>
      </c>
      <c r="I804" s="239" t="s">
        <v>2</v>
      </c>
      <c r="J804" s="239" t="s">
        <v>1014</v>
      </c>
      <c r="K804" s="220" t="str">
        <f>IF(J804&lt;&gt;"",VLOOKUP(J804,PContas!A:B,2,FALSE),"")</f>
        <v>PROVISÃO</v>
      </c>
      <c r="L804" s="221">
        <f t="shared" si="24"/>
        <v>20</v>
      </c>
      <c r="M804" s="221" t="str">
        <f t="shared" ca="1" si="25"/>
        <v>ATRASADO</v>
      </c>
    </row>
    <row r="805" spans="1:13">
      <c r="A805" s="236">
        <v>41622</v>
      </c>
      <c r="B805" s="237"/>
      <c r="C805" s="237"/>
      <c r="D805" s="236">
        <v>41810</v>
      </c>
      <c r="E805" s="238">
        <v>250</v>
      </c>
      <c r="F805" s="236"/>
      <c r="G805" s="238">
        <v>-250</v>
      </c>
      <c r="H805" s="239" t="s">
        <v>52</v>
      </c>
      <c r="I805" s="239" t="s">
        <v>2</v>
      </c>
      <c r="J805" s="239" t="s">
        <v>1014</v>
      </c>
      <c r="K805" s="220" t="str">
        <f>IF(J805&lt;&gt;"",VLOOKUP(J805,PContas!A:B,2,FALSE),"")</f>
        <v>PROVISÃO</v>
      </c>
      <c r="L805" s="221">
        <f t="shared" si="24"/>
        <v>20</v>
      </c>
      <c r="M805" s="221" t="str">
        <f t="shared" ca="1" si="25"/>
        <v>ATRASADO</v>
      </c>
    </row>
    <row r="806" spans="1:13">
      <c r="A806" s="236">
        <v>41622</v>
      </c>
      <c r="B806" s="237"/>
      <c r="C806" s="237"/>
      <c r="D806" s="236">
        <v>41840</v>
      </c>
      <c r="E806" s="238">
        <v>250</v>
      </c>
      <c r="F806" s="236"/>
      <c r="G806" s="238">
        <v>-250</v>
      </c>
      <c r="H806" s="239" t="s">
        <v>52</v>
      </c>
      <c r="I806" s="239" t="s">
        <v>2</v>
      </c>
      <c r="J806" s="239" t="s">
        <v>1014</v>
      </c>
      <c r="K806" s="220" t="str">
        <f>IF(J806&lt;&gt;"",VLOOKUP(J806,PContas!A:B,2,FALSE),"")</f>
        <v>PROVISÃO</v>
      </c>
      <c r="L806" s="221">
        <f t="shared" si="24"/>
        <v>20</v>
      </c>
      <c r="M806" s="221" t="str">
        <f t="shared" ca="1" si="25"/>
        <v>ATRASADO</v>
      </c>
    </row>
    <row r="807" spans="1:13">
      <c r="A807" s="236">
        <v>41622</v>
      </c>
      <c r="B807" s="237"/>
      <c r="C807" s="237"/>
      <c r="D807" s="236">
        <v>41871</v>
      </c>
      <c r="E807" s="238">
        <v>250</v>
      </c>
      <c r="F807" s="236"/>
      <c r="G807" s="238">
        <v>-250</v>
      </c>
      <c r="H807" s="239" t="s">
        <v>52</v>
      </c>
      <c r="I807" s="239" t="s">
        <v>2</v>
      </c>
      <c r="J807" s="239" t="s">
        <v>1014</v>
      </c>
      <c r="K807" s="220" t="str">
        <f>IF(J807&lt;&gt;"",VLOOKUP(J807,PContas!A:B,2,FALSE),"")</f>
        <v>PROVISÃO</v>
      </c>
      <c r="L807" s="221">
        <f t="shared" si="24"/>
        <v>20</v>
      </c>
      <c r="M807" s="221" t="str">
        <f t="shared" ca="1" si="25"/>
        <v>ATRASADO</v>
      </c>
    </row>
    <row r="808" spans="1:13">
      <c r="A808" s="236">
        <v>41622</v>
      </c>
      <c r="B808" s="237"/>
      <c r="C808" s="237"/>
      <c r="D808" s="236">
        <v>41902</v>
      </c>
      <c r="E808" s="238">
        <v>250</v>
      </c>
      <c r="F808" s="236"/>
      <c r="G808" s="238">
        <v>-250</v>
      </c>
      <c r="H808" s="239" t="s">
        <v>52</v>
      </c>
      <c r="I808" s="239" t="s">
        <v>2</v>
      </c>
      <c r="J808" s="239" t="s">
        <v>1014</v>
      </c>
      <c r="K808" s="220" t="str">
        <f>IF(J808&lt;&gt;"",VLOOKUP(J808,PContas!A:B,2,FALSE),"")</f>
        <v>PROVISÃO</v>
      </c>
      <c r="L808" s="221">
        <f t="shared" si="24"/>
        <v>20</v>
      </c>
      <c r="M808" s="221" t="str">
        <f t="shared" ca="1" si="25"/>
        <v>ATRASADO</v>
      </c>
    </row>
    <row r="809" spans="1:13">
      <c r="A809" s="236">
        <v>41622</v>
      </c>
      <c r="B809" s="237"/>
      <c r="C809" s="237"/>
      <c r="D809" s="236">
        <v>41932</v>
      </c>
      <c r="E809" s="238">
        <v>250</v>
      </c>
      <c r="F809" s="236"/>
      <c r="G809" s="238">
        <v>-250</v>
      </c>
      <c r="H809" s="239" t="s">
        <v>52</v>
      </c>
      <c r="I809" s="239" t="s">
        <v>2</v>
      </c>
      <c r="J809" s="239" t="s">
        <v>1014</v>
      </c>
      <c r="K809" s="220" t="str">
        <f>IF(J809&lt;&gt;"",VLOOKUP(J809,PContas!A:B,2,FALSE),"")</f>
        <v>PROVISÃO</v>
      </c>
      <c r="L809" s="221">
        <f t="shared" si="24"/>
        <v>20</v>
      </c>
      <c r="M809" s="221" t="str">
        <f t="shared" ca="1" si="25"/>
        <v>ATRASADO</v>
      </c>
    </row>
    <row r="810" spans="1:13">
      <c r="A810" s="236">
        <v>41622</v>
      </c>
      <c r="B810" s="237"/>
      <c r="C810" s="237"/>
      <c r="D810" s="236">
        <v>41963</v>
      </c>
      <c r="E810" s="238">
        <v>250</v>
      </c>
      <c r="F810" s="236"/>
      <c r="G810" s="238">
        <v>-250</v>
      </c>
      <c r="H810" s="239" t="s">
        <v>52</v>
      </c>
      <c r="I810" s="239" t="s">
        <v>2</v>
      </c>
      <c r="J810" s="239" t="s">
        <v>1014</v>
      </c>
      <c r="K810" s="220" t="str">
        <f>IF(J810&lt;&gt;"",VLOOKUP(J810,PContas!A:B,2,FALSE),"")</f>
        <v>PROVISÃO</v>
      </c>
      <c r="L810" s="221">
        <f t="shared" si="24"/>
        <v>20</v>
      </c>
      <c r="M810" s="221" t="str">
        <f t="shared" ca="1" si="25"/>
        <v>ATRASADO</v>
      </c>
    </row>
    <row r="811" spans="1:13">
      <c r="A811" s="236">
        <v>41622</v>
      </c>
      <c r="B811" s="237"/>
      <c r="C811" s="237"/>
      <c r="D811" s="236">
        <v>41993</v>
      </c>
      <c r="E811" s="238">
        <v>250</v>
      </c>
      <c r="F811" s="236"/>
      <c r="G811" s="238">
        <v>-250</v>
      </c>
      <c r="H811" s="239" t="s">
        <v>52</v>
      </c>
      <c r="I811" s="239" t="s">
        <v>2</v>
      </c>
      <c r="J811" s="239" t="s">
        <v>1014</v>
      </c>
      <c r="K811" s="220" t="str">
        <f>IF(J811&lt;&gt;"",VLOOKUP(J811,PContas!A:B,2,FALSE),"")</f>
        <v>PROVISÃO</v>
      </c>
      <c r="L811" s="221">
        <f t="shared" si="24"/>
        <v>20</v>
      </c>
      <c r="M811" s="221" t="str">
        <f t="shared" ca="1" si="25"/>
        <v>ATRASADO</v>
      </c>
    </row>
    <row r="812" spans="1:13">
      <c r="A812" s="236">
        <v>41622</v>
      </c>
      <c r="B812" s="237"/>
      <c r="C812" s="237" t="s">
        <v>1059</v>
      </c>
      <c r="D812" s="236">
        <v>41659</v>
      </c>
      <c r="E812" s="238">
        <v>100</v>
      </c>
      <c r="F812" s="236">
        <v>41670</v>
      </c>
      <c r="G812" s="238">
        <v>-271.5</v>
      </c>
      <c r="H812" s="239" t="s">
        <v>52</v>
      </c>
      <c r="I812" s="239" t="s">
        <v>2</v>
      </c>
      <c r="J812" s="239" t="s">
        <v>1056</v>
      </c>
      <c r="K812" s="220" t="str">
        <f>IF(J812&lt;&gt;"",VLOOKUP(J812,PContas!A:B,2,FALSE),"")</f>
        <v>PROVISÃO</v>
      </c>
      <c r="L812" s="221">
        <f t="shared" si="24"/>
        <v>20</v>
      </c>
      <c r="M812" s="221" t="str">
        <f t="shared" ca="1" si="25"/>
        <v>2014/01</v>
      </c>
    </row>
    <row r="813" spans="1:13">
      <c r="A813" s="236">
        <v>41622</v>
      </c>
      <c r="B813" s="237"/>
      <c r="C813" s="237" t="s">
        <v>1059</v>
      </c>
      <c r="D813" s="236">
        <v>41690</v>
      </c>
      <c r="E813" s="238">
        <v>100</v>
      </c>
      <c r="F813" s="236">
        <v>41698</v>
      </c>
      <c r="G813" s="238">
        <v>-731.86</v>
      </c>
      <c r="H813" s="239" t="s">
        <v>52</v>
      </c>
      <c r="I813" s="239" t="s">
        <v>2</v>
      </c>
      <c r="J813" s="239" t="s">
        <v>1056</v>
      </c>
      <c r="K813" s="220" t="str">
        <f>IF(J813&lt;&gt;"",VLOOKUP(J813,PContas!A:B,2,FALSE),"")</f>
        <v>PROVISÃO</v>
      </c>
      <c r="L813" s="221">
        <f t="shared" si="24"/>
        <v>20</v>
      </c>
      <c r="M813" s="221" t="str">
        <f t="shared" ca="1" si="25"/>
        <v>2014/02</v>
      </c>
    </row>
    <row r="814" spans="1:13">
      <c r="A814" s="236">
        <v>41622</v>
      </c>
      <c r="B814" s="237"/>
      <c r="C814" s="237" t="s">
        <v>1059</v>
      </c>
      <c r="D814" s="236">
        <v>41718</v>
      </c>
      <c r="E814" s="238">
        <v>100</v>
      </c>
      <c r="F814" s="236"/>
      <c r="G814" s="238">
        <v>-100</v>
      </c>
      <c r="H814" s="239" t="s">
        <v>52</v>
      </c>
      <c r="I814" s="239" t="s">
        <v>2</v>
      </c>
      <c r="J814" s="239" t="s">
        <v>1056</v>
      </c>
      <c r="K814" s="220" t="str">
        <f>IF(J814&lt;&gt;"",VLOOKUP(J814,PContas!A:B,2,FALSE),"")</f>
        <v>PROVISÃO</v>
      </c>
      <c r="L814" s="221">
        <f t="shared" si="24"/>
        <v>20</v>
      </c>
      <c r="M814" s="221" t="str">
        <f t="shared" ca="1" si="25"/>
        <v>ATRASADO</v>
      </c>
    </row>
    <row r="815" spans="1:13">
      <c r="A815" s="236">
        <v>41622</v>
      </c>
      <c r="B815" s="237"/>
      <c r="C815" s="237" t="s">
        <v>1059</v>
      </c>
      <c r="D815" s="236">
        <v>41749</v>
      </c>
      <c r="E815" s="238">
        <v>100</v>
      </c>
      <c r="F815" s="236"/>
      <c r="G815" s="238">
        <v>-100</v>
      </c>
      <c r="H815" s="239" t="s">
        <v>52</v>
      </c>
      <c r="I815" s="239" t="s">
        <v>2</v>
      </c>
      <c r="J815" s="239" t="s">
        <v>1056</v>
      </c>
      <c r="K815" s="220" t="str">
        <f>IF(J815&lt;&gt;"",VLOOKUP(J815,PContas!A:B,2,FALSE),"")</f>
        <v>PROVISÃO</v>
      </c>
      <c r="L815" s="221">
        <f t="shared" si="24"/>
        <v>20</v>
      </c>
      <c r="M815" s="221" t="str">
        <f t="shared" ca="1" si="25"/>
        <v>ATRASADO</v>
      </c>
    </row>
    <row r="816" spans="1:13">
      <c r="A816" s="236">
        <v>41622</v>
      </c>
      <c r="B816" s="237"/>
      <c r="C816" s="237" t="s">
        <v>1059</v>
      </c>
      <c r="D816" s="236">
        <v>41779</v>
      </c>
      <c r="E816" s="238">
        <v>100</v>
      </c>
      <c r="F816" s="236"/>
      <c r="G816" s="238">
        <v>-100</v>
      </c>
      <c r="H816" s="239" t="s">
        <v>52</v>
      </c>
      <c r="I816" s="239" t="s">
        <v>2</v>
      </c>
      <c r="J816" s="239" t="s">
        <v>1056</v>
      </c>
      <c r="K816" s="220" t="str">
        <f>IF(J816&lt;&gt;"",VLOOKUP(J816,PContas!A:B,2,FALSE),"")</f>
        <v>PROVISÃO</v>
      </c>
      <c r="L816" s="221">
        <f t="shared" si="24"/>
        <v>20</v>
      </c>
      <c r="M816" s="221" t="str">
        <f t="shared" ca="1" si="25"/>
        <v>ATRASADO</v>
      </c>
    </row>
    <row r="817" spans="1:13">
      <c r="A817" s="236">
        <v>41622</v>
      </c>
      <c r="B817" s="237"/>
      <c r="C817" s="237" t="s">
        <v>1059</v>
      </c>
      <c r="D817" s="236">
        <v>41810</v>
      </c>
      <c r="E817" s="238">
        <v>100</v>
      </c>
      <c r="F817" s="236"/>
      <c r="G817" s="238">
        <v>-100</v>
      </c>
      <c r="H817" s="239" t="s">
        <v>52</v>
      </c>
      <c r="I817" s="239" t="s">
        <v>2</v>
      </c>
      <c r="J817" s="239" t="s">
        <v>1056</v>
      </c>
      <c r="K817" s="220" t="str">
        <f>IF(J817&lt;&gt;"",VLOOKUP(J817,PContas!A:B,2,FALSE),"")</f>
        <v>PROVISÃO</v>
      </c>
      <c r="L817" s="221">
        <f t="shared" si="24"/>
        <v>20</v>
      </c>
      <c r="M817" s="221" t="str">
        <f t="shared" ca="1" si="25"/>
        <v>ATRASADO</v>
      </c>
    </row>
    <row r="818" spans="1:13">
      <c r="A818" s="236">
        <v>41622</v>
      </c>
      <c r="B818" s="237"/>
      <c r="C818" s="237" t="s">
        <v>1059</v>
      </c>
      <c r="D818" s="236">
        <v>41840</v>
      </c>
      <c r="E818" s="238">
        <v>100</v>
      </c>
      <c r="F818" s="236"/>
      <c r="G818" s="238">
        <v>-100</v>
      </c>
      <c r="H818" s="239" t="s">
        <v>52</v>
      </c>
      <c r="I818" s="239" t="s">
        <v>2</v>
      </c>
      <c r="J818" s="239" t="s">
        <v>1056</v>
      </c>
      <c r="K818" s="220" t="str">
        <f>IF(J818&lt;&gt;"",VLOOKUP(J818,PContas!A:B,2,FALSE),"")</f>
        <v>PROVISÃO</v>
      </c>
      <c r="L818" s="221">
        <f t="shared" si="24"/>
        <v>20</v>
      </c>
      <c r="M818" s="221" t="str">
        <f t="shared" ca="1" si="25"/>
        <v>ATRASADO</v>
      </c>
    </row>
    <row r="819" spans="1:13">
      <c r="A819" s="236">
        <v>41622</v>
      </c>
      <c r="B819" s="237"/>
      <c r="C819" s="237" t="s">
        <v>1059</v>
      </c>
      <c r="D819" s="236">
        <v>41871</v>
      </c>
      <c r="E819" s="238">
        <v>100</v>
      </c>
      <c r="F819" s="236"/>
      <c r="G819" s="238">
        <v>-100</v>
      </c>
      <c r="H819" s="239" t="s">
        <v>52</v>
      </c>
      <c r="I819" s="239" t="s">
        <v>2</v>
      </c>
      <c r="J819" s="239" t="s">
        <v>1056</v>
      </c>
      <c r="K819" s="220" t="str">
        <f>IF(J819&lt;&gt;"",VLOOKUP(J819,PContas!A:B,2,FALSE),"")</f>
        <v>PROVISÃO</v>
      </c>
      <c r="L819" s="221">
        <f t="shared" si="24"/>
        <v>20</v>
      </c>
      <c r="M819" s="221" t="str">
        <f t="shared" ca="1" si="25"/>
        <v>ATRASADO</v>
      </c>
    </row>
    <row r="820" spans="1:13">
      <c r="A820" s="236">
        <v>41622</v>
      </c>
      <c r="B820" s="237"/>
      <c r="C820" s="237" t="s">
        <v>1059</v>
      </c>
      <c r="D820" s="236">
        <v>41902</v>
      </c>
      <c r="E820" s="238">
        <v>100</v>
      </c>
      <c r="F820" s="236"/>
      <c r="G820" s="238">
        <v>-100</v>
      </c>
      <c r="H820" s="239" t="s">
        <v>52</v>
      </c>
      <c r="I820" s="239" t="s">
        <v>2</v>
      </c>
      <c r="J820" s="239" t="s">
        <v>1056</v>
      </c>
      <c r="K820" s="220" t="str">
        <f>IF(J820&lt;&gt;"",VLOOKUP(J820,PContas!A:B,2,FALSE),"")</f>
        <v>PROVISÃO</v>
      </c>
      <c r="L820" s="221">
        <f t="shared" si="24"/>
        <v>20</v>
      </c>
      <c r="M820" s="221" t="str">
        <f t="shared" ca="1" si="25"/>
        <v>ATRASADO</v>
      </c>
    </row>
    <row r="821" spans="1:13">
      <c r="A821" s="236">
        <v>41622</v>
      </c>
      <c r="B821" s="237"/>
      <c r="C821" s="237" t="s">
        <v>1059</v>
      </c>
      <c r="D821" s="236">
        <v>41932</v>
      </c>
      <c r="E821" s="238">
        <v>100</v>
      </c>
      <c r="F821" s="236"/>
      <c r="G821" s="238">
        <v>-100</v>
      </c>
      <c r="H821" s="239" t="s">
        <v>52</v>
      </c>
      <c r="I821" s="239" t="s">
        <v>2</v>
      </c>
      <c r="J821" s="239" t="s">
        <v>1056</v>
      </c>
      <c r="K821" s="220" t="str">
        <f>IF(J821&lt;&gt;"",VLOOKUP(J821,PContas!A:B,2,FALSE),"")</f>
        <v>PROVISÃO</v>
      </c>
      <c r="L821" s="221">
        <f t="shared" si="24"/>
        <v>20</v>
      </c>
      <c r="M821" s="221" t="str">
        <f t="shared" ca="1" si="25"/>
        <v>ATRASADO</v>
      </c>
    </row>
    <row r="822" spans="1:13">
      <c r="A822" s="236">
        <v>41622</v>
      </c>
      <c r="B822" s="237"/>
      <c r="C822" s="237" t="s">
        <v>1059</v>
      </c>
      <c r="D822" s="236">
        <v>41963</v>
      </c>
      <c r="E822" s="238">
        <v>100</v>
      </c>
      <c r="F822" s="236"/>
      <c r="G822" s="238">
        <v>-100</v>
      </c>
      <c r="H822" s="239" t="s">
        <v>52</v>
      </c>
      <c r="I822" s="239" t="s">
        <v>2</v>
      </c>
      <c r="J822" s="239" t="s">
        <v>1056</v>
      </c>
      <c r="K822" s="220" t="str">
        <f>IF(J822&lt;&gt;"",VLOOKUP(J822,PContas!A:B,2,FALSE),"")</f>
        <v>PROVISÃO</v>
      </c>
      <c r="L822" s="221">
        <f t="shared" si="24"/>
        <v>20</v>
      </c>
      <c r="M822" s="221" t="str">
        <f t="shared" ca="1" si="25"/>
        <v>ATRASADO</v>
      </c>
    </row>
    <row r="823" spans="1:13">
      <c r="A823" s="236">
        <v>41622</v>
      </c>
      <c r="B823" s="237"/>
      <c r="C823" s="237" t="s">
        <v>1059</v>
      </c>
      <c r="D823" s="236">
        <v>41993</v>
      </c>
      <c r="E823" s="238">
        <v>100</v>
      </c>
      <c r="F823" s="236"/>
      <c r="G823" s="238">
        <v>-100</v>
      </c>
      <c r="H823" s="239" t="s">
        <v>52</v>
      </c>
      <c r="I823" s="239" t="s">
        <v>2</v>
      </c>
      <c r="J823" s="239" t="s">
        <v>1056</v>
      </c>
      <c r="K823" s="220" t="str">
        <f>IF(J823&lt;&gt;"",VLOOKUP(J823,PContas!A:B,2,FALSE),"")</f>
        <v>PROVISÃO</v>
      </c>
      <c r="L823" s="221">
        <f t="shared" si="24"/>
        <v>20</v>
      </c>
      <c r="M823" s="221" t="str">
        <f t="shared" ca="1" si="25"/>
        <v>ATRASADO</v>
      </c>
    </row>
    <row r="824" spans="1:13">
      <c r="A824" s="236">
        <v>41622</v>
      </c>
      <c r="B824" s="237"/>
      <c r="C824" s="237" t="s">
        <v>1062</v>
      </c>
      <c r="D824" s="236">
        <v>41659</v>
      </c>
      <c r="E824" s="238">
        <v>200</v>
      </c>
      <c r="F824" s="236"/>
      <c r="G824" s="238">
        <v>-200</v>
      </c>
      <c r="H824" s="239" t="s">
        <v>52</v>
      </c>
      <c r="I824" s="239" t="s">
        <v>2</v>
      </c>
      <c r="J824" s="239" t="s">
        <v>1057</v>
      </c>
      <c r="K824" s="220" t="str">
        <f>IF(J824&lt;&gt;"",VLOOKUP(J824,PContas!A:B,2,FALSE),"")</f>
        <v>PROVISÃO</v>
      </c>
      <c r="L824" s="221">
        <f t="shared" si="24"/>
        <v>20</v>
      </c>
      <c r="M824" s="221" t="str">
        <f t="shared" ca="1" si="25"/>
        <v>ATRASADO</v>
      </c>
    </row>
    <row r="825" spans="1:13">
      <c r="A825" s="236">
        <v>41622</v>
      </c>
      <c r="B825" s="237"/>
      <c r="C825" s="237" t="s">
        <v>1062</v>
      </c>
      <c r="D825" s="236">
        <v>41690</v>
      </c>
      <c r="E825" s="238">
        <v>200</v>
      </c>
      <c r="F825" s="236"/>
      <c r="G825" s="238">
        <v>-200</v>
      </c>
      <c r="H825" s="239" t="s">
        <v>52</v>
      </c>
      <c r="I825" s="239" t="s">
        <v>2</v>
      </c>
      <c r="J825" s="239" t="s">
        <v>1057</v>
      </c>
      <c r="K825" s="220" t="str">
        <f>IF(J825&lt;&gt;"",VLOOKUP(J825,PContas!A:B,2,FALSE),"")</f>
        <v>PROVISÃO</v>
      </c>
      <c r="L825" s="221">
        <f t="shared" si="24"/>
        <v>20</v>
      </c>
      <c r="M825" s="221" t="str">
        <f t="shared" ca="1" si="25"/>
        <v>ATRASADO</v>
      </c>
    </row>
    <row r="826" spans="1:13">
      <c r="A826" s="236">
        <v>41622</v>
      </c>
      <c r="B826" s="237"/>
      <c r="C826" s="237" t="s">
        <v>1062</v>
      </c>
      <c r="D826" s="236">
        <v>41718</v>
      </c>
      <c r="E826" s="238">
        <v>200</v>
      </c>
      <c r="F826" s="236"/>
      <c r="G826" s="238">
        <v>-200</v>
      </c>
      <c r="H826" s="239" t="s">
        <v>52</v>
      </c>
      <c r="I826" s="239" t="s">
        <v>2</v>
      </c>
      <c r="J826" s="239" t="s">
        <v>1057</v>
      </c>
      <c r="K826" s="220" t="str">
        <f>IF(J826&lt;&gt;"",VLOOKUP(J826,PContas!A:B,2,FALSE),"")</f>
        <v>PROVISÃO</v>
      </c>
      <c r="L826" s="221">
        <f t="shared" si="24"/>
        <v>20</v>
      </c>
      <c r="M826" s="221" t="str">
        <f t="shared" ca="1" si="25"/>
        <v>ATRASADO</v>
      </c>
    </row>
    <row r="827" spans="1:13">
      <c r="A827" s="236">
        <v>41622</v>
      </c>
      <c r="B827" s="237"/>
      <c r="C827" s="237" t="s">
        <v>1062</v>
      </c>
      <c r="D827" s="236">
        <v>41749</v>
      </c>
      <c r="E827" s="238">
        <v>200</v>
      </c>
      <c r="F827" s="236"/>
      <c r="G827" s="238">
        <v>-200</v>
      </c>
      <c r="H827" s="239" t="s">
        <v>52</v>
      </c>
      <c r="I827" s="239" t="s">
        <v>2</v>
      </c>
      <c r="J827" s="239" t="s">
        <v>1057</v>
      </c>
      <c r="K827" s="220" t="str">
        <f>IF(J827&lt;&gt;"",VLOOKUP(J827,PContas!A:B,2,FALSE),"")</f>
        <v>PROVISÃO</v>
      </c>
      <c r="L827" s="221">
        <f t="shared" si="24"/>
        <v>20</v>
      </c>
      <c r="M827" s="221" t="str">
        <f t="shared" ca="1" si="25"/>
        <v>ATRASADO</v>
      </c>
    </row>
    <row r="828" spans="1:13">
      <c r="A828" s="236">
        <v>41622</v>
      </c>
      <c r="B828" s="237"/>
      <c r="C828" s="237" t="s">
        <v>1062</v>
      </c>
      <c r="D828" s="236">
        <v>41779</v>
      </c>
      <c r="E828" s="238">
        <v>200</v>
      </c>
      <c r="F828" s="236"/>
      <c r="G828" s="238">
        <v>-200</v>
      </c>
      <c r="H828" s="239" t="s">
        <v>52</v>
      </c>
      <c r="I828" s="239" t="s">
        <v>2</v>
      </c>
      <c r="J828" s="239" t="s">
        <v>1057</v>
      </c>
      <c r="K828" s="220" t="str">
        <f>IF(J828&lt;&gt;"",VLOOKUP(J828,PContas!A:B,2,FALSE),"")</f>
        <v>PROVISÃO</v>
      </c>
      <c r="L828" s="221">
        <f t="shared" si="24"/>
        <v>20</v>
      </c>
      <c r="M828" s="221" t="str">
        <f t="shared" ca="1" si="25"/>
        <v>ATRASADO</v>
      </c>
    </row>
    <row r="829" spans="1:13">
      <c r="A829" s="236">
        <v>41622</v>
      </c>
      <c r="B829" s="237"/>
      <c r="C829" s="237" t="s">
        <v>1062</v>
      </c>
      <c r="D829" s="236">
        <v>41810</v>
      </c>
      <c r="E829" s="238">
        <v>200</v>
      </c>
      <c r="F829" s="236"/>
      <c r="G829" s="238">
        <v>-200</v>
      </c>
      <c r="H829" s="239" t="s">
        <v>52</v>
      </c>
      <c r="I829" s="239" t="s">
        <v>2</v>
      </c>
      <c r="J829" s="239" t="s">
        <v>1057</v>
      </c>
      <c r="K829" s="220" t="str">
        <f>IF(J829&lt;&gt;"",VLOOKUP(J829,PContas!A:B,2,FALSE),"")</f>
        <v>PROVISÃO</v>
      </c>
      <c r="L829" s="221">
        <f t="shared" si="24"/>
        <v>20</v>
      </c>
      <c r="M829" s="221" t="str">
        <f t="shared" ca="1" si="25"/>
        <v>ATRASADO</v>
      </c>
    </row>
    <row r="830" spans="1:13">
      <c r="A830" s="236">
        <v>41622</v>
      </c>
      <c r="B830" s="237"/>
      <c r="C830" s="237" t="s">
        <v>1062</v>
      </c>
      <c r="D830" s="236">
        <v>41840</v>
      </c>
      <c r="E830" s="238">
        <v>200</v>
      </c>
      <c r="F830" s="236"/>
      <c r="G830" s="238">
        <v>-200</v>
      </c>
      <c r="H830" s="239" t="s">
        <v>52</v>
      </c>
      <c r="I830" s="239" t="s">
        <v>2</v>
      </c>
      <c r="J830" s="239" t="s">
        <v>1057</v>
      </c>
      <c r="K830" s="220" t="str">
        <f>IF(J830&lt;&gt;"",VLOOKUP(J830,PContas!A:B,2,FALSE),"")</f>
        <v>PROVISÃO</v>
      </c>
      <c r="L830" s="221">
        <f t="shared" si="24"/>
        <v>20</v>
      </c>
      <c r="M830" s="221" t="str">
        <f t="shared" ca="1" si="25"/>
        <v>ATRASADO</v>
      </c>
    </row>
    <row r="831" spans="1:13">
      <c r="A831" s="236">
        <v>41622</v>
      </c>
      <c r="B831" s="237"/>
      <c r="C831" s="237" t="s">
        <v>1062</v>
      </c>
      <c r="D831" s="236">
        <v>41871</v>
      </c>
      <c r="E831" s="238">
        <v>200</v>
      </c>
      <c r="F831" s="236"/>
      <c r="G831" s="238">
        <v>-200</v>
      </c>
      <c r="H831" s="239" t="s">
        <v>52</v>
      </c>
      <c r="I831" s="239" t="s">
        <v>2</v>
      </c>
      <c r="J831" s="239" t="s">
        <v>1057</v>
      </c>
      <c r="K831" s="220" t="str">
        <f>IF(J831&lt;&gt;"",VLOOKUP(J831,PContas!A:B,2,FALSE),"")</f>
        <v>PROVISÃO</v>
      </c>
      <c r="L831" s="221">
        <f t="shared" si="24"/>
        <v>20</v>
      </c>
      <c r="M831" s="221" t="str">
        <f t="shared" ca="1" si="25"/>
        <v>ATRASADO</v>
      </c>
    </row>
    <row r="832" spans="1:13">
      <c r="A832" s="236">
        <v>41622</v>
      </c>
      <c r="B832" s="237"/>
      <c r="C832" s="237" t="s">
        <v>1062</v>
      </c>
      <c r="D832" s="236">
        <v>41902</v>
      </c>
      <c r="E832" s="238">
        <v>200</v>
      </c>
      <c r="F832" s="236"/>
      <c r="G832" s="238">
        <v>-200</v>
      </c>
      <c r="H832" s="239" t="s">
        <v>52</v>
      </c>
      <c r="I832" s="239" t="s">
        <v>2</v>
      </c>
      <c r="J832" s="239" t="s">
        <v>1057</v>
      </c>
      <c r="K832" s="220" t="str">
        <f>IF(J832&lt;&gt;"",VLOOKUP(J832,PContas!A:B,2,FALSE),"")</f>
        <v>PROVISÃO</v>
      </c>
      <c r="L832" s="221">
        <f t="shared" ref="L832:L895" si="26">DAY(D832)</f>
        <v>20</v>
      </c>
      <c r="M832" s="221" t="str">
        <f t="shared" ref="M832:M895" ca="1" si="27">IF(D832&lt;&gt;"",IF(F832="",IF(DAYS360(D832,NOW())&gt;0,"ATRASADO",YEAR(D832)&amp;"/"&amp;CHOOSE(MONTH(D832),"01","02","03","04","05","06","07","08","09","10","11","12")),YEAR(D832)&amp;"/"&amp;CHOOSE(MONTH(D832),"01","02","03","04","05","06","07","08","09","10","11","12")),"")</f>
        <v>ATRASADO</v>
      </c>
    </row>
    <row r="833" spans="1:13">
      <c r="A833" s="236">
        <v>41622</v>
      </c>
      <c r="B833" s="237"/>
      <c r="C833" s="237" t="s">
        <v>1062</v>
      </c>
      <c r="D833" s="236">
        <v>41932</v>
      </c>
      <c r="E833" s="238">
        <v>200</v>
      </c>
      <c r="F833" s="236"/>
      <c r="G833" s="238">
        <v>-200</v>
      </c>
      <c r="H833" s="239" t="s">
        <v>52</v>
      </c>
      <c r="I833" s="239" t="s">
        <v>2</v>
      </c>
      <c r="J833" s="239" t="s">
        <v>1057</v>
      </c>
      <c r="K833" s="220" t="str">
        <f>IF(J833&lt;&gt;"",VLOOKUP(J833,PContas!A:B,2,FALSE),"")</f>
        <v>PROVISÃO</v>
      </c>
      <c r="L833" s="221">
        <f t="shared" si="26"/>
        <v>20</v>
      </c>
      <c r="M833" s="221" t="str">
        <f t="shared" ca="1" si="27"/>
        <v>ATRASADO</v>
      </c>
    </row>
    <row r="834" spans="1:13">
      <c r="A834" s="236">
        <v>41622</v>
      </c>
      <c r="B834" s="237"/>
      <c r="C834" s="237" t="s">
        <v>1062</v>
      </c>
      <c r="D834" s="236">
        <v>41963</v>
      </c>
      <c r="E834" s="238">
        <v>200</v>
      </c>
      <c r="F834" s="236"/>
      <c r="G834" s="238">
        <v>-200</v>
      </c>
      <c r="H834" s="239" t="s">
        <v>52</v>
      </c>
      <c r="I834" s="239" t="s">
        <v>2</v>
      </c>
      <c r="J834" s="239" t="s">
        <v>1057</v>
      </c>
      <c r="K834" s="220" t="str">
        <f>IF(J834&lt;&gt;"",VLOOKUP(J834,PContas!A:B,2,FALSE),"")</f>
        <v>PROVISÃO</v>
      </c>
      <c r="L834" s="221">
        <f t="shared" si="26"/>
        <v>20</v>
      </c>
      <c r="M834" s="221" t="str">
        <f t="shared" ca="1" si="27"/>
        <v>ATRASADO</v>
      </c>
    </row>
    <row r="835" spans="1:13">
      <c r="A835" s="236">
        <v>41622</v>
      </c>
      <c r="B835" s="237"/>
      <c r="C835" s="237" t="s">
        <v>1062</v>
      </c>
      <c r="D835" s="236">
        <v>41993</v>
      </c>
      <c r="E835" s="238">
        <v>200</v>
      </c>
      <c r="F835" s="236"/>
      <c r="G835" s="238">
        <v>-200</v>
      </c>
      <c r="H835" s="239" t="s">
        <v>52</v>
      </c>
      <c r="I835" s="239" t="s">
        <v>2</v>
      </c>
      <c r="J835" s="239" t="s">
        <v>1057</v>
      </c>
      <c r="K835" s="220" t="str">
        <f>IF(J835&lt;&gt;"",VLOOKUP(J835,PContas!A:B,2,FALSE),"")</f>
        <v>PROVISÃO</v>
      </c>
      <c r="L835" s="221">
        <f t="shared" si="26"/>
        <v>20</v>
      </c>
      <c r="M835" s="221" t="str">
        <f t="shared" ca="1" si="27"/>
        <v>ATRASADO</v>
      </c>
    </row>
    <row r="836" spans="1:13">
      <c r="A836" s="236">
        <v>41622</v>
      </c>
      <c r="B836" s="237"/>
      <c r="C836" s="237" t="s">
        <v>1060</v>
      </c>
      <c r="D836" s="236">
        <v>41659</v>
      </c>
      <c r="E836" s="238">
        <v>400</v>
      </c>
      <c r="F836" s="236"/>
      <c r="G836" s="238">
        <v>-400</v>
      </c>
      <c r="H836" s="239" t="s">
        <v>52</v>
      </c>
      <c r="I836" s="239" t="s">
        <v>2</v>
      </c>
      <c r="J836" s="239" t="s">
        <v>1058</v>
      </c>
      <c r="K836" s="220" t="str">
        <f>IF(J836&lt;&gt;"",VLOOKUP(J836,PContas!A:B,2,FALSE),"")</f>
        <v>PROVISÃO</v>
      </c>
      <c r="L836" s="221">
        <f t="shared" si="26"/>
        <v>20</v>
      </c>
      <c r="M836" s="221" t="str">
        <f t="shared" ca="1" si="27"/>
        <v>ATRASADO</v>
      </c>
    </row>
    <row r="837" spans="1:13">
      <c r="A837" s="236">
        <v>41622</v>
      </c>
      <c r="B837" s="237"/>
      <c r="C837" s="237" t="s">
        <v>1060</v>
      </c>
      <c r="D837" s="236">
        <v>41690</v>
      </c>
      <c r="E837" s="238">
        <v>400</v>
      </c>
      <c r="F837" s="236"/>
      <c r="G837" s="238">
        <v>-400</v>
      </c>
      <c r="H837" s="239" t="s">
        <v>52</v>
      </c>
      <c r="I837" s="239" t="s">
        <v>2</v>
      </c>
      <c r="J837" s="239" t="s">
        <v>1058</v>
      </c>
      <c r="K837" s="220" t="str">
        <f>IF(J837&lt;&gt;"",VLOOKUP(J837,PContas!A:B,2,FALSE),"")</f>
        <v>PROVISÃO</v>
      </c>
      <c r="L837" s="221">
        <f t="shared" si="26"/>
        <v>20</v>
      </c>
      <c r="M837" s="221" t="str">
        <f t="shared" ca="1" si="27"/>
        <v>ATRASADO</v>
      </c>
    </row>
    <row r="838" spans="1:13">
      <c r="A838" s="236">
        <v>41622</v>
      </c>
      <c r="B838" s="237"/>
      <c r="C838" s="237" t="s">
        <v>1060</v>
      </c>
      <c r="D838" s="236">
        <v>41718</v>
      </c>
      <c r="E838" s="238">
        <v>400</v>
      </c>
      <c r="F838" s="236"/>
      <c r="G838" s="238">
        <v>-400</v>
      </c>
      <c r="H838" s="239" t="s">
        <v>52</v>
      </c>
      <c r="I838" s="239" t="s">
        <v>2</v>
      </c>
      <c r="J838" s="239" t="s">
        <v>1058</v>
      </c>
      <c r="K838" s="220" t="str">
        <f>IF(J838&lt;&gt;"",VLOOKUP(J838,PContas!A:B,2,FALSE),"")</f>
        <v>PROVISÃO</v>
      </c>
      <c r="L838" s="221">
        <f t="shared" si="26"/>
        <v>20</v>
      </c>
      <c r="M838" s="221" t="str">
        <f t="shared" ca="1" si="27"/>
        <v>ATRASADO</v>
      </c>
    </row>
    <row r="839" spans="1:13">
      <c r="A839" s="236">
        <v>41622</v>
      </c>
      <c r="B839" s="237"/>
      <c r="C839" s="237" t="s">
        <v>1060</v>
      </c>
      <c r="D839" s="236">
        <v>41749</v>
      </c>
      <c r="E839" s="238">
        <v>400</v>
      </c>
      <c r="F839" s="236"/>
      <c r="G839" s="238">
        <v>-400</v>
      </c>
      <c r="H839" s="239" t="s">
        <v>52</v>
      </c>
      <c r="I839" s="239" t="s">
        <v>2</v>
      </c>
      <c r="J839" s="239" t="s">
        <v>1058</v>
      </c>
      <c r="K839" s="220" t="str">
        <f>IF(J839&lt;&gt;"",VLOOKUP(J839,PContas!A:B,2,FALSE),"")</f>
        <v>PROVISÃO</v>
      </c>
      <c r="L839" s="221">
        <f t="shared" si="26"/>
        <v>20</v>
      </c>
      <c r="M839" s="221" t="str">
        <f t="shared" ca="1" si="27"/>
        <v>ATRASADO</v>
      </c>
    </row>
    <row r="840" spans="1:13">
      <c r="A840" s="236">
        <v>41622</v>
      </c>
      <c r="B840" s="237"/>
      <c r="C840" s="237" t="s">
        <v>1060</v>
      </c>
      <c r="D840" s="236">
        <v>41779</v>
      </c>
      <c r="E840" s="238">
        <v>400</v>
      </c>
      <c r="F840" s="236"/>
      <c r="G840" s="238">
        <v>-400</v>
      </c>
      <c r="H840" s="239" t="s">
        <v>52</v>
      </c>
      <c r="I840" s="239" t="s">
        <v>2</v>
      </c>
      <c r="J840" s="239" t="s">
        <v>1058</v>
      </c>
      <c r="K840" s="220" t="str">
        <f>IF(J840&lt;&gt;"",VLOOKUP(J840,PContas!A:B,2,FALSE),"")</f>
        <v>PROVISÃO</v>
      </c>
      <c r="L840" s="221">
        <f t="shared" si="26"/>
        <v>20</v>
      </c>
      <c r="M840" s="221" t="str">
        <f t="shared" ca="1" si="27"/>
        <v>ATRASADO</v>
      </c>
    </row>
    <row r="841" spans="1:13">
      <c r="A841" s="236">
        <v>41622</v>
      </c>
      <c r="B841" s="237"/>
      <c r="C841" s="237" t="s">
        <v>1060</v>
      </c>
      <c r="D841" s="236">
        <v>41810</v>
      </c>
      <c r="E841" s="238">
        <v>400</v>
      </c>
      <c r="F841" s="236"/>
      <c r="G841" s="238">
        <v>-400</v>
      </c>
      <c r="H841" s="239" t="s">
        <v>52</v>
      </c>
      <c r="I841" s="239" t="s">
        <v>2</v>
      </c>
      <c r="J841" s="239" t="s">
        <v>1058</v>
      </c>
      <c r="K841" s="220" t="str">
        <f>IF(J841&lt;&gt;"",VLOOKUP(J841,PContas!A:B,2,FALSE),"")</f>
        <v>PROVISÃO</v>
      </c>
      <c r="L841" s="221">
        <f t="shared" si="26"/>
        <v>20</v>
      </c>
      <c r="M841" s="221" t="str">
        <f t="shared" ca="1" si="27"/>
        <v>ATRASADO</v>
      </c>
    </row>
    <row r="842" spans="1:13">
      <c r="A842" s="236">
        <v>41622</v>
      </c>
      <c r="B842" s="237"/>
      <c r="C842" s="237" t="s">
        <v>1060</v>
      </c>
      <c r="D842" s="236">
        <v>41840</v>
      </c>
      <c r="E842" s="238">
        <v>400</v>
      </c>
      <c r="F842" s="236"/>
      <c r="G842" s="238">
        <v>-400</v>
      </c>
      <c r="H842" s="239" t="s">
        <v>52</v>
      </c>
      <c r="I842" s="239" t="s">
        <v>2</v>
      </c>
      <c r="J842" s="239" t="s">
        <v>1058</v>
      </c>
      <c r="K842" s="220" t="str">
        <f>IF(J842&lt;&gt;"",VLOOKUP(J842,PContas!A:B,2,FALSE),"")</f>
        <v>PROVISÃO</v>
      </c>
      <c r="L842" s="221">
        <f t="shared" si="26"/>
        <v>20</v>
      </c>
      <c r="M842" s="221" t="str">
        <f t="shared" ca="1" si="27"/>
        <v>ATRASADO</v>
      </c>
    </row>
    <row r="843" spans="1:13">
      <c r="A843" s="236">
        <v>41622</v>
      </c>
      <c r="B843" s="237"/>
      <c r="C843" s="237" t="s">
        <v>1060</v>
      </c>
      <c r="D843" s="236">
        <v>41871</v>
      </c>
      <c r="E843" s="238">
        <v>400</v>
      </c>
      <c r="F843" s="236"/>
      <c r="G843" s="238">
        <v>-400</v>
      </c>
      <c r="H843" s="239" t="s">
        <v>52</v>
      </c>
      <c r="I843" s="239" t="s">
        <v>2</v>
      </c>
      <c r="J843" s="239" t="s">
        <v>1058</v>
      </c>
      <c r="K843" s="220" t="str">
        <f>IF(J843&lt;&gt;"",VLOOKUP(J843,PContas!A:B,2,FALSE),"")</f>
        <v>PROVISÃO</v>
      </c>
      <c r="L843" s="221">
        <f t="shared" si="26"/>
        <v>20</v>
      </c>
      <c r="M843" s="221" t="str">
        <f t="shared" ca="1" si="27"/>
        <v>ATRASADO</v>
      </c>
    </row>
    <row r="844" spans="1:13">
      <c r="A844" s="236">
        <v>41622</v>
      </c>
      <c r="B844" s="237"/>
      <c r="C844" s="237" t="s">
        <v>1060</v>
      </c>
      <c r="D844" s="236">
        <v>41902</v>
      </c>
      <c r="E844" s="238">
        <v>400</v>
      </c>
      <c r="F844" s="236"/>
      <c r="G844" s="238">
        <v>-400</v>
      </c>
      <c r="H844" s="239" t="s">
        <v>52</v>
      </c>
      <c r="I844" s="239" t="s">
        <v>2</v>
      </c>
      <c r="J844" s="239" t="s">
        <v>1058</v>
      </c>
      <c r="K844" s="220" t="str">
        <f>IF(J844&lt;&gt;"",VLOOKUP(J844,PContas!A:B,2,FALSE),"")</f>
        <v>PROVISÃO</v>
      </c>
      <c r="L844" s="221">
        <f t="shared" si="26"/>
        <v>20</v>
      </c>
      <c r="M844" s="221" t="str">
        <f t="shared" ca="1" si="27"/>
        <v>ATRASADO</v>
      </c>
    </row>
    <row r="845" spans="1:13">
      <c r="A845" s="236">
        <v>41622</v>
      </c>
      <c r="B845" s="237"/>
      <c r="C845" s="237" t="s">
        <v>1060</v>
      </c>
      <c r="D845" s="236">
        <v>41932</v>
      </c>
      <c r="E845" s="238">
        <v>400</v>
      </c>
      <c r="F845" s="236"/>
      <c r="G845" s="238">
        <v>-400</v>
      </c>
      <c r="H845" s="239" t="s">
        <v>52</v>
      </c>
      <c r="I845" s="239" t="s">
        <v>2</v>
      </c>
      <c r="J845" s="239" t="s">
        <v>1058</v>
      </c>
      <c r="K845" s="220" t="str">
        <f>IF(J845&lt;&gt;"",VLOOKUP(J845,PContas!A:B,2,FALSE),"")</f>
        <v>PROVISÃO</v>
      </c>
      <c r="L845" s="221">
        <f t="shared" si="26"/>
        <v>20</v>
      </c>
      <c r="M845" s="221" t="str">
        <f t="shared" ca="1" si="27"/>
        <v>ATRASADO</v>
      </c>
    </row>
    <row r="846" spans="1:13">
      <c r="A846" s="236">
        <v>41622</v>
      </c>
      <c r="B846" s="237"/>
      <c r="C846" s="237" t="s">
        <v>1060</v>
      </c>
      <c r="D846" s="236">
        <v>41963</v>
      </c>
      <c r="E846" s="238">
        <v>400</v>
      </c>
      <c r="F846" s="236"/>
      <c r="G846" s="238">
        <v>-400</v>
      </c>
      <c r="H846" s="239" t="s">
        <v>52</v>
      </c>
      <c r="I846" s="239" t="s">
        <v>2</v>
      </c>
      <c r="J846" s="239" t="s">
        <v>1058</v>
      </c>
      <c r="K846" s="220" t="str">
        <f>IF(J846&lt;&gt;"",VLOOKUP(J846,PContas!A:B,2,FALSE),"")</f>
        <v>PROVISÃO</v>
      </c>
      <c r="L846" s="221">
        <f t="shared" si="26"/>
        <v>20</v>
      </c>
      <c r="M846" s="221" t="str">
        <f t="shared" ca="1" si="27"/>
        <v>ATRASADO</v>
      </c>
    </row>
    <row r="847" spans="1:13">
      <c r="A847" s="236">
        <v>41622</v>
      </c>
      <c r="B847" s="237"/>
      <c r="C847" s="237" t="s">
        <v>1060</v>
      </c>
      <c r="D847" s="236">
        <v>41993</v>
      </c>
      <c r="E847" s="238">
        <v>400</v>
      </c>
      <c r="F847" s="236"/>
      <c r="G847" s="238">
        <v>-400</v>
      </c>
      <c r="H847" s="239" t="s">
        <v>52</v>
      </c>
      <c r="I847" s="239" t="s">
        <v>2</v>
      </c>
      <c r="J847" s="239" t="s">
        <v>1058</v>
      </c>
      <c r="K847" s="220" t="str">
        <f>IF(J847&lt;&gt;"",VLOOKUP(J847,PContas!A:B,2,FALSE),"")</f>
        <v>PROVISÃO</v>
      </c>
      <c r="L847" s="221">
        <f t="shared" si="26"/>
        <v>20</v>
      </c>
      <c r="M847" s="221" t="str">
        <f t="shared" ca="1" si="27"/>
        <v>ATRASADO</v>
      </c>
    </row>
    <row r="848" spans="1:13">
      <c r="A848" s="236">
        <v>41622</v>
      </c>
      <c r="B848" s="237"/>
      <c r="C848" s="237" t="s">
        <v>1061</v>
      </c>
      <c r="D848" s="236">
        <v>41659</v>
      </c>
      <c r="E848" s="238">
        <v>100</v>
      </c>
      <c r="F848" s="236"/>
      <c r="G848" s="238">
        <v>-100</v>
      </c>
      <c r="H848" s="239" t="s">
        <v>52</v>
      </c>
      <c r="I848" s="239" t="s">
        <v>2</v>
      </c>
      <c r="J848" s="239" t="s">
        <v>1010</v>
      </c>
      <c r="K848" s="220" t="str">
        <f>IF(J848&lt;&gt;"",VLOOKUP(J848,PContas!A:B,2,FALSE),"")</f>
        <v>PROVISÃO</v>
      </c>
      <c r="L848" s="221">
        <f t="shared" si="26"/>
        <v>20</v>
      </c>
      <c r="M848" s="221" t="str">
        <f t="shared" ca="1" si="27"/>
        <v>ATRASADO</v>
      </c>
    </row>
    <row r="849" spans="1:13">
      <c r="A849" s="236">
        <v>41622</v>
      </c>
      <c r="B849" s="237"/>
      <c r="C849" s="237" t="s">
        <v>1061</v>
      </c>
      <c r="D849" s="236">
        <v>41690</v>
      </c>
      <c r="E849" s="238">
        <v>100</v>
      </c>
      <c r="F849" s="236"/>
      <c r="G849" s="238">
        <v>-100</v>
      </c>
      <c r="H849" s="239" t="s">
        <v>52</v>
      </c>
      <c r="I849" s="239" t="s">
        <v>2</v>
      </c>
      <c r="J849" s="239" t="s">
        <v>1010</v>
      </c>
      <c r="K849" s="220" t="str">
        <f>IF(J849&lt;&gt;"",VLOOKUP(J849,PContas!A:B,2,FALSE),"")</f>
        <v>PROVISÃO</v>
      </c>
      <c r="L849" s="221">
        <f t="shared" si="26"/>
        <v>20</v>
      </c>
      <c r="M849" s="221" t="str">
        <f t="shared" ca="1" si="27"/>
        <v>ATRASADO</v>
      </c>
    </row>
    <row r="850" spans="1:13">
      <c r="A850" s="236">
        <v>41622</v>
      </c>
      <c r="B850" s="237"/>
      <c r="C850" s="237" t="s">
        <v>1061</v>
      </c>
      <c r="D850" s="236">
        <v>41718</v>
      </c>
      <c r="E850" s="238">
        <v>100</v>
      </c>
      <c r="F850" s="236"/>
      <c r="G850" s="238">
        <v>-100</v>
      </c>
      <c r="H850" s="239" t="s">
        <v>52</v>
      </c>
      <c r="I850" s="239" t="s">
        <v>2</v>
      </c>
      <c r="J850" s="239" t="s">
        <v>1010</v>
      </c>
      <c r="K850" s="220" t="str">
        <f>IF(J850&lt;&gt;"",VLOOKUP(J850,PContas!A:B,2,FALSE),"")</f>
        <v>PROVISÃO</v>
      </c>
      <c r="L850" s="221">
        <f t="shared" si="26"/>
        <v>20</v>
      </c>
      <c r="M850" s="221" t="str">
        <f t="shared" ca="1" si="27"/>
        <v>ATRASADO</v>
      </c>
    </row>
    <row r="851" spans="1:13">
      <c r="A851" s="236">
        <v>41622</v>
      </c>
      <c r="B851" s="237"/>
      <c r="C851" s="237" t="s">
        <v>1061</v>
      </c>
      <c r="D851" s="236">
        <v>41749</v>
      </c>
      <c r="E851" s="238">
        <v>100</v>
      </c>
      <c r="F851" s="236"/>
      <c r="G851" s="238">
        <v>-100</v>
      </c>
      <c r="H851" s="239" t="s">
        <v>52</v>
      </c>
      <c r="I851" s="239" t="s">
        <v>2</v>
      </c>
      <c r="J851" s="239" t="s">
        <v>1010</v>
      </c>
      <c r="K851" s="220" t="str">
        <f>IF(J851&lt;&gt;"",VLOOKUP(J851,PContas!A:B,2,FALSE),"")</f>
        <v>PROVISÃO</v>
      </c>
      <c r="L851" s="221">
        <f t="shared" si="26"/>
        <v>20</v>
      </c>
      <c r="M851" s="221" t="str">
        <f t="shared" ca="1" si="27"/>
        <v>ATRASADO</v>
      </c>
    </row>
    <row r="852" spans="1:13">
      <c r="A852" s="236">
        <v>41622</v>
      </c>
      <c r="B852" s="237"/>
      <c r="C852" s="237" t="s">
        <v>1061</v>
      </c>
      <c r="D852" s="236">
        <v>41779</v>
      </c>
      <c r="E852" s="238">
        <v>100</v>
      </c>
      <c r="F852" s="236"/>
      <c r="G852" s="238">
        <v>-100</v>
      </c>
      <c r="H852" s="239" t="s">
        <v>52</v>
      </c>
      <c r="I852" s="239" t="s">
        <v>2</v>
      </c>
      <c r="J852" s="239" t="s">
        <v>1010</v>
      </c>
      <c r="K852" s="220" t="str">
        <f>IF(J852&lt;&gt;"",VLOOKUP(J852,PContas!A:B,2,FALSE),"")</f>
        <v>PROVISÃO</v>
      </c>
      <c r="L852" s="221">
        <f t="shared" si="26"/>
        <v>20</v>
      </c>
      <c r="M852" s="221" t="str">
        <f t="shared" ca="1" si="27"/>
        <v>ATRASADO</v>
      </c>
    </row>
    <row r="853" spans="1:13">
      <c r="A853" s="236">
        <v>41622</v>
      </c>
      <c r="B853" s="237"/>
      <c r="C853" s="237" t="s">
        <v>1061</v>
      </c>
      <c r="D853" s="236">
        <v>41810</v>
      </c>
      <c r="E853" s="238">
        <v>100</v>
      </c>
      <c r="F853" s="236"/>
      <c r="G853" s="238">
        <v>-100</v>
      </c>
      <c r="H853" s="239" t="s">
        <v>52</v>
      </c>
      <c r="I853" s="239" t="s">
        <v>2</v>
      </c>
      <c r="J853" s="239" t="s">
        <v>1010</v>
      </c>
      <c r="K853" s="220" t="str">
        <f>IF(J853&lt;&gt;"",VLOOKUP(J853,PContas!A:B,2,FALSE),"")</f>
        <v>PROVISÃO</v>
      </c>
      <c r="L853" s="221">
        <f t="shared" si="26"/>
        <v>20</v>
      </c>
      <c r="M853" s="221" t="str">
        <f t="shared" ca="1" si="27"/>
        <v>ATRASADO</v>
      </c>
    </row>
    <row r="854" spans="1:13">
      <c r="A854" s="236">
        <v>41622</v>
      </c>
      <c r="B854" s="237"/>
      <c r="C854" s="237" t="s">
        <v>1061</v>
      </c>
      <c r="D854" s="236">
        <v>41840</v>
      </c>
      <c r="E854" s="238">
        <v>100</v>
      </c>
      <c r="F854" s="236"/>
      <c r="G854" s="238">
        <v>-100</v>
      </c>
      <c r="H854" s="239" t="s">
        <v>52</v>
      </c>
      <c r="I854" s="239" t="s">
        <v>2</v>
      </c>
      <c r="J854" s="239" t="s">
        <v>1010</v>
      </c>
      <c r="K854" s="220" t="str">
        <f>IF(J854&lt;&gt;"",VLOOKUP(J854,PContas!A:B,2,FALSE),"")</f>
        <v>PROVISÃO</v>
      </c>
      <c r="L854" s="221">
        <f t="shared" si="26"/>
        <v>20</v>
      </c>
      <c r="M854" s="221" t="str">
        <f t="shared" ca="1" si="27"/>
        <v>ATRASADO</v>
      </c>
    </row>
    <row r="855" spans="1:13">
      <c r="A855" s="236">
        <v>41622</v>
      </c>
      <c r="B855" s="237"/>
      <c r="C855" s="237" t="s">
        <v>1061</v>
      </c>
      <c r="D855" s="236">
        <v>41871</v>
      </c>
      <c r="E855" s="238">
        <v>100</v>
      </c>
      <c r="F855" s="236"/>
      <c r="G855" s="238">
        <v>-100</v>
      </c>
      <c r="H855" s="239" t="s">
        <v>52</v>
      </c>
      <c r="I855" s="239" t="s">
        <v>2</v>
      </c>
      <c r="J855" s="239" t="s">
        <v>1010</v>
      </c>
      <c r="K855" s="220" t="str">
        <f>IF(J855&lt;&gt;"",VLOOKUP(J855,PContas!A:B,2,FALSE),"")</f>
        <v>PROVISÃO</v>
      </c>
      <c r="L855" s="221">
        <f t="shared" si="26"/>
        <v>20</v>
      </c>
      <c r="M855" s="221" t="str">
        <f t="shared" ca="1" si="27"/>
        <v>ATRASADO</v>
      </c>
    </row>
    <row r="856" spans="1:13">
      <c r="A856" s="236">
        <v>41622</v>
      </c>
      <c r="B856" s="237"/>
      <c r="C856" s="237" t="s">
        <v>1061</v>
      </c>
      <c r="D856" s="236">
        <v>41902</v>
      </c>
      <c r="E856" s="238">
        <v>100</v>
      </c>
      <c r="F856" s="236"/>
      <c r="G856" s="238">
        <v>-100</v>
      </c>
      <c r="H856" s="239" t="s">
        <v>52</v>
      </c>
      <c r="I856" s="239" t="s">
        <v>2</v>
      </c>
      <c r="J856" s="239" t="s">
        <v>1010</v>
      </c>
      <c r="K856" s="220" t="str">
        <f>IF(J856&lt;&gt;"",VLOOKUP(J856,PContas!A:B,2,FALSE),"")</f>
        <v>PROVISÃO</v>
      </c>
      <c r="L856" s="221">
        <f t="shared" si="26"/>
        <v>20</v>
      </c>
      <c r="M856" s="221" t="str">
        <f t="shared" ca="1" si="27"/>
        <v>ATRASADO</v>
      </c>
    </row>
    <row r="857" spans="1:13">
      <c r="A857" s="236">
        <v>41622</v>
      </c>
      <c r="B857" s="237"/>
      <c r="C857" s="237" t="s">
        <v>1061</v>
      </c>
      <c r="D857" s="236">
        <v>41932</v>
      </c>
      <c r="E857" s="238">
        <v>100</v>
      </c>
      <c r="F857" s="236"/>
      <c r="G857" s="238">
        <v>-100</v>
      </c>
      <c r="H857" s="239" t="s">
        <v>52</v>
      </c>
      <c r="I857" s="239" t="s">
        <v>2</v>
      </c>
      <c r="J857" s="239" t="s">
        <v>1010</v>
      </c>
      <c r="K857" s="220" t="str">
        <f>IF(J857&lt;&gt;"",VLOOKUP(J857,PContas!A:B,2,FALSE),"")</f>
        <v>PROVISÃO</v>
      </c>
      <c r="L857" s="221">
        <f t="shared" si="26"/>
        <v>20</v>
      </c>
      <c r="M857" s="221" t="str">
        <f t="shared" ca="1" si="27"/>
        <v>ATRASADO</v>
      </c>
    </row>
    <row r="858" spans="1:13">
      <c r="A858" s="236">
        <v>41622</v>
      </c>
      <c r="B858" s="237"/>
      <c r="C858" s="237" t="s">
        <v>1061</v>
      </c>
      <c r="D858" s="236">
        <v>41963</v>
      </c>
      <c r="E858" s="238">
        <v>100</v>
      </c>
      <c r="F858" s="236"/>
      <c r="G858" s="238">
        <v>-100</v>
      </c>
      <c r="H858" s="239" t="s">
        <v>52</v>
      </c>
      <c r="I858" s="239" t="s">
        <v>2</v>
      </c>
      <c r="J858" s="239" t="s">
        <v>1010</v>
      </c>
      <c r="K858" s="220" t="str">
        <f>IF(J858&lt;&gt;"",VLOOKUP(J858,PContas!A:B,2,FALSE),"")</f>
        <v>PROVISÃO</v>
      </c>
      <c r="L858" s="221">
        <f t="shared" si="26"/>
        <v>20</v>
      </c>
      <c r="M858" s="221" t="str">
        <f t="shared" ca="1" si="27"/>
        <v>ATRASADO</v>
      </c>
    </row>
    <row r="859" spans="1:13">
      <c r="A859" s="236">
        <v>41622</v>
      </c>
      <c r="B859" s="237"/>
      <c r="C859" s="237" t="s">
        <v>1061</v>
      </c>
      <c r="D859" s="236">
        <v>41993</v>
      </c>
      <c r="E859" s="238">
        <v>100</v>
      </c>
      <c r="F859" s="236"/>
      <c r="G859" s="238">
        <v>-100</v>
      </c>
      <c r="H859" s="239" t="s">
        <v>52</v>
      </c>
      <c r="I859" s="239" t="s">
        <v>2</v>
      </c>
      <c r="J859" s="239" t="s">
        <v>1010</v>
      </c>
      <c r="K859" s="220" t="str">
        <f>IF(J859&lt;&gt;"",VLOOKUP(J859,PContas!A:B,2,FALSE),"")</f>
        <v>PROVISÃO</v>
      </c>
      <c r="L859" s="221">
        <f t="shared" si="26"/>
        <v>20</v>
      </c>
      <c r="M859" s="221" t="str">
        <f t="shared" ca="1" si="27"/>
        <v>ATRASADO</v>
      </c>
    </row>
    <row r="860" spans="1:13">
      <c r="A860" s="236">
        <v>41622</v>
      </c>
      <c r="B860" s="237"/>
      <c r="C860" s="237" t="s">
        <v>1063</v>
      </c>
      <c r="D860" s="236">
        <v>41659</v>
      </c>
      <c r="E860" s="238">
        <v>600</v>
      </c>
      <c r="F860" s="236"/>
      <c r="G860" s="238">
        <v>-600</v>
      </c>
      <c r="H860" s="239" t="s">
        <v>52</v>
      </c>
      <c r="I860" s="239" t="s">
        <v>2</v>
      </c>
      <c r="J860" s="239" t="s">
        <v>1064</v>
      </c>
      <c r="K860" s="220" t="str">
        <f>IF(J860&lt;&gt;"",VLOOKUP(J860,PContas!A:B,2,FALSE),"")</f>
        <v>PROVISÃO</v>
      </c>
      <c r="L860" s="221">
        <f t="shared" si="26"/>
        <v>20</v>
      </c>
      <c r="M860" s="221" t="str">
        <f t="shared" ca="1" si="27"/>
        <v>ATRASADO</v>
      </c>
    </row>
    <row r="861" spans="1:13">
      <c r="A861" s="236">
        <v>41622</v>
      </c>
      <c r="B861" s="237"/>
      <c r="C861" s="237" t="s">
        <v>1063</v>
      </c>
      <c r="D861" s="236">
        <v>41690</v>
      </c>
      <c r="E861" s="238">
        <v>600</v>
      </c>
      <c r="F861" s="236"/>
      <c r="G861" s="238">
        <v>-600</v>
      </c>
      <c r="H861" s="239" t="s">
        <v>52</v>
      </c>
      <c r="I861" s="239" t="s">
        <v>2</v>
      </c>
      <c r="J861" s="239" t="s">
        <v>1064</v>
      </c>
      <c r="K861" s="220" t="str">
        <f>IF(J861&lt;&gt;"",VLOOKUP(J861,PContas!A:B,2,FALSE),"")</f>
        <v>PROVISÃO</v>
      </c>
      <c r="L861" s="221">
        <f t="shared" si="26"/>
        <v>20</v>
      </c>
      <c r="M861" s="221" t="str">
        <f t="shared" ca="1" si="27"/>
        <v>ATRASADO</v>
      </c>
    </row>
    <row r="862" spans="1:13">
      <c r="A862" s="236">
        <v>41622</v>
      </c>
      <c r="B862" s="237"/>
      <c r="C862" s="237" t="s">
        <v>1063</v>
      </c>
      <c r="D862" s="236">
        <v>41718</v>
      </c>
      <c r="E862" s="238">
        <v>600</v>
      </c>
      <c r="F862" s="236"/>
      <c r="G862" s="238">
        <v>-600</v>
      </c>
      <c r="H862" s="239" t="s">
        <v>52</v>
      </c>
      <c r="I862" s="239" t="s">
        <v>2</v>
      </c>
      <c r="J862" s="239" t="s">
        <v>1064</v>
      </c>
      <c r="K862" s="220" t="str">
        <f>IF(J862&lt;&gt;"",VLOOKUP(J862,PContas!A:B,2,FALSE),"")</f>
        <v>PROVISÃO</v>
      </c>
      <c r="L862" s="221">
        <f t="shared" si="26"/>
        <v>20</v>
      </c>
      <c r="M862" s="221" t="str">
        <f t="shared" ca="1" si="27"/>
        <v>ATRASADO</v>
      </c>
    </row>
    <row r="863" spans="1:13">
      <c r="A863" s="236">
        <v>41622</v>
      </c>
      <c r="B863" s="237"/>
      <c r="C863" s="237" t="s">
        <v>1063</v>
      </c>
      <c r="D863" s="236">
        <v>41749</v>
      </c>
      <c r="E863" s="238">
        <v>600</v>
      </c>
      <c r="F863" s="236"/>
      <c r="G863" s="238">
        <v>-600</v>
      </c>
      <c r="H863" s="239" t="s">
        <v>52</v>
      </c>
      <c r="I863" s="239" t="s">
        <v>2</v>
      </c>
      <c r="J863" s="239" t="s">
        <v>1064</v>
      </c>
      <c r="K863" s="220" t="str">
        <f>IF(J863&lt;&gt;"",VLOOKUP(J863,PContas!A:B,2,FALSE),"")</f>
        <v>PROVISÃO</v>
      </c>
      <c r="L863" s="221">
        <f t="shared" si="26"/>
        <v>20</v>
      </c>
      <c r="M863" s="221" t="str">
        <f t="shared" ca="1" si="27"/>
        <v>ATRASADO</v>
      </c>
    </row>
    <row r="864" spans="1:13">
      <c r="A864" s="236">
        <v>41622</v>
      </c>
      <c r="B864" s="237"/>
      <c r="C864" s="237" t="s">
        <v>1063</v>
      </c>
      <c r="D864" s="236">
        <v>41779</v>
      </c>
      <c r="E864" s="238">
        <v>600</v>
      </c>
      <c r="F864" s="236"/>
      <c r="G864" s="238">
        <v>-600</v>
      </c>
      <c r="H864" s="239" t="s">
        <v>52</v>
      </c>
      <c r="I864" s="239" t="s">
        <v>2</v>
      </c>
      <c r="J864" s="239" t="s">
        <v>1064</v>
      </c>
      <c r="K864" s="220" t="str">
        <f>IF(J864&lt;&gt;"",VLOOKUP(J864,PContas!A:B,2,FALSE),"")</f>
        <v>PROVISÃO</v>
      </c>
      <c r="L864" s="221">
        <f t="shared" si="26"/>
        <v>20</v>
      </c>
      <c r="M864" s="221" t="str">
        <f t="shared" ca="1" si="27"/>
        <v>ATRASADO</v>
      </c>
    </row>
    <row r="865" spans="1:13">
      <c r="A865" s="236">
        <v>41622</v>
      </c>
      <c r="B865" s="237"/>
      <c r="C865" s="237" t="s">
        <v>1063</v>
      </c>
      <c r="D865" s="236">
        <v>41810</v>
      </c>
      <c r="E865" s="238">
        <v>600</v>
      </c>
      <c r="F865" s="236"/>
      <c r="G865" s="238">
        <v>-600</v>
      </c>
      <c r="H865" s="239" t="s">
        <v>52</v>
      </c>
      <c r="I865" s="239" t="s">
        <v>2</v>
      </c>
      <c r="J865" s="239" t="s">
        <v>1064</v>
      </c>
      <c r="K865" s="220" t="str">
        <f>IF(J865&lt;&gt;"",VLOOKUP(J865,PContas!A:B,2,FALSE),"")</f>
        <v>PROVISÃO</v>
      </c>
      <c r="L865" s="221">
        <f t="shared" si="26"/>
        <v>20</v>
      </c>
      <c r="M865" s="221" t="str">
        <f t="shared" ca="1" si="27"/>
        <v>ATRASADO</v>
      </c>
    </row>
    <row r="866" spans="1:13">
      <c r="A866" s="236">
        <v>41622</v>
      </c>
      <c r="B866" s="237"/>
      <c r="C866" s="237" t="s">
        <v>1063</v>
      </c>
      <c r="D866" s="236">
        <v>41840</v>
      </c>
      <c r="E866" s="238">
        <v>600</v>
      </c>
      <c r="F866" s="236"/>
      <c r="G866" s="238">
        <v>-600</v>
      </c>
      <c r="H866" s="239" t="s">
        <v>52</v>
      </c>
      <c r="I866" s="239" t="s">
        <v>2</v>
      </c>
      <c r="J866" s="239" t="s">
        <v>1064</v>
      </c>
      <c r="K866" s="220" t="str">
        <f>IF(J866&lt;&gt;"",VLOOKUP(J866,PContas!A:B,2,FALSE),"")</f>
        <v>PROVISÃO</v>
      </c>
      <c r="L866" s="221">
        <f t="shared" si="26"/>
        <v>20</v>
      </c>
      <c r="M866" s="221" t="str">
        <f t="shared" ca="1" si="27"/>
        <v>ATRASADO</v>
      </c>
    </row>
    <row r="867" spans="1:13">
      <c r="A867" s="236">
        <v>41622</v>
      </c>
      <c r="B867" s="237"/>
      <c r="C867" s="237" t="s">
        <v>1063</v>
      </c>
      <c r="D867" s="236">
        <v>41871</v>
      </c>
      <c r="E867" s="238">
        <v>600</v>
      </c>
      <c r="F867" s="236"/>
      <c r="G867" s="238">
        <v>-600</v>
      </c>
      <c r="H867" s="239" t="s">
        <v>52</v>
      </c>
      <c r="I867" s="239" t="s">
        <v>2</v>
      </c>
      <c r="J867" s="239" t="s">
        <v>1064</v>
      </c>
      <c r="K867" s="220" t="str">
        <f>IF(J867&lt;&gt;"",VLOOKUP(J867,PContas!A:B,2,FALSE),"")</f>
        <v>PROVISÃO</v>
      </c>
      <c r="L867" s="221">
        <f t="shared" si="26"/>
        <v>20</v>
      </c>
      <c r="M867" s="221" t="str">
        <f t="shared" ca="1" si="27"/>
        <v>ATRASADO</v>
      </c>
    </row>
    <row r="868" spans="1:13">
      <c r="A868" s="236">
        <v>41622</v>
      </c>
      <c r="B868" s="237"/>
      <c r="C868" s="237" t="s">
        <v>1063</v>
      </c>
      <c r="D868" s="236">
        <v>41902</v>
      </c>
      <c r="E868" s="238">
        <v>600</v>
      </c>
      <c r="F868" s="236"/>
      <c r="G868" s="238">
        <v>-600</v>
      </c>
      <c r="H868" s="239" t="s">
        <v>52</v>
      </c>
      <c r="I868" s="239" t="s">
        <v>2</v>
      </c>
      <c r="J868" s="239" t="s">
        <v>1064</v>
      </c>
      <c r="K868" s="220" t="str">
        <f>IF(J868&lt;&gt;"",VLOOKUP(J868,PContas!A:B,2,FALSE),"")</f>
        <v>PROVISÃO</v>
      </c>
      <c r="L868" s="221">
        <f t="shared" si="26"/>
        <v>20</v>
      </c>
      <c r="M868" s="221" t="str">
        <f t="shared" ca="1" si="27"/>
        <v>ATRASADO</v>
      </c>
    </row>
    <row r="869" spans="1:13">
      <c r="A869" s="236">
        <v>41622</v>
      </c>
      <c r="B869" s="237"/>
      <c r="C869" s="237" t="s">
        <v>1063</v>
      </c>
      <c r="D869" s="236">
        <v>41932</v>
      </c>
      <c r="E869" s="238">
        <v>600</v>
      </c>
      <c r="F869" s="236"/>
      <c r="G869" s="238">
        <v>-600</v>
      </c>
      <c r="H869" s="239" t="s">
        <v>52</v>
      </c>
      <c r="I869" s="239" t="s">
        <v>2</v>
      </c>
      <c r="J869" s="239" t="s">
        <v>1064</v>
      </c>
      <c r="K869" s="220" t="str">
        <f>IF(J869&lt;&gt;"",VLOOKUP(J869,PContas!A:B,2,FALSE),"")</f>
        <v>PROVISÃO</v>
      </c>
      <c r="L869" s="221">
        <f t="shared" si="26"/>
        <v>20</v>
      </c>
      <c r="M869" s="221" t="str">
        <f t="shared" ca="1" si="27"/>
        <v>ATRASADO</v>
      </c>
    </row>
    <row r="870" spans="1:13">
      <c r="A870" s="236">
        <v>41622</v>
      </c>
      <c r="B870" s="237"/>
      <c r="C870" s="237" t="s">
        <v>1063</v>
      </c>
      <c r="D870" s="236">
        <v>41963</v>
      </c>
      <c r="E870" s="238">
        <v>600</v>
      </c>
      <c r="F870" s="236"/>
      <c r="G870" s="238">
        <v>-600</v>
      </c>
      <c r="H870" s="239" t="s">
        <v>52</v>
      </c>
      <c r="I870" s="239" t="s">
        <v>2</v>
      </c>
      <c r="J870" s="239" t="s">
        <v>1064</v>
      </c>
      <c r="K870" s="220" t="str">
        <f>IF(J870&lt;&gt;"",VLOOKUP(J870,PContas!A:B,2,FALSE),"")</f>
        <v>PROVISÃO</v>
      </c>
      <c r="L870" s="221">
        <f t="shared" si="26"/>
        <v>20</v>
      </c>
      <c r="M870" s="221" t="str">
        <f t="shared" ca="1" si="27"/>
        <v>ATRASADO</v>
      </c>
    </row>
    <row r="871" spans="1:13">
      <c r="A871" s="236">
        <v>41622</v>
      </c>
      <c r="B871" s="237"/>
      <c r="C871" s="237" t="s">
        <v>1063</v>
      </c>
      <c r="D871" s="236">
        <v>41993</v>
      </c>
      <c r="E871" s="238">
        <v>600</v>
      </c>
      <c r="F871" s="236"/>
      <c r="G871" s="238">
        <v>-600</v>
      </c>
      <c r="H871" s="239" t="s">
        <v>52</v>
      </c>
      <c r="I871" s="239" t="s">
        <v>2</v>
      </c>
      <c r="J871" s="239" t="s">
        <v>1064</v>
      </c>
      <c r="K871" s="220" t="str">
        <f>IF(J871&lt;&gt;"",VLOOKUP(J871,PContas!A:B,2,FALSE),"")</f>
        <v>PROVISÃO</v>
      </c>
      <c r="L871" s="221">
        <f t="shared" si="26"/>
        <v>20</v>
      </c>
      <c r="M871" s="221" t="str">
        <f t="shared" ca="1" si="27"/>
        <v>ATRASADO</v>
      </c>
    </row>
    <row r="872" spans="1:13">
      <c r="A872" s="236">
        <v>41622</v>
      </c>
      <c r="B872" s="237"/>
      <c r="C872" s="237"/>
      <c r="D872" s="236">
        <v>41622</v>
      </c>
      <c r="E872" s="238">
        <v>36.020000000000003</v>
      </c>
      <c r="F872" s="236">
        <v>41622</v>
      </c>
      <c r="G872" s="238">
        <v>-36.020000000000003</v>
      </c>
      <c r="H872" s="239" t="s">
        <v>52</v>
      </c>
      <c r="I872" s="239" t="s">
        <v>2</v>
      </c>
      <c r="J872" s="239" t="s">
        <v>488</v>
      </c>
      <c r="K872" s="220" t="str">
        <f>IF(J872&lt;&gt;"",VLOOKUP(J872,PContas!A:B,2,FALSE),"")</f>
        <v>ALIMENTAÇÃO</v>
      </c>
      <c r="L872" s="221">
        <f t="shared" si="26"/>
        <v>14</v>
      </c>
      <c r="M872" s="221" t="str">
        <f t="shared" ca="1" si="27"/>
        <v>2013/12</v>
      </c>
    </row>
    <row r="873" spans="1:13">
      <c r="A873" s="236">
        <v>41622</v>
      </c>
      <c r="B873" s="237"/>
      <c r="C873" s="237"/>
      <c r="D873" s="236">
        <v>41622</v>
      </c>
      <c r="E873" s="238">
        <v>8.5</v>
      </c>
      <c r="F873" s="236">
        <v>41622</v>
      </c>
      <c r="G873" s="238">
        <v>-8.5</v>
      </c>
      <c r="H873" s="239" t="s">
        <v>52</v>
      </c>
      <c r="I873" s="239" t="s">
        <v>2</v>
      </c>
      <c r="J873" s="239" t="s">
        <v>488</v>
      </c>
      <c r="K873" s="220" t="str">
        <f>IF(J873&lt;&gt;"",VLOOKUP(J873,PContas!A:B,2,FALSE),"")</f>
        <v>ALIMENTAÇÃO</v>
      </c>
      <c r="L873" s="221">
        <f t="shared" si="26"/>
        <v>14</v>
      </c>
      <c r="M873" s="221" t="str">
        <f t="shared" ca="1" si="27"/>
        <v>2013/12</v>
      </c>
    </row>
    <row r="874" spans="1:13">
      <c r="A874" s="236">
        <v>41622</v>
      </c>
      <c r="B874" s="237" t="s">
        <v>34</v>
      </c>
      <c r="C874" s="237"/>
      <c r="D874" s="236">
        <v>41622</v>
      </c>
      <c r="E874" s="238">
        <v>761</v>
      </c>
      <c r="F874" s="236">
        <v>41622</v>
      </c>
      <c r="G874" s="238">
        <v>-761</v>
      </c>
      <c r="H874" s="239" t="s">
        <v>52</v>
      </c>
      <c r="I874" s="239" t="s">
        <v>2</v>
      </c>
      <c r="J874" s="239" t="s">
        <v>3</v>
      </c>
      <c r="K874" s="220" t="str">
        <f>IF(J874&lt;&gt;"",VLOOKUP(J874,PContas!A:B,2,FALSE),"")</f>
        <v>ALIMENTAÇÃO</v>
      </c>
      <c r="L874" s="221">
        <f t="shared" si="26"/>
        <v>14</v>
      </c>
      <c r="M874" s="221" t="str">
        <f t="shared" ca="1" si="27"/>
        <v>2013/12</v>
      </c>
    </row>
    <row r="875" spans="1:13">
      <c r="A875" s="236">
        <v>41624</v>
      </c>
      <c r="B875" s="237"/>
      <c r="C875" s="237"/>
      <c r="D875" s="236">
        <v>41624</v>
      </c>
      <c r="E875" s="238">
        <v>13</v>
      </c>
      <c r="F875" s="236">
        <v>41624</v>
      </c>
      <c r="G875" s="238">
        <v>-13</v>
      </c>
      <c r="H875" s="239" t="s">
        <v>52</v>
      </c>
      <c r="I875" s="239" t="s">
        <v>2</v>
      </c>
      <c r="J875" s="239" t="s">
        <v>1016</v>
      </c>
      <c r="K875" s="220" t="str">
        <f>IF(J875&lt;&gt;"",VLOOKUP(J875,PContas!A:B,2,FALSE),"")</f>
        <v>TELEFONIA</v>
      </c>
      <c r="L875" s="221">
        <f t="shared" si="26"/>
        <v>16</v>
      </c>
      <c r="M875" s="221" t="str">
        <f t="shared" ca="1" si="27"/>
        <v>2013/12</v>
      </c>
    </row>
    <row r="876" spans="1:13">
      <c r="A876" s="236">
        <v>41625</v>
      </c>
      <c r="B876" s="237"/>
      <c r="C876" s="267" t="s">
        <v>1088</v>
      </c>
      <c r="D876" s="236">
        <v>41625</v>
      </c>
      <c r="E876" s="238">
        <v>44</v>
      </c>
      <c r="F876" s="236">
        <v>41625</v>
      </c>
      <c r="G876" s="238">
        <v>-44</v>
      </c>
      <c r="H876" s="239" t="s">
        <v>52</v>
      </c>
      <c r="I876" s="239" t="s">
        <v>1111</v>
      </c>
      <c r="J876" s="239" t="s">
        <v>98</v>
      </c>
      <c r="K876" s="220" t="str">
        <f>IF(J876&lt;&gt;"",VLOOKUP(J876,PContas!A:B,2,FALSE),"")</f>
        <v>TARIFAS</v>
      </c>
      <c r="L876" s="221">
        <f t="shared" si="26"/>
        <v>17</v>
      </c>
      <c r="M876" s="221" t="str">
        <f t="shared" ca="1" si="27"/>
        <v>2013/12</v>
      </c>
    </row>
    <row r="877" spans="1:13">
      <c r="A877" s="236">
        <v>41625</v>
      </c>
      <c r="B877" s="237" t="s">
        <v>34</v>
      </c>
      <c r="C877" s="237"/>
      <c r="D877" s="236">
        <v>41625</v>
      </c>
      <c r="E877" s="238">
        <v>48.18</v>
      </c>
      <c r="F877" s="236">
        <v>41625</v>
      </c>
      <c r="G877" s="238">
        <v>-48.18</v>
      </c>
      <c r="H877" s="239" t="s">
        <v>52</v>
      </c>
      <c r="I877" s="239" t="s">
        <v>2</v>
      </c>
      <c r="J877" s="239" t="s">
        <v>488</v>
      </c>
      <c r="K877" s="220" t="str">
        <f>IF(J877&lt;&gt;"",VLOOKUP(J877,PContas!A:B,2,FALSE),"")</f>
        <v>ALIMENTAÇÃO</v>
      </c>
      <c r="L877" s="221">
        <f t="shared" si="26"/>
        <v>17</v>
      </c>
      <c r="M877" s="221" t="str">
        <f t="shared" ca="1" si="27"/>
        <v>2013/12</v>
      </c>
    </row>
    <row r="878" spans="1:13">
      <c r="A878" s="236">
        <v>41625</v>
      </c>
      <c r="B878" s="237" t="s">
        <v>1017</v>
      </c>
      <c r="C878" s="237"/>
      <c r="D878" s="236">
        <v>41625</v>
      </c>
      <c r="E878" s="238">
        <v>350</v>
      </c>
      <c r="F878" s="236">
        <v>41625</v>
      </c>
      <c r="G878" s="238">
        <v>350</v>
      </c>
      <c r="H878" s="239" t="s">
        <v>71</v>
      </c>
      <c r="I878" s="239" t="s">
        <v>2</v>
      </c>
      <c r="J878" s="239" t="s">
        <v>1018</v>
      </c>
      <c r="K878" s="220" t="str">
        <f>IF(J878&lt;&gt;"",VLOOKUP(J878,PContas!A:B,2,FALSE),"")</f>
        <v>CLIENTES</v>
      </c>
      <c r="L878" s="221">
        <f t="shared" si="26"/>
        <v>17</v>
      </c>
      <c r="M878" s="221" t="str">
        <f t="shared" ca="1" si="27"/>
        <v>2013/12</v>
      </c>
    </row>
    <row r="879" spans="1:13">
      <c r="A879" s="236">
        <v>41626</v>
      </c>
      <c r="B879" s="237" t="s">
        <v>1017</v>
      </c>
      <c r="C879" s="237"/>
      <c r="D879" s="236">
        <v>41628</v>
      </c>
      <c r="E879" s="238">
        <v>200</v>
      </c>
      <c r="F879" s="236">
        <v>41626</v>
      </c>
      <c r="G879" s="238">
        <v>-200</v>
      </c>
      <c r="H879" s="239" t="s">
        <v>52</v>
      </c>
      <c r="I879" s="239" t="s">
        <v>2</v>
      </c>
      <c r="J879" s="239" t="s">
        <v>1019</v>
      </c>
      <c r="K879" s="220" t="str">
        <f>IF(J879&lt;&gt;"",VLOOKUP(J879,PContas!A:B,2,FALSE),"")</f>
        <v>M.OBRA</v>
      </c>
      <c r="L879" s="221">
        <f t="shared" si="26"/>
        <v>20</v>
      </c>
      <c r="M879" s="221" t="str">
        <f t="shared" ca="1" si="27"/>
        <v>2013/12</v>
      </c>
    </row>
    <row r="880" spans="1:13">
      <c r="A880" s="236">
        <v>41626</v>
      </c>
      <c r="B880" s="237" t="s">
        <v>1053</v>
      </c>
      <c r="C880" s="237"/>
      <c r="D880" s="236">
        <v>41626</v>
      </c>
      <c r="E880" s="238">
        <v>350</v>
      </c>
      <c r="F880" s="236">
        <v>41627</v>
      </c>
      <c r="G880" s="238">
        <v>350</v>
      </c>
      <c r="H880" s="239" t="s">
        <v>71</v>
      </c>
      <c r="I880" s="239" t="s">
        <v>2</v>
      </c>
      <c r="J880" s="239" t="s">
        <v>1018</v>
      </c>
      <c r="K880" s="220" t="str">
        <f>IF(J880&lt;&gt;"",VLOOKUP(J880,PContas!A:B,2,FALSE),"")</f>
        <v>CLIENTES</v>
      </c>
      <c r="L880" s="221">
        <f t="shared" si="26"/>
        <v>18</v>
      </c>
      <c r="M880" s="221" t="str">
        <f t="shared" ca="1" si="27"/>
        <v>2013/12</v>
      </c>
    </row>
    <row r="881" spans="1:13">
      <c r="A881" s="236">
        <v>41626</v>
      </c>
      <c r="B881" s="237" t="s">
        <v>1053</v>
      </c>
      <c r="C881" s="237"/>
      <c r="D881" s="236">
        <v>41628</v>
      </c>
      <c r="E881" s="238">
        <v>200</v>
      </c>
      <c r="F881" s="236">
        <v>41626</v>
      </c>
      <c r="G881" s="238">
        <v>-200</v>
      </c>
      <c r="H881" s="239" t="s">
        <v>52</v>
      </c>
      <c r="I881" s="239" t="s">
        <v>2</v>
      </c>
      <c r="J881" s="239" t="s">
        <v>1019</v>
      </c>
      <c r="K881" s="220" t="str">
        <f>IF(J881&lt;&gt;"",VLOOKUP(J881,PContas!A:B,2,FALSE),"")</f>
        <v>M.OBRA</v>
      </c>
      <c r="L881" s="221">
        <f t="shared" si="26"/>
        <v>20</v>
      </c>
      <c r="M881" s="221" t="str">
        <f t="shared" ca="1" si="27"/>
        <v>2013/12</v>
      </c>
    </row>
    <row r="882" spans="1:13">
      <c r="A882" s="236">
        <v>41626</v>
      </c>
      <c r="B882" s="237"/>
      <c r="C882" s="237" t="s">
        <v>1093</v>
      </c>
      <c r="D882" s="236">
        <v>41626</v>
      </c>
      <c r="E882" s="238">
        <v>16.899999999999999</v>
      </c>
      <c r="F882" s="236">
        <v>41626</v>
      </c>
      <c r="G882" s="238">
        <v>-16.899999999999999</v>
      </c>
      <c r="H882" s="239" t="s">
        <v>52</v>
      </c>
      <c r="I882" s="239" t="s">
        <v>2</v>
      </c>
      <c r="J882" s="239" t="s">
        <v>1023</v>
      </c>
      <c r="K882" s="220" t="str">
        <f>IF(J882&lt;&gt;"",VLOOKUP(J882,PContas!A:B,2,FALSE),"")</f>
        <v>AILTON</v>
      </c>
      <c r="L882" s="221">
        <f t="shared" si="26"/>
        <v>18</v>
      </c>
      <c r="M882" s="221" t="str">
        <f t="shared" ca="1" si="27"/>
        <v>2013/12</v>
      </c>
    </row>
    <row r="883" spans="1:13">
      <c r="A883" s="236">
        <v>41627</v>
      </c>
      <c r="B883" s="237"/>
      <c r="C883" s="237"/>
      <c r="D883" s="236">
        <v>41627</v>
      </c>
      <c r="E883" s="238">
        <v>4.5599999999999996</v>
      </c>
      <c r="F883" s="236">
        <v>41627</v>
      </c>
      <c r="G883" s="238">
        <v>-4.5599999999999996</v>
      </c>
      <c r="H883" s="239" t="s">
        <v>52</v>
      </c>
      <c r="I883" s="239" t="s">
        <v>2</v>
      </c>
      <c r="J883" s="239" t="s">
        <v>488</v>
      </c>
      <c r="K883" s="220" t="str">
        <f>IF(J883&lt;&gt;"",VLOOKUP(J883,PContas!A:B,2,FALSE),"")</f>
        <v>ALIMENTAÇÃO</v>
      </c>
      <c r="L883" s="221">
        <f t="shared" si="26"/>
        <v>19</v>
      </c>
      <c r="M883" s="221" t="str">
        <f t="shared" ca="1" si="27"/>
        <v>2013/12</v>
      </c>
    </row>
    <row r="884" spans="1:13">
      <c r="A884" s="236">
        <v>41627</v>
      </c>
      <c r="B884" s="237"/>
      <c r="C884" s="237"/>
      <c r="D884" s="236">
        <v>41628</v>
      </c>
      <c r="E884" s="238">
        <v>20</v>
      </c>
      <c r="F884" s="236">
        <v>41627</v>
      </c>
      <c r="G884" s="238">
        <v>-20</v>
      </c>
      <c r="H884" s="239" t="s">
        <v>52</v>
      </c>
      <c r="I884" s="239" t="s">
        <v>2</v>
      </c>
      <c r="J884" s="239" t="s">
        <v>1096</v>
      </c>
      <c r="K884" s="220" t="str">
        <f>IF(J884&lt;&gt;"",VLOOKUP(J884,PContas!A:B,2,FALSE),"")</f>
        <v>PROVISÃO</v>
      </c>
      <c r="L884" s="221">
        <f t="shared" si="26"/>
        <v>20</v>
      </c>
      <c r="M884" s="221" t="str">
        <f t="shared" ca="1" si="27"/>
        <v>2013/12</v>
      </c>
    </row>
    <row r="885" spans="1:13">
      <c r="A885" s="236">
        <v>41628</v>
      </c>
      <c r="B885" s="237"/>
      <c r="C885" s="237" t="s">
        <v>941</v>
      </c>
      <c r="D885" s="236">
        <v>41993</v>
      </c>
      <c r="E885" s="238">
        <v>24.8</v>
      </c>
      <c r="F885" s="236">
        <v>41993</v>
      </c>
      <c r="G885" s="238">
        <v>-24.8</v>
      </c>
      <c r="H885" s="239" t="s">
        <v>52</v>
      </c>
      <c r="I885" s="239" t="s">
        <v>2</v>
      </c>
      <c r="J885" s="239" t="s">
        <v>488</v>
      </c>
      <c r="K885" s="220" t="str">
        <f>IF(J885&lt;&gt;"",VLOOKUP(J885,PContas!A:B,2,FALSE),"")</f>
        <v>ALIMENTAÇÃO</v>
      </c>
      <c r="L885" s="221">
        <f t="shared" si="26"/>
        <v>20</v>
      </c>
      <c r="M885" s="221" t="str">
        <f t="shared" ca="1" si="27"/>
        <v>2014/12</v>
      </c>
    </row>
    <row r="886" spans="1:13">
      <c r="A886" s="236">
        <v>41628</v>
      </c>
      <c r="B886" s="237"/>
      <c r="C886" s="237" t="s">
        <v>995</v>
      </c>
      <c r="D886" s="236">
        <v>41993</v>
      </c>
      <c r="E886" s="238">
        <v>8.26</v>
      </c>
      <c r="F886" s="236">
        <v>41993</v>
      </c>
      <c r="G886" s="238">
        <v>-8.26</v>
      </c>
      <c r="H886" s="239" t="s">
        <v>52</v>
      </c>
      <c r="I886" s="239" t="s">
        <v>2</v>
      </c>
      <c r="J886" s="239" t="s">
        <v>3</v>
      </c>
      <c r="K886" s="220" t="str">
        <f>IF(J886&lt;&gt;"",VLOOKUP(J886,PContas!A:B,2,FALSE),"")</f>
        <v>ALIMENTAÇÃO</v>
      </c>
      <c r="L886" s="221">
        <f t="shared" si="26"/>
        <v>20</v>
      </c>
      <c r="M886" s="221" t="str">
        <f t="shared" ca="1" si="27"/>
        <v>2014/12</v>
      </c>
    </row>
    <row r="887" spans="1:13">
      <c r="A887" s="236">
        <v>41629</v>
      </c>
      <c r="B887" s="237"/>
      <c r="C887" s="237"/>
      <c r="D887" s="236">
        <v>41629</v>
      </c>
      <c r="E887" s="238">
        <v>27.88</v>
      </c>
      <c r="F887" s="236">
        <v>41629</v>
      </c>
      <c r="G887" s="238">
        <v>-27.88</v>
      </c>
      <c r="H887" s="239" t="s">
        <v>52</v>
      </c>
      <c r="I887" s="239" t="s">
        <v>2</v>
      </c>
      <c r="J887" s="239" t="s">
        <v>3</v>
      </c>
      <c r="K887" s="220" t="str">
        <f>IF(J887&lt;&gt;"",VLOOKUP(J887,PContas!A:B,2,FALSE),"")</f>
        <v>ALIMENTAÇÃO</v>
      </c>
      <c r="L887" s="221">
        <f t="shared" si="26"/>
        <v>21</v>
      </c>
      <c r="M887" s="221" t="str">
        <f t="shared" ca="1" si="27"/>
        <v>2013/12</v>
      </c>
    </row>
    <row r="888" spans="1:13">
      <c r="A888" s="236">
        <v>41629</v>
      </c>
      <c r="B888" s="237"/>
      <c r="C888" s="237"/>
      <c r="D888" s="236">
        <v>41629</v>
      </c>
      <c r="E888" s="238">
        <v>17.12</v>
      </c>
      <c r="F888" s="236">
        <v>41629</v>
      </c>
      <c r="G888" s="238">
        <v>-17.12</v>
      </c>
      <c r="H888" s="239" t="s">
        <v>52</v>
      </c>
      <c r="I888" s="239" t="s">
        <v>2</v>
      </c>
      <c r="J888" s="239" t="s">
        <v>3</v>
      </c>
      <c r="K888" s="220" t="str">
        <f>IF(J888&lt;&gt;"",VLOOKUP(J888,PContas!A:B,2,FALSE),"")</f>
        <v>ALIMENTAÇÃO</v>
      </c>
      <c r="L888" s="221">
        <f t="shared" si="26"/>
        <v>21</v>
      </c>
      <c r="M888" s="221" t="str">
        <f t="shared" ca="1" si="27"/>
        <v>2013/12</v>
      </c>
    </row>
    <row r="889" spans="1:13">
      <c r="A889" s="236">
        <v>41629</v>
      </c>
      <c r="B889" s="237"/>
      <c r="C889" s="237"/>
      <c r="D889" s="236">
        <v>41629</v>
      </c>
      <c r="E889" s="238">
        <v>16.079999999999998</v>
      </c>
      <c r="F889" s="236">
        <v>41629</v>
      </c>
      <c r="G889" s="238">
        <v>-16.079999999999998</v>
      </c>
      <c r="H889" s="239" t="s">
        <v>52</v>
      </c>
      <c r="I889" s="239" t="s">
        <v>2</v>
      </c>
      <c r="J889" s="239" t="s">
        <v>488</v>
      </c>
      <c r="K889" s="220" t="str">
        <f>IF(J889&lt;&gt;"",VLOOKUP(J889,PContas!A:B,2,FALSE),"")</f>
        <v>ALIMENTAÇÃO</v>
      </c>
      <c r="L889" s="221">
        <f t="shared" si="26"/>
        <v>21</v>
      </c>
      <c r="M889" s="221" t="str">
        <f t="shared" ca="1" si="27"/>
        <v>2013/12</v>
      </c>
    </row>
    <row r="890" spans="1:13">
      <c r="A890" s="236">
        <v>41631</v>
      </c>
      <c r="B890" s="237"/>
      <c r="C890" s="237"/>
      <c r="D890" s="236">
        <v>41631</v>
      </c>
      <c r="E890" s="238">
        <v>30.64</v>
      </c>
      <c r="F890" s="236">
        <v>41631</v>
      </c>
      <c r="G890" s="238">
        <v>-30.64</v>
      </c>
      <c r="H890" s="239" t="s">
        <v>52</v>
      </c>
      <c r="I890" s="239" t="s">
        <v>2</v>
      </c>
      <c r="J890" s="239" t="s">
        <v>3</v>
      </c>
      <c r="K890" s="220" t="str">
        <f>IF(J890&lt;&gt;"",VLOOKUP(J890,PContas!A:B,2,FALSE),"")</f>
        <v>ALIMENTAÇÃO</v>
      </c>
      <c r="L890" s="221">
        <f t="shared" si="26"/>
        <v>23</v>
      </c>
      <c r="M890" s="221" t="str">
        <f t="shared" ca="1" si="27"/>
        <v>2013/12</v>
      </c>
    </row>
    <row r="891" spans="1:13">
      <c r="A891" s="236">
        <v>41631</v>
      </c>
      <c r="B891" s="237" t="s">
        <v>1076</v>
      </c>
      <c r="C891" s="237"/>
      <c r="D891" s="236">
        <v>41631</v>
      </c>
      <c r="E891" s="238">
        <v>50</v>
      </c>
      <c r="F891" s="236">
        <v>41648</v>
      </c>
      <c r="G891" s="238">
        <v>50</v>
      </c>
      <c r="H891" s="239" t="s">
        <v>71</v>
      </c>
      <c r="I891" s="239" t="s">
        <v>2</v>
      </c>
      <c r="J891" s="239" t="s">
        <v>1018</v>
      </c>
      <c r="K891" s="220" t="str">
        <f>IF(J891&lt;&gt;"",VLOOKUP(J891,PContas!A:B,2,FALSE),"")</f>
        <v>CLIENTES</v>
      </c>
      <c r="L891" s="221">
        <f t="shared" si="26"/>
        <v>23</v>
      </c>
      <c r="M891" s="221" t="str">
        <f t="shared" ca="1" si="27"/>
        <v>2013/12</v>
      </c>
    </row>
    <row r="892" spans="1:13">
      <c r="A892" s="236">
        <v>41632</v>
      </c>
      <c r="B892" s="237"/>
      <c r="C892" s="237"/>
      <c r="D892" s="236">
        <v>41628</v>
      </c>
      <c r="E892" s="238">
        <v>20</v>
      </c>
      <c r="F892" s="236">
        <v>41632</v>
      </c>
      <c r="G892" s="238">
        <v>-20</v>
      </c>
      <c r="H892" s="239" t="s">
        <v>52</v>
      </c>
      <c r="I892" s="239" t="s">
        <v>2</v>
      </c>
      <c r="J892" s="239" t="s">
        <v>1096</v>
      </c>
      <c r="K892" s="220" t="str">
        <f>IF(J892&lt;&gt;"",VLOOKUP(J892,PContas!A:B,2,FALSE),"")</f>
        <v>PROVISÃO</v>
      </c>
      <c r="L892" s="221">
        <f t="shared" si="26"/>
        <v>20</v>
      </c>
      <c r="M892" s="221" t="str">
        <f t="shared" ca="1" si="27"/>
        <v>2013/12</v>
      </c>
    </row>
    <row r="893" spans="1:13">
      <c r="A893" s="236">
        <v>41632</v>
      </c>
      <c r="B893" s="237"/>
      <c r="C893" s="237"/>
      <c r="D893" s="236">
        <v>41628</v>
      </c>
      <c r="E893" s="238">
        <v>20</v>
      </c>
      <c r="F893" s="236">
        <v>41632</v>
      </c>
      <c r="G893" s="238">
        <v>-20</v>
      </c>
      <c r="H893" s="239" t="s">
        <v>52</v>
      </c>
      <c r="I893" s="239" t="s">
        <v>2</v>
      </c>
      <c r="J893" s="239" t="s">
        <v>1096</v>
      </c>
      <c r="K893" s="220" t="str">
        <f>IF(J893&lt;&gt;"",VLOOKUP(J893,PContas!A:B,2,FALSE),"")</f>
        <v>PROVISÃO</v>
      </c>
      <c r="L893" s="221">
        <f t="shared" si="26"/>
        <v>20</v>
      </c>
      <c r="M893" s="221" t="str">
        <f t="shared" ca="1" si="27"/>
        <v>2013/12</v>
      </c>
    </row>
    <row r="894" spans="1:13">
      <c r="A894" s="236">
        <v>41633</v>
      </c>
      <c r="B894" s="237"/>
      <c r="C894" s="237"/>
      <c r="D894" s="236">
        <v>41633</v>
      </c>
      <c r="E894" s="238">
        <v>2.4900000000000002</v>
      </c>
      <c r="F894" s="236">
        <v>41633</v>
      </c>
      <c r="G894" s="238">
        <v>-2.4900000000000002</v>
      </c>
      <c r="H894" s="239" t="s">
        <v>52</v>
      </c>
      <c r="I894" s="239" t="s">
        <v>2</v>
      </c>
      <c r="J894" s="239" t="s">
        <v>3</v>
      </c>
      <c r="K894" s="220" t="str">
        <f>IF(J894&lt;&gt;"",VLOOKUP(J894,PContas!A:B,2,FALSE),"")</f>
        <v>ALIMENTAÇÃO</v>
      </c>
      <c r="L894" s="221">
        <f t="shared" si="26"/>
        <v>25</v>
      </c>
      <c r="M894" s="221" t="str">
        <f t="shared" ca="1" si="27"/>
        <v>2013/12</v>
      </c>
    </row>
    <row r="895" spans="1:13">
      <c r="A895" s="236">
        <v>41633</v>
      </c>
      <c r="B895" s="237"/>
      <c r="C895" s="237"/>
      <c r="D895" s="236">
        <v>41633</v>
      </c>
      <c r="E895" s="238">
        <v>44.51</v>
      </c>
      <c r="F895" s="236">
        <v>41633</v>
      </c>
      <c r="G895" s="238">
        <v>-44.51</v>
      </c>
      <c r="H895" s="239" t="s">
        <v>52</v>
      </c>
      <c r="I895" s="239" t="s">
        <v>2</v>
      </c>
      <c r="J895" s="239" t="s">
        <v>3</v>
      </c>
      <c r="K895" s="220" t="str">
        <f>IF(J895&lt;&gt;"",VLOOKUP(J895,PContas!A:B,2,FALSE),"")</f>
        <v>ALIMENTAÇÃO</v>
      </c>
      <c r="L895" s="221">
        <f t="shared" si="26"/>
        <v>25</v>
      </c>
      <c r="M895" s="221" t="str">
        <f t="shared" ca="1" si="27"/>
        <v>2013/12</v>
      </c>
    </row>
    <row r="896" spans="1:13">
      <c r="A896" s="236">
        <v>41634</v>
      </c>
      <c r="B896" s="237"/>
      <c r="C896" s="237"/>
      <c r="D896" s="236">
        <v>41634</v>
      </c>
      <c r="E896" s="238">
        <v>9</v>
      </c>
      <c r="F896" s="236">
        <v>41634</v>
      </c>
      <c r="G896" s="238">
        <v>-9</v>
      </c>
      <c r="H896" s="239" t="s">
        <v>52</v>
      </c>
      <c r="I896" s="239" t="s">
        <v>2</v>
      </c>
      <c r="J896" s="239" t="s">
        <v>488</v>
      </c>
      <c r="K896" s="220" t="str">
        <f>IF(J896&lt;&gt;"",VLOOKUP(J896,PContas!A:B,2,FALSE),"")</f>
        <v>ALIMENTAÇÃO</v>
      </c>
      <c r="L896" s="221">
        <f t="shared" ref="L896:L958" si="28">DAY(D896)</f>
        <v>26</v>
      </c>
      <c r="M896" s="221" t="str">
        <f t="shared" ref="M896:M958" ca="1" si="29">IF(D896&lt;&gt;"",IF(F896="",IF(DAYS360(D896,NOW())&gt;0,"ATRASADO",YEAR(D896)&amp;"/"&amp;CHOOSE(MONTH(D896),"01","02","03","04","05","06","07","08","09","10","11","12")),YEAR(D896)&amp;"/"&amp;CHOOSE(MONTH(D896),"01","02","03","04","05","06","07","08","09","10","11","12")),"")</f>
        <v>2013/12</v>
      </c>
    </row>
    <row r="897" spans="1:13">
      <c r="A897" s="236">
        <v>41634</v>
      </c>
      <c r="B897" s="237"/>
      <c r="C897" s="237"/>
      <c r="D897" s="236">
        <v>41634</v>
      </c>
      <c r="E897" s="238">
        <v>24.6</v>
      </c>
      <c r="F897" s="236">
        <v>41634</v>
      </c>
      <c r="G897" s="238">
        <v>-24.6</v>
      </c>
      <c r="H897" s="239" t="s">
        <v>52</v>
      </c>
      <c r="I897" s="239" t="s">
        <v>2</v>
      </c>
      <c r="J897" s="239" t="s">
        <v>488</v>
      </c>
      <c r="K897" s="220" t="str">
        <f>IF(J897&lt;&gt;"",VLOOKUP(J897,PContas!A:B,2,FALSE),"")</f>
        <v>ALIMENTAÇÃO</v>
      </c>
      <c r="L897" s="221">
        <f t="shared" si="28"/>
        <v>26</v>
      </c>
      <c r="M897" s="221" t="str">
        <f t="shared" ca="1" si="29"/>
        <v>2013/12</v>
      </c>
    </row>
    <row r="898" spans="1:13">
      <c r="A898" s="236">
        <v>41634</v>
      </c>
      <c r="B898" s="237"/>
      <c r="C898" s="237" t="s">
        <v>653</v>
      </c>
      <c r="D898" s="236">
        <v>41628</v>
      </c>
      <c r="E898" s="238">
        <v>18</v>
      </c>
      <c r="F898" s="236">
        <v>41634</v>
      </c>
      <c r="G898" s="238">
        <v>-18</v>
      </c>
      <c r="H898" s="239" t="s">
        <v>52</v>
      </c>
      <c r="I898" s="239" t="s">
        <v>2</v>
      </c>
      <c r="J898" s="239" t="s">
        <v>1096</v>
      </c>
      <c r="K898" s="220" t="str">
        <f>IF(J898&lt;&gt;"",VLOOKUP(J898,PContas!A:B,2,FALSE),"")</f>
        <v>PROVISÃO</v>
      </c>
      <c r="L898" s="221">
        <f t="shared" si="28"/>
        <v>20</v>
      </c>
      <c r="M898" s="221" t="str">
        <f t="shared" ca="1" si="29"/>
        <v>2013/12</v>
      </c>
    </row>
    <row r="899" spans="1:13">
      <c r="A899" s="236">
        <v>41634</v>
      </c>
      <c r="B899" s="237"/>
      <c r="C899" s="237"/>
      <c r="D899" s="236">
        <v>41634</v>
      </c>
      <c r="E899" s="238">
        <v>39.840000000000003</v>
      </c>
      <c r="F899" s="236">
        <v>41634</v>
      </c>
      <c r="G899" s="238">
        <v>-39.840000000000003</v>
      </c>
      <c r="H899" s="239" t="s">
        <v>52</v>
      </c>
      <c r="I899" s="239" t="s">
        <v>2</v>
      </c>
      <c r="J899" s="239" t="s">
        <v>3</v>
      </c>
      <c r="K899" s="220" t="str">
        <f>IF(J899&lt;&gt;"",VLOOKUP(J899,PContas!A:B,2,FALSE),"")</f>
        <v>ALIMENTAÇÃO</v>
      </c>
      <c r="L899" s="221">
        <f t="shared" si="28"/>
        <v>26</v>
      </c>
      <c r="M899" s="221" t="str">
        <f t="shared" ca="1" si="29"/>
        <v>2013/12</v>
      </c>
    </row>
    <row r="900" spans="1:13">
      <c r="A900" s="236">
        <v>41634</v>
      </c>
      <c r="B900" s="237"/>
      <c r="C900" s="237" t="s">
        <v>1085</v>
      </c>
      <c r="D900" s="236">
        <v>41628</v>
      </c>
      <c r="E900" s="238">
        <v>6</v>
      </c>
      <c r="F900" s="236">
        <v>41634</v>
      </c>
      <c r="G900" s="238">
        <v>-6</v>
      </c>
      <c r="H900" s="239" t="s">
        <v>52</v>
      </c>
      <c r="I900" s="239" t="s">
        <v>2</v>
      </c>
      <c r="J900" s="239" t="s">
        <v>1096</v>
      </c>
      <c r="K900" s="220" t="str">
        <f>IF(J900&lt;&gt;"",VLOOKUP(J900,PContas!A:B,2,FALSE),"")</f>
        <v>PROVISÃO</v>
      </c>
      <c r="L900" s="221">
        <f t="shared" si="28"/>
        <v>20</v>
      </c>
      <c r="M900" s="221" t="str">
        <f t="shared" ca="1" si="29"/>
        <v>2013/12</v>
      </c>
    </row>
    <row r="901" spans="1:13">
      <c r="A901" s="236">
        <v>41635</v>
      </c>
      <c r="B901" s="237"/>
      <c r="C901" s="237"/>
      <c r="D901" s="236">
        <v>41635</v>
      </c>
      <c r="E901" s="238">
        <v>31.29</v>
      </c>
      <c r="F901" s="236">
        <v>41635</v>
      </c>
      <c r="G901" s="238">
        <v>-31.29</v>
      </c>
      <c r="H901" s="239" t="s">
        <v>52</v>
      </c>
      <c r="I901" s="239" t="s">
        <v>2</v>
      </c>
      <c r="J901" s="239" t="s">
        <v>3</v>
      </c>
      <c r="K901" s="220" t="str">
        <f>IF(J901&lt;&gt;"",VLOOKUP(J901,PContas!A:B,2,FALSE),"")</f>
        <v>ALIMENTAÇÃO</v>
      </c>
      <c r="L901" s="221">
        <f t="shared" si="28"/>
        <v>27</v>
      </c>
      <c r="M901" s="221" t="str">
        <f t="shared" ca="1" si="29"/>
        <v>2013/12</v>
      </c>
    </row>
    <row r="902" spans="1:13">
      <c r="A902" s="236">
        <v>41636</v>
      </c>
      <c r="B902" s="237"/>
      <c r="C902" s="237" t="s">
        <v>995</v>
      </c>
      <c r="D902" s="236">
        <v>41636</v>
      </c>
      <c r="E902" s="238">
        <v>29.42</v>
      </c>
      <c r="F902" s="236">
        <v>41636</v>
      </c>
      <c r="G902" s="238">
        <v>-29.42</v>
      </c>
      <c r="H902" s="239" t="s">
        <v>52</v>
      </c>
      <c r="I902" s="239" t="s">
        <v>2</v>
      </c>
      <c r="J902" s="239" t="s">
        <v>3</v>
      </c>
      <c r="K902" s="220" t="str">
        <f>IF(J902&lt;&gt;"",VLOOKUP(J902,PContas!A:B,2,FALSE),"")</f>
        <v>ALIMENTAÇÃO</v>
      </c>
      <c r="L902" s="221">
        <f t="shared" si="28"/>
        <v>28</v>
      </c>
      <c r="M902" s="221" t="str">
        <f t="shared" ca="1" si="29"/>
        <v>2013/12</v>
      </c>
    </row>
    <row r="903" spans="1:13">
      <c r="A903" s="236">
        <v>41636</v>
      </c>
      <c r="B903" s="237"/>
      <c r="C903" s="237"/>
      <c r="D903" s="236">
        <v>41636</v>
      </c>
      <c r="E903" s="238">
        <v>9.98</v>
      </c>
      <c r="F903" s="236">
        <v>41636</v>
      </c>
      <c r="G903" s="238">
        <v>-9.98</v>
      </c>
      <c r="H903" s="239" t="s">
        <v>52</v>
      </c>
      <c r="I903" s="239" t="s">
        <v>2</v>
      </c>
      <c r="J903" s="239" t="s">
        <v>3</v>
      </c>
      <c r="K903" s="220" t="str">
        <f>IF(J903&lt;&gt;"",VLOOKUP(J903,PContas!A:B,2,FALSE),"")</f>
        <v>ALIMENTAÇÃO</v>
      </c>
      <c r="L903" s="221">
        <f t="shared" si="28"/>
        <v>28</v>
      </c>
      <c r="M903" s="221" t="str">
        <f t="shared" ca="1" si="29"/>
        <v>2013/12</v>
      </c>
    </row>
    <row r="904" spans="1:13">
      <c r="A904" s="236">
        <v>41638</v>
      </c>
      <c r="B904" s="237"/>
      <c r="C904" s="237"/>
      <c r="D904" s="236">
        <v>41638</v>
      </c>
      <c r="E904" s="238">
        <v>16.940000000000001</v>
      </c>
      <c r="F904" s="236">
        <v>41638</v>
      </c>
      <c r="G904" s="238">
        <v>-16.940000000000001</v>
      </c>
      <c r="H904" s="239" t="s">
        <v>52</v>
      </c>
      <c r="I904" s="239" t="s">
        <v>2</v>
      </c>
      <c r="J904" s="239" t="s">
        <v>3</v>
      </c>
      <c r="K904" s="220" t="str">
        <f>IF(J904&lt;&gt;"",VLOOKUP(J904,PContas!A:B,2,FALSE),"")</f>
        <v>ALIMENTAÇÃO</v>
      </c>
      <c r="L904" s="221">
        <f t="shared" si="28"/>
        <v>30</v>
      </c>
      <c r="M904" s="221" t="str">
        <f t="shared" ca="1" si="29"/>
        <v>2013/12</v>
      </c>
    </row>
    <row r="905" spans="1:13">
      <c r="A905" s="236">
        <v>41638</v>
      </c>
      <c r="B905" s="237" t="s">
        <v>1077</v>
      </c>
      <c r="C905" s="237"/>
      <c r="D905" s="236">
        <v>41638</v>
      </c>
      <c r="E905" s="238">
        <v>450</v>
      </c>
      <c r="F905" s="236">
        <v>41648</v>
      </c>
      <c r="G905" s="238">
        <v>450</v>
      </c>
      <c r="H905" s="239" t="s">
        <v>71</v>
      </c>
      <c r="I905" s="239" t="s">
        <v>2</v>
      </c>
      <c r="J905" s="239" t="s">
        <v>1018</v>
      </c>
      <c r="K905" s="220" t="str">
        <f>IF(J905&lt;&gt;"",VLOOKUP(J905,PContas!A:B,2,FALSE),"")</f>
        <v>CLIENTES</v>
      </c>
      <c r="L905" s="221">
        <f t="shared" si="28"/>
        <v>30</v>
      </c>
      <c r="M905" s="221" t="str">
        <f t="shared" ca="1" si="29"/>
        <v>2013/12</v>
      </c>
    </row>
    <row r="906" spans="1:13">
      <c r="A906" s="236">
        <v>41638</v>
      </c>
      <c r="B906" s="237" t="s">
        <v>1077</v>
      </c>
      <c r="C906" s="237"/>
      <c r="D906" s="236">
        <v>41628</v>
      </c>
      <c r="E906" s="238">
        <v>300</v>
      </c>
      <c r="F906" s="236">
        <v>41660</v>
      </c>
      <c r="G906" s="238">
        <v>-300</v>
      </c>
      <c r="H906" s="239" t="s">
        <v>52</v>
      </c>
      <c r="I906" s="239" t="s">
        <v>2</v>
      </c>
      <c r="J906" s="239" t="s">
        <v>1079</v>
      </c>
      <c r="K906" s="220" t="str">
        <f>IF(J906&lt;&gt;"",VLOOKUP(J906,PContas!A:B,2,FALSE),"")</f>
        <v>M.OBRA</v>
      </c>
      <c r="L906" s="221">
        <f t="shared" si="28"/>
        <v>20</v>
      </c>
      <c r="M906" s="221" t="str">
        <f t="shared" ca="1" si="29"/>
        <v>2013/12</v>
      </c>
    </row>
    <row r="907" spans="1:13">
      <c r="A907" s="236">
        <v>41638</v>
      </c>
      <c r="B907" s="237" t="s">
        <v>1078</v>
      </c>
      <c r="C907" s="237"/>
      <c r="D907" s="236">
        <v>41638</v>
      </c>
      <c r="E907" s="238">
        <v>200</v>
      </c>
      <c r="F907" s="236"/>
      <c r="G907" s="238">
        <v>0</v>
      </c>
      <c r="H907" s="239" t="s">
        <v>71</v>
      </c>
      <c r="I907" s="239" t="s">
        <v>2</v>
      </c>
      <c r="J907" s="239" t="s">
        <v>1018</v>
      </c>
      <c r="K907" s="220" t="str">
        <f>IF(J907&lt;&gt;"",VLOOKUP(J907,PContas!A:B,2,FALSE),"")</f>
        <v>CLIENTES</v>
      </c>
      <c r="L907" s="221">
        <f t="shared" si="28"/>
        <v>30</v>
      </c>
      <c r="M907" s="221" t="str">
        <f t="shared" ca="1" si="29"/>
        <v>ATRASADO</v>
      </c>
    </row>
    <row r="908" spans="1:13">
      <c r="A908" s="236">
        <v>41638</v>
      </c>
      <c r="B908" s="237" t="s">
        <v>1078</v>
      </c>
      <c r="C908" s="237"/>
      <c r="D908" s="236">
        <v>41628</v>
      </c>
      <c r="E908" s="238">
        <v>100</v>
      </c>
      <c r="F908" s="236"/>
      <c r="G908" s="238">
        <v>-100</v>
      </c>
      <c r="H908" s="239" t="s">
        <v>52</v>
      </c>
      <c r="I908" s="239" t="s">
        <v>2</v>
      </c>
      <c r="J908" s="239" t="s">
        <v>1079</v>
      </c>
      <c r="K908" s="220" t="str">
        <f>IF(J908&lt;&gt;"",VLOOKUP(J908,PContas!A:B,2,FALSE),"")</f>
        <v>M.OBRA</v>
      </c>
      <c r="L908" s="221">
        <f t="shared" si="28"/>
        <v>20</v>
      </c>
      <c r="M908" s="221" t="str">
        <f t="shared" ca="1" si="29"/>
        <v>ATRASADO</v>
      </c>
    </row>
    <row r="909" spans="1:13">
      <c r="A909" s="236">
        <v>41639</v>
      </c>
      <c r="B909" s="237"/>
      <c r="C909" s="237"/>
      <c r="D909" s="236">
        <v>41609</v>
      </c>
      <c r="E909" s="238">
        <v>65</v>
      </c>
      <c r="F909" s="236">
        <v>41609</v>
      </c>
      <c r="G909" s="238">
        <v>-65</v>
      </c>
      <c r="H909" s="239" t="s">
        <v>52</v>
      </c>
      <c r="I909" s="239" t="s">
        <v>2</v>
      </c>
      <c r="J909" s="239" t="s">
        <v>90</v>
      </c>
      <c r="K909" s="220" t="str">
        <f>IF(J909&lt;&gt;"",VLOOKUP(J909,PContas!A:B,2,FALSE),"")</f>
        <v>ALIMENTAÇÃO</v>
      </c>
      <c r="L909" s="221">
        <f t="shared" si="28"/>
        <v>1</v>
      </c>
      <c r="M909" s="221" t="str">
        <f t="shared" ca="1" si="29"/>
        <v>2013/12</v>
      </c>
    </row>
    <row r="910" spans="1:13">
      <c r="A910" s="236">
        <v>41642</v>
      </c>
      <c r="B910" s="237"/>
      <c r="C910" s="237"/>
      <c r="D910" s="236">
        <v>41730</v>
      </c>
      <c r="E910" s="238">
        <v>165</v>
      </c>
      <c r="F910" s="236"/>
      <c r="G910" s="238">
        <v>-165</v>
      </c>
      <c r="H910" s="239" t="s">
        <v>52</v>
      </c>
      <c r="I910" s="239" t="s">
        <v>1111</v>
      </c>
      <c r="J910" s="239" t="s">
        <v>27</v>
      </c>
      <c r="K910" s="220" t="str">
        <f>IF(J910&lt;&gt;"",VLOOKUP(J910,PContas!A:B,2,FALSE),"")</f>
        <v>IMPOSTOS</v>
      </c>
      <c r="L910" s="221">
        <f t="shared" si="28"/>
        <v>1</v>
      </c>
      <c r="M910" s="221" t="str">
        <f t="shared" ca="1" si="29"/>
        <v>ATRASADO</v>
      </c>
    </row>
    <row r="911" spans="1:13">
      <c r="A911" s="236">
        <v>41642</v>
      </c>
      <c r="B911" s="237"/>
      <c r="C911" s="237" t="s">
        <v>1098</v>
      </c>
      <c r="D911" s="236">
        <v>41659</v>
      </c>
      <c r="E911" s="238">
        <v>46.27</v>
      </c>
      <c r="F911" s="236">
        <v>41669</v>
      </c>
      <c r="G911" s="238">
        <v>-46.27</v>
      </c>
      <c r="H911" s="239" t="s">
        <v>52</v>
      </c>
      <c r="I911" s="239" t="s">
        <v>2</v>
      </c>
      <c r="J911" s="239" t="s">
        <v>3</v>
      </c>
      <c r="K911" s="220" t="str">
        <f>IF(J911&lt;&gt;"",VLOOKUP(J911,PContas!A:B,2,FALSE),"")</f>
        <v>ALIMENTAÇÃO</v>
      </c>
      <c r="L911" s="221">
        <f t="shared" si="28"/>
        <v>20</v>
      </c>
      <c r="M911" s="221" t="str">
        <f t="shared" ca="1" si="29"/>
        <v>2014/01</v>
      </c>
    </row>
    <row r="912" spans="1:13">
      <c r="A912" s="236">
        <v>41642</v>
      </c>
      <c r="B912" s="237"/>
      <c r="C912" s="237" t="s">
        <v>1099</v>
      </c>
      <c r="D912" s="236">
        <v>41690</v>
      </c>
      <c r="E912" s="238">
        <v>171.26</v>
      </c>
      <c r="F912" s="236">
        <v>41698</v>
      </c>
      <c r="G912" s="238">
        <v>-171.26</v>
      </c>
      <c r="H912" s="239" t="s">
        <v>52</v>
      </c>
      <c r="I912" s="239" t="s">
        <v>2</v>
      </c>
      <c r="J912" s="239" t="s">
        <v>3</v>
      </c>
      <c r="K912" s="220" t="str">
        <f>IF(J912&lt;&gt;"",VLOOKUP(J912,PContas!A:B,2,FALSE),"")</f>
        <v>ALIMENTAÇÃO</v>
      </c>
      <c r="L912" s="221">
        <f t="shared" si="28"/>
        <v>20</v>
      </c>
      <c r="M912" s="221" t="str">
        <f t="shared" ca="1" si="29"/>
        <v>2014/02</v>
      </c>
    </row>
    <row r="913" spans="1:13">
      <c r="A913" s="236">
        <v>41642</v>
      </c>
      <c r="B913" s="237"/>
      <c r="C913" s="237" t="s">
        <v>1100</v>
      </c>
      <c r="D913" s="236">
        <v>41718</v>
      </c>
      <c r="E913" s="238">
        <v>900</v>
      </c>
      <c r="F913" s="236"/>
      <c r="G913" s="238">
        <v>-900</v>
      </c>
      <c r="H913" s="239" t="s">
        <v>52</v>
      </c>
      <c r="I913" s="239" t="s">
        <v>2</v>
      </c>
      <c r="J913" s="239" t="s">
        <v>3</v>
      </c>
      <c r="K913" s="220" t="str">
        <f>IF(J913&lt;&gt;"",VLOOKUP(J913,PContas!A:B,2,FALSE),"")</f>
        <v>ALIMENTAÇÃO</v>
      </c>
      <c r="L913" s="221">
        <f t="shared" si="28"/>
        <v>20</v>
      </c>
      <c r="M913" s="221" t="str">
        <f t="shared" ca="1" si="29"/>
        <v>ATRASADO</v>
      </c>
    </row>
    <row r="914" spans="1:13">
      <c r="A914" s="236">
        <v>41642</v>
      </c>
      <c r="B914" s="237"/>
      <c r="C914" s="237" t="s">
        <v>1101</v>
      </c>
      <c r="D914" s="236">
        <v>41749</v>
      </c>
      <c r="E914" s="238">
        <v>900</v>
      </c>
      <c r="F914" s="236"/>
      <c r="G914" s="238">
        <v>-900</v>
      </c>
      <c r="H914" s="239" t="s">
        <v>52</v>
      </c>
      <c r="I914" s="239" t="s">
        <v>2</v>
      </c>
      <c r="J914" s="239" t="s">
        <v>3</v>
      </c>
      <c r="K914" s="220" t="str">
        <f>IF(J914&lt;&gt;"",VLOOKUP(J914,PContas!A:B,2,FALSE),"")</f>
        <v>ALIMENTAÇÃO</v>
      </c>
      <c r="L914" s="221">
        <f t="shared" si="28"/>
        <v>20</v>
      </c>
      <c r="M914" s="221" t="str">
        <f t="shared" ca="1" si="29"/>
        <v>ATRASADO</v>
      </c>
    </row>
    <row r="915" spans="1:13">
      <c r="A915" s="236">
        <v>41642</v>
      </c>
      <c r="B915" s="237"/>
      <c r="C915" s="237" t="s">
        <v>1102</v>
      </c>
      <c r="D915" s="236">
        <v>41779</v>
      </c>
      <c r="E915" s="238">
        <v>900</v>
      </c>
      <c r="F915" s="236"/>
      <c r="G915" s="238">
        <v>-900</v>
      </c>
      <c r="H915" s="239" t="s">
        <v>52</v>
      </c>
      <c r="I915" s="239" t="s">
        <v>2</v>
      </c>
      <c r="J915" s="239" t="s">
        <v>3</v>
      </c>
      <c r="K915" s="220" t="str">
        <f>IF(J915&lt;&gt;"",VLOOKUP(J915,PContas!A:B,2,FALSE),"")</f>
        <v>ALIMENTAÇÃO</v>
      </c>
      <c r="L915" s="221">
        <f t="shared" si="28"/>
        <v>20</v>
      </c>
      <c r="M915" s="221" t="str">
        <f t="shared" ca="1" si="29"/>
        <v>ATRASADO</v>
      </c>
    </row>
    <row r="916" spans="1:13">
      <c r="A916" s="236">
        <v>41642</v>
      </c>
      <c r="B916" s="237"/>
      <c r="C916" s="237" t="s">
        <v>1103</v>
      </c>
      <c r="D916" s="236">
        <v>41810</v>
      </c>
      <c r="E916" s="238">
        <v>900</v>
      </c>
      <c r="F916" s="236"/>
      <c r="G916" s="238">
        <v>-900</v>
      </c>
      <c r="H916" s="239" t="s">
        <v>52</v>
      </c>
      <c r="I916" s="239" t="s">
        <v>2</v>
      </c>
      <c r="J916" s="239" t="s">
        <v>3</v>
      </c>
      <c r="K916" s="220" t="str">
        <f>IF(J916&lt;&gt;"",VLOOKUP(J916,PContas!A:B,2,FALSE),"")</f>
        <v>ALIMENTAÇÃO</v>
      </c>
      <c r="L916" s="221">
        <f t="shared" si="28"/>
        <v>20</v>
      </c>
      <c r="M916" s="221" t="str">
        <f t="shared" ca="1" si="29"/>
        <v>ATRASADO</v>
      </c>
    </row>
    <row r="917" spans="1:13">
      <c r="A917" s="236">
        <v>41642</v>
      </c>
      <c r="B917" s="237"/>
      <c r="C917" s="237" t="s">
        <v>1104</v>
      </c>
      <c r="D917" s="236">
        <v>41840</v>
      </c>
      <c r="E917" s="238">
        <v>900</v>
      </c>
      <c r="F917" s="236"/>
      <c r="G917" s="238">
        <v>-900</v>
      </c>
      <c r="H917" s="239" t="s">
        <v>52</v>
      </c>
      <c r="I917" s="239" t="s">
        <v>2</v>
      </c>
      <c r="J917" s="239" t="s">
        <v>3</v>
      </c>
      <c r="K917" s="220" t="str">
        <f>IF(J917&lt;&gt;"",VLOOKUP(J917,PContas!A:B,2,FALSE),"")</f>
        <v>ALIMENTAÇÃO</v>
      </c>
      <c r="L917" s="221">
        <f t="shared" si="28"/>
        <v>20</v>
      </c>
      <c r="M917" s="221" t="str">
        <f t="shared" ca="1" si="29"/>
        <v>ATRASADO</v>
      </c>
    </row>
    <row r="918" spans="1:13">
      <c r="A918" s="236">
        <v>41642</v>
      </c>
      <c r="B918" s="237"/>
      <c r="C918" s="237" t="s">
        <v>1105</v>
      </c>
      <c r="D918" s="236">
        <v>41871</v>
      </c>
      <c r="E918" s="238">
        <v>900</v>
      </c>
      <c r="F918" s="236"/>
      <c r="G918" s="238">
        <v>-900</v>
      </c>
      <c r="H918" s="239" t="s">
        <v>52</v>
      </c>
      <c r="I918" s="239" t="s">
        <v>2</v>
      </c>
      <c r="J918" s="239" t="s">
        <v>3</v>
      </c>
      <c r="K918" s="220" t="str">
        <f>IF(J918&lt;&gt;"",VLOOKUP(J918,PContas!A:B,2,FALSE),"")</f>
        <v>ALIMENTAÇÃO</v>
      </c>
      <c r="L918" s="221">
        <f t="shared" si="28"/>
        <v>20</v>
      </c>
      <c r="M918" s="221" t="str">
        <f t="shared" ca="1" si="29"/>
        <v>ATRASADO</v>
      </c>
    </row>
    <row r="919" spans="1:13">
      <c r="A919" s="236">
        <v>41642</v>
      </c>
      <c r="B919" s="237"/>
      <c r="C919" s="237" t="s">
        <v>1106</v>
      </c>
      <c r="D919" s="236">
        <v>41902</v>
      </c>
      <c r="E919" s="238">
        <v>900</v>
      </c>
      <c r="F919" s="236"/>
      <c r="G919" s="238">
        <v>-900</v>
      </c>
      <c r="H919" s="239" t="s">
        <v>52</v>
      </c>
      <c r="I919" s="239" t="s">
        <v>2</v>
      </c>
      <c r="J919" s="239" t="s">
        <v>3</v>
      </c>
      <c r="K919" s="220" t="str">
        <f>IF(J919&lt;&gt;"",VLOOKUP(J919,PContas!A:B,2,FALSE),"")</f>
        <v>ALIMENTAÇÃO</v>
      </c>
      <c r="L919" s="221">
        <f t="shared" si="28"/>
        <v>20</v>
      </c>
      <c r="M919" s="221" t="str">
        <f t="shared" ca="1" si="29"/>
        <v>ATRASADO</v>
      </c>
    </row>
    <row r="920" spans="1:13">
      <c r="A920" s="236">
        <v>41642</v>
      </c>
      <c r="B920" s="237"/>
      <c r="C920" s="237" t="s">
        <v>1107</v>
      </c>
      <c r="D920" s="236">
        <v>41932</v>
      </c>
      <c r="E920" s="238">
        <v>900</v>
      </c>
      <c r="F920" s="236"/>
      <c r="G920" s="238">
        <v>-900</v>
      </c>
      <c r="H920" s="239" t="s">
        <v>52</v>
      </c>
      <c r="I920" s="239" t="s">
        <v>2</v>
      </c>
      <c r="J920" s="239" t="s">
        <v>3</v>
      </c>
      <c r="K920" s="220" t="str">
        <f>IF(J920&lt;&gt;"",VLOOKUP(J920,PContas!A:B,2,FALSE),"")</f>
        <v>ALIMENTAÇÃO</v>
      </c>
      <c r="L920" s="221">
        <f t="shared" si="28"/>
        <v>20</v>
      </c>
      <c r="M920" s="221" t="str">
        <f t="shared" ca="1" si="29"/>
        <v>ATRASADO</v>
      </c>
    </row>
    <row r="921" spans="1:13">
      <c r="A921" s="236">
        <v>41642</v>
      </c>
      <c r="B921" s="237"/>
      <c r="C921" s="237" t="s">
        <v>1108</v>
      </c>
      <c r="D921" s="236">
        <v>41963</v>
      </c>
      <c r="E921" s="238">
        <v>900</v>
      </c>
      <c r="F921" s="236"/>
      <c r="G921" s="238">
        <v>-900</v>
      </c>
      <c r="H921" s="239" t="s">
        <v>52</v>
      </c>
      <c r="I921" s="239" t="s">
        <v>2</v>
      </c>
      <c r="J921" s="239" t="s">
        <v>3</v>
      </c>
      <c r="K921" s="220" t="str">
        <f>IF(J921&lt;&gt;"",VLOOKUP(J921,PContas!A:B,2,FALSE),"")</f>
        <v>ALIMENTAÇÃO</v>
      </c>
      <c r="L921" s="221">
        <f t="shared" si="28"/>
        <v>20</v>
      </c>
      <c r="M921" s="221" t="str">
        <f t="shared" ca="1" si="29"/>
        <v>ATRASADO</v>
      </c>
    </row>
    <row r="922" spans="1:13">
      <c r="A922" s="236">
        <v>41642</v>
      </c>
      <c r="B922" s="237"/>
      <c r="C922" s="237" t="s">
        <v>1109</v>
      </c>
      <c r="D922" s="236">
        <v>41993</v>
      </c>
      <c r="E922" s="238">
        <v>900</v>
      </c>
      <c r="F922" s="236"/>
      <c r="G922" s="238">
        <v>-900</v>
      </c>
      <c r="H922" s="239" t="s">
        <v>52</v>
      </c>
      <c r="I922" s="239" t="s">
        <v>2</v>
      </c>
      <c r="J922" s="239" t="s">
        <v>3</v>
      </c>
      <c r="K922" s="220" t="str">
        <f>IF(J922&lt;&gt;"",VLOOKUP(J922,PContas!A:B,2,FALSE),"")</f>
        <v>ALIMENTAÇÃO</v>
      </c>
      <c r="L922" s="221">
        <f t="shared" si="28"/>
        <v>20</v>
      </c>
      <c r="M922" s="221" t="str">
        <f t="shared" ca="1" si="29"/>
        <v>ATRASADO</v>
      </c>
    </row>
    <row r="923" spans="1:13">
      <c r="A923" s="236">
        <v>41642</v>
      </c>
      <c r="B923" s="237"/>
      <c r="C923" s="237" t="s">
        <v>1100</v>
      </c>
      <c r="D923" s="236">
        <v>41718</v>
      </c>
      <c r="E923" s="238">
        <v>150</v>
      </c>
      <c r="F923" s="236"/>
      <c r="G923" s="238">
        <v>-150</v>
      </c>
      <c r="H923" s="239" t="s">
        <v>52</v>
      </c>
      <c r="I923" s="239" t="s">
        <v>2</v>
      </c>
      <c r="J923" s="239" t="s">
        <v>488</v>
      </c>
      <c r="K923" s="220" t="str">
        <f>IF(J923&lt;&gt;"",VLOOKUP(J923,PContas!A:B,2,FALSE),"")</f>
        <v>ALIMENTAÇÃO</v>
      </c>
      <c r="L923" s="221">
        <f t="shared" si="28"/>
        <v>20</v>
      </c>
      <c r="M923" s="221" t="str">
        <f t="shared" ca="1" si="29"/>
        <v>ATRASADO</v>
      </c>
    </row>
    <row r="924" spans="1:13">
      <c r="A924" s="236">
        <v>41642</v>
      </c>
      <c r="B924" s="237"/>
      <c r="C924" s="237" t="s">
        <v>1101</v>
      </c>
      <c r="D924" s="236">
        <v>41749</v>
      </c>
      <c r="E924" s="238">
        <v>150</v>
      </c>
      <c r="F924" s="236"/>
      <c r="G924" s="238">
        <v>-150</v>
      </c>
      <c r="H924" s="239" t="s">
        <v>52</v>
      </c>
      <c r="I924" s="239" t="s">
        <v>2</v>
      </c>
      <c r="J924" s="239" t="s">
        <v>488</v>
      </c>
      <c r="K924" s="220" t="str">
        <f>IF(J924&lt;&gt;"",VLOOKUP(J924,PContas!A:B,2,FALSE),"")</f>
        <v>ALIMENTAÇÃO</v>
      </c>
      <c r="L924" s="221">
        <f t="shared" si="28"/>
        <v>20</v>
      </c>
      <c r="M924" s="221" t="str">
        <f t="shared" ca="1" si="29"/>
        <v>ATRASADO</v>
      </c>
    </row>
    <row r="925" spans="1:13">
      <c r="A925" s="236">
        <v>41642</v>
      </c>
      <c r="B925" s="237"/>
      <c r="C925" s="237" t="s">
        <v>1102</v>
      </c>
      <c r="D925" s="236">
        <v>41779</v>
      </c>
      <c r="E925" s="238">
        <v>150</v>
      </c>
      <c r="F925" s="236"/>
      <c r="G925" s="238">
        <v>-150</v>
      </c>
      <c r="H925" s="239" t="s">
        <v>52</v>
      </c>
      <c r="I925" s="239" t="s">
        <v>2</v>
      </c>
      <c r="J925" s="239" t="s">
        <v>488</v>
      </c>
      <c r="K925" s="220" t="str">
        <f>IF(J925&lt;&gt;"",VLOOKUP(J925,PContas!A:B,2,FALSE),"")</f>
        <v>ALIMENTAÇÃO</v>
      </c>
      <c r="L925" s="221">
        <f t="shared" si="28"/>
        <v>20</v>
      </c>
      <c r="M925" s="221" t="str">
        <f t="shared" ca="1" si="29"/>
        <v>ATRASADO</v>
      </c>
    </row>
    <row r="926" spans="1:13">
      <c r="A926" s="236">
        <v>41642</v>
      </c>
      <c r="B926" s="237"/>
      <c r="C926" s="237" t="s">
        <v>1103</v>
      </c>
      <c r="D926" s="236">
        <v>41810</v>
      </c>
      <c r="E926" s="238">
        <v>150</v>
      </c>
      <c r="F926" s="236"/>
      <c r="G926" s="238">
        <v>-150</v>
      </c>
      <c r="H926" s="239" t="s">
        <v>52</v>
      </c>
      <c r="I926" s="239" t="s">
        <v>2</v>
      </c>
      <c r="J926" s="239" t="s">
        <v>488</v>
      </c>
      <c r="K926" s="220" t="str">
        <f>IF(J926&lt;&gt;"",VLOOKUP(J926,PContas!A:B,2,FALSE),"")</f>
        <v>ALIMENTAÇÃO</v>
      </c>
      <c r="L926" s="221">
        <f t="shared" si="28"/>
        <v>20</v>
      </c>
      <c r="M926" s="221" t="str">
        <f t="shared" ca="1" si="29"/>
        <v>ATRASADO</v>
      </c>
    </row>
    <row r="927" spans="1:13">
      <c r="A927" s="236">
        <v>41642</v>
      </c>
      <c r="B927" s="237"/>
      <c r="C927" s="237" t="s">
        <v>1104</v>
      </c>
      <c r="D927" s="236">
        <v>41840</v>
      </c>
      <c r="E927" s="238">
        <v>150</v>
      </c>
      <c r="F927" s="236"/>
      <c r="G927" s="238">
        <v>-150</v>
      </c>
      <c r="H927" s="239" t="s">
        <v>52</v>
      </c>
      <c r="I927" s="239" t="s">
        <v>2</v>
      </c>
      <c r="J927" s="239" t="s">
        <v>488</v>
      </c>
      <c r="K927" s="220" t="str">
        <f>IF(J927&lt;&gt;"",VLOOKUP(J927,PContas!A:B,2,FALSE),"")</f>
        <v>ALIMENTAÇÃO</v>
      </c>
      <c r="L927" s="221">
        <f t="shared" si="28"/>
        <v>20</v>
      </c>
      <c r="M927" s="221" t="str">
        <f t="shared" ca="1" si="29"/>
        <v>ATRASADO</v>
      </c>
    </row>
    <row r="928" spans="1:13">
      <c r="A928" s="236">
        <v>41642</v>
      </c>
      <c r="B928" s="237"/>
      <c r="C928" s="237" t="s">
        <v>1105</v>
      </c>
      <c r="D928" s="236">
        <v>41871</v>
      </c>
      <c r="E928" s="238">
        <v>150</v>
      </c>
      <c r="F928" s="236"/>
      <c r="G928" s="238">
        <v>-150</v>
      </c>
      <c r="H928" s="239" t="s">
        <v>52</v>
      </c>
      <c r="I928" s="239" t="s">
        <v>2</v>
      </c>
      <c r="J928" s="239" t="s">
        <v>488</v>
      </c>
      <c r="K928" s="220" t="str">
        <f>IF(J928&lt;&gt;"",VLOOKUP(J928,PContas!A:B,2,FALSE),"")</f>
        <v>ALIMENTAÇÃO</v>
      </c>
      <c r="L928" s="221">
        <f t="shared" si="28"/>
        <v>20</v>
      </c>
      <c r="M928" s="221" t="str">
        <f t="shared" ca="1" si="29"/>
        <v>ATRASADO</v>
      </c>
    </row>
    <row r="929" spans="1:13">
      <c r="A929" s="236">
        <v>41642</v>
      </c>
      <c r="B929" s="237"/>
      <c r="C929" s="237" t="s">
        <v>1106</v>
      </c>
      <c r="D929" s="236">
        <v>41902</v>
      </c>
      <c r="E929" s="238">
        <v>150</v>
      </c>
      <c r="F929" s="236"/>
      <c r="G929" s="238">
        <v>-150</v>
      </c>
      <c r="H929" s="239" t="s">
        <v>52</v>
      </c>
      <c r="I929" s="239" t="s">
        <v>2</v>
      </c>
      <c r="J929" s="239" t="s">
        <v>488</v>
      </c>
      <c r="K929" s="220" t="str">
        <f>IF(J929&lt;&gt;"",VLOOKUP(J929,PContas!A:B,2,FALSE),"")</f>
        <v>ALIMENTAÇÃO</v>
      </c>
      <c r="L929" s="221">
        <f t="shared" si="28"/>
        <v>20</v>
      </c>
      <c r="M929" s="221" t="str">
        <f t="shared" ca="1" si="29"/>
        <v>ATRASADO</v>
      </c>
    </row>
    <row r="930" spans="1:13">
      <c r="A930" s="236">
        <v>41642</v>
      </c>
      <c r="B930" s="237"/>
      <c r="C930" s="237" t="s">
        <v>1107</v>
      </c>
      <c r="D930" s="236">
        <v>41932</v>
      </c>
      <c r="E930" s="238">
        <v>150</v>
      </c>
      <c r="F930" s="236"/>
      <c r="G930" s="238">
        <v>-150</v>
      </c>
      <c r="H930" s="239" t="s">
        <v>52</v>
      </c>
      <c r="I930" s="239" t="s">
        <v>2</v>
      </c>
      <c r="J930" s="239" t="s">
        <v>488</v>
      </c>
      <c r="K930" s="220" t="str">
        <f>IF(J930&lt;&gt;"",VLOOKUP(J930,PContas!A:B,2,FALSE),"")</f>
        <v>ALIMENTAÇÃO</v>
      </c>
      <c r="L930" s="221">
        <f t="shared" si="28"/>
        <v>20</v>
      </c>
      <c r="M930" s="221" t="str">
        <f t="shared" ca="1" si="29"/>
        <v>ATRASADO</v>
      </c>
    </row>
    <row r="931" spans="1:13">
      <c r="A931" s="236">
        <v>41642</v>
      </c>
      <c r="B931" s="237"/>
      <c r="C931" s="237" t="s">
        <v>1108</v>
      </c>
      <c r="D931" s="216">
        <v>41963</v>
      </c>
      <c r="E931" s="238">
        <v>150</v>
      </c>
      <c r="F931" s="236"/>
      <c r="G931" s="238">
        <v>-150</v>
      </c>
      <c r="H931" s="239" t="s">
        <v>52</v>
      </c>
      <c r="I931" s="239" t="s">
        <v>2</v>
      </c>
      <c r="J931" s="239" t="s">
        <v>488</v>
      </c>
      <c r="K931" s="220" t="str">
        <f>IF(J931&lt;&gt;"",VLOOKUP(J931,PContas!A:B,2,FALSE),"")</f>
        <v>ALIMENTAÇÃO</v>
      </c>
      <c r="L931" s="221">
        <f t="shared" si="28"/>
        <v>20</v>
      </c>
      <c r="M931" s="221" t="str">
        <f t="shared" ca="1" si="29"/>
        <v>ATRASADO</v>
      </c>
    </row>
    <row r="932" spans="1:13">
      <c r="A932" s="236">
        <v>41642</v>
      </c>
      <c r="B932" s="237"/>
      <c r="C932" s="237" t="s">
        <v>1109</v>
      </c>
      <c r="D932" s="216">
        <v>41993</v>
      </c>
      <c r="E932" s="238">
        <v>150</v>
      </c>
      <c r="F932" s="236"/>
      <c r="G932" s="238">
        <v>-150</v>
      </c>
      <c r="H932" s="239" t="s">
        <v>52</v>
      </c>
      <c r="I932" s="239" t="s">
        <v>2</v>
      </c>
      <c r="J932" s="239" t="s">
        <v>488</v>
      </c>
      <c r="K932" s="220" t="str">
        <f>IF(J932&lt;&gt;"",VLOOKUP(J932,PContas!A:B,2,FALSE),"")</f>
        <v>ALIMENTAÇÃO</v>
      </c>
      <c r="L932" s="221">
        <f t="shared" si="28"/>
        <v>20</v>
      </c>
      <c r="M932" s="221" t="str">
        <f t="shared" ca="1" si="29"/>
        <v>ATRASADO</v>
      </c>
    </row>
    <row r="933" spans="1:13">
      <c r="A933" s="236">
        <v>41642</v>
      </c>
      <c r="B933" s="237"/>
      <c r="C933" s="237" t="s">
        <v>1098</v>
      </c>
      <c r="D933" s="236">
        <v>41659</v>
      </c>
      <c r="E933" s="238">
        <v>65</v>
      </c>
      <c r="F933" s="236"/>
      <c r="G933" s="238">
        <v>-65</v>
      </c>
      <c r="H933" s="239" t="s">
        <v>52</v>
      </c>
      <c r="I933" s="239" t="s">
        <v>2</v>
      </c>
      <c r="J933" s="239" t="s">
        <v>90</v>
      </c>
      <c r="K933" s="220" t="str">
        <f>IF(J933&lt;&gt;"",VLOOKUP(J933,PContas!A:B,2,FALSE),"")</f>
        <v>ALIMENTAÇÃO</v>
      </c>
      <c r="L933" s="221">
        <f t="shared" si="28"/>
        <v>20</v>
      </c>
      <c r="M933" s="221" t="str">
        <f t="shared" ca="1" si="29"/>
        <v>ATRASADO</v>
      </c>
    </row>
    <row r="934" spans="1:13">
      <c r="A934" s="236">
        <v>41642</v>
      </c>
      <c r="B934" s="237"/>
      <c r="C934" s="237" t="s">
        <v>1099</v>
      </c>
      <c r="D934" s="236">
        <v>41690</v>
      </c>
      <c r="E934" s="238">
        <v>65</v>
      </c>
      <c r="F934" s="236"/>
      <c r="G934" s="238">
        <v>-65</v>
      </c>
      <c r="H934" s="239" t="s">
        <v>52</v>
      </c>
      <c r="I934" s="239" t="s">
        <v>2</v>
      </c>
      <c r="J934" s="239" t="s">
        <v>90</v>
      </c>
      <c r="K934" s="220" t="str">
        <f>IF(J934&lt;&gt;"",VLOOKUP(J934,PContas!A:B,2,FALSE),"")</f>
        <v>ALIMENTAÇÃO</v>
      </c>
      <c r="L934" s="221">
        <f t="shared" si="28"/>
        <v>20</v>
      </c>
      <c r="M934" s="221" t="str">
        <f t="shared" ca="1" si="29"/>
        <v>ATRASADO</v>
      </c>
    </row>
    <row r="935" spans="1:13">
      <c r="A935" s="236">
        <v>41642</v>
      </c>
      <c r="B935" s="237"/>
      <c r="C935" s="237" t="s">
        <v>1100</v>
      </c>
      <c r="D935" s="236">
        <v>41718</v>
      </c>
      <c r="E935" s="238">
        <v>65</v>
      </c>
      <c r="F935" s="236"/>
      <c r="G935" s="238">
        <v>-65</v>
      </c>
      <c r="H935" s="239" t="s">
        <v>52</v>
      </c>
      <c r="I935" s="239" t="s">
        <v>2</v>
      </c>
      <c r="J935" s="239" t="s">
        <v>90</v>
      </c>
      <c r="K935" s="220" t="str">
        <f>IF(J935&lt;&gt;"",VLOOKUP(J935,PContas!A:B,2,FALSE),"")</f>
        <v>ALIMENTAÇÃO</v>
      </c>
      <c r="L935" s="221">
        <f t="shared" si="28"/>
        <v>20</v>
      </c>
      <c r="M935" s="221" t="str">
        <f t="shared" ca="1" si="29"/>
        <v>ATRASADO</v>
      </c>
    </row>
    <row r="936" spans="1:13">
      <c r="A936" s="236">
        <v>41642</v>
      </c>
      <c r="B936" s="237"/>
      <c r="C936" s="237" t="s">
        <v>1101</v>
      </c>
      <c r="D936" s="236">
        <v>41749</v>
      </c>
      <c r="E936" s="238">
        <v>65</v>
      </c>
      <c r="F936" s="236"/>
      <c r="G936" s="238">
        <v>-65</v>
      </c>
      <c r="H936" s="239" t="s">
        <v>52</v>
      </c>
      <c r="I936" s="239" t="s">
        <v>2</v>
      </c>
      <c r="J936" s="239" t="s">
        <v>90</v>
      </c>
      <c r="K936" s="220" t="str">
        <f>IF(J936&lt;&gt;"",VLOOKUP(J936,PContas!A:B,2,FALSE),"")</f>
        <v>ALIMENTAÇÃO</v>
      </c>
      <c r="L936" s="221">
        <f t="shared" si="28"/>
        <v>20</v>
      </c>
      <c r="M936" s="221" t="str">
        <f t="shared" ca="1" si="29"/>
        <v>ATRASADO</v>
      </c>
    </row>
    <row r="937" spans="1:13">
      <c r="A937" s="236">
        <v>41642</v>
      </c>
      <c r="B937" s="237"/>
      <c r="C937" s="237" t="s">
        <v>1102</v>
      </c>
      <c r="D937" s="236">
        <v>41779</v>
      </c>
      <c r="E937" s="238">
        <v>65</v>
      </c>
      <c r="F937" s="236"/>
      <c r="G937" s="238">
        <v>-65</v>
      </c>
      <c r="H937" s="239" t="s">
        <v>52</v>
      </c>
      <c r="I937" s="239" t="s">
        <v>2</v>
      </c>
      <c r="J937" s="239" t="s">
        <v>90</v>
      </c>
      <c r="K937" s="220" t="str">
        <f>IF(J937&lt;&gt;"",VLOOKUP(J937,PContas!A:B,2,FALSE),"")</f>
        <v>ALIMENTAÇÃO</v>
      </c>
      <c r="L937" s="221">
        <f t="shared" si="28"/>
        <v>20</v>
      </c>
      <c r="M937" s="221" t="str">
        <f t="shared" ca="1" si="29"/>
        <v>ATRASADO</v>
      </c>
    </row>
    <row r="938" spans="1:13">
      <c r="A938" s="236">
        <v>41642</v>
      </c>
      <c r="B938" s="237"/>
      <c r="C938" s="237" t="s">
        <v>1103</v>
      </c>
      <c r="D938" s="236">
        <v>41810</v>
      </c>
      <c r="E938" s="238">
        <v>65</v>
      </c>
      <c r="F938" s="236"/>
      <c r="G938" s="238">
        <v>-65</v>
      </c>
      <c r="H938" s="239" t="s">
        <v>52</v>
      </c>
      <c r="I938" s="239" t="s">
        <v>2</v>
      </c>
      <c r="J938" s="239" t="s">
        <v>90</v>
      </c>
      <c r="K938" s="220" t="str">
        <f>IF(J938&lt;&gt;"",VLOOKUP(J938,PContas!A:B,2,FALSE),"")</f>
        <v>ALIMENTAÇÃO</v>
      </c>
      <c r="L938" s="221">
        <f t="shared" si="28"/>
        <v>20</v>
      </c>
      <c r="M938" s="221" t="str">
        <f t="shared" ca="1" si="29"/>
        <v>ATRASADO</v>
      </c>
    </row>
    <row r="939" spans="1:13">
      <c r="A939" s="236">
        <v>41642</v>
      </c>
      <c r="B939" s="237"/>
      <c r="C939" s="237" t="s">
        <v>1104</v>
      </c>
      <c r="D939" s="236">
        <v>41840</v>
      </c>
      <c r="E939" s="238">
        <v>65</v>
      </c>
      <c r="F939" s="236"/>
      <c r="G939" s="238">
        <v>-65</v>
      </c>
      <c r="H939" s="239" t="s">
        <v>52</v>
      </c>
      <c r="I939" s="239" t="s">
        <v>2</v>
      </c>
      <c r="J939" s="239" t="s">
        <v>90</v>
      </c>
      <c r="K939" s="220" t="str">
        <f>IF(J939&lt;&gt;"",VLOOKUP(J939,PContas!A:B,2,FALSE),"")</f>
        <v>ALIMENTAÇÃO</v>
      </c>
      <c r="L939" s="221">
        <f t="shared" si="28"/>
        <v>20</v>
      </c>
      <c r="M939" s="221" t="str">
        <f t="shared" ca="1" si="29"/>
        <v>ATRASADO</v>
      </c>
    </row>
    <row r="940" spans="1:13">
      <c r="A940" s="236">
        <v>41642</v>
      </c>
      <c r="B940" s="237"/>
      <c r="C940" s="237" t="s">
        <v>1105</v>
      </c>
      <c r="D940" s="236">
        <v>41871</v>
      </c>
      <c r="E940" s="238">
        <v>65</v>
      </c>
      <c r="F940" s="236"/>
      <c r="G940" s="238">
        <v>-65</v>
      </c>
      <c r="H940" s="239" t="s">
        <v>52</v>
      </c>
      <c r="I940" s="239" t="s">
        <v>2</v>
      </c>
      <c r="J940" s="239" t="s">
        <v>90</v>
      </c>
      <c r="K940" s="220" t="str">
        <f>IF(J940&lt;&gt;"",VLOOKUP(J940,PContas!A:B,2,FALSE),"")</f>
        <v>ALIMENTAÇÃO</v>
      </c>
      <c r="L940" s="221">
        <f t="shared" si="28"/>
        <v>20</v>
      </c>
      <c r="M940" s="221" t="str">
        <f t="shared" ca="1" si="29"/>
        <v>ATRASADO</v>
      </c>
    </row>
    <row r="941" spans="1:13">
      <c r="A941" s="236">
        <v>41642</v>
      </c>
      <c r="B941" s="237"/>
      <c r="C941" s="237" t="s">
        <v>1106</v>
      </c>
      <c r="D941" s="236">
        <v>41902</v>
      </c>
      <c r="E941" s="238">
        <v>65</v>
      </c>
      <c r="F941" s="236"/>
      <c r="G941" s="238">
        <v>-65</v>
      </c>
      <c r="H941" s="239" t="s">
        <v>52</v>
      </c>
      <c r="I941" s="239" t="s">
        <v>2</v>
      </c>
      <c r="J941" s="239" t="s">
        <v>90</v>
      </c>
      <c r="K941" s="220" t="str">
        <f>IF(J941&lt;&gt;"",VLOOKUP(J941,PContas!A:B,2,FALSE),"")</f>
        <v>ALIMENTAÇÃO</v>
      </c>
      <c r="L941" s="221">
        <f t="shared" si="28"/>
        <v>20</v>
      </c>
      <c r="M941" s="221" t="str">
        <f t="shared" ca="1" si="29"/>
        <v>ATRASADO</v>
      </c>
    </row>
    <row r="942" spans="1:13">
      <c r="A942" s="236">
        <v>41642</v>
      </c>
      <c r="B942" s="237"/>
      <c r="C942" s="237" t="s">
        <v>1107</v>
      </c>
      <c r="D942" s="236">
        <v>41932</v>
      </c>
      <c r="E942" s="238">
        <v>65</v>
      </c>
      <c r="F942" s="236"/>
      <c r="G942" s="238">
        <v>-65</v>
      </c>
      <c r="H942" s="239" t="s">
        <v>52</v>
      </c>
      <c r="I942" s="239" t="s">
        <v>2</v>
      </c>
      <c r="J942" s="239" t="s">
        <v>90</v>
      </c>
      <c r="K942" s="220" t="str">
        <f>IF(J942&lt;&gt;"",VLOOKUP(J942,PContas!A:B,2,FALSE),"")</f>
        <v>ALIMENTAÇÃO</v>
      </c>
      <c r="L942" s="221">
        <f t="shared" si="28"/>
        <v>20</v>
      </c>
      <c r="M942" s="221" t="str">
        <f t="shared" ca="1" si="29"/>
        <v>ATRASADO</v>
      </c>
    </row>
    <row r="943" spans="1:13">
      <c r="A943" s="236">
        <v>41642</v>
      </c>
      <c r="B943" s="237"/>
      <c r="C943" s="237" t="s">
        <v>1108</v>
      </c>
      <c r="D943" s="216">
        <v>41963</v>
      </c>
      <c r="E943" s="238">
        <v>65</v>
      </c>
      <c r="F943" s="236"/>
      <c r="G943" s="238">
        <v>-65</v>
      </c>
      <c r="H943" s="239" t="s">
        <v>52</v>
      </c>
      <c r="I943" s="239" t="s">
        <v>2</v>
      </c>
      <c r="J943" s="239" t="s">
        <v>90</v>
      </c>
      <c r="K943" s="220" t="str">
        <f>IF(J943&lt;&gt;"",VLOOKUP(J943,PContas!A:B,2,FALSE),"")</f>
        <v>ALIMENTAÇÃO</v>
      </c>
      <c r="L943" s="221">
        <f t="shared" si="28"/>
        <v>20</v>
      </c>
      <c r="M943" s="221" t="str">
        <f t="shared" ca="1" si="29"/>
        <v>ATRASADO</v>
      </c>
    </row>
    <row r="944" spans="1:13">
      <c r="A944" s="236">
        <v>41642</v>
      </c>
      <c r="B944" s="237"/>
      <c r="C944" s="237" t="s">
        <v>1109</v>
      </c>
      <c r="D944" s="216">
        <v>41993</v>
      </c>
      <c r="E944" s="238">
        <v>65</v>
      </c>
      <c r="F944" s="236"/>
      <c r="G944" s="238">
        <v>-65</v>
      </c>
      <c r="H944" s="239" t="s">
        <v>52</v>
      </c>
      <c r="I944" s="239" t="s">
        <v>2</v>
      </c>
      <c r="J944" s="239" t="s">
        <v>90</v>
      </c>
      <c r="K944" s="220" t="str">
        <f>IF(J944&lt;&gt;"",VLOOKUP(J944,PContas!A:B,2,FALSE),"")</f>
        <v>ALIMENTAÇÃO</v>
      </c>
      <c r="L944" s="221">
        <f t="shared" si="28"/>
        <v>20</v>
      </c>
      <c r="M944" s="221" t="str">
        <f t="shared" ca="1" si="29"/>
        <v>ATRASADO</v>
      </c>
    </row>
    <row r="945" spans="1:13">
      <c r="A945" s="236">
        <v>41642</v>
      </c>
      <c r="B945" s="237"/>
      <c r="C945" s="237" t="s">
        <v>1098</v>
      </c>
      <c r="D945" s="216">
        <v>41649</v>
      </c>
      <c r="E945" s="238">
        <v>600</v>
      </c>
      <c r="F945" s="236"/>
      <c r="G945" s="238">
        <v>-600</v>
      </c>
      <c r="H945" s="239" t="s">
        <v>52</v>
      </c>
      <c r="I945" s="239" t="s">
        <v>1111</v>
      </c>
      <c r="J945" s="239" t="s">
        <v>18</v>
      </c>
      <c r="K945" s="220" t="str">
        <f>IF(J945&lt;&gt;"",VLOOKUP(J945,PContas!A:B,2,FALSE),"")</f>
        <v>MORADIA</v>
      </c>
      <c r="L945" s="221">
        <f t="shared" si="28"/>
        <v>10</v>
      </c>
      <c r="M945" s="221" t="str">
        <f t="shared" ca="1" si="29"/>
        <v>ATRASADO</v>
      </c>
    </row>
    <row r="946" spans="1:13">
      <c r="A946" s="236">
        <v>41642</v>
      </c>
      <c r="B946" s="237"/>
      <c r="C946" s="237" t="s">
        <v>1099</v>
      </c>
      <c r="D946" s="216">
        <v>41680</v>
      </c>
      <c r="E946" s="238">
        <v>600</v>
      </c>
      <c r="F946" s="236"/>
      <c r="G946" s="238">
        <v>-600</v>
      </c>
      <c r="H946" s="239" t="s">
        <v>52</v>
      </c>
      <c r="I946" s="239" t="s">
        <v>1111</v>
      </c>
      <c r="J946" s="239" t="s">
        <v>18</v>
      </c>
      <c r="K946" s="220" t="str">
        <f>IF(J946&lt;&gt;"",VLOOKUP(J946,PContas!A:B,2,FALSE),"")</f>
        <v>MORADIA</v>
      </c>
      <c r="L946" s="221">
        <f t="shared" si="28"/>
        <v>10</v>
      </c>
      <c r="M946" s="221" t="str">
        <f t="shared" ca="1" si="29"/>
        <v>ATRASADO</v>
      </c>
    </row>
    <row r="947" spans="1:13">
      <c r="A947" s="236">
        <v>41642</v>
      </c>
      <c r="B947" s="237"/>
      <c r="C947" s="237" t="s">
        <v>1100</v>
      </c>
      <c r="D947" s="236">
        <v>41708</v>
      </c>
      <c r="E947" s="238">
        <v>600</v>
      </c>
      <c r="F947" s="236"/>
      <c r="G947" s="238">
        <v>-600</v>
      </c>
      <c r="H947" s="239" t="s">
        <v>52</v>
      </c>
      <c r="I947" s="239" t="s">
        <v>1111</v>
      </c>
      <c r="J947" s="239" t="s">
        <v>18</v>
      </c>
      <c r="K947" s="220" t="str">
        <f>IF(J947&lt;&gt;"",VLOOKUP(J947,PContas!A:B,2,FALSE),"")</f>
        <v>MORADIA</v>
      </c>
      <c r="L947" s="221">
        <f t="shared" si="28"/>
        <v>10</v>
      </c>
      <c r="M947" s="221" t="str">
        <f t="shared" ca="1" si="29"/>
        <v>ATRASADO</v>
      </c>
    </row>
    <row r="948" spans="1:13">
      <c r="A948" s="236">
        <v>41642</v>
      </c>
      <c r="B948" s="237"/>
      <c r="C948" s="237" t="s">
        <v>1101</v>
      </c>
      <c r="D948" s="236">
        <v>41739</v>
      </c>
      <c r="E948" s="238">
        <v>600</v>
      </c>
      <c r="F948" s="236"/>
      <c r="G948" s="238">
        <v>-600</v>
      </c>
      <c r="H948" s="239" t="s">
        <v>52</v>
      </c>
      <c r="I948" s="239" t="s">
        <v>1111</v>
      </c>
      <c r="J948" s="239" t="s">
        <v>18</v>
      </c>
      <c r="K948" s="220" t="str">
        <f>IF(J948&lt;&gt;"",VLOOKUP(J948,PContas!A:B,2,FALSE),"")</f>
        <v>MORADIA</v>
      </c>
      <c r="L948" s="221">
        <f t="shared" si="28"/>
        <v>10</v>
      </c>
      <c r="M948" s="221" t="str">
        <f t="shared" ca="1" si="29"/>
        <v>ATRASADO</v>
      </c>
    </row>
    <row r="949" spans="1:13">
      <c r="A949" s="236">
        <v>41642</v>
      </c>
      <c r="B949" s="237"/>
      <c r="C949" s="237" t="s">
        <v>1102</v>
      </c>
      <c r="D949" s="236">
        <v>41769</v>
      </c>
      <c r="E949" s="238">
        <v>600</v>
      </c>
      <c r="F949" s="236"/>
      <c r="G949" s="238">
        <v>-600</v>
      </c>
      <c r="H949" s="239" t="s">
        <v>52</v>
      </c>
      <c r="I949" s="239" t="s">
        <v>1111</v>
      </c>
      <c r="J949" s="239" t="s">
        <v>18</v>
      </c>
      <c r="K949" s="220" t="str">
        <f>IF(J949&lt;&gt;"",VLOOKUP(J949,PContas!A:B,2,FALSE),"")</f>
        <v>MORADIA</v>
      </c>
      <c r="L949" s="221">
        <f t="shared" si="28"/>
        <v>10</v>
      </c>
      <c r="M949" s="221" t="str">
        <f t="shared" ca="1" si="29"/>
        <v>ATRASADO</v>
      </c>
    </row>
    <row r="950" spans="1:13">
      <c r="A950" s="236">
        <v>41642</v>
      </c>
      <c r="B950" s="237"/>
      <c r="C950" s="237" t="s">
        <v>1103</v>
      </c>
      <c r="D950" s="236">
        <v>41800</v>
      </c>
      <c r="E950" s="238">
        <v>600</v>
      </c>
      <c r="F950" s="236"/>
      <c r="G950" s="238">
        <v>-600</v>
      </c>
      <c r="H950" s="239" t="s">
        <v>52</v>
      </c>
      <c r="I950" s="239" t="s">
        <v>1111</v>
      </c>
      <c r="J950" s="239" t="s">
        <v>18</v>
      </c>
      <c r="K950" s="220" t="str">
        <f>IF(J950&lt;&gt;"",VLOOKUP(J950,PContas!A:B,2,FALSE),"")</f>
        <v>MORADIA</v>
      </c>
      <c r="L950" s="221">
        <f t="shared" si="28"/>
        <v>10</v>
      </c>
      <c r="M950" s="221" t="str">
        <f t="shared" ca="1" si="29"/>
        <v>ATRASADO</v>
      </c>
    </row>
    <row r="951" spans="1:13">
      <c r="A951" s="236">
        <v>41642</v>
      </c>
      <c r="B951" s="237"/>
      <c r="C951" s="237" t="s">
        <v>1104</v>
      </c>
      <c r="D951" s="236">
        <v>41830</v>
      </c>
      <c r="E951" s="238">
        <v>600</v>
      </c>
      <c r="F951" s="236"/>
      <c r="G951" s="238">
        <v>-600</v>
      </c>
      <c r="H951" s="239" t="s">
        <v>52</v>
      </c>
      <c r="I951" s="239" t="s">
        <v>1111</v>
      </c>
      <c r="J951" s="239" t="s">
        <v>18</v>
      </c>
      <c r="K951" s="220" t="str">
        <f>IF(J951&lt;&gt;"",VLOOKUP(J951,PContas!A:B,2,FALSE),"")</f>
        <v>MORADIA</v>
      </c>
      <c r="L951" s="221">
        <f t="shared" si="28"/>
        <v>10</v>
      </c>
      <c r="M951" s="221" t="str">
        <f t="shared" ca="1" si="29"/>
        <v>ATRASADO</v>
      </c>
    </row>
    <row r="952" spans="1:13">
      <c r="A952" s="236">
        <v>41642</v>
      </c>
      <c r="B952" s="237"/>
      <c r="C952" s="237" t="s">
        <v>1105</v>
      </c>
      <c r="D952" s="236">
        <v>41861</v>
      </c>
      <c r="E952" s="238">
        <v>600</v>
      </c>
      <c r="F952" s="236"/>
      <c r="G952" s="238">
        <v>-600</v>
      </c>
      <c r="H952" s="239" t="s">
        <v>52</v>
      </c>
      <c r="I952" s="239" t="s">
        <v>1111</v>
      </c>
      <c r="J952" s="239" t="s">
        <v>18</v>
      </c>
      <c r="K952" s="220" t="str">
        <f>IF(J952&lt;&gt;"",VLOOKUP(J952,PContas!A:B,2,FALSE),"")</f>
        <v>MORADIA</v>
      </c>
      <c r="L952" s="221">
        <f t="shared" si="28"/>
        <v>10</v>
      </c>
      <c r="M952" s="221" t="str">
        <f t="shared" ca="1" si="29"/>
        <v>ATRASADO</v>
      </c>
    </row>
    <row r="953" spans="1:13">
      <c r="A953" s="236">
        <v>41642</v>
      </c>
      <c r="B953" s="237"/>
      <c r="C953" s="237" t="s">
        <v>1106</v>
      </c>
      <c r="D953" s="236">
        <v>41892</v>
      </c>
      <c r="E953" s="238">
        <v>600</v>
      </c>
      <c r="F953" s="236"/>
      <c r="G953" s="238">
        <v>-600</v>
      </c>
      <c r="H953" s="239" t="s">
        <v>52</v>
      </c>
      <c r="I953" s="239" t="s">
        <v>1111</v>
      </c>
      <c r="J953" s="239" t="s">
        <v>18</v>
      </c>
      <c r="K953" s="220" t="str">
        <f>IF(J953&lt;&gt;"",VLOOKUP(J953,PContas!A:B,2,FALSE),"")</f>
        <v>MORADIA</v>
      </c>
      <c r="L953" s="221">
        <f t="shared" si="28"/>
        <v>10</v>
      </c>
      <c r="M953" s="221" t="str">
        <f t="shared" ca="1" si="29"/>
        <v>ATRASADO</v>
      </c>
    </row>
    <row r="954" spans="1:13">
      <c r="A954" s="236">
        <v>41642</v>
      </c>
      <c r="B954" s="237"/>
      <c r="C954" s="237" t="s">
        <v>1107</v>
      </c>
      <c r="D954" s="236">
        <v>41922</v>
      </c>
      <c r="E954" s="238">
        <v>600</v>
      </c>
      <c r="F954" s="236"/>
      <c r="G954" s="238">
        <v>-600</v>
      </c>
      <c r="H954" s="239" t="s">
        <v>52</v>
      </c>
      <c r="I954" s="239" t="s">
        <v>1111</v>
      </c>
      <c r="J954" s="239" t="s">
        <v>18</v>
      </c>
      <c r="K954" s="220" t="str">
        <f>IF(J954&lt;&gt;"",VLOOKUP(J954,PContas!A:B,2,FALSE),"")</f>
        <v>MORADIA</v>
      </c>
      <c r="L954" s="221">
        <f t="shared" si="28"/>
        <v>10</v>
      </c>
      <c r="M954" s="221" t="str">
        <f t="shared" ca="1" si="29"/>
        <v>ATRASADO</v>
      </c>
    </row>
    <row r="955" spans="1:13">
      <c r="A955" s="236">
        <v>41642</v>
      </c>
      <c r="B955" s="237"/>
      <c r="C955" s="237" t="s">
        <v>1108</v>
      </c>
      <c r="D955" s="216">
        <v>41953</v>
      </c>
      <c r="E955" s="238">
        <v>600</v>
      </c>
      <c r="F955" s="236"/>
      <c r="G955" s="238">
        <v>-600</v>
      </c>
      <c r="H955" s="239" t="s">
        <v>52</v>
      </c>
      <c r="I955" s="239" t="s">
        <v>1111</v>
      </c>
      <c r="J955" s="239" t="s">
        <v>18</v>
      </c>
      <c r="K955" s="220" t="str">
        <f>IF(J955&lt;&gt;"",VLOOKUP(J955,PContas!A:B,2,FALSE),"")</f>
        <v>MORADIA</v>
      </c>
      <c r="L955" s="221">
        <f t="shared" si="28"/>
        <v>10</v>
      </c>
      <c r="M955" s="221" t="str">
        <f t="shared" ca="1" si="29"/>
        <v>ATRASADO</v>
      </c>
    </row>
    <row r="956" spans="1:13">
      <c r="A956" s="236">
        <v>41642</v>
      </c>
      <c r="B956" s="237"/>
      <c r="C956" s="237" t="s">
        <v>1109</v>
      </c>
      <c r="D956" s="216">
        <v>41983</v>
      </c>
      <c r="E956" s="238">
        <v>600</v>
      </c>
      <c r="F956" s="236"/>
      <c r="G956" s="238">
        <v>-600</v>
      </c>
      <c r="H956" s="239" t="s">
        <v>52</v>
      </c>
      <c r="I956" s="239" t="s">
        <v>1111</v>
      </c>
      <c r="J956" s="239" t="s">
        <v>18</v>
      </c>
      <c r="K956" s="220" t="str">
        <f>IF(J956&lt;&gt;"",VLOOKUP(J956,PContas!A:B,2,FALSE),"")</f>
        <v>MORADIA</v>
      </c>
      <c r="L956" s="221">
        <f t="shared" si="28"/>
        <v>10</v>
      </c>
      <c r="M956" s="221" t="str">
        <f t="shared" ca="1" si="29"/>
        <v>ATRASADO</v>
      </c>
    </row>
    <row r="957" spans="1:13">
      <c r="A957" s="236">
        <v>41642</v>
      </c>
      <c r="B957" s="237"/>
      <c r="C957" s="237" t="s">
        <v>1098</v>
      </c>
      <c r="D957" s="216">
        <v>41649</v>
      </c>
      <c r="E957" s="238">
        <v>210</v>
      </c>
      <c r="F957" s="236"/>
      <c r="G957" s="238">
        <v>-210</v>
      </c>
      <c r="H957" s="239" t="s">
        <v>52</v>
      </c>
      <c r="I957" s="239" t="s">
        <v>1111</v>
      </c>
      <c r="J957" s="239" t="s">
        <v>14</v>
      </c>
      <c r="K957" s="220" t="str">
        <f>IF(J957&lt;&gt;"",VLOOKUP(J957,PContas!A:B,2,FALSE),"")</f>
        <v>MORADIA</v>
      </c>
      <c r="L957" s="221">
        <f t="shared" si="28"/>
        <v>10</v>
      </c>
      <c r="M957" s="221" t="str">
        <f t="shared" ca="1" si="29"/>
        <v>ATRASADO</v>
      </c>
    </row>
    <row r="958" spans="1:13">
      <c r="A958" s="236">
        <v>41642</v>
      </c>
      <c r="B958" s="237"/>
      <c r="C958" s="237" t="s">
        <v>1099</v>
      </c>
      <c r="D958" s="216">
        <v>41680</v>
      </c>
      <c r="E958" s="238">
        <v>210</v>
      </c>
      <c r="F958" s="236"/>
      <c r="G958" s="238">
        <v>-210</v>
      </c>
      <c r="H958" s="239" t="s">
        <v>52</v>
      </c>
      <c r="I958" s="239" t="s">
        <v>1111</v>
      </c>
      <c r="J958" s="239" t="s">
        <v>14</v>
      </c>
      <c r="K958" s="220" t="str">
        <f>IF(J958&lt;&gt;"",VLOOKUP(J958,PContas!A:B,2,FALSE),"")</f>
        <v>MORADIA</v>
      </c>
      <c r="L958" s="221">
        <f t="shared" si="28"/>
        <v>10</v>
      </c>
      <c r="M958" s="221" t="str">
        <f t="shared" ca="1" si="29"/>
        <v>ATRASADO</v>
      </c>
    </row>
    <row r="959" spans="1:13">
      <c r="A959" s="236">
        <v>41642</v>
      </c>
      <c r="B959" s="237"/>
      <c r="C959" s="237" t="s">
        <v>1100</v>
      </c>
      <c r="D959" s="236">
        <v>41708</v>
      </c>
      <c r="E959" s="238">
        <v>210</v>
      </c>
      <c r="F959" s="236"/>
      <c r="G959" s="238">
        <v>-210</v>
      </c>
      <c r="H959" s="239" t="s">
        <v>52</v>
      </c>
      <c r="I959" s="239" t="s">
        <v>1111</v>
      </c>
      <c r="J959" s="239" t="s">
        <v>14</v>
      </c>
      <c r="K959" s="220" t="str">
        <f>IF(J959&lt;&gt;"",VLOOKUP(J959,PContas!A:B,2,FALSE),"")</f>
        <v>MORADIA</v>
      </c>
      <c r="L959" s="221">
        <f t="shared" ref="L959:L1022" si="30">DAY(D959)</f>
        <v>10</v>
      </c>
      <c r="M959" s="221" t="str">
        <f t="shared" ref="M959:M1022" ca="1" si="31">IF(D959&lt;&gt;"",IF(F959="",IF(DAYS360(D959,NOW())&gt;0,"ATRASADO",YEAR(D959)&amp;"/"&amp;CHOOSE(MONTH(D959),"01","02","03","04","05","06","07","08","09","10","11","12")),YEAR(D959)&amp;"/"&amp;CHOOSE(MONTH(D959),"01","02","03","04","05","06","07","08","09","10","11","12")),"")</f>
        <v>ATRASADO</v>
      </c>
    </row>
    <row r="960" spans="1:13">
      <c r="A960" s="236">
        <v>41642</v>
      </c>
      <c r="B960" s="237"/>
      <c r="C960" s="237" t="s">
        <v>1101</v>
      </c>
      <c r="D960" s="236">
        <v>41739</v>
      </c>
      <c r="E960" s="238">
        <v>210</v>
      </c>
      <c r="F960" s="236"/>
      <c r="G960" s="238">
        <v>-210</v>
      </c>
      <c r="H960" s="239" t="s">
        <v>52</v>
      </c>
      <c r="I960" s="239" t="s">
        <v>1111</v>
      </c>
      <c r="J960" s="239" t="s">
        <v>14</v>
      </c>
      <c r="K960" s="220" t="str">
        <f>IF(J960&lt;&gt;"",VLOOKUP(J960,PContas!A:B,2,FALSE),"")</f>
        <v>MORADIA</v>
      </c>
      <c r="L960" s="221">
        <f t="shared" si="30"/>
        <v>10</v>
      </c>
      <c r="M960" s="221" t="str">
        <f t="shared" ca="1" si="31"/>
        <v>ATRASADO</v>
      </c>
    </row>
    <row r="961" spans="1:13">
      <c r="A961" s="236">
        <v>41642</v>
      </c>
      <c r="B961" s="237"/>
      <c r="C961" s="237" t="s">
        <v>1102</v>
      </c>
      <c r="D961" s="236">
        <v>41769</v>
      </c>
      <c r="E961" s="238">
        <v>210</v>
      </c>
      <c r="F961" s="236"/>
      <c r="G961" s="238">
        <v>-210</v>
      </c>
      <c r="H961" s="239" t="s">
        <v>52</v>
      </c>
      <c r="I961" s="239" t="s">
        <v>1111</v>
      </c>
      <c r="J961" s="239" t="s">
        <v>14</v>
      </c>
      <c r="K961" s="220" t="str">
        <f>IF(J961&lt;&gt;"",VLOOKUP(J961,PContas!A:B,2,FALSE),"")</f>
        <v>MORADIA</v>
      </c>
      <c r="L961" s="221">
        <f t="shared" si="30"/>
        <v>10</v>
      </c>
      <c r="M961" s="221" t="str">
        <f t="shared" ca="1" si="31"/>
        <v>ATRASADO</v>
      </c>
    </row>
    <row r="962" spans="1:13">
      <c r="A962" s="236">
        <v>41642</v>
      </c>
      <c r="B962" s="237"/>
      <c r="C962" s="237" t="s">
        <v>1103</v>
      </c>
      <c r="D962" s="236">
        <v>41800</v>
      </c>
      <c r="E962" s="238">
        <v>210</v>
      </c>
      <c r="F962" s="236"/>
      <c r="G962" s="238">
        <v>-210</v>
      </c>
      <c r="H962" s="239" t="s">
        <v>52</v>
      </c>
      <c r="I962" s="239" t="s">
        <v>1111</v>
      </c>
      <c r="J962" s="239" t="s">
        <v>14</v>
      </c>
      <c r="K962" s="220" t="str">
        <f>IF(J962&lt;&gt;"",VLOOKUP(J962,PContas!A:B,2,FALSE),"")</f>
        <v>MORADIA</v>
      </c>
      <c r="L962" s="221">
        <f t="shared" si="30"/>
        <v>10</v>
      </c>
      <c r="M962" s="221" t="str">
        <f t="shared" ca="1" si="31"/>
        <v>ATRASADO</v>
      </c>
    </row>
    <row r="963" spans="1:13">
      <c r="A963" s="236">
        <v>41642</v>
      </c>
      <c r="B963" s="237"/>
      <c r="C963" s="237" t="s">
        <v>1104</v>
      </c>
      <c r="D963" s="236">
        <v>41830</v>
      </c>
      <c r="E963" s="238">
        <v>210</v>
      </c>
      <c r="F963" s="236"/>
      <c r="G963" s="238">
        <v>-210</v>
      </c>
      <c r="H963" s="239" t="s">
        <v>52</v>
      </c>
      <c r="I963" s="239" t="s">
        <v>1111</v>
      </c>
      <c r="J963" s="239" t="s">
        <v>14</v>
      </c>
      <c r="K963" s="220" t="str">
        <f>IF(J963&lt;&gt;"",VLOOKUP(J963,PContas!A:B,2,FALSE),"")</f>
        <v>MORADIA</v>
      </c>
      <c r="L963" s="221">
        <f t="shared" si="30"/>
        <v>10</v>
      </c>
      <c r="M963" s="221" t="str">
        <f t="shared" ca="1" si="31"/>
        <v>ATRASADO</v>
      </c>
    </row>
    <row r="964" spans="1:13">
      <c r="A964" s="236">
        <v>41642</v>
      </c>
      <c r="B964" s="237"/>
      <c r="C964" s="237" t="s">
        <v>1105</v>
      </c>
      <c r="D964" s="236">
        <v>41861</v>
      </c>
      <c r="E964" s="238">
        <v>210</v>
      </c>
      <c r="F964" s="236"/>
      <c r="G964" s="238">
        <v>-210</v>
      </c>
      <c r="H964" s="239" t="s">
        <v>52</v>
      </c>
      <c r="I964" s="239" t="s">
        <v>1111</v>
      </c>
      <c r="J964" s="239" t="s">
        <v>14</v>
      </c>
      <c r="K964" s="220" t="str">
        <f>IF(J964&lt;&gt;"",VLOOKUP(J964,PContas!A:B,2,FALSE),"")</f>
        <v>MORADIA</v>
      </c>
      <c r="L964" s="221">
        <f t="shared" si="30"/>
        <v>10</v>
      </c>
      <c r="M964" s="221" t="str">
        <f t="shared" ca="1" si="31"/>
        <v>ATRASADO</v>
      </c>
    </row>
    <row r="965" spans="1:13">
      <c r="A965" s="236">
        <v>41642</v>
      </c>
      <c r="B965" s="237"/>
      <c r="C965" s="237" t="s">
        <v>1106</v>
      </c>
      <c r="D965" s="236">
        <v>41892</v>
      </c>
      <c r="E965" s="238">
        <v>210</v>
      </c>
      <c r="F965" s="236"/>
      <c r="G965" s="238">
        <v>-210</v>
      </c>
      <c r="H965" s="239" t="s">
        <v>52</v>
      </c>
      <c r="I965" s="239" t="s">
        <v>1111</v>
      </c>
      <c r="J965" s="239" t="s">
        <v>14</v>
      </c>
      <c r="K965" s="220" t="str">
        <f>IF(J965&lt;&gt;"",VLOOKUP(J965,PContas!A:B,2,FALSE),"")</f>
        <v>MORADIA</v>
      </c>
      <c r="L965" s="221">
        <f t="shared" si="30"/>
        <v>10</v>
      </c>
      <c r="M965" s="221" t="str">
        <f t="shared" ca="1" si="31"/>
        <v>ATRASADO</v>
      </c>
    </row>
    <row r="966" spans="1:13">
      <c r="A966" s="236">
        <v>41642</v>
      </c>
      <c r="B966" s="237"/>
      <c r="C966" s="237" t="s">
        <v>1107</v>
      </c>
      <c r="D966" s="236">
        <v>41922</v>
      </c>
      <c r="E966" s="238">
        <v>210</v>
      </c>
      <c r="F966" s="236"/>
      <c r="G966" s="238">
        <v>-210</v>
      </c>
      <c r="H966" s="239" t="s">
        <v>52</v>
      </c>
      <c r="I966" s="239" t="s">
        <v>1111</v>
      </c>
      <c r="J966" s="239" t="s">
        <v>14</v>
      </c>
      <c r="K966" s="220" t="str">
        <f>IF(J966&lt;&gt;"",VLOOKUP(J966,PContas!A:B,2,FALSE),"")</f>
        <v>MORADIA</v>
      </c>
      <c r="L966" s="221">
        <f t="shared" si="30"/>
        <v>10</v>
      </c>
      <c r="M966" s="221" t="str">
        <f t="shared" ca="1" si="31"/>
        <v>ATRASADO</v>
      </c>
    </row>
    <row r="967" spans="1:13">
      <c r="A967" s="236">
        <v>41642</v>
      </c>
      <c r="B967" s="237"/>
      <c r="C967" s="237" t="s">
        <v>1108</v>
      </c>
      <c r="D967" s="216">
        <v>41953</v>
      </c>
      <c r="E967" s="238">
        <v>210</v>
      </c>
      <c r="F967" s="236"/>
      <c r="G967" s="238">
        <v>-210</v>
      </c>
      <c r="H967" s="239" t="s">
        <v>52</v>
      </c>
      <c r="I967" s="239" t="s">
        <v>1111</v>
      </c>
      <c r="J967" s="239" t="s">
        <v>14</v>
      </c>
      <c r="K967" s="220" t="str">
        <f>IF(J967&lt;&gt;"",VLOOKUP(J967,PContas!A:B,2,FALSE),"")</f>
        <v>MORADIA</v>
      </c>
      <c r="L967" s="221">
        <f t="shared" si="30"/>
        <v>10</v>
      </c>
      <c r="M967" s="221" t="str">
        <f t="shared" ca="1" si="31"/>
        <v>ATRASADO</v>
      </c>
    </row>
    <row r="968" spans="1:13">
      <c r="A968" s="236">
        <v>41642</v>
      </c>
      <c r="B968" s="237"/>
      <c r="C968" s="237" t="s">
        <v>1109</v>
      </c>
      <c r="D968" s="216">
        <v>41983</v>
      </c>
      <c r="E968" s="238">
        <v>210</v>
      </c>
      <c r="F968" s="236"/>
      <c r="G968" s="238">
        <v>-210</v>
      </c>
      <c r="H968" s="239" t="s">
        <v>52</v>
      </c>
      <c r="I968" s="239" t="s">
        <v>1111</v>
      </c>
      <c r="J968" s="239" t="s">
        <v>14</v>
      </c>
      <c r="K968" s="220" t="str">
        <f>IF(J968&lt;&gt;"",VLOOKUP(J968,PContas!A:B,2,FALSE),"")</f>
        <v>MORADIA</v>
      </c>
      <c r="L968" s="221">
        <f t="shared" si="30"/>
        <v>10</v>
      </c>
      <c r="M968" s="221" t="str">
        <f t="shared" ca="1" si="31"/>
        <v>ATRASADO</v>
      </c>
    </row>
    <row r="969" spans="1:13">
      <c r="A969" s="236">
        <v>41642</v>
      </c>
      <c r="B969" s="237"/>
      <c r="C969" s="217" t="s">
        <v>1093</v>
      </c>
      <c r="D969" s="216">
        <v>41649</v>
      </c>
      <c r="E969" s="238">
        <v>80</v>
      </c>
      <c r="F969" s="236">
        <v>41694</v>
      </c>
      <c r="G969" s="238">
        <v>-78.39</v>
      </c>
      <c r="H969" s="239" t="s">
        <v>52</v>
      </c>
      <c r="I969" s="239" t="s">
        <v>1111</v>
      </c>
      <c r="J969" s="239" t="s">
        <v>16</v>
      </c>
      <c r="K969" s="220" t="str">
        <f>IF(J969&lt;&gt;"",VLOOKUP(J969,PContas!A:B,2,FALSE),"")</f>
        <v>MORADIA</v>
      </c>
      <c r="L969" s="221">
        <f t="shared" si="30"/>
        <v>10</v>
      </c>
      <c r="M969" s="221" t="str">
        <f t="shared" ca="1" si="31"/>
        <v>2014/01</v>
      </c>
    </row>
    <row r="970" spans="1:13">
      <c r="A970" s="236">
        <v>41642</v>
      </c>
      <c r="B970" s="237"/>
      <c r="C970" s="237" t="s">
        <v>1098</v>
      </c>
      <c r="D970" s="216">
        <v>41680</v>
      </c>
      <c r="E970" s="238">
        <v>80</v>
      </c>
      <c r="F970" s="236">
        <v>41694</v>
      </c>
      <c r="G970" s="238">
        <v>-87.62</v>
      </c>
      <c r="H970" s="239" t="s">
        <v>52</v>
      </c>
      <c r="I970" s="239" t="s">
        <v>1111</v>
      </c>
      <c r="J970" s="239" t="s">
        <v>16</v>
      </c>
      <c r="K970" s="220" t="str">
        <f>IF(J970&lt;&gt;"",VLOOKUP(J970,PContas!A:B,2,FALSE),"")</f>
        <v>MORADIA</v>
      </c>
      <c r="L970" s="221">
        <f t="shared" si="30"/>
        <v>10</v>
      </c>
      <c r="M970" s="221" t="str">
        <f t="shared" ca="1" si="31"/>
        <v>2014/02</v>
      </c>
    </row>
    <row r="971" spans="1:13">
      <c r="A971" s="236">
        <v>41642</v>
      </c>
      <c r="B971" s="237"/>
      <c r="C971" s="237" t="s">
        <v>1099</v>
      </c>
      <c r="D971" s="236">
        <v>41708</v>
      </c>
      <c r="E971" s="238">
        <v>80</v>
      </c>
      <c r="F971" s="236"/>
      <c r="G971" s="238">
        <v>-80</v>
      </c>
      <c r="H971" s="239" t="s">
        <v>52</v>
      </c>
      <c r="I971" s="239" t="s">
        <v>1111</v>
      </c>
      <c r="J971" s="239" t="s">
        <v>16</v>
      </c>
      <c r="K971" s="220" t="str">
        <f>IF(J971&lt;&gt;"",VLOOKUP(J971,PContas!A:B,2,FALSE),"")</f>
        <v>MORADIA</v>
      </c>
      <c r="L971" s="221">
        <f t="shared" si="30"/>
        <v>10</v>
      </c>
      <c r="M971" s="221" t="str">
        <f t="shared" ca="1" si="31"/>
        <v>ATRASADO</v>
      </c>
    </row>
    <row r="972" spans="1:13">
      <c r="A972" s="236">
        <v>41642</v>
      </c>
      <c r="B972" s="237"/>
      <c r="C972" s="237" t="s">
        <v>1100</v>
      </c>
      <c r="D972" s="236">
        <v>41739</v>
      </c>
      <c r="E972" s="238">
        <v>80</v>
      </c>
      <c r="F972" s="236"/>
      <c r="G972" s="238">
        <v>-80</v>
      </c>
      <c r="H972" s="239" t="s">
        <v>52</v>
      </c>
      <c r="I972" s="239" t="s">
        <v>1111</v>
      </c>
      <c r="J972" s="239" t="s">
        <v>16</v>
      </c>
      <c r="K972" s="220" t="str">
        <f>IF(J972&lt;&gt;"",VLOOKUP(J972,PContas!A:B,2,FALSE),"")</f>
        <v>MORADIA</v>
      </c>
      <c r="L972" s="221">
        <f t="shared" si="30"/>
        <v>10</v>
      </c>
      <c r="M972" s="221" t="str">
        <f t="shared" ca="1" si="31"/>
        <v>ATRASADO</v>
      </c>
    </row>
    <row r="973" spans="1:13">
      <c r="A973" s="236">
        <v>41642</v>
      </c>
      <c r="B973" s="237"/>
      <c r="C973" s="237" t="s">
        <v>1101</v>
      </c>
      <c r="D973" s="236">
        <v>41769</v>
      </c>
      <c r="E973" s="238">
        <v>80</v>
      </c>
      <c r="F973" s="236"/>
      <c r="G973" s="238">
        <v>-80</v>
      </c>
      <c r="H973" s="239" t="s">
        <v>52</v>
      </c>
      <c r="I973" s="239" t="s">
        <v>1111</v>
      </c>
      <c r="J973" s="239" t="s">
        <v>16</v>
      </c>
      <c r="K973" s="220" t="str">
        <f>IF(J973&lt;&gt;"",VLOOKUP(J973,PContas!A:B,2,FALSE),"")</f>
        <v>MORADIA</v>
      </c>
      <c r="L973" s="221">
        <f t="shared" si="30"/>
        <v>10</v>
      </c>
      <c r="M973" s="221" t="str">
        <f t="shared" ca="1" si="31"/>
        <v>ATRASADO</v>
      </c>
    </row>
    <row r="974" spans="1:13">
      <c r="A974" s="236">
        <v>41642</v>
      </c>
      <c r="B974" s="237"/>
      <c r="C974" s="237" t="s">
        <v>1102</v>
      </c>
      <c r="D974" s="236">
        <v>41800</v>
      </c>
      <c r="E974" s="238">
        <v>80</v>
      </c>
      <c r="F974" s="236"/>
      <c r="G974" s="238">
        <v>-80</v>
      </c>
      <c r="H974" s="239" t="s">
        <v>52</v>
      </c>
      <c r="I974" s="239" t="s">
        <v>1111</v>
      </c>
      <c r="J974" s="239" t="s">
        <v>16</v>
      </c>
      <c r="K974" s="220" t="str">
        <f>IF(J974&lt;&gt;"",VLOOKUP(J974,PContas!A:B,2,FALSE),"")</f>
        <v>MORADIA</v>
      </c>
      <c r="L974" s="221">
        <f t="shared" si="30"/>
        <v>10</v>
      </c>
      <c r="M974" s="221" t="str">
        <f t="shared" ca="1" si="31"/>
        <v>ATRASADO</v>
      </c>
    </row>
    <row r="975" spans="1:13">
      <c r="A975" s="236">
        <v>41642</v>
      </c>
      <c r="B975" s="237"/>
      <c r="C975" s="237" t="s">
        <v>1103</v>
      </c>
      <c r="D975" s="236">
        <v>41830</v>
      </c>
      <c r="E975" s="238">
        <v>80</v>
      </c>
      <c r="F975" s="236"/>
      <c r="G975" s="238">
        <v>-80</v>
      </c>
      <c r="H975" s="239" t="s">
        <v>52</v>
      </c>
      <c r="I975" s="239" t="s">
        <v>1111</v>
      </c>
      <c r="J975" s="239" t="s">
        <v>16</v>
      </c>
      <c r="K975" s="220" t="str">
        <f>IF(J975&lt;&gt;"",VLOOKUP(J975,PContas!A:B,2,FALSE),"")</f>
        <v>MORADIA</v>
      </c>
      <c r="L975" s="221">
        <f t="shared" si="30"/>
        <v>10</v>
      </c>
      <c r="M975" s="221" t="str">
        <f t="shared" ca="1" si="31"/>
        <v>ATRASADO</v>
      </c>
    </row>
    <row r="976" spans="1:13">
      <c r="A976" s="236">
        <v>41642</v>
      </c>
      <c r="B976" s="237"/>
      <c r="C976" s="237" t="s">
        <v>1104</v>
      </c>
      <c r="D976" s="236">
        <v>41861</v>
      </c>
      <c r="E976" s="238">
        <v>80</v>
      </c>
      <c r="F976" s="236"/>
      <c r="G976" s="238">
        <v>-80</v>
      </c>
      <c r="H976" s="239" t="s">
        <v>52</v>
      </c>
      <c r="I976" s="239" t="s">
        <v>1111</v>
      </c>
      <c r="J976" s="239" t="s">
        <v>16</v>
      </c>
      <c r="K976" s="220" t="str">
        <f>IF(J976&lt;&gt;"",VLOOKUP(J976,PContas!A:B,2,FALSE),"")</f>
        <v>MORADIA</v>
      </c>
      <c r="L976" s="221">
        <f t="shared" si="30"/>
        <v>10</v>
      </c>
      <c r="M976" s="221" t="str">
        <f t="shared" ca="1" si="31"/>
        <v>ATRASADO</v>
      </c>
    </row>
    <row r="977" spans="1:13">
      <c r="A977" s="236">
        <v>41642</v>
      </c>
      <c r="B977" s="237"/>
      <c r="C977" s="237" t="s">
        <v>1105</v>
      </c>
      <c r="D977" s="236">
        <v>41892</v>
      </c>
      <c r="E977" s="238">
        <v>80</v>
      </c>
      <c r="F977" s="236"/>
      <c r="G977" s="238">
        <v>-80</v>
      </c>
      <c r="H977" s="239" t="s">
        <v>52</v>
      </c>
      <c r="I977" s="239" t="s">
        <v>1111</v>
      </c>
      <c r="J977" s="239" t="s">
        <v>16</v>
      </c>
      <c r="K977" s="220" t="str">
        <f>IF(J977&lt;&gt;"",VLOOKUP(J977,PContas!A:B,2,FALSE),"")</f>
        <v>MORADIA</v>
      </c>
      <c r="L977" s="221">
        <f t="shared" si="30"/>
        <v>10</v>
      </c>
      <c r="M977" s="221" t="str">
        <f t="shared" ca="1" si="31"/>
        <v>ATRASADO</v>
      </c>
    </row>
    <row r="978" spans="1:13">
      <c r="A978" s="236">
        <v>41642</v>
      </c>
      <c r="B978" s="237"/>
      <c r="C978" s="237" t="s">
        <v>1106</v>
      </c>
      <c r="D978" s="236">
        <v>41922</v>
      </c>
      <c r="E978" s="238">
        <v>80</v>
      </c>
      <c r="F978" s="236"/>
      <c r="G978" s="238">
        <v>-80</v>
      </c>
      <c r="H978" s="239" t="s">
        <v>52</v>
      </c>
      <c r="I978" s="239" t="s">
        <v>1111</v>
      </c>
      <c r="J978" s="239" t="s">
        <v>16</v>
      </c>
      <c r="K978" s="220" t="str">
        <f>IF(J978&lt;&gt;"",VLOOKUP(J978,PContas!A:B,2,FALSE),"")</f>
        <v>MORADIA</v>
      </c>
      <c r="L978" s="221">
        <f t="shared" si="30"/>
        <v>10</v>
      </c>
      <c r="M978" s="221" t="str">
        <f t="shared" ca="1" si="31"/>
        <v>ATRASADO</v>
      </c>
    </row>
    <row r="979" spans="1:13">
      <c r="A979" s="236">
        <v>41642</v>
      </c>
      <c r="B979" s="237"/>
      <c r="C979" s="237" t="s">
        <v>1107</v>
      </c>
      <c r="D979" s="236">
        <v>41953</v>
      </c>
      <c r="E979" s="238">
        <v>80</v>
      </c>
      <c r="F979" s="236"/>
      <c r="G979" s="238">
        <v>-80</v>
      </c>
      <c r="H979" s="239" t="s">
        <v>52</v>
      </c>
      <c r="I979" s="239" t="s">
        <v>1111</v>
      </c>
      <c r="J979" s="239" t="s">
        <v>16</v>
      </c>
      <c r="K979" s="220" t="str">
        <f>IF(J979&lt;&gt;"",VLOOKUP(J979,PContas!A:B,2,FALSE),"")</f>
        <v>MORADIA</v>
      </c>
      <c r="L979" s="221">
        <f t="shared" si="30"/>
        <v>10</v>
      </c>
      <c r="M979" s="221" t="str">
        <f t="shared" ca="1" si="31"/>
        <v>ATRASADO</v>
      </c>
    </row>
    <row r="980" spans="1:13">
      <c r="A980" s="236">
        <v>41642</v>
      </c>
      <c r="B980" s="237"/>
      <c r="C980" s="237" t="s">
        <v>1108</v>
      </c>
      <c r="D980" s="236">
        <v>41983</v>
      </c>
      <c r="E980" s="238">
        <v>80</v>
      </c>
      <c r="F980" s="236"/>
      <c r="G980" s="238">
        <v>-80</v>
      </c>
      <c r="H980" s="239" t="s">
        <v>52</v>
      </c>
      <c r="I980" s="239" t="s">
        <v>1111</v>
      </c>
      <c r="J980" s="239" t="s">
        <v>16</v>
      </c>
      <c r="K980" s="220" t="str">
        <f>IF(J980&lt;&gt;"",VLOOKUP(J980,PContas!A:B,2,FALSE),"")</f>
        <v>MORADIA</v>
      </c>
      <c r="L980" s="221">
        <f t="shared" si="30"/>
        <v>10</v>
      </c>
      <c r="M980" s="221" t="str">
        <f t="shared" ca="1" si="31"/>
        <v>ATRASADO</v>
      </c>
    </row>
    <row r="981" spans="1:13">
      <c r="A981" s="236">
        <v>41642</v>
      </c>
      <c r="B981" s="237"/>
      <c r="C981" s="237" t="s">
        <v>1098</v>
      </c>
      <c r="D981" s="236">
        <v>41649</v>
      </c>
      <c r="E981" s="238">
        <v>100</v>
      </c>
      <c r="F981" s="236"/>
      <c r="G981" s="238">
        <v>-100</v>
      </c>
      <c r="H981" s="239" t="s">
        <v>52</v>
      </c>
      <c r="I981" s="239" t="s">
        <v>1111</v>
      </c>
      <c r="J981" s="239" t="s">
        <v>5</v>
      </c>
      <c r="K981" s="220" t="str">
        <f>IF(J981&lt;&gt;"",VLOOKUP(J981,PContas!A:B,2,FALSE),"")</f>
        <v>NET</v>
      </c>
      <c r="L981" s="221">
        <f t="shared" si="30"/>
        <v>10</v>
      </c>
      <c r="M981" s="221" t="str">
        <f t="shared" ca="1" si="31"/>
        <v>ATRASADO</v>
      </c>
    </row>
    <row r="982" spans="1:13">
      <c r="A982" s="236">
        <v>41642</v>
      </c>
      <c r="B982" s="237"/>
      <c r="C982" s="237" t="s">
        <v>1099</v>
      </c>
      <c r="D982" s="236">
        <v>41680</v>
      </c>
      <c r="E982" s="238">
        <v>100</v>
      </c>
      <c r="F982" s="236"/>
      <c r="G982" s="238">
        <v>-100</v>
      </c>
      <c r="H982" s="239" t="s">
        <v>52</v>
      </c>
      <c r="I982" s="239" t="s">
        <v>1111</v>
      </c>
      <c r="J982" s="239" t="s">
        <v>5</v>
      </c>
      <c r="K982" s="220" t="str">
        <f>IF(J982&lt;&gt;"",VLOOKUP(J982,PContas!A:B,2,FALSE),"")</f>
        <v>NET</v>
      </c>
      <c r="L982" s="221">
        <f t="shared" si="30"/>
        <v>10</v>
      </c>
      <c r="M982" s="221" t="str">
        <f t="shared" ca="1" si="31"/>
        <v>ATRASADO</v>
      </c>
    </row>
    <row r="983" spans="1:13">
      <c r="A983" s="236">
        <v>41642</v>
      </c>
      <c r="B983" s="237"/>
      <c r="C983" s="237" t="s">
        <v>1100</v>
      </c>
      <c r="D983" s="236">
        <v>41708</v>
      </c>
      <c r="E983" s="238">
        <v>100</v>
      </c>
      <c r="F983" s="236"/>
      <c r="G983" s="238">
        <v>-100</v>
      </c>
      <c r="H983" s="239" t="s">
        <v>52</v>
      </c>
      <c r="I983" s="239" t="s">
        <v>1111</v>
      </c>
      <c r="J983" s="239" t="s">
        <v>5</v>
      </c>
      <c r="K983" s="220" t="str">
        <f>IF(J983&lt;&gt;"",VLOOKUP(J983,PContas!A:B,2,FALSE),"")</f>
        <v>NET</v>
      </c>
      <c r="L983" s="221">
        <f t="shared" si="30"/>
        <v>10</v>
      </c>
      <c r="M983" s="221" t="str">
        <f t="shared" ca="1" si="31"/>
        <v>ATRASADO</v>
      </c>
    </row>
    <row r="984" spans="1:13">
      <c r="A984" s="236">
        <v>41642</v>
      </c>
      <c r="B984" s="237"/>
      <c r="C984" s="237" t="s">
        <v>1101</v>
      </c>
      <c r="D984" s="236">
        <v>41739</v>
      </c>
      <c r="E984" s="238">
        <v>100</v>
      </c>
      <c r="F984" s="236"/>
      <c r="G984" s="238">
        <v>-100</v>
      </c>
      <c r="H984" s="239" t="s">
        <v>52</v>
      </c>
      <c r="I984" s="239" t="s">
        <v>1111</v>
      </c>
      <c r="J984" s="239" t="s">
        <v>5</v>
      </c>
      <c r="K984" s="220" t="str">
        <f>IF(J984&lt;&gt;"",VLOOKUP(J984,PContas!A:B,2,FALSE),"")</f>
        <v>NET</v>
      </c>
      <c r="L984" s="221">
        <f t="shared" si="30"/>
        <v>10</v>
      </c>
      <c r="M984" s="221" t="str">
        <f t="shared" ca="1" si="31"/>
        <v>ATRASADO</v>
      </c>
    </row>
    <row r="985" spans="1:13">
      <c r="A985" s="236">
        <v>41642</v>
      </c>
      <c r="B985" s="237"/>
      <c r="C985" s="237" t="s">
        <v>1102</v>
      </c>
      <c r="D985" s="236">
        <v>41769</v>
      </c>
      <c r="E985" s="238">
        <v>100</v>
      </c>
      <c r="F985" s="236"/>
      <c r="G985" s="238">
        <v>-100</v>
      </c>
      <c r="H985" s="239" t="s">
        <v>52</v>
      </c>
      <c r="I985" s="239" t="s">
        <v>1111</v>
      </c>
      <c r="J985" s="239" t="s">
        <v>5</v>
      </c>
      <c r="K985" s="220" t="str">
        <f>IF(J985&lt;&gt;"",VLOOKUP(J985,PContas!A:B,2,FALSE),"")</f>
        <v>NET</v>
      </c>
      <c r="L985" s="221">
        <f t="shared" si="30"/>
        <v>10</v>
      </c>
      <c r="M985" s="221" t="str">
        <f t="shared" ca="1" si="31"/>
        <v>ATRASADO</v>
      </c>
    </row>
    <row r="986" spans="1:13">
      <c r="A986" s="236">
        <v>41642</v>
      </c>
      <c r="B986" s="237"/>
      <c r="C986" s="237" t="s">
        <v>1103</v>
      </c>
      <c r="D986" s="236">
        <v>41800</v>
      </c>
      <c r="E986" s="238">
        <v>100</v>
      </c>
      <c r="F986" s="236"/>
      <c r="G986" s="238">
        <v>-100</v>
      </c>
      <c r="H986" s="239" t="s">
        <v>52</v>
      </c>
      <c r="I986" s="239" t="s">
        <v>1111</v>
      </c>
      <c r="J986" s="239" t="s">
        <v>5</v>
      </c>
      <c r="K986" s="220" t="str">
        <f>IF(J986&lt;&gt;"",VLOOKUP(J986,PContas!A:B,2,FALSE),"")</f>
        <v>NET</v>
      </c>
      <c r="L986" s="221">
        <f t="shared" si="30"/>
        <v>10</v>
      </c>
      <c r="M986" s="221" t="str">
        <f t="shared" ca="1" si="31"/>
        <v>ATRASADO</v>
      </c>
    </row>
    <row r="987" spans="1:13">
      <c r="A987" s="236">
        <v>41642</v>
      </c>
      <c r="B987" s="237"/>
      <c r="C987" s="237" t="s">
        <v>1104</v>
      </c>
      <c r="D987" s="236">
        <v>41830</v>
      </c>
      <c r="E987" s="238">
        <v>100</v>
      </c>
      <c r="F987" s="236"/>
      <c r="G987" s="238">
        <v>-100</v>
      </c>
      <c r="H987" s="239" t="s">
        <v>52</v>
      </c>
      <c r="I987" s="239" t="s">
        <v>1111</v>
      </c>
      <c r="J987" s="239" t="s">
        <v>5</v>
      </c>
      <c r="K987" s="220" t="str">
        <f>IF(J987&lt;&gt;"",VLOOKUP(J987,PContas!A:B,2,FALSE),"")</f>
        <v>NET</v>
      </c>
      <c r="L987" s="221">
        <f t="shared" si="30"/>
        <v>10</v>
      </c>
      <c r="M987" s="221" t="str">
        <f t="shared" ca="1" si="31"/>
        <v>ATRASADO</v>
      </c>
    </row>
    <row r="988" spans="1:13">
      <c r="A988" s="236">
        <v>41642</v>
      </c>
      <c r="B988" s="237"/>
      <c r="C988" s="237" t="s">
        <v>1105</v>
      </c>
      <c r="D988" s="236">
        <v>41861</v>
      </c>
      <c r="E988" s="238">
        <v>100</v>
      </c>
      <c r="F988" s="236"/>
      <c r="G988" s="238">
        <v>-100</v>
      </c>
      <c r="H988" s="239" t="s">
        <v>52</v>
      </c>
      <c r="I988" s="239" t="s">
        <v>1111</v>
      </c>
      <c r="J988" s="239" t="s">
        <v>5</v>
      </c>
      <c r="K988" s="220" t="str">
        <f>IF(J988&lt;&gt;"",VLOOKUP(J988,PContas!A:B,2,FALSE),"")</f>
        <v>NET</v>
      </c>
      <c r="L988" s="221">
        <f t="shared" si="30"/>
        <v>10</v>
      </c>
      <c r="M988" s="221" t="str">
        <f t="shared" ca="1" si="31"/>
        <v>ATRASADO</v>
      </c>
    </row>
    <row r="989" spans="1:13">
      <c r="A989" s="236">
        <v>41642</v>
      </c>
      <c r="B989" s="237"/>
      <c r="C989" s="237" t="s">
        <v>1106</v>
      </c>
      <c r="D989" s="236">
        <v>41892</v>
      </c>
      <c r="E989" s="238">
        <v>100</v>
      </c>
      <c r="F989" s="236"/>
      <c r="G989" s="238">
        <v>-100</v>
      </c>
      <c r="H989" s="239" t="s">
        <v>52</v>
      </c>
      <c r="I989" s="239" t="s">
        <v>1111</v>
      </c>
      <c r="J989" s="239" t="s">
        <v>5</v>
      </c>
      <c r="K989" s="220" t="str">
        <f>IF(J989&lt;&gt;"",VLOOKUP(J989,PContas!A:B,2,FALSE),"")</f>
        <v>NET</v>
      </c>
      <c r="L989" s="221">
        <f t="shared" si="30"/>
        <v>10</v>
      </c>
      <c r="M989" s="221" t="str">
        <f t="shared" ca="1" si="31"/>
        <v>ATRASADO</v>
      </c>
    </row>
    <row r="990" spans="1:13">
      <c r="A990" s="236">
        <v>41642</v>
      </c>
      <c r="B990" s="237"/>
      <c r="C990" s="237" t="s">
        <v>1107</v>
      </c>
      <c r="D990" s="236">
        <v>41922</v>
      </c>
      <c r="E990" s="238">
        <v>100</v>
      </c>
      <c r="F990" s="236"/>
      <c r="G990" s="238">
        <v>-100</v>
      </c>
      <c r="H990" s="239" t="s">
        <v>52</v>
      </c>
      <c r="I990" s="239" t="s">
        <v>1111</v>
      </c>
      <c r="J990" s="239" t="s">
        <v>5</v>
      </c>
      <c r="K990" s="220" t="str">
        <f>IF(J990&lt;&gt;"",VLOOKUP(J990,PContas!A:B,2,FALSE),"")</f>
        <v>NET</v>
      </c>
      <c r="L990" s="221">
        <f t="shared" si="30"/>
        <v>10</v>
      </c>
      <c r="M990" s="221" t="str">
        <f t="shared" ca="1" si="31"/>
        <v>ATRASADO</v>
      </c>
    </row>
    <row r="991" spans="1:13">
      <c r="A991" s="236">
        <v>41642</v>
      </c>
      <c r="B991" s="237"/>
      <c r="C991" s="237" t="s">
        <v>1108</v>
      </c>
      <c r="D991" s="236">
        <v>41953</v>
      </c>
      <c r="E991" s="238">
        <v>100</v>
      </c>
      <c r="F991" s="236"/>
      <c r="G991" s="238">
        <v>-100</v>
      </c>
      <c r="H991" s="239" t="s">
        <v>52</v>
      </c>
      <c r="I991" s="239" t="s">
        <v>1111</v>
      </c>
      <c r="J991" s="239" t="s">
        <v>5</v>
      </c>
      <c r="K991" s="220" t="str">
        <f>IF(J991&lt;&gt;"",VLOOKUP(J991,PContas!A:B,2,FALSE),"")</f>
        <v>NET</v>
      </c>
      <c r="L991" s="221">
        <f t="shared" si="30"/>
        <v>10</v>
      </c>
      <c r="M991" s="221" t="str">
        <f t="shared" ca="1" si="31"/>
        <v>ATRASADO</v>
      </c>
    </row>
    <row r="992" spans="1:13">
      <c r="A992" s="236">
        <v>41642</v>
      </c>
      <c r="B992" s="237"/>
      <c r="C992" s="237" t="s">
        <v>1109</v>
      </c>
      <c r="D992" s="236">
        <v>41983</v>
      </c>
      <c r="E992" s="238">
        <v>100</v>
      </c>
      <c r="F992" s="236"/>
      <c r="G992" s="238">
        <v>-100</v>
      </c>
      <c r="H992" s="239" t="s">
        <v>52</v>
      </c>
      <c r="I992" s="239" t="s">
        <v>1111</v>
      </c>
      <c r="J992" s="239" t="s">
        <v>5</v>
      </c>
      <c r="K992" s="220" t="str">
        <f>IF(J992&lt;&gt;"",VLOOKUP(J992,PContas!A:B,2,FALSE),"")</f>
        <v>NET</v>
      </c>
      <c r="L992" s="221">
        <f t="shared" si="30"/>
        <v>10</v>
      </c>
      <c r="M992" s="221" t="str">
        <f t="shared" ca="1" si="31"/>
        <v>ATRASADO</v>
      </c>
    </row>
    <row r="993" spans="1:13">
      <c r="A993" s="236">
        <v>41642</v>
      </c>
      <c r="B993" s="237"/>
      <c r="C993" s="237" t="s">
        <v>1098</v>
      </c>
      <c r="D993" s="236">
        <v>41649</v>
      </c>
      <c r="E993" s="238">
        <v>60</v>
      </c>
      <c r="F993" s="236"/>
      <c r="G993" s="238">
        <v>-60</v>
      </c>
      <c r="H993" s="239" t="s">
        <v>52</v>
      </c>
      <c r="I993" s="239" t="s">
        <v>1111</v>
      </c>
      <c r="J993" s="239" t="s">
        <v>10</v>
      </c>
      <c r="K993" s="220" t="str">
        <f>IF(J993&lt;&gt;"",VLOOKUP(J993,PContas!A:B,2,FALSE),"")</f>
        <v>NET</v>
      </c>
      <c r="L993" s="221">
        <f t="shared" si="30"/>
        <v>10</v>
      </c>
      <c r="M993" s="221" t="str">
        <f t="shared" ca="1" si="31"/>
        <v>ATRASADO</v>
      </c>
    </row>
    <row r="994" spans="1:13">
      <c r="A994" s="236">
        <v>41642</v>
      </c>
      <c r="B994" s="237"/>
      <c r="C994" s="237" t="s">
        <v>1099</v>
      </c>
      <c r="D994" s="236">
        <v>41680</v>
      </c>
      <c r="E994" s="238">
        <v>60</v>
      </c>
      <c r="F994" s="236"/>
      <c r="G994" s="238">
        <v>-60</v>
      </c>
      <c r="H994" s="239" t="s">
        <v>52</v>
      </c>
      <c r="I994" s="239" t="s">
        <v>1111</v>
      </c>
      <c r="J994" s="239" t="s">
        <v>10</v>
      </c>
      <c r="K994" s="220" t="str">
        <f>IF(J994&lt;&gt;"",VLOOKUP(J994,PContas!A:B,2,FALSE),"")</f>
        <v>NET</v>
      </c>
      <c r="L994" s="221">
        <f t="shared" si="30"/>
        <v>10</v>
      </c>
      <c r="M994" s="221" t="str">
        <f t="shared" ca="1" si="31"/>
        <v>ATRASADO</v>
      </c>
    </row>
    <row r="995" spans="1:13">
      <c r="A995" s="236">
        <v>41642</v>
      </c>
      <c r="B995" s="237"/>
      <c r="C995" s="237" t="s">
        <v>1100</v>
      </c>
      <c r="D995" s="236">
        <v>41708</v>
      </c>
      <c r="E995" s="238">
        <v>60</v>
      </c>
      <c r="F995" s="236"/>
      <c r="G995" s="238">
        <v>-60</v>
      </c>
      <c r="H995" s="239" t="s">
        <v>52</v>
      </c>
      <c r="I995" s="239" t="s">
        <v>1111</v>
      </c>
      <c r="J995" s="239" t="s">
        <v>10</v>
      </c>
      <c r="K995" s="220" t="str">
        <f>IF(J995&lt;&gt;"",VLOOKUP(J995,PContas!A:B,2,FALSE),"")</f>
        <v>NET</v>
      </c>
      <c r="L995" s="221">
        <f t="shared" si="30"/>
        <v>10</v>
      </c>
      <c r="M995" s="221" t="str">
        <f t="shared" ca="1" si="31"/>
        <v>ATRASADO</v>
      </c>
    </row>
    <row r="996" spans="1:13">
      <c r="A996" s="236">
        <v>41642</v>
      </c>
      <c r="B996" s="237"/>
      <c r="C996" s="237" t="s">
        <v>1101</v>
      </c>
      <c r="D996" s="236">
        <v>41739</v>
      </c>
      <c r="E996" s="238">
        <v>60</v>
      </c>
      <c r="F996" s="236"/>
      <c r="G996" s="238">
        <v>-60</v>
      </c>
      <c r="H996" s="239" t="s">
        <v>52</v>
      </c>
      <c r="I996" s="239" t="s">
        <v>1111</v>
      </c>
      <c r="J996" s="239" t="s">
        <v>10</v>
      </c>
      <c r="K996" s="220" t="str">
        <f>IF(J996&lt;&gt;"",VLOOKUP(J996,PContas!A:B,2,FALSE),"")</f>
        <v>NET</v>
      </c>
      <c r="L996" s="221">
        <f t="shared" si="30"/>
        <v>10</v>
      </c>
      <c r="M996" s="221" t="str">
        <f t="shared" ca="1" si="31"/>
        <v>ATRASADO</v>
      </c>
    </row>
    <row r="997" spans="1:13">
      <c r="A997" s="236">
        <v>41642</v>
      </c>
      <c r="B997" s="237"/>
      <c r="C997" s="237" t="s">
        <v>1102</v>
      </c>
      <c r="D997" s="236">
        <v>41769</v>
      </c>
      <c r="E997" s="238">
        <v>60</v>
      </c>
      <c r="F997" s="236"/>
      <c r="G997" s="238">
        <v>-60</v>
      </c>
      <c r="H997" s="239" t="s">
        <v>52</v>
      </c>
      <c r="I997" s="239" t="s">
        <v>1111</v>
      </c>
      <c r="J997" s="239" t="s">
        <v>10</v>
      </c>
      <c r="K997" s="220" t="str">
        <f>IF(J997&lt;&gt;"",VLOOKUP(J997,PContas!A:B,2,FALSE),"")</f>
        <v>NET</v>
      </c>
      <c r="L997" s="221">
        <f t="shared" si="30"/>
        <v>10</v>
      </c>
      <c r="M997" s="221" t="str">
        <f t="shared" ca="1" si="31"/>
        <v>ATRASADO</v>
      </c>
    </row>
    <row r="998" spans="1:13">
      <c r="A998" s="236">
        <v>41642</v>
      </c>
      <c r="B998" s="237"/>
      <c r="C998" s="237" t="s">
        <v>1103</v>
      </c>
      <c r="D998" s="236">
        <v>41800</v>
      </c>
      <c r="E998" s="238">
        <v>60</v>
      </c>
      <c r="F998" s="236"/>
      <c r="G998" s="238">
        <v>-60</v>
      </c>
      <c r="H998" s="239" t="s">
        <v>52</v>
      </c>
      <c r="I998" s="239" t="s">
        <v>1111</v>
      </c>
      <c r="J998" s="239" t="s">
        <v>10</v>
      </c>
      <c r="K998" s="220" t="str">
        <f>IF(J998&lt;&gt;"",VLOOKUP(J998,PContas!A:B,2,FALSE),"")</f>
        <v>NET</v>
      </c>
      <c r="L998" s="221">
        <f t="shared" si="30"/>
        <v>10</v>
      </c>
      <c r="M998" s="221" t="str">
        <f t="shared" ca="1" si="31"/>
        <v>ATRASADO</v>
      </c>
    </row>
    <row r="999" spans="1:13">
      <c r="A999" s="236">
        <v>41642</v>
      </c>
      <c r="B999" s="237"/>
      <c r="C999" s="237" t="s">
        <v>1104</v>
      </c>
      <c r="D999" s="236">
        <v>41830</v>
      </c>
      <c r="E999" s="238">
        <v>60</v>
      </c>
      <c r="F999" s="236"/>
      <c r="G999" s="238">
        <v>-60</v>
      </c>
      <c r="H999" s="239" t="s">
        <v>52</v>
      </c>
      <c r="I999" s="239" t="s">
        <v>1111</v>
      </c>
      <c r="J999" s="239" t="s">
        <v>10</v>
      </c>
      <c r="K999" s="220" t="str">
        <f>IF(J999&lt;&gt;"",VLOOKUP(J999,PContas!A:B,2,FALSE),"")</f>
        <v>NET</v>
      </c>
      <c r="L999" s="221">
        <f t="shared" si="30"/>
        <v>10</v>
      </c>
      <c r="M999" s="221" t="str">
        <f t="shared" ca="1" si="31"/>
        <v>ATRASADO</v>
      </c>
    </row>
    <row r="1000" spans="1:13">
      <c r="A1000" s="236">
        <v>41642</v>
      </c>
      <c r="B1000" s="237"/>
      <c r="C1000" s="237" t="s">
        <v>1105</v>
      </c>
      <c r="D1000" s="236">
        <v>41861</v>
      </c>
      <c r="E1000" s="238">
        <v>60</v>
      </c>
      <c r="F1000" s="236"/>
      <c r="G1000" s="238">
        <v>-60</v>
      </c>
      <c r="H1000" s="239" t="s">
        <v>52</v>
      </c>
      <c r="I1000" s="239" t="s">
        <v>1111</v>
      </c>
      <c r="J1000" s="239" t="s">
        <v>10</v>
      </c>
      <c r="K1000" s="220" t="str">
        <f>IF(J1000&lt;&gt;"",VLOOKUP(J1000,PContas!A:B,2,FALSE),"")</f>
        <v>NET</v>
      </c>
      <c r="L1000" s="221">
        <f t="shared" si="30"/>
        <v>10</v>
      </c>
      <c r="M1000" s="221" t="str">
        <f t="shared" ca="1" si="31"/>
        <v>ATRASADO</v>
      </c>
    </row>
    <row r="1001" spans="1:13">
      <c r="A1001" s="236">
        <v>41642</v>
      </c>
      <c r="B1001" s="237"/>
      <c r="C1001" s="237" t="s">
        <v>1106</v>
      </c>
      <c r="D1001" s="236">
        <v>41892</v>
      </c>
      <c r="E1001" s="238">
        <v>60</v>
      </c>
      <c r="F1001" s="236"/>
      <c r="G1001" s="238">
        <v>-60</v>
      </c>
      <c r="H1001" s="239" t="s">
        <v>52</v>
      </c>
      <c r="I1001" s="239" t="s">
        <v>1111</v>
      </c>
      <c r="J1001" s="239" t="s">
        <v>10</v>
      </c>
      <c r="K1001" s="220" t="str">
        <f>IF(J1001&lt;&gt;"",VLOOKUP(J1001,PContas!A:B,2,FALSE),"")</f>
        <v>NET</v>
      </c>
      <c r="L1001" s="221">
        <f t="shared" si="30"/>
        <v>10</v>
      </c>
      <c r="M1001" s="221" t="str">
        <f t="shared" ca="1" si="31"/>
        <v>ATRASADO</v>
      </c>
    </row>
    <row r="1002" spans="1:13">
      <c r="A1002" s="236">
        <v>41642</v>
      </c>
      <c r="B1002" s="237"/>
      <c r="C1002" s="237" t="s">
        <v>1107</v>
      </c>
      <c r="D1002" s="236">
        <v>41922</v>
      </c>
      <c r="E1002" s="238">
        <v>60</v>
      </c>
      <c r="F1002" s="236"/>
      <c r="G1002" s="238">
        <v>-60</v>
      </c>
      <c r="H1002" s="239" t="s">
        <v>52</v>
      </c>
      <c r="I1002" s="239" t="s">
        <v>1111</v>
      </c>
      <c r="J1002" s="239" t="s">
        <v>10</v>
      </c>
      <c r="K1002" s="220" t="str">
        <f>IF(J1002&lt;&gt;"",VLOOKUP(J1002,PContas!A:B,2,FALSE),"")</f>
        <v>NET</v>
      </c>
      <c r="L1002" s="221">
        <f t="shared" si="30"/>
        <v>10</v>
      </c>
      <c r="M1002" s="221" t="str">
        <f t="shared" ca="1" si="31"/>
        <v>ATRASADO</v>
      </c>
    </row>
    <row r="1003" spans="1:13">
      <c r="A1003" s="236">
        <v>41642</v>
      </c>
      <c r="B1003" s="237"/>
      <c r="C1003" s="237" t="s">
        <v>1108</v>
      </c>
      <c r="D1003" s="236">
        <v>41953</v>
      </c>
      <c r="E1003" s="238">
        <v>60</v>
      </c>
      <c r="F1003" s="236"/>
      <c r="G1003" s="238">
        <v>-60</v>
      </c>
      <c r="H1003" s="239" t="s">
        <v>52</v>
      </c>
      <c r="I1003" s="239" t="s">
        <v>1111</v>
      </c>
      <c r="J1003" s="239" t="s">
        <v>10</v>
      </c>
      <c r="K1003" s="220" t="str">
        <f>IF(J1003&lt;&gt;"",VLOOKUP(J1003,PContas!A:B,2,FALSE),"")</f>
        <v>NET</v>
      </c>
      <c r="L1003" s="221">
        <f t="shared" si="30"/>
        <v>10</v>
      </c>
      <c r="M1003" s="221" t="str">
        <f t="shared" ca="1" si="31"/>
        <v>ATRASADO</v>
      </c>
    </row>
    <row r="1004" spans="1:13">
      <c r="A1004" s="236">
        <v>41642</v>
      </c>
      <c r="B1004" s="237"/>
      <c r="C1004" s="237" t="s">
        <v>1109</v>
      </c>
      <c r="D1004" s="236">
        <v>41983</v>
      </c>
      <c r="E1004" s="238">
        <v>60</v>
      </c>
      <c r="F1004" s="236"/>
      <c r="G1004" s="238">
        <v>-60</v>
      </c>
      <c r="H1004" s="239" t="s">
        <v>52</v>
      </c>
      <c r="I1004" s="239" t="s">
        <v>1111</v>
      </c>
      <c r="J1004" s="239" t="s">
        <v>10</v>
      </c>
      <c r="K1004" s="220" t="str">
        <f>IF(J1004&lt;&gt;"",VLOOKUP(J1004,PContas!A:B,2,FALSE),"")</f>
        <v>NET</v>
      </c>
      <c r="L1004" s="221">
        <f t="shared" si="30"/>
        <v>10</v>
      </c>
      <c r="M1004" s="221" t="str">
        <f t="shared" ca="1" si="31"/>
        <v>ATRASADO</v>
      </c>
    </row>
    <row r="1005" spans="1:13">
      <c r="A1005" s="236">
        <v>41642</v>
      </c>
      <c r="B1005" s="237"/>
      <c r="C1005" s="237" t="s">
        <v>1098</v>
      </c>
      <c r="D1005" s="236">
        <v>41649</v>
      </c>
      <c r="E1005" s="238">
        <v>60</v>
      </c>
      <c r="F1005" s="236"/>
      <c r="G1005" s="238">
        <v>-60</v>
      </c>
      <c r="H1005" s="239" t="s">
        <v>52</v>
      </c>
      <c r="I1005" s="239" t="s">
        <v>1111</v>
      </c>
      <c r="J1005" s="239" t="s">
        <v>13</v>
      </c>
      <c r="K1005" s="220" t="str">
        <f>IF(J1005&lt;&gt;"",VLOOKUP(J1005,PContas!A:B,2,FALSE),"")</f>
        <v>NET</v>
      </c>
      <c r="L1005" s="221">
        <f t="shared" si="30"/>
        <v>10</v>
      </c>
      <c r="M1005" s="221" t="str">
        <f t="shared" ca="1" si="31"/>
        <v>ATRASADO</v>
      </c>
    </row>
    <row r="1006" spans="1:13">
      <c r="A1006" s="236">
        <v>41642</v>
      </c>
      <c r="B1006" s="237"/>
      <c r="C1006" s="237" t="s">
        <v>1099</v>
      </c>
      <c r="D1006" s="236">
        <v>41680</v>
      </c>
      <c r="E1006" s="238">
        <v>60</v>
      </c>
      <c r="F1006" s="236"/>
      <c r="G1006" s="238">
        <v>-60</v>
      </c>
      <c r="H1006" s="239" t="s">
        <v>52</v>
      </c>
      <c r="I1006" s="239" t="s">
        <v>1111</v>
      </c>
      <c r="J1006" s="239" t="s">
        <v>13</v>
      </c>
      <c r="K1006" s="220" t="str">
        <f>IF(J1006&lt;&gt;"",VLOOKUP(J1006,PContas!A:B,2,FALSE),"")</f>
        <v>NET</v>
      </c>
      <c r="L1006" s="221">
        <f t="shared" si="30"/>
        <v>10</v>
      </c>
      <c r="M1006" s="221" t="str">
        <f t="shared" ca="1" si="31"/>
        <v>ATRASADO</v>
      </c>
    </row>
    <row r="1007" spans="1:13">
      <c r="A1007" s="236">
        <v>41642</v>
      </c>
      <c r="B1007" s="237"/>
      <c r="C1007" s="237" t="s">
        <v>1100</v>
      </c>
      <c r="D1007" s="236">
        <v>41708</v>
      </c>
      <c r="E1007" s="238">
        <v>60</v>
      </c>
      <c r="F1007" s="236"/>
      <c r="G1007" s="238">
        <v>-60</v>
      </c>
      <c r="H1007" s="239" t="s">
        <v>52</v>
      </c>
      <c r="I1007" s="239" t="s">
        <v>1111</v>
      </c>
      <c r="J1007" s="239" t="s">
        <v>13</v>
      </c>
      <c r="K1007" s="220" t="str">
        <f>IF(J1007&lt;&gt;"",VLOOKUP(J1007,PContas!A:B,2,FALSE),"")</f>
        <v>NET</v>
      </c>
      <c r="L1007" s="221">
        <f t="shared" si="30"/>
        <v>10</v>
      </c>
      <c r="M1007" s="221" t="str">
        <f t="shared" ca="1" si="31"/>
        <v>ATRASADO</v>
      </c>
    </row>
    <row r="1008" spans="1:13">
      <c r="A1008" s="236">
        <v>41642</v>
      </c>
      <c r="B1008" s="237"/>
      <c r="C1008" s="237" t="s">
        <v>1101</v>
      </c>
      <c r="D1008" s="236">
        <v>41739</v>
      </c>
      <c r="E1008" s="238">
        <v>60</v>
      </c>
      <c r="F1008" s="236"/>
      <c r="G1008" s="238">
        <v>-60</v>
      </c>
      <c r="H1008" s="239" t="s">
        <v>52</v>
      </c>
      <c r="I1008" s="239" t="s">
        <v>1111</v>
      </c>
      <c r="J1008" s="239" t="s">
        <v>13</v>
      </c>
      <c r="K1008" s="220" t="str">
        <f>IF(J1008&lt;&gt;"",VLOOKUP(J1008,PContas!A:B,2,FALSE),"")</f>
        <v>NET</v>
      </c>
      <c r="L1008" s="221">
        <f t="shared" si="30"/>
        <v>10</v>
      </c>
      <c r="M1008" s="221" t="str">
        <f t="shared" ca="1" si="31"/>
        <v>ATRASADO</v>
      </c>
    </row>
    <row r="1009" spans="1:13">
      <c r="A1009" s="236">
        <v>41642</v>
      </c>
      <c r="B1009" s="237"/>
      <c r="C1009" s="237" t="s">
        <v>1102</v>
      </c>
      <c r="D1009" s="236">
        <v>41769</v>
      </c>
      <c r="E1009" s="238">
        <v>60</v>
      </c>
      <c r="F1009" s="236"/>
      <c r="G1009" s="238">
        <v>-60</v>
      </c>
      <c r="H1009" s="239" t="s">
        <v>52</v>
      </c>
      <c r="I1009" s="239" t="s">
        <v>1111</v>
      </c>
      <c r="J1009" s="239" t="s">
        <v>13</v>
      </c>
      <c r="K1009" s="220" t="str">
        <f>IF(J1009&lt;&gt;"",VLOOKUP(J1009,PContas!A:B,2,FALSE),"")</f>
        <v>NET</v>
      </c>
      <c r="L1009" s="221">
        <f t="shared" si="30"/>
        <v>10</v>
      </c>
      <c r="M1009" s="221" t="str">
        <f t="shared" ca="1" si="31"/>
        <v>ATRASADO</v>
      </c>
    </row>
    <row r="1010" spans="1:13">
      <c r="A1010" s="236">
        <v>41642</v>
      </c>
      <c r="B1010" s="237"/>
      <c r="C1010" s="237" t="s">
        <v>1103</v>
      </c>
      <c r="D1010" s="236">
        <v>41800</v>
      </c>
      <c r="E1010" s="238">
        <v>60</v>
      </c>
      <c r="F1010" s="236"/>
      <c r="G1010" s="238">
        <v>-60</v>
      </c>
      <c r="H1010" s="239" t="s">
        <v>52</v>
      </c>
      <c r="I1010" s="239" t="s">
        <v>1111</v>
      </c>
      <c r="J1010" s="239" t="s">
        <v>13</v>
      </c>
      <c r="K1010" s="220" t="str">
        <f>IF(J1010&lt;&gt;"",VLOOKUP(J1010,PContas!A:B,2,FALSE),"")</f>
        <v>NET</v>
      </c>
      <c r="L1010" s="221">
        <f t="shared" si="30"/>
        <v>10</v>
      </c>
      <c r="M1010" s="221" t="str">
        <f t="shared" ca="1" si="31"/>
        <v>ATRASADO</v>
      </c>
    </row>
    <row r="1011" spans="1:13">
      <c r="A1011" s="236">
        <v>41642</v>
      </c>
      <c r="B1011" s="237"/>
      <c r="C1011" s="237" t="s">
        <v>1104</v>
      </c>
      <c r="D1011" s="236">
        <v>41830</v>
      </c>
      <c r="E1011" s="238">
        <v>60</v>
      </c>
      <c r="F1011" s="236"/>
      <c r="G1011" s="238">
        <v>-60</v>
      </c>
      <c r="H1011" s="239" t="s">
        <v>52</v>
      </c>
      <c r="I1011" s="239" t="s">
        <v>1111</v>
      </c>
      <c r="J1011" s="239" t="s">
        <v>13</v>
      </c>
      <c r="K1011" s="220" t="str">
        <f>IF(J1011&lt;&gt;"",VLOOKUP(J1011,PContas!A:B,2,FALSE),"")</f>
        <v>NET</v>
      </c>
      <c r="L1011" s="221">
        <f t="shared" si="30"/>
        <v>10</v>
      </c>
      <c r="M1011" s="221" t="str">
        <f t="shared" ca="1" si="31"/>
        <v>ATRASADO</v>
      </c>
    </row>
    <row r="1012" spans="1:13">
      <c r="A1012" s="236">
        <v>41642</v>
      </c>
      <c r="B1012" s="237"/>
      <c r="C1012" s="237" t="s">
        <v>1105</v>
      </c>
      <c r="D1012" s="236">
        <v>41861</v>
      </c>
      <c r="E1012" s="238">
        <v>60</v>
      </c>
      <c r="F1012" s="236"/>
      <c r="G1012" s="238">
        <v>-60</v>
      </c>
      <c r="H1012" s="239" t="s">
        <v>52</v>
      </c>
      <c r="I1012" s="239" t="s">
        <v>1111</v>
      </c>
      <c r="J1012" s="239" t="s">
        <v>13</v>
      </c>
      <c r="K1012" s="220" t="str">
        <f>IF(J1012&lt;&gt;"",VLOOKUP(J1012,PContas!A:B,2,FALSE),"")</f>
        <v>NET</v>
      </c>
      <c r="L1012" s="221">
        <f t="shared" si="30"/>
        <v>10</v>
      </c>
      <c r="M1012" s="221" t="str">
        <f t="shared" ca="1" si="31"/>
        <v>ATRASADO</v>
      </c>
    </row>
    <row r="1013" spans="1:13">
      <c r="A1013" s="236">
        <v>41642</v>
      </c>
      <c r="B1013" s="237"/>
      <c r="C1013" s="237" t="s">
        <v>1106</v>
      </c>
      <c r="D1013" s="236">
        <v>41892</v>
      </c>
      <c r="E1013" s="238">
        <v>60</v>
      </c>
      <c r="F1013" s="236"/>
      <c r="G1013" s="238">
        <v>-60</v>
      </c>
      <c r="H1013" s="239" t="s">
        <v>52</v>
      </c>
      <c r="I1013" s="239" t="s">
        <v>1111</v>
      </c>
      <c r="J1013" s="239" t="s">
        <v>13</v>
      </c>
      <c r="K1013" s="220" t="str">
        <f>IF(J1013&lt;&gt;"",VLOOKUP(J1013,PContas!A:B,2,FALSE),"")</f>
        <v>NET</v>
      </c>
      <c r="L1013" s="221">
        <f t="shared" si="30"/>
        <v>10</v>
      </c>
      <c r="M1013" s="221" t="str">
        <f t="shared" ca="1" si="31"/>
        <v>ATRASADO</v>
      </c>
    </row>
    <row r="1014" spans="1:13">
      <c r="A1014" s="236">
        <v>41642</v>
      </c>
      <c r="B1014" s="237"/>
      <c r="C1014" s="237" t="s">
        <v>1107</v>
      </c>
      <c r="D1014" s="236">
        <v>41922</v>
      </c>
      <c r="E1014" s="238">
        <v>60</v>
      </c>
      <c r="F1014" s="236"/>
      <c r="G1014" s="238">
        <v>-60</v>
      </c>
      <c r="H1014" s="239" t="s">
        <v>52</v>
      </c>
      <c r="I1014" s="239" t="s">
        <v>1111</v>
      </c>
      <c r="J1014" s="239" t="s">
        <v>13</v>
      </c>
      <c r="K1014" s="220" t="str">
        <f>IF(J1014&lt;&gt;"",VLOOKUP(J1014,PContas!A:B,2,FALSE),"")</f>
        <v>NET</v>
      </c>
      <c r="L1014" s="221">
        <f t="shared" si="30"/>
        <v>10</v>
      </c>
      <c r="M1014" s="221" t="str">
        <f t="shared" ca="1" si="31"/>
        <v>ATRASADO</v>
      </c>
    </row>
    <row r="1015" spans="1:13">
      <c r="A1015" s="236">
        <v>41642</v>
      </c>
      <c r="B1015" s="237"/>
      <c r="C1015" s="237" t="s">
        <v>1108</v>
      </c>
      <c r="D1015" s="236">
        <v>41953</v>
      </c>
      <c r="E1015" s="238">
        <v>60</v>
      </c>
      <c r="F1015" s="236"/>
      <c r="G1015" s="238">
        <v>-60</v>
      </c>
      <c r="H1015" s="239" t="s">
        <v>52</v>
      </c>
      <c r="I1015" s="239" t="s">
        <v>1111</v>
      </c>
      <c r="J1015" s="239" t="s">
        <v>13</v>
      </c>
      <c r="K1015" s="220" t="str">
        <f>IF(J1015&lt;&gt;"",VLOOKUP(J1015,PContas!A:B,2,FALSE),"")</f>
        <v>NET</v>
      </c>
      <c r="L1015" s="221">
        <f t="shared" si="30"/>
        <v>10</v>
      </c>
      <c r="M1015" s="221" t="str">
        <f t="shared" ca="1" si="31"/>
        <v>ATRASADO</v>
      </c>
    </row>
    <row r="1016" spans="1:13">
      <c r="A1016" s="236">
        <v>41642</v>
      </c>
      <c r="B1016" s="237"/>
      <c r="C1016" s="237" t="s">
        <v>1109</v>
      </c>
      <c r="D1016" s="236">
        <v>41983</v>
      </c>
      <c r="E1016" s="238">
        <v>60</v>
      </c>
      <c r="F1016" s="236"/>
      <c r="G1016" s="238">
        <v>-60</v>
      </c>
      <c r="H1016" s="219" t="s">
        <v>52</v>
      </c>
      <c r="I1016" s="239" t="s">
        <v>1111</v>
      </c>
      <c r="J1016" s="239" t="s">
        <v>13</v>
      </c>
      <c r="K1016" s="220" t="str">
        <f>IF(J1016&lt;&gt;"",VLOOKUP(J1016,PContas!A:B,2,FALSE),"")</f>
        <v>NET</v>
      </c>
      <c r="L1016" s="221">
        <f t="shared" si="30"/>
        <v>10</v>
      </c>
      <c r="M1016" s="221" t="str">
        <f t="shared" ca="1" si="31"/>
        <v>ATRASADO</v>
      </c>
    </row>
    <row r="1017" spans="1:13">
      <c r="A1017" s="236">
        <v>41642</v>
      </c>
      <c r="B1017" s="237"/>
      <c r="C1017" s="237" t="s">
        <v>1098</v>
      </c>
      <c r="D1017" s="236">
        <v>41640</v>
      </c>
      <c r="E1017" s="238">
        <v>51.46</v>
      </c>
      <c r="F1017" s="236">
        <v>41628</v>
      </c>
      <c r="G1017" s="238">
        <v>-51.46</v>
      </c>
      <c r="H1017" s="219" t="s">
        <v>52</v>
      </c>
      <c r="I1017" s="239" t="s">
        <v>1111</v>
      </c>
      <c r="J1017" s="239" t="s">
        <v>28</v>
      </c>
      <c r="K1017" s="220" t="str">
        <f>IF(J1017&lt;&gt;"",VLOOKUP(J1017,PContas!A:B,2,FALSE),"")</f>
        <v>SAUDE</v>
      </c>
      <c r="L1017" s="221">
        <f t="shared" si="30"/>
        <v>1</v>
      </c>
      <c r="M1017" s="221" t="str">
        <f t="shared" ca="1" si="31"/>
        <v>2014/01</v>
      </c>
    </row>
    <row r="1018" spans="1:13">
      <c r="A1018" s="236">
        <v>41642</v>
      </c>
      <c r="B1018" s="237"/>
      <c r="C1018" s="237" t="s">
        <v>1099</v>
      </c>
      <c r="D1018" s="236">
        <v>41671</v>
      </c>
      <c r="E1018" s="238">
        <v>51.54</v>
      </c>
      <c r="F1018" s="236">
        <v>41694</v>
      </c>
      <c r="G1018" s="238">
        <v>-51.54</v>
      </c>
      <c r="H1018" s="219" t="s">
        <v>52</v>
      </c>
      <c r="I1018" s="239" t="s">
        <v>1111</v>
      </c>
      <c r="J1018" s="239" t="s">
        <v>28</v>
      </c>
      <c r="K1018" s="220" t="str">
        <f>IF(J1018&lt;&gt;"",VLOOKUP(J1018,PContas!A:B,2,FALSE),"")</f>
        <v>SAUDE</v>
      </c>
      <c r="L1018" s="221">
        <f t="shared" si="30"/>
        <v>1</v>
      </c>
      <c r="M1018" s="221" t="str">
        <f t="shared" ca="1" si="31"/>
        <v>2014/02</v>
      </c>
    </row>
    <row r="1019" spans="1:13">
      <c r="A1019" s="236">
        <v>41642</v>
      </c>
      <c r="B1019" s="237"/>
      <c r="C1019" s="237" t="s">
        <v>1100</v>
      </c>
      <c r="D1019" s="236">
        <v>41699</v>
      </c>
      <c r="E1019" s="238">
        <v>51.08</v>
      </c>
      <c r="F1019" s="236">
        <v>41694</v>
      </c>
      <c r="G1019" s="238">
        <v>-51.08</v>
      </c>
      <c r="H1019" s="219" t="s">
        <v>52</v>
      </c>
      <c r="I1019" s="239" t="s">
        <v>1111</v>
      </c>
      <c r="J1019" s="239" t="s">
        <v>28</v>
      </c>
      <c r="K1019" s="220" t="str">
        <f>IF(J1019&lt;&gt;"",VLOOKUP(J1019,PContas!A:B,2,FALSE),"")</f>
        <v>SAUDE</v>
      </c>
      <c r="L1019" s="221">
        <f t="shared" si="30"/>
        <v>1</v>
      </c>
      <c r="M1019" s="221" t="str">
        <f t="shared" ca="1" si="31"/>
        <v>2014/03</v>
      </c>
    </row>
    <row r="1020" spans="1:13">
      <c r="A1020" s="236">
        <v>41642</v>
      </c>
      <c r="B1020" s="237"/>
      <c r="C1020" s="237" t="s">
        <v>1101</v>
      </c>
      <c r="D1020" s="236">
        <v>41730</v>
      </c>
      <c r="E1020" s="238">
        <v>55</v>
      </c>
      <c r="F1020" s="236"/>
      <c r="G1020" s="238">
        <v>-55</v>
      </c>
      <c r="H1020" s="219" t="s">
        <v>52</v>
      </c>
      <c r="I1020" s="239" t="s">
        <v>1111</v>
      </c>
      <c r="J1020" s="239" t="s">
        <v>28</v>
      </c>
      <c r="K1020" s="220" t="str">
        <f>IF(J1020&lt;&gt;"",VLOOKUP(J1020,PContas!A:B,2,FALSE),"")</f>
        <v>SAUDE</v>
      </c>
      <c r="L1020" s="221">
        <f t="shared" si="30"/>
        <v>1</v>
      </c>
      <c r="M1020" s="221" t="str">
        <f t="shared" ca="1" si="31"/>
        <v>ATRASADO</v>
      </c>
    </row>
    <row r="1021" spans="1:13">
      <c r="A1021" s="236">
        <v>41642</v>
      </c>
      <c r="B1021" s="237"/>
      <c r="C1021" s="237" t="s">
        <v>1102</v>
      </c>
      <c r="D1021" s="236">
        <v>41760</v>
      </c>
      <c r="E1021" s="238">
        <v>55</v>
      </c>
      <c r="F1021" s="236"/>
      <c r="G1021" s="238">
        <v>-55</v>
      </c>
      <c r="H1021" s="219" t="s">
        <v>52</v>
      </c>
      <c r="I1021" s="239" t="s">
        <v>1111</v>
      </c>
      <c r="J1021" s="239" t="s">
        <v>28</v>
      </c>
      <c r="K1021" s="220" t="str">
        <f>IF(J1021&lt;&gt;"",VLOOKUP(J1021,PContas!A:B,2,FALSE),"")</f>
        <v>SAUDE</v>
      </c>
      <c r="L1021" s="221">
        <f t="shared" si="30"/>
        <v>1</v>
      </c>
      <c r="M1021" s="221" t="str">
        <f t="shared" ca="1" si="31"/>
        <v>ATRASADO</v>
      </c>
    </row>
    <row r="1022" spans="1:13">
      <c r="A1022" s="236">
        <v>41642</v>
      </c>
      <c r="B1022" s="237"/>
      <c r="C1022" s="237" t="s">
        <v>1103</v>
      </c>
      <c r="D1022" s="236">
        <v>41791</v>
      </c>
      <c r="E1022" s="238">
        <v>55</v>
      </c>
      <c r="F1022" s="236"/>
      <c r="G1022" s="238">
        <v>-55</v>
      </c>
      <c r="H1022" s="219" t="s">
        <v>52</v>
      </c>
      <c r="I1022" s="239" t="s">
        <v>1111</v>
      </c>
      <c r="J1022" s="239" t="s">
        <v>28</v>
      </c>
      <c r="K1022" s="220" t="str">
        <f>IF(J1022&lt;&gt;"",VLOOKUP(J1022,PContas!A:B,2,FALSE),"")</f>
        <v>SAUDE</v>
      </c>
      <c r="L1022" s="221">
        <f t="shared" si="30"/>
        <v>1</v>
      </c>
      <c r="M1022" s="221" t="str">
        <f t="shared" ca="1" si="31"/>
        <v>ATRASADO</v>
      </c>
    </row>
    <row r="1023" spans="1:13">
      <c r="A1023" s="236">
        <v>41642</v>
      </c>
      <c r="B1023" s="237"/>
      <c r="C1023" s="237" t="s">
        <v>1104</v>
      </c>
      <c r="D1023" s="236">
        <v>41821</v>
      </c>
      <c r="E1023" s="238">
        <v>55</v>
      </c>
      <c r="F1023" s="236"/>
      <c r="G1023" s="238">
        <v>-55</v>
      </c>
      <c r="H1023" s="219" t="s">
        <v>52</v>
      </c>
      <c r="I1023" s="239" t="s">
        <v>1111</v>
      </c>
      <c r="J1023" s="239" t="s">
        <v>28</v>
      </c>
      <c r="K1023" s="220" t="str">
        <f>IF(J1023&lt;&gt;"",VLOOKUP(J1023,PContas!A:B,2,FALSE),"")</f>
        <v>SAUDE</v>
      </c>
      <c r="L1023" s="221">
        <f t="shared" ref="L1023:L1085" si="32">DAY(D1023)</f>
        <v>1</v>
      </c>
      <c r="M1023" s="221" t="str">
        <f t="shared" ref="M1023:M1053" ca="1" si="33">IF(D1023&lt;&gt;"",IF(F1023="",IF(DAYS360(D1023,NOW())&gt;0,"ATRASADO",YEAR(D1023)&amp;"/"&amp;CHOOSE(MONTH(D1023),"01","02","03","04","05","06","07","08","09","10","11","12")),YEAR(D1023)&amp;"/"&amp;CHOOSE(MONTH(D1023),"01","02","03","04","05","06","07","08","09","10","11","12")),"")</f>
        <v>ATRASADO</v>
      </c>
    </row>
    <row r="1024" spans="1:13">
      <c r="A1024" s="236">
        <v>41642</v>
      </c>
      <c r="B1024" s="237"/>
      <c r="C1024" s="237" t="s">
        <v>1105</v>
      </c>
      <c r="D1024" s="236">
        <v>41852</v>
      </c>
      <c r="E1024" s="238">
        <v>55</v>
      </c>
      <c r="F1024" s="236"/>
      <c r="G1024" s="238">
        <v>-55</v>
      </c>
      <c r="H1024" s="219" t="s">
        <v>52</v>
      </c>
      <c r="I1024" s="239" t="s">
        <v>1111</v>
      </c>
      <c r="J1024" s="239" t="s">
        <v>28</v>
      </c>
      <c r="K1024" s="220" t="str">
        <f>IF(J1024&lt;&gt;"",VLOOKUP(J1024,PContas!A:B,2,FALSE),"")</f>
        <v>SAUDE</v>
      </c>
      <c r="L1024" s="221">
        <f t="shared" si="32"/>
        <v>1</v>
      </c>
      <c r="M1024" s="221" t="str">
        <f t="shared" ca="1" si="33"/>
        <v>ATRASADO</v>
      </c>
    </row>
    <row r="1025" spans="1:13">
      <c r="A1025" s="236">
        <v>41642</v>
      </c>
      <c r="B1025" s="237"/>
      <c r="C1025" s="237" t="s">
        <v>1106</v>
      </c>
      <c r="D1025" s="236">
        <v>41883</v>
      </c>
      <c r="E1025" s="238">
        <v>55</v>
      </c>
      <c r="F1025" s="236"/>
      <c r="G1025" s="238">
        <v>-55</v>
      </c>
      <c r="H1025" s="219" t="s">
        <v>52</v>
      </c>
      <c r="I1025" s="239" t="s">
        <v>1111</v>
      </c>
      <c r="J1025" s="239" t="s">
        <v>28</v>
      </c>
      <c r="K1025" s="220" t="str">
        <f>IF(J1025&lt;&gt;"",VLOOKUP(J1025,PContas!A:B,2,FALSE),"")</f>
        <v>SAUDE</v>
      </c>
      <c r="L1025" s="221">
        <f t="shared" si="32"/>
        <v>1</v>
      </c>
      <c r="M1025" s="221" t="str">
        <f t="shared" ca="1" si="33"/>
        <v>ATRASADO</v>
      </c>
    </row>
    <row r="1026" spans="1:13">
      <c r="A1026" s="236">
        <v>41642</v>
      </c>
      <c r="B1026" s="237"/>
      <c r="C1026" s="237" t="s">
        <v>1107</v>
      </c>
      <c r="D1026" s="236">
        <v>41913</v>
      </c>
      <c r="E1026" s="238">
        <v>55</v>
      </c>
      <c r="F1026" s="236"/>
      <c r="G1026" s="238">
        <v>-55</v>
      </c>
      <c r="H1026" s="219" t="s">
        <v>52</v>
      </c>
      <c r="I1026" s="239" t="s">
        <v>1111</v>
      </c>
      <c r="J1026" s="239" t="s">
        <v>28</v>
      </c>
      <c r="K1026" s="220" t="str">
        <f>IF(J1026&lt;&gt;"",VLOOKUP(J1026,PContas!A:B,2,FALSE),"")</f>
        <v>SAUDE</v>
      </c>
      <c r="L1026" s="221">
        <f t="shared" si="32"/>
        <v>1</v>
      </c>
      <c r="M1026" s="221" t="str">
        <f t="shared" ca="1" si="33"/>
        <v>ATRASADO</v>
      </c>
    </row>
    <row r="1027" spans="1:13">
      <c r="A1027" s="236">
        <v>41642</v>
      </c>
      <c r="B1027" s="237"/>
      <c r="C1027" s="237" t="s">
        <v>1108</v>
      </c>
      <c r="D1027" s="236">
        <v>41944</v>
      </c>
      <c r="E1027" s="238">
        <v>55</v>
      </c>
      <c r="F1027" s="236"/>
      <c r="G1027" s="238">
        <v>-55</v>
      </c>
      <c r="H1027" s="219" t="s">
        <v>52</v>
      </c>
      <c r="I1027" s="239" t="s">
        <v>1111</v>
      </c>
      <c r="J1027" s="239" t="s">
        <v>28</v>
      </c>
      <c r="K1027" s="220" t="str">
        <f>IF(J1027&lt;&gt;"",VLOOKUP(J1027,PContas!A:B,2,FALSE),"")</f>
        <v>SAUDE</v>
      </c>
      <c r="L1027" s="221">
        <f t="shared" si="32"/>
        <v>1</v>
      </c>
      <c r="M1027" s="221" t="str">
        <f t="shared" ca="1" si="33"/>
        <v>ATRASADO</v>
      </c>
    </row>
    <row r="1028" spans="1:13">
      <c r="A1028" s="236">
        <v>41642</v>
      </c>
      <c r="B1028" s="237"/>
      <c r="C1028" s="237" t="s">
        <v>1109</v>
      </c>
      <c r="D1028" s="236">
        <v>41974</v>
      </c>
      <c r="E1028" s="238">
        <v>55</v>
      </c>
      <c r="F1028" s="236"/>
      <c r="G1028" s="238">
        <v>-55</v>
      </c>
      <c r="H1028" s="239" t="s">
        <v>52</v>
      </c>
      <c r="I1028" s="239" t="s">
        <v>1111</v>
      </c>
      <c r="J1028" s="239" t="s">
        <v>28</v>
      </c>
      <c r="K1028" s="220" t="str">
        <f>IF(J1028&lt;&gt;"",VLOOKUP(J1028,PContas!A:B,2,FALSE),"")</f>
        <v>SAUDE</v>
      </c>
      <c r="L1028" s="221">
        <f t="shared" si="32"/>
        <v>1</v>
      </c>
      <c r="M1028" s="221" t="str">
        <f t="shared" ca="1" si="33"/>
        <v>ATRASADO</v>
      </c>
    </row>
    <row r="1029" spans="1:13">
      <c r="A1029" s="236">
        <v>41642</v>
      </c>
      <c r="B1029" s="237"/>
      <c r="C1029" s="237" t="s">
        <v>1098</v>
      </c>
      <c r="D1029" s="236">
        <v>41659</v>
      </c>
      <c r="E1029" s="238">
        <v>200</v>
      </c>
      <c r="F1029" s="236"/>
      <c r="G1029" s="238">
        <v>-200</v>
      </c>
      <c r="H1029" s="239" t="s">
        <v>52</v>
      </c>
      <c r="I1029" s="239" t="s">
        <v>1111</v>
      </c>
      <c r="J1029" s="239" t="s">
        <v>1110</v>
      </c>
      <c r="K1029" s="220" t="str">
        <f>IF(J1029&lt;&gt;"",VLOOKUP(J1029,PContas!A:B,2,FALSE),"")</f>
        <v>RODRIGO</v>
      </c>
      <c r="L1029" s="221">
        <f t="shared" si="32"/>
        <v>20</v>
      </c>
      <c r="M1029" s="221" t="str">
        <f t="shared" ca="1" si="33"/>
        <v>ATRASADO</v>
      </c>
    </row>
    <row r="1030" spans="1:13">
      <c r="A1030" s="236">
        <v>41642</v>
      </c>
      <c r="B1030" s="237"/>
      <c r="C1030" s="237" t="s">
        <v>1098</v>
      </c>
      <c r="D1030" s="236">
        <v>41659</v>
      </c>
      <c r="E1030" s="238">
        <v>170</v>
      </c>
      <c r="F1030" s="236">
        <v>41694</v>
      </c>
      <c r="G1030" s="238">
        <v>-165.41</v>
      </c>
      <c r="H1030" s="239" t="s">
        <v>52</v>
      </c>
      <c r="I1030" s="239" t="s">
        <v>1111</v>
      </c>
      <c r="J1030" s="239" t="s">
        <v>1094</v>
      </c>
      <c r="K1030" s="220" t="str">
        <f>IF(J1030&lt;&gt;"",VLOOKUP(J1030,PContas!A:B,2,FALSE),"")</f>
        <v>RODRIGO</v>
      </c>
      <c r="L1030" s="221">
        <f t="shared" si="32"/>
        <v>20</v>
      </c>
      <c r="M1030" s="221" t="str">
        <f t="shared" ca="1" si="33"/>
        <v>2014/01</v>
      </c>
    </row>
    <row r="1031" spans="1:13">
      <c r="A1031" s="236">
        <v>41642</v>
      </c>
      <c r="B1031" s="237"/>
      <c r="C1031" s="237" t="s">
        <v>1099</v>
      </c>
      <c r="D1031" s="236">
        <v>41690</v>
      </c>
      <c r="E1031" s="238">
        <v>170</v>
      </c>
      <c r="F1031" s="236">
        <v>41694</v>
      </c>
      <c r="G1031" s="238">
        <v>-160.69999999999999</v>
      </c>
      <c r="H1031" s="239" t="s">
        <v>52</v>
      </c>
      <c r="I1031" s="239" t="s">
        <v>1111</v>
      </c>
      <c r="J1031" s="239" t="s">
        <v>1094</v>
      </c>
      <c r="K1031" s="220" t="str">
        <f>IF(J1031&lt;&gt;"",VLOOKUP(J1031,PContas!A:B,2,FALSE),"")</f>
        <v>RODRIGO</v>
      </c>
      <c r="L1031" s="221">
        <f t="shared" si="32"/>
        <v>20</v>
      </c>
      <c r="M1031" s="221" t="str">
        <f t="shared" ca="1" si="33"/>
        <v>2014/02</v>
      </c>
    </row>
    <row r="1032" spans="1:13">
      <c r="A1032" s="236">
        <v>41642</v>
      </c>
      <c r="B1032" s="237"/>
      <c r="C1032" s="237" t="s">
        <v>1100</v>
      </c>
      <c r="D1032" s="236">
        <v>41718</v>
      </c>
      <c r="E1032" s="238">
        <v>170</v>
      </c>
      <c r="F1032" s="236"/>
      <c r="G1032" s="238">
        <v>-170</v>
      </c>
      <c r="H1032" s="239" t="s">
        <v>52</v>
      </c>
      <c r="I1032" s="239" t="s">
        <v>1111</v>
      </c>
      <c r="J1032" s="239" t="s">
        <v>1094</v>
      </c>
      <c r="K1032" s="220" t="str">
        <f>IF(J1032&lt;&gt;"",VLOOKUP(J1032,PContas!A:B,2,FALSE),"")</f>
        <v>RODRIGO</v>
      </c>
      <c r="L1032" s="221">
        <f t="shared" si="32"/>
        <v>20</v>
      </c>
      <c r="M1032" s="221" t="str">
        <f t="shared" ca="1" si="33"/>
        <v>ATRASADO</v>
      </c>
    </row>
    <row r="1033" spans="1:13">
      <c r="A1033" s="236">
        <v>41642</v>
      </c>
      <c r="B1033" s="237"/>
      <c r="C1033" s="237" t="s">
        <v>1101</v>
      </c>
      <c r="D1033" s="236">
        <v>41749</v>
      </c>
      <c r="E1033" s="238">
        <v>170</v>
      </c>
      <c r="F1033" s="236"/>
      <c r="G1033" s="238">
        <v>-170</v>
      </c>
      <c r="H1033" s="239" t="s">
        <v>52</v>
      </c>
      <c r="I1033" s="239" t="s">
        <v>1111</v>
      </c>
      <c r="J1033" s="239" t="s">
        <v>1094</v>
      </c>
      <c r="K1033" s="220" t="str">
        <f>IF(J1033&lt;&gt;"",VLOOKUP(J1033,PContas!A:B,2,FALSE),"")</f>
        <v>RODRIGO</v>
      </c>
      <c r="L1033" s="221">
        <f t="shared" si="32"/>
        <v>20</v>
      </c>
      <c r="M1033" s="221" t="str">
        <f t="shared" ca="1" si="33"/>
        <v>ATRASADO</v>
      </c>
    </row>
    <row r="1034" spans="1:13">
      <c r="A1034" s="236">
        <v>41642</v>
      </c>
      <c r="B1034" s="237"/>
      <c r="C1034" s="237" t="s">
        <v>1102</v>
      </c>
      <c r="D1034" s="236">
        <v>41779</v>
      </c>
      <c r="E1034" s="238">
        <v>170</v>
      </c>
      <c r="F1034" s="236"/>
      <c r="G1034" s="238">
        <v>-170</v>
      </c>
      <c r="H1034" s="239" t="s">
        <v>52</v>
      </c>
      <c r="I1034" s="239" t="s">
        <v>1111</v>
      </c>
      <c r="J1034" s="239" t="s">
        <v>1094</v>
      </c>
      <c r="K1034" s="220" t="str">
        <f>IF(J1034&lt;&gt;"",VLOOKUP(J1034,PContas!A:B,2,FALSE),"")</f>
        <v>RODRIGO</v>
      </c>
      <c r="L1034" s="221">
        <f t="shared" si="32"/>
        <v>20</v>
      </c>
      <c r="M1034" s="221" t="str">
        <f t="shared" ca="1" si="33"/>
        <v>ATRASADO</v>
      </c>
    </row>
    <row r="1035" spans="1:13">
      <c r="A1035" s="236">
        <v>41642</v>
      </c>
      <c r="B1035" s="237"/>
      <c r="C1035" s="237" t="s">
        <v>1103</v>
      </c>
      <c r="D1035" s="236">
        <v>41810</v>
      </c>
      <c r="E1035" s="238">
        <v>170</v>
      </c>
      <c r="F1035" s="236"/>
      <c r="G1035" s="238">
        <v>-170</v>
      </c>
      <c r="H1035" s="239" t="s">
        <v>52</v>
      </c>
      <c r="I1035" s="239" t="s">
        <v>1111</v>
      </c>
      <c r="J1035" s="239" t="s">
        <v>1094</v>
      </c>
      <c r="K1035" s="220" t="str">
        <f>IF(J1035&lt;&gt;"",VLOOKUP(J1035,PContas!A:B,2,FALSE),"")</f>
        <v>RODRIGO</v>
      </c>
      <c r="L1035" s="221">
        <f t="shared" si="32"/>
        <v>20</v>
      </c>
      <c r="M1035" s="221" t="str">
        <f t="shared" ca="1" si="33"/>
        <v>ATRASADO</v>
      </c>
    </row>
    <row r="1036" spans="1:13">
      <c r="A1036" s="236">
        <v>41642</v>
      </c>
      <c r="B1036" s="237"/>
      <c r="C1036" s="237" t="s">
        <v>1104</v>
      </c>
      <c r="D1036" s="236">
        <v>41840</v>
      </c>
      <c r="E1036" s="238">
        <v>170</v>
      </c>
      <c r="F1036" s="236"/>
      <c r="G1036" s="238">
        <v>-170</v>
      </c>
      <c r="H1036" s="239" t="s">
        <v>52</v>
      </c>
      <c r="I1036" s="239" t="s">
        <v>1111</v>
      </c>
      <c r="J1036" s="239" t="s">
        <v>1094</v>
      </c>
      <c r="K1036" s="220" t="str">
        <f>IF(J1036&lt;&gt;"",VLOOKUP(J1036,PContas!A:B,2,FALSE),"")</f>
        <v>RODRIGO</v>
      </c>
      <c r="L1036" s="221">
        <f t="shared" si="32"/>
        <v>20</v>
      </c>
      <c r="M1036" s="221" t="str">
        <f t="shared" ca="1" si="33"/>
        <v>ATRASADO</v>
      </c>
    </row>
    <row r="1037" spans="1:13">
      <c r="A1037" s="236">
        <v>41642</v>
      </c>
      <c r="B1037" s="237"/>
      <c r="C1037" s="237" t="s">
        <v>1105</v>
      </c>
      <c r="D1037" s="236">
        <v>41871</v>
      </c>
      <c r="E1037" s="238">
        <v>170</v>
      </c>
      <c r="F1037" s="236"/>
      <c r="G1037" s="238">
        <v>-170</v>
      </c>
      <c r="H1037" s="239" t="s">
        <v>52</v>
      </c>
      <c r="I1037" s="239" t="s">
        <v>1111</v>
      </c>
      <c r="J1037" s="239" t="s">
        <v>1094</v>
      </c>
      <c r="K1037" s="220" t="str">
        <f>IF(J1037&lt;&gt;"",VLOOKUP(J1037,PContas!A:B,2,FALSE),"")</f>
        <v>RODRIGO</v>
      </c>
      <c r="L1037" s="221">
        <f t="shared" si="32"/>
        <v>20</v>
      </c>
      <c r="M1037" s="221" t="str">
        <f t="shared" ca="1" si="33"/>
        <v>ATRASADO</v>
      </c>
    </row>
    <row r="1038" spans="1:13">
      <c r="A1038" s="236">
        <v>41642</v>
      </c>
      <c r="B1038" s="237"/>
      <c r="C1038" s="237" t="s">
        <v>1106</v>
      </c>
      <c r="D1038" s="236">
        <v>41902</v>
      </c>
      <c r="E1038" s="238">
        <v>170</v>
      </c>
      <c r="F1038" s="236"/>
      <c r="G1038" s="238">
        <v>-170</v>
      </c>
      <c r="H1038" s="239" t="s">
        <v>52</v>
      </c>
      <c r="I1038" s="239" t="s">
        <v>1111</v>
      </c>
      <c r="J1038" s="239" t="s">
        <v>1094</v>
      </c>
      <c r="K1038" s="220" t="str">
        <f>IF(J1038&lt;&gt;"",VLOOKUP(J1038,PContas!A:B,2,FALSE),"")</f>
        <v>RODRIGO</v>
      </c>
      <c r="L1038" s="221">
        <f t="shared" si="32"/>
        <v>20</v>
      </c>
      <c r="M1038" s="221" t="str">
        <f t="shared" ca="1" si="33"/>
        <v>ATRASADO</v>
      </c>
    </row>
    <row r="1039" spans="1:13">
      <c r="A1039" s="236">
        <v>41642</v>
      </c>
      <c r="B1039" s="237"/>
      <c r="C1039" s="237" t="s">
        <v>1107</v>
      </c>
      <c r="D1039" s="236">
        <v>41932</v>
      </c>
      <c r="E1039" s="238">
        <v>170</v>
      </c>
      <c r="F1039" s="236"/>
      <c r="G1039" s="238">
        <v>-170</v>
      </c>
      <c r="H1039" s="239" t="s">
        <v>52</v>
      </c>
      <c r="I1039" s="239" t="s">
        <v>1111</v>
      </c>
      <c r="J1039" s="239" t="s">
        <v>1094</v>
      </c>
      <c r="K1039" s="220" t="str">
        <f>IF(J1039&lt;&gt;"",VLOOKUP(J1039,PContas!A:B,2,FALSE),"")</f>
        <v>RODRIGO</v>
      </c>
      <c r="L1039" s="221">
        <f t="shared" si="32"/>
        <v>20</v>
      </c>
      <c r="M1039" s="221" t="str">
        <f t="shared" ca="1" si="33"/>
        <v>ATRASADO</v>
      </c>
    </row>
    <row r="1040" spans="1:13">
      <c r="A1040" s="236">
        <v>41642</v>
      </c>
      <c r="B1040" s="237"/>
      <c r="C1040" s="237" t="s">
        <v>1108</v>
      </c>
      <c r="D1040" s="236">
        <v>41963</v>
      </c>
      <c r="E1040" s="238">
        <v>170</v>
      </c>
      <c r="F1040" s="236"/>
      <c r="G1040" s="238">
        <v>-170</v>
      </c>
      <c r="H1040" s="239" t="s">
        <v>52</v>
      </c>
      <c r="I1040" s="239" t="s">
        <v>1111</v>
      </c>
      <c r="J1040" s="239" t="s">
        <v>1094</v>
      </c>
      <c r="K1040" s="220" t="str">
        <f>IF(J1040&lt;&gt;"",VLOOKUP(J1040,PContas!A:B,2,FALSE),"")</f>
        <v>RODRIGO</v>
      </c>
      <c r="L1040" s="221">
        <f t="shared" si="32"/>
        <v>20</v>
      </c>
      <c r="M1040" s="221" t="str">
        <f t="shared" ca="1" si="33"/>
        <v>ATRASADO</v>
      </c>
    </row>
    <row r="1041" spans="1:13">
      <c r="A1041" s="236">
        <v>41642</v>
      </c>
      <c r="B1041" s="237"/>
      <c r="C1041" s="237" t="s">
        <v>1109</v>
      </c>
      <c r="D1041" s="236">
        <v>41993</v>
      </c>
      <c r="E1041" s="238">
        <v>170</v>
      </c>
      <c r="F1041" s="236"/>
      <c r="G1041" s="238">
        <v>-170</v>
      </c>
      <c r="H1041" s="239" t="s">
        <v>52</v>
      </c>
      <c r="I1041" s="239" t="s">
        <v>1111</v>
      </c>
      <c r="J1041" s="239" t="s">
        <v>1094</v>
      </c>
      <c r="K1041" s="220" t="str">
        <f>IF(J1041&lt;&gt;"",VLOOKUP(J1041,PContas!A:B,2,FALSE),"")</f>
        <v>RODRIGO</v>
      </c>
      <c r="L1041" s="221">
        <f t="shared" si="32"/>
        <v>20</v>
      </c>
      <c r="M1041" s="221" t="str">
        <f t="shared" ca="1" si="33"/>
        <v>ATRASADO</v>
      </c>
    </row>
    <row r="1042" spans="1:13">
      <c r="A1042" s="236">
        <v>41642</v>
      </c>
      <c r="B1042" s="237"/>
      <c r="C1042" s="237" t="s">
        <v>1098</v>
      </c>
      <c r="D1042" s="236">
        <v>41649</v>
      </c>
      <c r="E1042" s="238">
        <v>16.899999999999999</v>
      </c>
      <c r="F1042" s="236">
        <v>41649</v>
      </c>
      <c r="G1042" s="238">
        <v>-16.899999999999999</v>
      </c>
      <c r="H1042" s="239" t="s">
        <v>52</v>
      </c>
      <c r="I1042" s="239" t="s">
        <v>2</v>
      </c>
      <c r="J1042" s="239" t="s">
        <v>1023</v>
      </c>
      <c r="K1042" s="220" t="str">
        <f>IF(J1042&lt;&gt;"",VLOOKUP(J1042,PContas!A:B,2,FALSE),"")</f>
        <v>AILTON</v>
      </c>
      <c r="L1042" s="221">
        <f t="shared" si="32"/>
        <v>10</v>
      </c>
      <c r="M1042" s="221" t="str">
        <f t="shared" ca="1" si="33"/>
        <v>2014/01</v>
      </c>
    </row>
    <row r="1043" spans="1:13">
      <c r="A1043" s="236">
        <v>41642</v>
      </c>
      <c r="B1043" s="237"/>
      <c r="C1043" s="237" t="s">
        <v>1099</v>
      </c>
      <c r="D1043" s="236">
        <v>41680</v>
      </c>
      <c r="E1043" s="238">
        <v>16.899999999999999</v>
      </c>
      <c r="F1043" s="236">
        <v>41680</v>
      </c>
      <c r="G1043" s="238">
        <v>-16.899999999999999</v>
      </c>
      <c r="H1043" s="239" t="s">
        <v>52</v>
      </c>
      <c r="I1043" s="239" t="s">
        <v>2</v>
      </c>
      <c r="J1043" s="239" t="s">
        <v>1023</v>
      </c>
      <c r="K1043" s="220" t="str">
        <f>IF(J1043&lt;&gt;"",VLOOKUP(J1043,PContas!A:B,2,FALSE),"")</f>
        <v>AILTON</v>
      </c>
      <c r="L1043" s="221">
        <f t="shared" si="32"/>
        <v>10</v>
      </c>
      <c r="M1043" s="221" t="str">
        <f t="shared" ca="1" si="33"/>
        <v>2014/02</v>
      </c>
    </row>
    <row r="1044" spans="1:13">
      <c r="A1044" s="236">
        <v>41642</v>
      </c>
      <c r="B1044" s="237"/>
      <c r="C1044" s="237" t="s">
        <v>1100</v>
      </c>
      <c r="D1044" s="236">
        <v>41708</v>
      </c>
      <c r="E1044" s="238">
        <v>16.899999999999999</v>
      </c>
      <c r="F1044" s="236"/>
      <c r="G1044" s="238">
        <v>-16.899999999999999</v>
      </c>
      <c r="H1044" s="239" t="s">
        <v>52</v>
      </c>
      <c r="I1044" s="239" t="s">
        <v>2</v>
      </c>
      <c r="J1044" s="239" t="s">
        <v>1023</v>
      </c>
      <c r="K1044" s="220" t="str">
        <f>IF(J1044&lt;&gt;"",VLOOKUP(J1044,PContas!A:B,2,FALSE),"")</f>
        <v>AILTON</v>
      </c>
      <c r="L1044" s="221">
        <f t="shared" si="32"/>
        <v>10</v>
      </c>
      <c r="M1044" s="221" t="str">
        <f t="shared" ca="1" si="33"/>
        <v>ATRASADO</v>
      </c>
    </row>
    <row r="1045" spans="1:13">
      <c r="A1045" s="236">
        <v>41642</v>
      </c>
      <c r="B1045" s="237"/>
      <c r="C1045" s="237" t="s">
        <v>1101</v>
      </c>
      <c r="D1045" s="236">
        <v>41739</v>
      </c>
      <c r="E1045" s="238">
        <v>16.899999999999999</v>
      </c>
      <c r="F1045" s="236"/>
      <c r="G1045" s="238">
        <v>-16.899999999999999</v>
      </c>
      <c r="H1045" s="239" t="s">
        <v>52</v>
      </c>
      <c r="I1045" s="239" t="s">
        <v>2</v>
      </c>
      <c r="J1045" s="239" t="s">
        <v>1023</v>
      </c>
      <c r="K1045" s="220" t="str">
        <f>IF(J1045&lt;&gt;"",VLOOKUP(J1045,PContas!A:B,2,FALSE),"")</f>
        <v>AILTON</v>
      </c>
      <c r="L1045" s="221">
        <f t="shared" si="32"/>
        <v>10</v>
      </c>
      <c r="M1045" s="221" t="str">
        <f t="shared" ca="1" si="33"/>
        <v>ATRASADO</v>
      </c>
    </row>
    <row r="1046" spans="1:13">
      <c r="A1046" s="236">
        <v>41642</v>
      </c>
      <c r="B1046" s="237"/>
      <c r="C1046" s="237" t="s">
        <v>1102</v>
      </c>
      <c r="D1046" s="236">
        <v>41769</v>
      </c>
      <c r="E1046" s="238">
        <v>16.899999999999999</v>
      </c>
      <c r="F1046" s="236"/>
      <c r="G1046" s="238">
        <v>-16.899999999999999</v>
      </c>
      <c r="H1046" s="239" t="s">
        <v>52</v>
      </c>
      <c r="I1046" s="239" t="s">
        <v>2</v>
      </c>
      <c r="J1046" s="239" t="s">
        <v>1023</v>
      </c>
      <c r="K1046" s="220" t="str">
        <f>IF(J1046&lt;&gt;"",VLOOKUP(J1046,PContas!A:B,2,FALSE),"")</f>
        <v>AILTON</v>
      </c>
      <c r="L1046" s="221">
        <f t="shared" si="32"/>
        <v>10</v>
      </c>
      <c r="M1046" s="221" t="str">
        <f t="shared" ca="1" si="33"/>
        <v>ATRASADO</v>
      </c>
    </row>
    <row r="1047" spans="1:13">
      <c r="A1047" s="236">
        <v>41642</v>
      </c>
      <c r="B1047" s="237"/>
      <c r="C1047" s="237" t="s">
        <v>1103</v>
      </c>
      <c r="D1047" s="236">
        <v>41800</v>
      </c>
      <c r="E1047" s="238">
        <v>16.899999999999999</v>
      </c>
      <c r="F1047" s="236"/>
      <c r="G1047" s="238">
        <v>-16.899999999999999</v>
      </c>
      <c r="H1047" s="239" t="s">
        <v>52</v>
      </c>
      <c r="I1047" s="239" t="s">
        <v>2</v>
      </c>
      <c r="J1047" s="239" t="s">
        <v>1023</v>
      </c>
      <c r="K1047" s="220" t="str">
        <f>IF(J1047&lt;&gt;"",VLOOKUP(J1047,PContas!A:B,2,FALSE),"")</f>
        <v>AILTON</v>
      </c>
      <c r="L1047" s="221">
        <f t="shared" si="32"/>
        <v>10</v>
      </c>
      <c r="M1047" s="221" t="str">
        <f t="shared" ca="1" si="33"/>
        <v>ATRASADO</v>
      </c>
    </row>
    <row r="1048" spans="1:13">
      <c r="A1048" s="236">
        <v>41642</v>
      </c>
      <c r="B1048" s="237"/>
      <c r="C1048" s="237" t="s">
        <v>1104</v>
      </c>
      <c r="D1048" s="236">
        <v>41830</v>
      </c>
      <c r="E1048" s="238">
        <v>16.899999999999999</v>
      </c>
      <c r="F1048" s="236"/>
      <c r="G1048" s="238">
        <v>-16.899999999999999</v>
      </c>
      <c r="H1048" s="239" t="s">
        <v>52</v>
      </c>
      <c r="I1048" s="239" t="s">
        <v>2</v>
      </c>
      <c r="J1048" s="239" t="s">
        <v>1023</v>
      </c>
      <c r="K1048" s="220" t="str">
        <f>IF(J1048&lt;&gt;"",VLOOKUP(J1048,PContas!A:B,2,FALSE),"")</f>
        <v>AILTON</v>
      </c>
      <c r="L1048" s="221">
        <f t="shared" si="32"/>
        <v>10</v>
      </c>
      <c r="M1048" s="221" t="str">
        <f t="shared" ca="1" si="33"/>
        <v>ATRASADO</v>
      </c>
    </row>
    <row r="1049" spans="1:13">
      <c r="A1049" s="236">
        <v>41642</v>
      </c>
      <c r="B1049" s="237"/>
      <c r="C1049" s="237" t="s">
        <v>1105</v>
      </c>
      <c r="D1049" s="236">
        <v>41861</v>
      </c>
      <c r="E1049" s="238">
        <v>16.899999999999999</v>
      </c>
      <c r="F1049" s="236"/>
      <c r="G1049" s="238">
        <v>-16.899999999999999</v>
      </c>
      <c r="H1049" s="239" t="s">
        <v>52</v>
      </c>
      <c r="I1049" s="239" t="s">
        <v>2</v>
      </c>
      <c r="J1049" s="239" t="s">
        <v>1023</v>
      </c>
      <c r="K1049" s="220" t="str">
        <f>IF(J1049&lt;&gt;"",VLOOKUP(J1049,PContas!A:B,2,FALSE),"")</f>
        <v>AILTON</v>
      </c>
      <c r="L1049" s="221">
        <f t="shared" si="32"/>
        <v>10</v>
      </c>
      <c r="M1049" s="221" t="str">
        <f t="shared" ca="1" si="33"/>
        <v>ATRASADO</v>
      </c>
    </row>
    <row r="1050" spans="1:13">
      <c r="A1050" s="236">
        <v>41642</v>
      </c>
      <c r="B1050" s="237"/>
      <c r="C1050" s="237" t="s">
        <v>1106</v>
      </c>
      <c r="D1050" s="236">
        <v>41892</v>
      </c>
      <c r="E1050" s="238">
        <v>16.899999999999999</v>
      </c>
      <c r="F1050" s="236"/>
      <c r="G1050" s="238">
        <v>-16.899999999999999</v>
      </c>
      <c r="H1050" s="239" t="s">
        <v>52</v>
      </c>
      <c r="I1050" s="239" t="s">
        <v>2</v>
      </c>
      <c r="J1050" s="239" t="s">
        <v>1023</v>
      </c>
      <c r="K1050" s="220" t="str">
        <f>IF(J1050&lt;&gt;"",VLOOKUP(J1050,PContas!A:B,2,FALSE),"")</f>
        <v>AILTON</v>
      </c>
      <c r="L1050" s="221">
        <f t="shared" si="32"/>
        <v>10</v>
      </c>
      <c r="M1050" s="221" t="str">
        <f t="shared" ca="1" si="33"/>
        <v>ATRASADO</v>
      </c>
    </row>
    <row r="1051" spans="1:13">
      <c r="A1051" s="236">
        <v>41642</v>
      </c>
      <c r="B1051" s="237"/>
      <c r="C1051" s="237" t="s">
        <v>1107</v>
      </c>
      <c r="D1051" s="236">
        <v>41922</v>
      </c>
      <c r="E1051" s="238">
        <v>16.899999999999999</v>
      </c>
      <c r="F1051" s="236"/>
      <c r="G1051" s="238">
        <v>-16.899999999999999</v>
      </c>
      <c r="H1051" s="239" t="s">
        <v>52</v>
      </c>
      <c r="I1051" s="239" t="s">
        <v>2</v>
      </c>
      <c r="J1051" s="239" t="s">
        <v>1023</v>
      </c>
      <c r="K1051" s="220" t="str">
        <f>IF(J1051&lt;&gt;"",VLOOKUP(J1051,PContas!A:B,2,FALSE),"")</f>
        <v>AILTON</v>
      </c>
      <c r="L1051" s="221">
        <f t="shared" si="32"/>
        <v>10</v>
      </c>
      <c r="M1051" s="221" t="str">
        <f t="shared" ca="1" si="33"/>
        <v>ATRASADO</v>
      </c>
    </row>
    <row r="1052" spans="1:13">
      <c r="A1052" s="236">
        <v>41642</v>
      </c>
      <c r="B1052" s="237"/>
      <c r="C1052" s="237" t="s">
        <v>1108</v>
      </c>
      <c r="D1052" s="236">
        <v>41953</v>
      </c>
      <c r="E1052" s="238">
        <v>16.899999999999999</v>
      </c>
      <c r="F1052" s="236"/>
      <c r="G1052" s="238">
        <v>-16.899999999999999</v>
      </c>
      <c r="H1052" s="239" t="s">
        <v>52</v>
      </c>
      <c r="I1052" s="239" t="s">
        <v>2</v>
      </c>
      <c r="J1052" s="239" t="s">
        <v>1023</v>
      </c>
      <c r="K1052" s="220" t="str">
        <f>IF(J1052&lt;&gt;"",VLOOKUP(J1052,PContas!A:B,2,FALSE),"")</f>
        <v>AILTON</v>
      </c>
      <c r="L1052" s="221">
        <f t="shared" si="32"/>
        <v>10</v>
      </c>
      <c r="M1052" s="221" t="str">
        <f t="shared" ca="1" si="33"/>
        <v>ATRASADO</v>
      </c>
    </row>
    <row r="1053" spans="1:13">
      <c r="A1053" s="236">
        <v>41642</v>
      </c>
      <c r="B1053" s="237"/>
      <c r="C1053" s="237" t="s">
        <v>1109</v>
      </c>
      <c r="D1053" s="236">
        <v>41983</v>
      </c>
      <c r="E1053" s="238">
        <v>16.899999999999999</v>
      </c>
      <c r="F1053" s="236"/>
      <c r="G1053" s="238">
        <v>-16.899999999999999</v>
      </c>
      <c r="H1053" s="239" t="s">
        <v>52</v>
      </c>
      <c r="I1053" s="239" t="s">
        <v>2</v>
      </c>
      <c r="J1053" s="239" t="s">
        <v>1023</v>
      </c>
      <c r="K1053" s="220" t="str">
        <f>IF(J1053&lt;&gt;"",VLOOKUP(J1053,PContas!A:B,2,FALSE),"")</f>
        <v>AILTON</v>
      </c>
      <c r="L1053" s="221">
        <f t="shared" si="32"/>
        <v>10</v>
      </c>
      <c r="M1053" s="221" t="str">
        <f t="shared" ca="1" si="33"/>
        <v>ATRASADO</v>
      </c>
    </row>
    <row r="1054" spans="1:13">
      <c r="A1054" s="236">
        <v>41642</v>
      </c>
      <c r="B1054" s="237"/>
      <c r="C1054" s="237" t="s">
        <v>1098</v>
      </c>
      <c r="D1054" s="236">
        <v>41640</v>
      </c>
      <c r="E1054" s="238">
        <v>49.9</v>
      </c>
      <c r="F1054" s="236">
        <v>41648</v>
      </c>
      <c r="G1054" s="238">
        <v>-49.9</v>
      </c>
      <c r="H1054" s="239" t="s">
        <v>52</v>
      </c>
      <c r="I1054" s="239" t="s">
        <v>1111</v>
      </c>
      <c r="J1054" s="239" t="s">
        <v>102</v>
      </c>
      <c r="K1054" s="220" t="str">
        <f>IF(J1054&lt;&gt;"",VLOOKUP(J1054,PContas!A:B,2,FALSE),"")</f>
        <v>WEB</v>
      </c>
      <c r="L1054" s="221">
        <f t="shared" si="32"/>
        <v>1</v>
      </c>
      <c r="M1054" s="221" t="s">
        <v>1113</v>
      </c>
    </row>
    <row r="1055" spans="1:13">
      <c r="A1055" s="236">
        <v>41642</v>
      </c>
      <c r="B1055" s="237"/>
      <c r="C1055" s="237" t="s">
        <v>1099</v>
      </c>
      <c r="D1055" s="236">
        <v>41671</v>
      </c>
      <c r="E1055" s="238">
        <v>49.9</v>
      </c>
      <c r="F1055" s="236">
        <v>41663</v>
      </c>
      <c r="G1055" s="238">
        <v>-51.02</v>
      </c>
      <c r="H1055" s="239" t="s">
        <v>52</v>
      </c>
      <c r="I1055" s="239" t="s">
        <v>1111</v>
      </c>
      <c r="J1055" s="239" t="s">
        <v>102</v>
      </c>
      <c r="K1055" s="220" t="str">
        <f>IF(J1055&lt;&gt;"",VLOOKUP(J1055,PContas!A:B,2,FALSE),"")</f>
        <v>WEB</v>
      </c>
      <c r="L1055" s="221">
        <f t="shared" si="32"/>
        <v>1</v>
      </c>
      <c r="M1055" s="221" t="str">
        <f t="shared" ref="M1055:M1085" ca="1" si="34">IF(D1055&lt;&gt;"",IF(F1055="",IF(DAYS360(D1055,NOW())&gt;0,"ATRASADO",YEAR(D1055)&amp;"/"&amp;CHOOSE(MONTH(D1055),"01","02","03","04","05","06","07","08","09","10","11","12")),YEAR(D1055)&amp;"/"&amp;CHOOSE(MONTH(D1055),"01","02","03","04","05","06","07","08","09","10","11","12")),"")</f>
        <v>2014/02</v>
      </c>
    </row>
    <row r="1056" spans="1:13">
      <c r="A1056" s="236">
        <v>41642</v>
      </c>
      <c r="B1056" s="237"/>
      <c r="C1056" s="237" t="s">
        <v>1100</v>
      </c>
      <c r="D1056" s="236">
        <v>41699</v>
      </c>
      <c r="E1056" s="238">
        <v>49.9</v>
      </c>
      <c r="F1056" s="236">
        <v>41699</v>
      </c>
      <c r="G1056" s="238">
        <v>-51.02</v>
      </c>
      <c r="H1056" s="239" t="s">
        <v>52</v>
      </c>
      <c r="I1056" s="239" t="s">
        <v>1111</v>
      </c>
      <c r="J1056" s="239" t="s">
        <v>102</v>
      </c>
      <c r="K1056" s="220" t="str">
        <f>IF(J1056&lt;&gt;"",VLOOKUP(J1056,PContas!A:B,2,FALSE),"")</f>
        <v>WEB</v>
      </c>
      <c r="L1056" s="221">
        <f t="shared" si="32"/>
        <v>1</v>
      </c>
      <c r="M1056" s="221" t="str">
        <f t="shared" ca="1" si="34"/>
        <v>2014/03</v>
      </c>
    </row>
    <row r="1057" spans="1:13">
      <c r="A1057" s="236">
        <v>41642</v>
      </c>
      <c r="B1057" s="237"/>
      <c r="C1057" s="237" t="s">
        <v>1101</v>
      </c>
      <c r="D1057" s="236">
        <v>41730</v>
      </c>
      <c r="E1057" s="238">
        <v>49.9</v>
      </c>
      <c r="F1057" s="236"/>
      <c r="G1057" s="238">
        <v>-49.9</v>
      </c>
      <c r="H1057" s="239" t="s">
        <v>52</v>
      </c>
      <c r="I1057" s="239" t="s">
        <v>1111</v>
      </c>
      <c r="J1057" s="239" t="s">
        <v>102</v>
      </c>
      <c r="K1057" s="220" t="str">
        <f>IF(J1057&lt;&gt;"",VLOOKUP(J1057,PContas!A:B,2,FALSE),"")</f>
        <v>WEB</v>
      </c>
      <c r="L1057" s="221">
        <f t="shared" si="32"/>
        <v>1</v>
      </c>
      <c r="M1057" s="221" t="str">
        <f t="shared" ca="1" si="34"/>
        <v>ATRASADO</v>
      </c>
    </row>
    <row r="1058" spans="1:13">
      <c r="A1058" s="236">
        <v>41642</v>
      </c>
      <c r="B1058" s="237"/>
      <c r="C1058" s="237" t="s">
        <v>1102</v>
      </c>
      <c r="D1058" s="236">
        <v>41760</v>
      </c>
      <c r="E1058" s="238">
        <v>49.9</v>
      </c>
      <c r="F1058" s="236"/>
      <c r="G1058" s="238">
        <v>-49.9</v>
      </c>
      <c r="H1058" s="239" t="s">
        <v>52</v>
      </c>
      <c r="I1058" s="239" t="s">
        <v>1111</v>
      </c>
      <c r="J1058" s="239" t="s">
        <v>102</v>
      </c>
      <c r="K1058" s="220" t="str">
        <f>IF(J1058&lt;&gt;"",VLOOKUP(J1058,PContas!A:B,2,FALSE),"")</f>
        <v>WEB</v>
      </c>
      <c r="L1058" s="221">
        <f t="shared" si="32"/>
        <v>1</v>
      </c>
      <c r="M1058" s="221" t="str">
        <f t="shared" ca="1" si="34"/>
        <v>ATRASADO</v>
      </c>
    </row>
    <row r="1059" spans="1:13">
      <c r="A1059" s="236">
        <v>41642</v>
      </c>
      <c r="B1059" s="237"/>
      <c r="C1059" s="237" t="s">
        <v>1103</v>
      </c>
      <c r="D1059" s="236">
        <v>41791</v>
      </c>
      <c r="E1059" s="238">
        <v>49.9</v>
      </c>
      <c r="F1059" s="236"/>
      <c r="G1059" s="238">
        <v>-49.9</v>
      </c>
      <c r="H1059" s="239" t="s">
        <v>52</v>
      </c>
      <c r="I1059" s="239" t="s">
        <v>1111</v>
      </c>
      <c r="J1059" s="239" t="s">
        <v>102</v>
      </c>
      <c r="K1059" s="220" t="str">
        <f>IF(J1059&lt;&gt;"",VLOOKUP(J1059,PContas!A:B,2,FALSE),"")</f>
        <v>WEB</v>
      </c>
      <c r="L1059" s="221">
        <f t="shared" si="32"/>
        <v>1</v>
      </c>
      <c r="M1059" s="221" t="str">
        <f t="shared" ca="1" si="34"/>
        <v>ATRASADO</v>
      </c>
    </row>
    <row r="1060" spans="1:13">
      <c r="A1060" s="236">
        <v>41642</v>
      </c>
      <c r="B1060" s="237"/>
      <c r="C1060" s="237" t="s">
        <v>1104</v>
      </c>
      <c r="D1060" s="236">
        <v>41821</v>
      </c>
      <c r="E1060" s="238">
        <v>49.9</v>
      </c>
      <c r="F1060" s="236"/>
      <c r="G1060" s="238">
        <v>-49.9</v>
      </c>
      <c r="H1060" s="239" t="s">
        <v>52</v>
      </c>
      <c r="I1060" s="239" t="s">
        <v>1111</v>
      </c>
      <c r="J1060" s="239" t="s">
        <v>102</v>
      </c>
      <c r="K1060" s="220" t="str">
        <f>IF(J1060&lt;&gt;"",VLOOKUP(J1060,PContas!A:B,2,FALSE),"")</f>
        <v>WEB</v>
      </c>
      <c r="L1060" s="221">
        <f t="shared" si="32"/>
        <v>1</v>
      </c>
      <c r="M1060" s="221" t="str">
        <f t="shared" ca="1" si="34"/>
        <v>ATRASADO</v>
      </c>
    </row>
    <row r="1061" spans="1:13">
      <c r="A1061" s="236">
        <v>41642</v>
      </c>
      <c r="B1061" s="237"/>
      <c r="C1061" s="237" t="s">
        <v>1105</v>
      </c>
      <c r="D1061" s="236">
        <v>41852</v>
      </c>
      <c r="E1061" s="238">
        <v>49.9</v>
      </c>
      <c r="F1061" s="236"/>
      <c r="G1061" s="238">
        <v>-49.9</v>
      </c>
      <c r="H1061" s="239" t="s">
        <v>52</v>
      </c>
      <c r="I1061" s="239" t="s">
        <v>1111</v>
      </c>
      <c r="J1061" s="239" t="s">
        <v>102</v>
      </c>
      <c r="K1061" s="220" t="str">
        <f>IF(J1061&lt;&gt;"",VLOOKUP(J1061,PContas!A:B,2,FALSE),"")</f>
        <v>WEB</v>
      </c>
      <c r="L1061" s="221">
        <f t="shared" si="32"/>
        <v>1</v>
      </c>
      <c r="M1061" s="221" t="str">
        <f t="shared" ca="1" si="34"/>
        <v>ATRASADO</v>
      </c>
    </row>
    <row r="1062" spans="1:13">
      <c r="A1062" s="236">
        <v>41642</v>
      </c>
      <c r="B1062" s="237"/>
      <c r="C1062" s="237" t="s">
        <v>1106</v>
      </c>
      <c r="D1062" s="236">
        <v>41883</v>
      </c>
      <c r="E1062" s="238">
        <v>49.9</v>
      </c>
      <c r="F1062" s="236"/>
      <c r="G1062" s="238">
        <v>-49.9</v>
      </c>
      <c r="H1062" s="239" t="s">
        <v>52</v>
      </c>
      <c r="I1062" s="239" t="s">
        <v>1111</v>
      </c>
      <c r="J1062" s="239" t="s">
        <v>102</v>
      </c>
      <c r="K1062" s="220" t="str">
        <f>IF(J1062&lt;&gt;"",VLOOKUP(J1062,PContas!A:B,2,FALSE),"")</f>
        <v>WEB</v>
      </c>
      <c r="L1062" s="221">
        <f t="shared" si="32"/>
        <v>1</v>
      </c>
      <c r="M1062" s="221" t="str">
        <f t="shared" ca="1" si="34"/>
        <v>ATRASADO</v>
      </c>
    </row>
    <row r="1063" spans="1:13">
      <c r="A1063" s="236">
        <v>41642</v>
      </c>
      <c r="B1063" s="237"/>
      <c r="C1063" s="237" t="s">
        <v>1107</v>
      </c>
      <c r="D1063" s="236">
        <v>41913</v>
      </c>
      <c r="E1063" s="238">
        <v>49.9</v>
      </c>
      <c r="F1063" s="236"/>
      <c r="G1063" s="238">
        <v>-49.9</v>
      </c>
      <c r="H1063" s="239" t="s">
        <v>52</v>
      </c>
      <c r="I1063" s="239" t="s">
        <v>1111</v>
      </c>
      <c r="J1063" s="239" t="s">
        <v>102</v>
      </c>
      <c r="K1063" s="220" t="str">
        <f>IF(J1063&lt;&gt;"",VLOOKUP(J1063,PContas!A:B,2,FALSE),"")</f>
        <v>WEB</v>
      </c>
      <c r="L1063" s="221">
        <f t="shared" si="32"/>
        <v>1</v>
      </c>
      <c r="M1063" s="221" t="str">
        <f t="shared" ca="1" si="34"/>
        <v>ATRASADO</v>
      </c>
    </row>
    <row r="1064" spans="1:13">
      <c r="A1064" s="236">
        <v>41642</v>
      </c>
      <c r="B1064" s="237"/>
      <c r="C1064" s="237" t="s">
        <v>1108</v>
      </c>
      <c r="D1064" s="236">
        <v>41944</v>
      </c>
      <c r="E1064" s="238">
        <v>49.9</v>
      </c>
      <c r="F1064" s="236"/>
      <c r="G1064" s="238">
        <v>-49.9</v>
      </c>
      <c r="H1064" s="239" t="s">
        <v>52</v>
      </c>
      <c r="I1064" s="239" t="s">
        <v>1111</v>
      </c>
      <c r="J1064" s="239" t="s">
        <v>102</v>
      </c>
      <c r="K1064" s="220" t="str">
        <f>IF(J1064&lt;&gt;"",VLOOKUP(J1064,PContas!A:B,2,FALSE),"")</f>
        <v>WEB</v>
      </c>
      <c r="L1064" s="221">
        <f t="shared" si="32"/>
        <v>1</v>
      </c>
      <c r="M1064" s="221" t="str">
        <f t="shared" ca="1" si="34"/>
        <v>ATRASADO</v>
      </c>
    </row>
    <row r="1065" spans="1:13">
      <c r="A1065" s="236">
        <v>41642</v>
      </c>
      <c r="B1065" s="237"/>
      <c r="C1065" s="237" t="s">
        <v>1109</v>
      </c>
      <c r="D1065" s="236">
        <v>41974</v>
      </c>
      <c r="E1065" s="238">
        <v>49.9</v>
      </c>
      <c r="F1065" s="236"/>
      <c r="G1065" s="238">
        <v>-49.9</v>
      </c>
      <c r="H1065" s="239" t="s">
        <v>52</v>
      </c>
      <c r="I1065" s="239" t="s">
        <v>1111</v>
      </c>
      <c r="J1065" s="239" t="s">
        <v>102</v>
      </c>
      <c r="K1065" s="220" t="str">
        <f>IF(J1065&lt;&gt;"",VLOOKUP(J1065,PContas!A:B,2,FALSE),"")</f>
        <v>WEB</v>
      </c>
      <c r="L1065" s="221">
        <f t="shared" si="32"/>
        <v>1</v>
      </c>
      <c r="M1065" s="221" t="str">
        <f t="shared" ca="1" si="34"/>
        <v>ATRASADO</v>
      </c>
    </row>
    <row r="1066" spans="1:13">
      <c r="A1066" s="236">
        <v>41642</v>
      </c>
      <c r="B1066" s="237"/>
      <c r="C1066" s="217" t="s">
        <v>1418</v>
      </c>
      <c r="D1066" s="236">
        <v>41680</v>
      </c>
      <c r="E1066" s="238">
        <v>19.5</v>
      </c>
      <c r="F1066" s="236">
        <v>41680</v>
      </c>
      <c r="G1066" s="238">
        <v>-19.5</v>
      </c>
      <c r="H1066" s="239" t="s">
        <v>52</v>
      </c>
      <c r="I1066" s="239" t="s">
        <v>1111</v>
      </c>
      <c r="J1066" s="239" t="s">
        <v>96</v>
      </c>
      <c r="K1066" s="220" t="str">
        <f>IF(J1066&lt;&gt;"",VLOOKUP(J1066,PContas!A:B,2,FALSE),"")</f>
        <v>TARIFAS</v>
      </c>
      <c r="L1066" s="221">
        <f t="shared" si="32"/>
        <v>10</v>
      </c>
      <c r="M1066" s="221" t="str">
        <f t="shared" ca="1" si="34"/>
        <v>2014/02</v>
      </c>
    </row>
    <row r="1067" spans="1:13">
      <c r="A1067" s="236">
        <v>41642</v>
      </c>
      <c r="B1067" s="237"/>
      <c r="C1067" s="217" t="s">
        <v>1419</v>
      </c>
      <c r="D1067" s="236">
        <v>41708</v>
      </c>
      <c r="E1067" s="238">
        <v>19.5</v>
      </c>
      <c r="F1067" s="236"/>
      <c r="G1067" s="238">
        <v>-19.5</v>
      </c>
      <c r="H1067" s="239" t="s">
        <v>52</v>
      </c>
      <c r="I1067" s="239" t="s">
        <v>1111</v>
      </c>
      <c r="J1067" s="239" t="s">
        <v>96</v>
      </c>
      <c r="K1067" s="220" t="str">
        <f>IF(J1067&lt;&gt;"",VLOOKUP(J1067,PContas!A:B,2,FALSE),"")</f>
        <v>TARIFAS</v>
      </c>
      <c r="L1067" s="221">
        <f t="shared" si="32"/>
        <v>10</v>
      </c>
      <c r="M1067" s="221" t="str">
        <f t="shared" ca="1" si="34"/>
        <v>ATRASADO</v>
      </c>
    </row>
    <row r="1068" spans="1:13">
      <c r="A1068" s="236">
        <v>41642</v>
      </c>
      <c r="B1068" s="237"/>
      <c r="C1068" s="217" t="s">
        <v>1420</v>
      </c>
      <c r="D1068" s="236">
        <v>41739</v>
      </c>
      <c r="E1068" s="238">
        <v>19.5</v>
      </c>
      <c r="F1068" s="236"/>
      <c r="G1068" s="238">
        <v>-19.5</v>
      </c>
      <c r="H1068" s="239" t="s">
        <v>52</v>
      </c>
      <c r="I1068" s="239" t="s">
        <v>1111</v>
      </c>
      <c r="J1068" s="239" t="s">
        <v>96</v>
      </c>
      <c r="K1068" s="220" t="str">
        <f>IF(J1068&lt;&gt;"",VLOOKUP(J1068,PContas!A:B,2,FALSE),"")</f>
        <v>TARIFAS</v>
      </c>
      <c r="L1068" s="221">
        <f t="shared" si="32"/>
        <v>10</v>
      </c>
      <c r="M1068" s="221" t="str">
        <f t="shared" ca="1" si="34"/>
        <v>ATRASADO</v>
      </c>
    </row>
    <row r="1069" spans="1:13">
      <c r="A1069" s="236">
        <v>41642</v>
      </c>
      <c r="B1069" s="237"/>
      <c r="C1069" s="217" t="s">
        <v>1421</v>
      </c>
      <c r="D1069" s="236">
        <v>41769</v>
      </c>
      <c r="E1069" s="238">
        <v>19.5</v>
      </c>
      <c r="F1069" s="236"/>
      <c r="G1069" s="238">
        <v>-19.5</v>
      </c>
      <c r="H1069" s="239" t="s">
        <v>52</v>
      </c>
      <c r="I1069" s="239" t="s">
        <v>1111</v>
      </c>
      <c r="J1069" s="239" t="s">
        <v>96</v>
      </c>
      <c r="K1069" s="220" t="str">
        <f>IF(J1069&lt;&gt;"",VLOOKUP(J1069,PContas!A:B,2,FALSE),"")</f>
        <v>TARIFAS</v>
      </c>
      <c r="L1069" s="221">
        <f t="shared" si="32"/>
        <v>10</v>
      </c>
      <c r="M1069" s="221" t="str">
        <f t="shared" ca="1" si="34"/>
        <v>ATRASADO</v>
      </c>
    </row>
    <row r="1070" spans="1:13">
      <c r="A1070" s="236">
        <v>41642</v>
      </c>
      <c r="B1070" s="237"/>
      <c r="C1070" s="217" t="s">
        <v>1422</v>
      </c>
      <c r="D1070" s="236">
        <v>41800</v>
      </c>
      <c r="E1070" s="238">
        <v>19.5</v>
      </c>
      <c r="F1070" s="236"/>
      <c r="G1070" s="238">
        <v>-19.5</v>
      </c>
      <c r="H1070" s="239" t="s">
        <v>52</v>
      </c>
      <c r="I1070" s="239" t="s">
        <v>1111</v>
      </c>
      <c r="J1070" s="239" t="s">
        <v>96</v>
      </c>
      <c r="K1070" s="220" t="str">
        <f>IF(J1070&lt;&gt;"",VLOOKUP(J1070,PContas!A:B,2,FALSE),"")</f>
        <v>TARIFAS</v>
      </c>
      <c r="L1070" s="221">
        <f t="shared" si="32"/>
        <v>10</v>
      </c>
      <c r="M1070" s="221" t="str">
        <f t="shared" ca="1" si="34"/>
        <v>ATRASADO</v>
      </c>
    </row>
    <row r="1071" spans="1:13">
      <c r="A1071" s="236">
        <v>41642</v>
      </c>
      <c r="B1071" s="237"/>
      <c r="C1071" s="217" t="s">
        <v>1423</v>
      </c>
      <c r="D1071" s="236">
        <v>41830</v>
      </c>
      <c r="E1071" s="238">
        <v>19.5</v>
      </c>
      <c r="F1071" s="236"/>
      <c r="G1071" s="238">
        <v>-19.5</v>
      </c>
      <c r="H1071" s="239" t="s">
        <v>52</v>
      </c>
      <c r="I1071" s="239" t="s">
        <v>1111</v>
      </c>
      <c r="J1071" s="239" t="s">
        <v>96</v>
      </c>
      <c r="K1071" s="220" t="str">
        <f>IF(J1071&lt;&gt;"",VLOOKUP(J1071,PContas!A:B,2,FALSE),"")</f>
        <v>TARIFAS</v>
      </c>
      <c r="L1071" s="221">
        <f t="shared" si="32"/>
        <v>10</v>
      </c>
      <c r="M1071" s="221" t="str">
        <f t="shared" ca="1" si="34"/>
        <v>ATRASADO</v>
      </c>
    </row>
    <row r="1072" spans="1:13">
      <c r="A1072" s="236">
        <v>41642</v>
      </c>
      <c r="B1072" s="237"/>
      <c r="C1072" s="217" t="s">
        <v>1424</v>
      </c>
      <c r="D1072" s="236">
        <v>41861</v>
      </c>
      <c r="E1072" s="238">
        <v>19.5</v>
      </c>
      <c r="F1072" s="236"/>
      <c r="G1072" s="238">
        <v>-19.5</v>
      </c>
      <c r="H1072" s="239" t="s">
        <v>52</v>
      </c>
      <c r="I1072" s="239" t="s">
        <v>1111</v>
      </c>
      <c r="J1072" s="239" t="s">
        <v>96</v>
      </c>
      <c r="K1072" s="220" t="str">
        <f>IF(J1072&lt;&gt;"",VLOOKUP(J1072,PContas!A:B,2,FALSE),"")</f>
        <v>TARIFAS</v>
      </c>
      <c r="L1072" s="221">
        <f t="shared" si="32"/>
        <v>10</v>
      </c>
      <c r="M1072" s="221" t="str">
        <f t="shared" ca="1" si="34"/>
        <v>ATRASADO</v>
      </c>
    </row>
    <row r="1073" spans="1:13">
      <c r="A1073" s="236">
        <v>41642</v>
      </c>
      <c r="B1073" s="237"/>
      <c r="C1073" s="217" t="s">
        <v>1425</v>
      </c>
      <c r="D1073" s="236">
        <v>41892</v>
      </c>
      <c r="E1073" s="238">
        <v>19.5</v>
      </c>
      <c r="F1073" s="236"/>
      <c r="G1073" s="238">
        <v>-19.5</v>
      </c>
      <c r="H1073" s="239" t="s">
        <v>52</v>
      </c>
      <c r="I1073" s="239" t="s">
        <v>1111</v>
      </c>
      <c r="J1073" s="239" t="s">
        <v>96</v>
      </c>
      <c r="K1073" s="220" t="str">
        <f>IF(J1073&lt;&gt;"",VLOOKUP(J1073,PContas!A:B,2,FALSE),"")</f>
        <v>TARIFAS</v>
      </c>
      <c r="L1073" s="221">
        <f t="shared" si="32"/>
        <v>10</v>
      </c>
      <c r="M1073" s="221" t="str">
        <f t="shared" ca="1" si="34"/>
        <v>ATRASADO</v>
      </c>
    </row>
    <row r="1074" spans="1:13">
      <c r="A1074" s="236">
        <v>41642</v>
      </c>
      <c r="B1074" s="237"/>
      <c r="C1074" s="217" t="s">
        <v>1426</v>
      </c>
      <c r="D1074" s="236">
        <v>41922</v>
      </c>
      <c r="E1074" s="238">
        <v>19.5</v>
      </c>
      <c r="F1074" s="236"/>
      <c r="G1074" s="238">
        <v>-19.5</v>
      </c>
      <c r="H1074" s="239" t="s">
        <v>52</v>
      </c>
      <c r="I1074" s="239" t="s">
        <v>1111</v>
      </c>
      <c r="J1074" s="239" t="s">
        <v>96</v>
      </c>
      <c r="K1074" s="220" t="str">
        <f>IF(J1074&lt;&gt;"",VLOOKUP(J1074,PContas!A:B,2,FALSE),"")</f>
        <v>TARIFAS</v>
      </c>
      <c r="L1074" s="221">
        <f t="shared" si="32"/>
        <v>10</v>
      </c>
      <c r="M1074" s="221" t="str">
        <f t="shared" ca="1" si="34"/>
        <v>ATRASADO</v>
      </c>
    </row>
    <row r="1075" spans="1:13">
      <c r="A1075" s="236">
        <v>41642</v>
      </c>
      <c r="B1075" s="237"/>
      <c r="C1075" s="217" t="s">
        <v>1427</v>
      </c>
      <c r="D1075" s="236">
        <v>41953</v>
      </c>
      <c r="E1075" s="238">
        <v>19.5</v>
      </c>
      <c r="F1075" s="236"/>
      <c r="G1075" s="238">
        <v>-19.5</v>
      </c>
      <c r="H1075" s="239" t="s">
        <v>52</v>
      </c>
      <c r="I1075" s="239" t="s">
        <v>1111</v>
      </c>
      <c r="J1075" s="239" t="s">
        <v>96</v>
      </c>
      <c r="K1075" s="220" t="str">
        <f>IF(J1075&lt;&gt;"",VLOOKUP(J1075,PContas!A:B,2,FALSE),"")</f>
        <v>TARIFAS</v>
      </c>
      <c r="L1075" s="221">
        <f t="shared" si="32"/>
        <v>10</v>
      </c>
      <c r="M1075" s="221" t="str">
        <f t="shared" ca="1" si="34"/>
        <v>ATRASADO</v>
      </c>
    </row>
    <row r="1076" spans="1:13">
      <c r="A1076" s="236">
        <v>41642</v>
      </c>
      <c r="B1076" s="237"/>
      <c r="C1076" s="217" t="s">
        <v>1428</v>
      </c>
      <c r="D1076" s="236">
        <v>41983</v>
      </c>
      <c r="E1076" s="238">
        <v>19.5</v>
      </c>
      <c r="F1076" s="236"/>
      <c r="G1076" s="238">
        <v>-19.5</v>
      </c>
      <c r="H1076" s="219" t="s">
        <v>52</v>
      </c>
      <c r="I1076" s="239" t="s">
        <v>1111</v>
      </c>
      <c r="J1076" s="239" t="s">
        <v>96</v>
      </c>
      <c r="K1076" s="220" t="str">
        <f>IF(J1076&lt;&gt;"",VLOOKUP(J1076,PContas!A:B,2,FALSE),"")</f>
        <v>TARIFAS</v>
      </c>
      <c r="L1076" s="221">
        <f t="shared" si="32"/>
        <v>10</v>
      </c>
      <c r="M1076" s="221" t="str">
        <f t="shared" ca="1" si="34"/>
        <v>ATRASADO</v>
      </c>
    </row>
    <row r="1077" spans="1:13">
      <c r="A1077" s="236">
        <v>41642</v>
      </c>
      <c r="B1077" s="237"/>
      <c r="C1077" s="237" t="s">
        <v>1099</v>
      </c>
      <c r="D1077" s="236">
        <v>41680</v>
      </c>
      <c r="E1077" s="238">
        <v>1310</v>
      </c>
      <c r="F1077" s="236"/>
      <c r="G1077" s="238">
        <v>-1310</v>
      </c>
      <c r="H1077" s="239" t="s">
        <v>52</v>
      </c>
      <c r="I1077" s="239" t="s">
        <v>1111</v>
      </c>
      <c r="J1077" s="239" t="s">
        <v>1095</v>
      </c>
      <c r="K1077" s="220" t="str">
        <f>IF(J1077&lt;&gt;"",VLOOKUP(J1077,PContas!A:B,2,FALSE),"")</f>
        <v>RODRIGO</v>
      </c>
      <c r="L1077" s="221">
        <f t="shared" si="32"/>
        <v>10</v>
      </c>
      <c r="M1077" s="221" t="str">
        <f t="shared" ca="1" si="34"/>
        <v>ATRASADO</v>
      </c>
    </row>
    <row r="1078" spans="1:13">
      <c r="A1078" s="236">
        <v>41642</v>
      </c>
      <c r="B1078" s="237"/>
      <c r="C1078" s="237" t="s">
        <v>1100</v>
      </c>
      <c r="D1078" s="236">
        <v>41708</v>
      </c>
      <c r="E1078" s="238">
        <v>505</v>
      </c>
      <c r="F1078" s="236"/>
      <c r="G1078" s="238">
        <v>-505</v>
      </c>
      <c r="H1078" s="239" t="s">
        <v>52</v>
      </c>
      <c r="I1078" s="239" t="s">
        <v>1111</v>
      </c>
      <c r="J1078" s="239" t="s">
        <v>1095</v>
      </c>
      <c r="K1078" s="220" t="str">
        <f>IF(J1078&lt;&gt;"",VLOOKUP(J1078,PContas!A:B,2,FALSE),"")</f>
        <v>RODRIGO</v>
      </c>
      <c r="L1078" s="221">
        <f t="shared" si="32"/>
        <v>10</v>
      </c>
      <c r="M1078" s="221" t="str">
        <f t="shared" ca="1" si="34"/>
        <v>ATRASADO</v>
      </c>
    </row>
    <row r="1079" spans="1:13">
      <c r="A1079" s="236">
        <v>41642</v>
      </c>
      <c r="B1079" s="237"/>
      <c r="C1079" s="237" t="s">
        <v>1101</v>
      </c>
      <c r="D1079" s="236">
        <v>41739</v>
      </c>
      <c r="E1079" s="238">
        <v>505</v>
      </c>
      <c r="F1079" s="236"/>
      <c r="G1079" s="238">
        <v>-505</v>
      </c>
      <c r="H1079" s="219" t="s">
        <v>52</v>
      </c>
      <c r="I1079" s="239" t="s">
        <v>1111</v>
      </c>
      <c r="J1079" s="239" t="s">
        <v>1095</v>
      </c>
      <c r="K1079" s="220" t="str">
        <f>IF(J1079&lt;&gt;"",VLOOKUP(J1079,PContas!A:B,2,FALSE),"")</f>
        <v>RODRIGO</v>
      </c>
      <c r="L1079" s="221">
        <f t="shared" si="32"/>
        <v>10</v>
      </c>
      <c r="M1079" s="221" t="str">
        <f t="shared" ca="1" si="34"/>
        <v>ATRASADO</v>
      </c>
    </row>
    <row r="1080" spans="1:13">
      <c r="A1080" s="236">
        <v>41642</v>
      </c>
      <c r="B1080" s="237"/>
      <c r="C1080" s="237" t="s">
        <v>1102</v>
      </c>
      <c r="D1080" s="236">
        <v>41769</v>
      </c>
      <c r="E1080" s="238">
        <v>505</v>
      </c>
      <c r="F1080" s="236"/>
      <c r="G1080" s="238">
        <v>-505</v>
      </c>
      <c r="H1080" s="239" t="s">
        <v>52</v>
      </c>
      <c r="I1080" s="239" t="s">
        <v>1111</v>
      </c>
      <c r="J1080" s="239" t="s">
        <v>1095</v>
      </c>
      <c r="K1080" s="220" t="str">
        <f>IF(J1080&lt;&gt;"",VLOOKUP(J1080,PContas!A:B,2,FALSE),"")</f>
        <v>RODRIGO</v>
      </c>
      <c r="L1080" s="221">
        <f t="shared" si="32"/>
        <v>10</v>
      </c>
      <c r="M1080" s="221" t="str">
        <f t="shared" ca="1" si="34"/>
        <v>ATRASADO</v>
      </c>
    </row>
    <row r="1081" spans="1:13">
      <c r="A1081" s="236">
        <v>41642</v>
      </c>
      <c r="B1081" s="237"/>
      <c r="C1081" s="237" t="s">
        <v>1103</v>
      </c>
      <c r="D1081" s="236">
        <v>41800</v>
      </c>
      <c r="E1081" s="238">
        <v>505</v>
      </c>
      <c r="F1081" s="236"/>
      <c r="G1081" s="238">
        <v>-505</v>
      </c>
      <c r="H1081" s="239" t="s">
        <v>52</v>
      </c>
      <c r="I1081" s="239" t="s">
        <v>1111</v>
      </c>
      <c r="J1081" s="239" t="s">
        <v>1095</v>
      </c>
      <c r="K1081" s="220" t="str">
        <f>IF(J1081&lt;&gt;"",VLOOKUP(J1081,PContas!A:B,2,FALSE),"")</f>
        <v>RODRIGO</v>
      </c>
      <c r="L1081" s="221">
        <f t="shared" si="32"/>
        <v>10</v>
      </c>
      <c r="M1081" s="221" t="str">
        <f t="shared" ca="1" si="34"/>
        <v>ATRASADO</v>
      </c>
    </row>
    <row r="1082" spans="1:13">
      <c r="A1082" s="236">
        <v>41642</v>
      </c>
      <c r="B1082" s="237"/>
      <c r="C1082" s="237" t="s">
        <v>1104</v>
      </c>
      <c r="D1082" s="236">
        <v>41830</v>
      </c>
      <c r="E1082" s="238">
        <v>505</v>
      </c>
      <c r="F1082" s="236"/>
      <c r="G1082" s="238">
        <v>-505</v>
      </c>
      <c r="H1082" s="239" t="s">
        <v>52</v>
      </c>
      <c r="I1082" s="239" t="s">
        <v>1111</v>
      </c>
      <c r="J1082" s="239" t="s">
        <v>1095</v>
      </c>
      <c r="K1082" s="220" t="str">
        <f>IF(J1082&lt;&gt;"",VLOOKUP(J1082,PContas!A:B,2,FALSE),"")</f>
        <v>RODRIGO</v>
      </c>
      <c r="L1082" s="221">
        <f t="shared" si="32"/>
        <v>10</v>
      </c>
      <c r="M1082" s="221" t="str">
        <f t="shared" ca="1" si="34"/>
        <v>ATRASADO</v>
      </c>
    </row>
    <row r="1083" spans="1:13">
      <c r="A1083" s="236">
        <v>41642</v>
      </c>
      <c r="B1083" s="237"/>
      <c r="C1083" s="237" t="s">
        <v>1105</v>
      </c>
      <c r="D1083" s="236">
        <v>41861</v>
      </c>
      <c r="E1083" s="238">
        <v>505</v>
      </c>
      <c r="F1083" s="236"/>
      <c r="G1083" s="238">
        <v>-505</v>
      </c>
      <c r="H1083" s="239" t="s">
        <v>52</v>
      </c>
      <c r="I1083" s="239" t="s">
        <v>1111</v>
      </c>
      <c r="J1083" s="239" t="s">
        <v>1095</v>
      </c>
      <c r="K1083" s="220" t="str">
        <f>IF(J1083&lt;&gt;"",VLOOKUP(J1083,PContas!A:B,2,FALSE),"")</f>
        <v>RODRIGO</v>
      </c>
      <c r="L1083" s="221">
        <f t="shared" si="32"/>
        <v>10</v>
      </c>
      <c r="M1083" s="221" t="str">
        <f t="shared" ca="1" si="34"/>
        <v>ATRASADO</v>
      </c>
    </row>
    <row r="1084" spans="1:13">
      <c r="A1084" s="236">
        <v>41642</v>
      </c>
      <c r="B1084" s="237"/>
      <c r="C1084" s="237" t="s">
        <v>1106</v>
      </c>
      <c r="D1084" s="236">
        <v>41892</v>
      </c>
      <c r="E1084" s="238">
        <v>505</v>
      </c>
      <c r="F1084" s="236"/>
      <c r="G1084" s="238">
        <v>-505</v>
      </c>
      <c r="H1084" s="239" t="s">
        <v>52</v>
      </c>
      <c r="I1084" s="239" t="s">
        <v>1111</v>
      </c>
      <c r="J1084" s="239" t="s">
        <v>1095</v>
      </c>
      <c r="K1084" s="220" t="str">
        <f>IF(J1084&lt;&gt;"",VLOOKUP(J1084,PContas!A:B,2,FALSE),"")</f>
        <v>RODRIGO</v>
      </c>
      <c r="L1084" s="221">
        <f t="shared" si="32"/>
        <v>10</v>
      </c>
      <c r="M1084" s="221" t="str">
        <f t="shared" ca="1" si="34"/>
        <v>ATRASADO</v>
      </c>
    </row>
    <row r="1085" spans="1:13">
      <c r="A1085" s="236">
        <v>41642</v>
      </c>
      <c r="B1085" s="237"/>
      <c r="C1085" s="237" t="s">
        <v>1107</v>
      </c>
      <c r="D1085" s="236">
        <v>41922</v>
      </c>
      <c r="E1085" s="238">
        <v>505</v>
      </c>
      <c r="F1085" s="236"/>
      <c r="G1085" s="238">
        <v>-505</v>
      </c>
      <c r="H1085" s="239" t="s">
        <v>52</v>
      </c>
      <c r="I1085" s="239" t="s">
        <v>1111</v>
      </c>
      <c r="J1085" s="239" t="s">
        <v>1095</v>
      </c>
      <c r="K1085" s="220" t="str">
        <f>IF(J1085&lt;&gt;"",VLOOKUP(J1085,PContas!A:B,2,FALSE),"")</f>
        <v>RODRIGO</v>
      </c>
      <c r="L1085" s="221">
        <f t="shared" si="32"/>
        <v>10</v>
      </c>
      <c r="M1085" s="221" t="str">
        <f t="shared" ca="1" si="34"/>
        <v>ATRASADO</v>
      </c>
    </row>
    <row r="1086" spans="1:13">
      <c r="A1086" s="236">
        <v>41642</v>
      </c>
      <c r="B1086" s="237"/>
      <c r="C1086" s="237" t="s">
        <v>1108</v>
      </c>
      <c r="D1086" s="236">
        <v>41953</v>
      </c>
      <c r="E1086" s="238">
        <v>505</v>
      </c>
      <c r="F1086" s="236"/>
      <c r="G1086" s="238">
        <v>-505</v>
      </c>
      <c r="H1086" s="239" t="s">
        <v>52</v>
      </c>
      <c r="I1086" s="239" t="s">
        <v>1111</v>
      </c>
      <c r="J1086" s="239" t="s">
        <v>1095</v>
      </c>
      <c r="K1086" s="220" t="str">
        <f>IF(J1086&lt;&gt;"",VLOOKUP(J1086,PContas!A:B,2,FALSE),"")</f>
        <v>RODRIGO</v>
      </c>
      <c r="L1086" s="221">
        <f t="shared" ref="L1086:L1149" si="35">DAY(D1086)</f>
        <v>10</v>
      </c>
      <c r="M1086" s="221" t="str">
        <f t="shared" ref="M1086:M1117" ca="1" si="36">IF(D1086&lt;&gt;"",IF(F1086="",IF(DAYS360(D1086,NOW())&gt;0,"ATRASADO",YEAR(D1086)&amp;"/"&amp;CHOOSE(MONTH(D1086),"01","02","03","04","05","06","07","08","09","10","11","12")),YEAR(D1086)&amp;"/"&amp;CHOOSE(MONTH(D1086),"01","02","03","04","05","06","07","08","09","10","11","12")),"")</f>
        <v>ATRASADO</v>
      </c>
    </row>
    <row r="1087" spans="1:13">
      <c r="A1087" s="236">
        <v>41642</v>
      </c>
      <c r="B1087" s="237"/>
      <c r="C1087" s="237" t="s">
        <v>1109</v>
      </c>
      <c r="D1087" s="236">
        <v>41983</v>
      </c>
      <c r="E1087" s="238">
        <v>505</v>
      </c>
      <c r="F1087" s="236"/>
      <c r="G1087" s="238">
        <v>-505</v>
      </c>
      <c r="H1087" s="239" t="s">
        <v>52</v>
      </c>
      <c r="I1087" s="239" t="s">
        <v>1111</v>
      </c>
      <c r="J1087" s="239" t="s">
        <v>1095</v>
      </c>
      <c r="K1087" s="220" t="str">
        <f>IF(J1087&lt;&gt;"",VLOOKUP(J1087,PContas!A:B,2,FALSE),"")</f>
        <v>RODRIGO</v>
      </c>
      <c r="L1087" s="221">
        <f t="shared" si="35"/>
        <v>10</v>
      </c>
      <c r="M1087" s="221" t="str">
        <f t="shared" ca="1" si="36"/>
        <v>ATRASADO</v>
      </c>
    </row>
    <row r="1088" spans="1:13">
      <c r="A1088" s="236">
        <v>41642</v>
      </c>
      <c r="B1088" s="237"/>
      <c r="C1088" s="237" t="s">
        <v>1099</v>
      </c>
      <c r="D1088" s="236">
        <v>41690</v>
      </c>
      <c r="E1088" s="238">
        <v>100</v>
      </c>
      <c r="F1088" s="236"/>
      <c r="G1088" s="238">
        <v>-100</v>
      </c>
      <c r="H1088" s="239" t="s">
        <v>52</v>
      </c>
      <c r="I1088" s="239" t="s">
        <v>2</v>
      </c>
      <c r="J1088" s="239" t="s">
        <v>1096</v>
      </c>
      <c r="K1088" s="220" t="str">
        <f>IF(J1088&lt;&gt;"",VLOOKUP(J1088,PContas!A:B,2,FALSE),"")</f>
        <v>PROVISÃO</v>
      </c>
      <c r="L1088" s="221">
        <f t="shared" si="35"/>
        <v>20</v>
      </c>
      <c r="M1088" s="221" t="str">
        <f t="shared" ca="1" si="36"/>
        <v>ATRASADO</v>
      </c>
    </row>
    <row r="1089" spans="1:13">
      <c r="A1089" s="236">
        <v>41642</v>
      </c>
      <c r="B1089" s="237"/>
      <c r="C1089" s="237" t="s">
        <v>1100</v>
      </c>
      <c r="D1089" s="236">
        <v>41718</v>
      </c>
      <c r="E1089" s="238">
        <v>100</v>
      </c>
      <c r="F1089" s="236"/>
      <c r="G1089" s="238">
        <v>-100</v>
      </c>
      <c r="H1089" s="239" t="s">
        <v>52</v>
      </c>
      <c r="I1089" s="239" t="s">
        <v>2</v>
      </c>
      <c r="J1089" s="239" t="s">
        <v>1096</v>
      </c>
      <c r="K1089" s="220" t="str">
        <f>IF(J1089&lt;&gt;"",VLOOKUP(J1089,PContas!A:B,2,FALSE),"")</f>
        <v>PROVISÃO</v>
      </c>
      <c r="L1089" s="221">
        <f t="shared" si="35"/>
        <v>20</v>
      </c>
      <c r="M1089" s="221" t="str">
        <f t="shared" ca="1" si="36"/>
        <v>ATRASADO</v>
      </c>
    </row>
    <row r="1090" spans="1:13">
      <c r="A1090" s="236">
        <v>41642</v>
      </c>
      <c r="B1090" s="237"/>
      <c r="C1090" s="237" t="s">
        <v>1101</v>
      </c>
      <c r="D1090" s="236">
        <v>41749</v>
      </c>
      <c r="E1090" s="238">
        <v>100</v>
      </c>
      <c r="F1090" s="236"/>
      <c r="G1090" s="238">
        <v>-100</v>
      </c>
      <c r="H1090" s="239" t="s">
        <v>52</v>
      </c>
      <c r="I1090" s="239" t="s">
        <v>2</v>
      </c>
      <c r="J1090" s="239" t="s">
        <v>1096</v>
      </c>
      <c r="K1090" s="220" t="str">
        <f>IF(J1090&lt;&gt;"",VLOOKUP(J1090,PContas!A:B,2,FALSE),"")</f>
        <v>PROVISÃO</v>
      </c>
      <c r="L1090" s="221">
        <f t="shared" si="35"/>
        <v>20</v>
      </c>
      <c r="M1090" s="221" t="str">
        <f t="shared" ca="1" si="36"/>
        <v>ATRASADO</v>
      </c>
    </row>
    <row r="1091" spans="1:13">
      <c r="A1091" s="236">
        <v>41642</v>
      </c>
      <c r="B1091" s="237"/>
      <c r="C1091" s="237" t="s">
        <v>1102</v>
      </c>
      <c r="D1091" s="236">
        <v>41779</v>
      </c>
      <c r="E1091" s="238">
        <v>100</v>
      </c>
      <c r="F1091" s="236"/>
      <c r="G1091" s="238">
        <v>-100</v>
      </c>
      <c r="H1091" s="239" t="s">
        <v>52</v>
      </c>
      <c r="I1091" s="239" t="s">
        <v>2</v>
      </c>
      <c r="J1091" s="239" t="s">
        <v>1096</v>
      </c>
      <c r="K1091" s="220" t="str">
        <f>IF(J1091&lt;&gt;"",VLOOKUP(J1091,PContas!A:B,2,FALSE),"")</f>
        <v>PROVISÃO</v>
      </c>
      <c r="L1091" s="221">
        <f t="shared" si="35"/>
        <v>20</v>
      </c>
      <c r="M1091" s="221" t="str">
        <f t="shared" ca="1" si="36"/>
        <v>ATRASADO</v>
      </c>
    </row>
    <row r="1092" spans="1:13">
      <c r="A1092" s="236">
        <v>41642</v>
      </c>
      <c r="B1092" s="237"/>
      <c r="C1092" s="237" t="s">
        <v>1103</v>
      </c>
      <c r="D1092" s="236">
        <v>41810</v>
      </c>
      <c r="E1092" s="238">
        <v>100</v>
      </c>
      <c r="F1092" s="236"/>
      <c r="G1092" s="238">
        <v>-100</v>
      </c>
      <c r="H1092" s="239" t="s">
        <v>52</v>
      </c>
      <c r="I1092" s="239" t="s">
        <v>2</v>
      </c>
      <c r="J1092" s="239" t="s">
        <v>1096</v>
      </c>
      <c r="K1092" s="220" t="str">
        <f>IF(J1092&lt;&gt;"",VLOOKUP(J1092,PContas!A:B,2,FALSE),"")</f>
        <v>PROVISÃO</v>
      </c>
      <c r="L1092" s="221">
        <f t="shared" si="35"/>
        <v>20</v>
      </c>
      <c r="M1092" s="221" t="str">
        <f t="shared" ca="1" si="36"/>
        <v>ATRASADO</v>
      </c>
    </row>
    <row r="1093" spans="1:13">
      <c r="A1093" s="236">
        <v>41642</v>
      </c>
      <c r="B1093" s="237"/>
      <c r="C1093" s="237" t="s">
        <v>1104</v>
      </c>
      <c r="D1093" s="236">
        <v>41840</v>
      </c>
      <c r="E1093" s="238">
        <v>100</v>
      </c>
      <c r="F1093" s="236"/>
      <c r="G1093" s="238">
        <v>-100</v>
      </c>
      <c r="H1093" s="239" t="s">
        <v>52</v>
      </c>
      <c r="I1093" s="239" t="s">
        <v>2</v>
      </c>
      <c r="J1093" s="239" t="s">
        <v>1096</v>
      </c>
      <c r="K1093" s="220" t="str">
        <f>IF(J1093&lt;&gt;"",VLOOKUP(J1093,PContas!A:B,2,FALSE),"")</f>
        <v>PROVISÃO</v>
      </c>
      <c r="L1093" s="221">
        <f t="shared" si="35"/>
        <v>20</v>
      </c>
      <c r="M1093" s="221" t="str">
        <f t="shared" ca="1" si="36"/>
        <v>ATRASADO</v>
      </c>
    </row>
    <row r="1094" spans="1:13">
      <c r="A1094" s="236">
        <v>41642</v>
      </c>
      <c r="B1094" s="237"/>
      <c r="C1094" s="237" t="s">
        <v>1105</v>
      </c>
      <c r="D1094" s="236">
        <v>41871</v>
      </c>
      <c r="E1094" s="238">
        <v>100</v>
      </c>
      <c r="F1094" s="236"/>
      <c r="G1094" s="238">
        <v>-100</v>
      </c>
      <c r="H1094" s="239" t="s">
        <v>52</v>
      </c>
      <c r="I1094" s="239" t="s">
        <v>2</v>
      </c>
      <c r="J1094" s="239" t="s">
        <v>1096</v>
      </c>
      <c r="K1094" s="220" t="str">
        <f>IF(J1094&lt;&gt;"",VLOOKUP(J1094,PContas!A:B,2,FALSE),"")</f>
        <v>PROVISÃO</v>
      </c>
      <c r="L1094" s="221">
        <f t="shared" si="35"/>
        <v>20</v>
      </c>
      <c r="M1094" s="221" t="str">
        <f t="shared" ca="1" si="36"/>
        <v>ATRASADO</v>
      </c>
    </row>
    <row r="1095" spans="1:13">
      <c r="A1095" s="236">
        <v>41642</v>
      </c>
      <c r="B1095" s="237"/>
      <c r="C1095" s="237" t="s">
        <v>1106</v>
      </c>
      <c r="D1095" s="236">
        <v>41902</v>
      </c>
      <c r="E1095" s="238">
        <v>100</v>
      </c>
      <c r="F1095" s="236"/>
      <c r="G1095" s="238">
        <v>-100</v>
      </c>
      <c r="H1095" s="239" t="s">
        <v>52</v>
      </c>
      <c r="I1095" s="239" t="s">
        <v>2</v>
      </c>
      <c r="J1095" s="239" t="s">
        <v>1096</v>
      </c>
      <c r="K1095" s="220" t="str">
        <f>IF(J1095&lt;&gt;"",VLOOKUP(J1095,PContas!A:B,2,FALSE),"")</f>
        <v>PROVISÃO</v>
      </c>
      <c r="L1095" s="221">
        <f t="shared" si="35"/>
        <v>20</v>
      </c>
      <c r="M1095" s="221" t="str">
        <f t="shared" ca="1" si="36"/>
        <v>ATRASADO</v>
      </c>
    </row>
    <row r="1096" spans="1:13">
      <c r="A1096" s="236">
        <v>41642</v>
      </c>
      <c r="B1096" s="237"/>
      <c r="C1096" s="237" t="s">
        <v>1107</v>
      </c>
      <c r="D1096" s="236">
        <v>41932</v>
      </c>
      <c r="E1096" s="238">
        <v>100</v>
      </c>
      <c r="F1096" s="236"/>
      <c r="G1096" s="238">
        <v>-100</v>
      </c>
      <c r="H1096" s="239" t="s">
        <v>52</v>
      </c>
      <c r="I1096" s="239" t="s">
        <v>2</v>
      </c>
      <c r="J1096" s="239" t="s">
        <v>1096</v>
      </c>
      <c r="K1096" s="220" t="str">
        <f>IF(J1096&lt;&gt;"",VLOOKUP(J1096,PContas!A:B,2,FALSE),"")</f>
        <v>PROVISÃO</v>
      </c>
      <c r="L1096" s="221">
        <f t="shared" si="35"/>
        <v>20</v>
      </c>
      <c r="M1096" s="221" t="str">
        <f t="shared" ca="1" si="36"/>
        <v>ATRASADO</v>
      </c>
    </row>
    <row r="1097" spans="1:13">
      <c r="A1097" s="236">
        <v>41642</v>
      </c>
      <c r="B1097" s="237"/>
      <c r="C1097" s="237" t="s">
        <v>1108</v>
      </c>
      <c r="D1097" s="236">
        <v>41963</v>
      </c>
      <c r="E1097" s="238">
        <v>100</v>
      </c>
      <c r="F1097" s="236"/>
      <c r="G1097" s="238">
        <v>-100</v>
      </c>
      <c r="H1097" s="239" t="s">
        <v>52</v>
      </c>
      <c r="I1097" s="239" t="s">
        <v>2</v>
      </c>
      <c r="J1097" s="239" t="s">
        <v>1096</v>
      </c>
      <c r="K1097" s="220" t="str">
        <f>IF(J1097&lt;&gt;"",VLOOKUP(J1097,PContas!A:B,2,FALSE),"")</f>
        <v>PROVISÃO</v>
      </c>
      <c r="L1097" s="221">
        <f t="shared" si="35"/>
        <v>20</v>
      </c>
      <c r="M1097" s="221" t="str">
        <f t="shared" ca="1" si="36"/>
        <v>ATRASADO</v>
      </c>
    </row>
    <row r="1098" spans="1:13">
      <c r="A1098" s="236">
        <v>41642</v>
      </c>
      <c r="B1098" s="237"/>
      <c r="C1098" s="237" t="s">
        <v>1109</v>
      </c>
      <c r="D1098" s="236">
        <v>41993</v>
      </c>
      <c r="E1098" s="238">
        <v>100</v>
      </c>
      <c r="F1098" s="236"/>
      <c r="G1098" s="238">
        <v>-100</v>
      </c>
      <c r="H1098" s="239" t="s">
        <v>52</v>
      </c>
      <c r="I1098" s="239" t="s">
        <v>2</v>
      </c>
      <c r="J1098" s="239" t="s">
        <v>1096</v>
      </c>
      <c r="K1098" s="220" t="str">
        <f>IF(J1098&lt;&gt;"",VLOOKUP(J1098,PContas!A:B,2,FALSE),"")</f>
        <v>PROVISÃO</v>
      </c>
      <c r="L1098" s="221">
        <f t="shared" si="35"/>
        <v>20</v>
      </c>
      <c r="M1098" s="221" t="str">
        <f t="shared" ca="1" si="36"/>
        <v>ATRASADO</v>
      </c>
    </row>
    <row r="1099" spans="1:13">
      <c r="A1099" s="236">
        <v>41642</v>
      </c>
      <c r="B1099" s="237"/>
      <c r="C1099" s="237" t="s">
        <v>1098</v>
      </c>
      <c r="D1099" s="236">
        <v>41659</v>
      </c>
      <c r="E1099" s="238">
        <v>100</v>
      </c>
      <c r="F1099" s="236"/>
      <c r="G1099" s="238">
        <v>-100</v>
      </c>
      <c r="H1099" s="239" t="s">
        <v>52</v>
      </c>
      <c r="I1099" s="239" t="s">
        <v>2</v>
      </c>
      <c r="J1099" s="239" t="s">
        <v>1097</v>
      </c>
      <c r="K1099" s="220" t="str">
        <f>IF(J1099&lt;&gt;"",VLOOKUP(J1099,PContas!A:B,2,FALSE),"")</f>
        <v>PROVISÃO</v>
      </c>
      <c r="L1099" s="221">
        <f t="shared" si="35"/>
        <v>20</v>
      </c>
      <c r="M1099" s="221" t="str">
        <f t="shared" ca="1" si="36"/>
        <v>ATRASADO</v>
      </c>
    </row>
    <row r="1100" spans="1:13">
      <c r="A1100" s="236">
        <v>41642</v>
      </c>
      <c r="B1100" s="237"/>
      <c r="C1100" s="237" t="s">
        <v>1099</v>
      </c>
      <c r="D1100" s="236">
        <v>41690</v>
      </c>
      <c r="E1100" s="238">
        <v>100</v>
      </c>
      <c r="F1100" s="236"/>
      <c r="G1100" s="238">
        <v>-100</v>
      </c>
      <c r="H1100" s="239" t="s">
        <v>52</v>
      </c>
      <c r="I1100" s="239" t="s">
        <v>2</v>
      </c>
      <c r="J1100" s="239" t="s">
        <v>1097</v>
      </c>
      <c r="K1100" s="220" t="str">
        <f>IF(J1100&lt;&gt;"",VLOOKUP(J1100,PContas!A:B,2,FALSE),"")</f>
        <v>PROVISÃO</v>
      </c>
      <c r="L1100" s="221">
        <f t="shared" si="35"/>
        <v>20</v>
      </c>
      <c r="M1100" s="221" t="str">
        <f t="shared" ca="1" si="36"/>
        <v>ATRASADO</v>
      </c>
    </row>
    <row r="1101" spans="1:13">
      <c r="A1101" s="236">
        <v>41642</v>
      </c>
      <c r="B1101" s="237"/>
      <c r="C1101" s="237" t="s">
        <v>1100</v>
      </c>
      <c r="D1101" s="236">
        <v>41718</v>
      </c>
      <c r="E1101" s="238">
        <v>100</v>
      </c>
      <c r="F1101" s="236"/>
      <c r="G1101" s="238">
        <v>-100</v>
      </c>
      <c r="H1101" s="239" t="s">
        <v>52</v>
      </c>
      <c r="I1101" s="239" t="s">
        <v>2</v>
      </c>
      <c r="J1101" s="239" t="s">
        <v>1097</v>
      </c>
      <c r="K1101" s="220" t="str">
        <f>IF(J1101&lt;&gt;"",VLOOKUP(J1101,PContas!A:B,2,FALSE),"")</f>
        <v>PROVISÃO</v>
      </c>
      <c r="L1101" s="221">
        <f t="shared" si="35"/>
        <v>20</v>
      </c>
      <c r="M1101" s="221" t="str">
        <f t="shared" ca="1" si="36"/>
        <v>ATRASADO</v>
      </c>
    </row>
    <row r="1102" spans="1:13">
      <c r="A1102" s="236">
        <v>41642</v>
      </c>
      <c r="B1102" s="237"/>
      <c r="C1102" s="237" t="s">
        <v>1101</v>
      </c>
      <c r="D1102" s="236">
        <v>41749</v>
      </c>
      <c r="E1102" s="238">
        <v>100</v>
      </c>
      <c r="F1102" s="236"/>
      <c r="G1102" s="238">
        <v>-100</v>
      </c>
      <c r="H1102" s="239" t="s">
        <v>52</v>
      </c>
      <c r="I1102" s="239" t="s">
        <v>2</v>
      </c>
      <c r="J1102" s="239" t="s">
        <v>1097</v>
      </c>
      <c r="K1102" s="220" t="str">
        <f>IF(J1102&lt;&gt;"",VLOOKUP(J1102,PContas!A:B,2,FALSE),"")</f>
        <v>PROVISÃO</v>
      </c>
      <c r="L1102" s="221">
        <f t="shared" si="35"/>
        <v>20</v>
      </c>
      <c r="M1102" s="221" t="str">
        <f t="shared" ca="1" si="36"/>
        <v>ATRASADO</v>
      </c>
    </row>
    <row r="1103" spans="1:13">
      <c r="A1103" s="236">
        <v>41642</v>
      </c>
      <c r="B1103" s="237"/>
      <c r="C1103" s="237" t="s">
        <v>1102</v>
      </c>
      <c r="D1103" s="236">
        <v>41779</v>
      </c>
      <c r="E1103" s="238">
        <v>100</v>
      </c>
      <c r="F1103" s="236"/>
      <c r="G1103" s="238">
        <v>-100</v>
      </c>
      <c r="H1103" s="239" t="s">
        <v>52</v>
      </c>
      <c r="I1103" s="239" t="s">
        <v>2</v>
      </c>
      <c r="J1103" s="239" t="s">
        <v>1097</v>
      </c>
      <c r="K1103" s="220" t="str">
        <f>IF(J1103&lt;&gt;"",VLOOKUP(J1103,PContas!A:B,2,FALSE),"")</f>
        <v>PROVISÃO</v>
      </c>
      <c r="L1103" s="221">
        <f t="shared" si="35"/>
        <v>20</v>
      </c>
      <c r="M1103" s="221" t="str">
        <f t="shared" ca="1" si="36"/>
        <v>ATRASADO</v>
      </c>
    </row>
    <row r="1104" spans="1:13">
      <c r="A1104" s="236">
        <v>41642</v>
      </c>
      <c r="B1104" s="237"/>
      <c r="C1104" s="237" t="s">
        <v>1103</v>
      </c>
      <c r="D1104" s="236">
        <v>41810</v>
      </c>
      <c r="E1104" s="238">
        <v>100</v>
      </c>
      <c r="F1104" s="236"/>
      <c r="G1104" s="238">
        <v>-100</v>
      </c>
      <c r="H1104" s="239" t="s">
        <v>52</v>
      </c>
      <c r="I1104" s="239" t="s">
        <v>2</v>
      </c>
      <c r="J1104" s="239" t="s">
        <v>1097</v>
      </c>
      <c r="K1104" s="220" t="str">
        <f>IF(J1104&lt;&gt;"",VLOOKUP(J1104,PContas!A:B,2,FALSE),"")</f>
        <v>PROVISÃO</v>
      </c>
      <c r="L1104" s="221">
        <f t="shared" si="35"/>
        <v>20</v>
      </c>
      <c r="M1104" s="221" t="str">
        <f t="shared" ca="1" si="36"/>
        <v>ATRASADO</v>
      </c>
    </row>
    <row r="1105" spans="1:13">
      <c r="A1105" s="236">
        <v>41642</v>
      </c>
      <c r="B1105" s="237"/>
      <c r="C1105" s="237" t="s">
        <v>1104</v>
      </c>
      <c r="D1105" s="236">
        <v>41840</v>
      </c>
      <c r="E1105" s="238">
        <v>100</v>
      </c>
      <c r="F1105" s="236"/>
      <c r="G1105" s="238">
        <v>-100</v>
      </c>
      <c r="H1105" s="219" t="s">
        <v>52</v>
      </c>
      <c r="I1105" s="239" t="s">
        <v>2</v>
      </c>
      <c r="J1105" s="239" t="s">
        <v>1097</v>
      </c>
      <c r="K1105" s="220" t="str">
        <f>IF(J1105&lt;&gt;"",VLOOKUP(J1105,PContas!A:B,2,FALSE),"")</f>
        <v>PROVISÃO</v>
      </c>
      <c r="L1105" s="221">
        <f t="shared" si="35"/>
        <v>20</v>
      </c>
      <c r="M1105" s="221" t="str">
        <f t="shared" ca="1" si="36"/>
        <v>ATRASADO</v>
      </c>
    </row>
    <row r="1106" spans="1:13">
      <c r="A1106" s="236">
        <v>41642</v>
      </c>
      <c r="B1106" s="237"/>
      <c r="C1106" s="237" t="s">
        <v>1105</v>
      </c>
      <c r="D1106" s="236">
        <v>41871</v>
      </c>
      <c r="E1106" s="238">
        <v>100</v>
      </c>
      <c r="F1106" s="236"/>
      <c r="G1106" s="238">
        <v>-100</v>
      </c>
      <c r="H1106" s="219" t="s">
        <v>52</v>
      </c>
      <c r="I1106" s="239" t="s">
        <v>2</v>
      </c>
      <c r="J1106" s="239" t="s">
        <v>1097</v>
      </c>
      <c r="K1106" s="220" t="str">
        <f>IF(J1106&lt;&gt;"",VLOOKUP(J1106,PContas!A:B,2,FALSE),"")</f>
        <v>PROVISÃO</v>
      </c>
      <c r="L1106" s="221">
        <f t="shared" si="35"/>
        <v>20</v>
      </c>
      <c r="M1106" s="221" t="str">
        <f t="shared" ca="1" si="36"/>
        <v>ATRASADO</v>
      </c>
    </row>
    <row r="1107" spans="1:13">
      <c r="A1107" s="236">
        <v>41642</v>
      </c>
      <c r="B1107" s="237"/>
      <c r="C1107" s="237" t="s">
        <v>1106</v>
      </c>
      <c r="D1107" s="236">
        <v>41902</v>
      </c>
      <c r="E1107" s="238">
        <v>100</v>
      </c>
      <c r="F1107" s="236"/>
      <c r="G1107" s="238">
        <v>-100</v>
      </c>
      <c r="H1107" s="219" t="s">
        <v>52</v>
      </c>
      <c r="I1107" s="239" t="s">
        <v>2</v>
      </c>
      <c r="J1107" s="239" t="s">
        <v>1097</v>
      </c>
      <c r="K1107" s="220" t="str">
        <f>IF(J1107&lt;&gt;"",VLOOKUP(J1107,PContas!A:B,2,FALSE),"")</f>
        <v>PROVISÃO</v>
      </c>
      <c r="L1107" s="221">
        <f t="shared" si="35"/>
        <v>20</v>
      </c>
      <c r="M1107" s="221" t="str">
        <f t="shared" ca="1" si="36"/>
        <v>ATRASADO</v>
      </c>
    </row>
    <row r="1108" spans="1:13">
      <c r="A1108" s="236">
        <v>41642</v>
      </c>
      <c r="B1108" s="237"/>
      <c r="C1108" s="237" t="s">
        <v>1107</v>
      </c>
      <c r="D1108" s="236">
        <v>41932</v>
      </c>
      <c r="E1108" s="238">
        <v>100</v>
      </c>
      <c r="F1108" s="236"/>
      <c r="G1108" s="238">
        <v>-100</v>
      </c>
      <c r="H1108" s="219" t="s">
        <v>52</v>
      </c>
      <c r="I1108" s="239" t="s">
        <v>2</v>
      </c>
      <c r="J1108" s="239" t="s">
        <v>1097</v>
      </c>
      <c r="K1108" s="220" t="str">
        <f>IF(J1108&lt;&gt;"",VLOOKUP(J1108,PContas!A:B,2,FALSE),"")</f>
        <v>PROVISÃO</v>
      </c>
      <c r="L1108" s="221">
        <f t="shared" si="35"/>
        <v>20</v>
      </c>
      <c r="M1108" s="221" t="str">
        <f t="shared" ca="1" si="36"/>
        <v>ATRASADO</v>
      </c>
    </row>
    <row r="1109" spans="1:13">
      <c r="A1109" s="236">
        <v>41642</v>
      </c>
      <c r="B1109" s="237"/>
      <c r="C1109" s="237" t="s">
        <v>1108</v>
      </c>
      <c r="D1109" s="236">
        <v>41963</v>
      </c>
      <c r="E1109" s="238">
        <v>100</v>
      </c>
      <c r="F1109" s="236"/>
      <c r="G1109" s="238">
        <v>-100</v>
      </c>
      <c r="H1109" s="219" t="s">
        <v>52</v>
      </c>
      <c r="I1109" s="239" t="s">
        <v>2</v>
      </c>
      <c r="J1109" s="239" t="s">
        <v>1097</v>
      </c>
      <c r="K1109" s="220" t="str">
        <f>IF(J1109&lt;&gt;"",VLOOKUP(J1109,PContas!A:B,2,FALSE),"")</f>
        <v>PROVISÃO</v>
      </c>
      <c r="L1109" s="221">
        <f t="shared" si="35"/>
        <v>20</v>
      </c>
      <c r="M1109" s="221" t="str">
        <f t="shared" ca="1" si="36"/>
        <v>ATRASADO</v>
      </c>
    </row>
    <row r="1110" spans="1:13">
      <c r="A1110" s="236">
        <v>41642</v>
      </c>
      <c r="B1110" s="237"/>
      <c r="C1110" s="237" t="s">
        <v>1109</v>
      </c>
      <c r="D1110" s="236">
        <v>41993</v>
      </c>
      <c r="E1110" s="238">
        <v>100</v>
      </c>
      <c r="F1110" s="236"/>
      <c r="G1110" s="238">
        <v>-100</v>
      </c>
      <c r="H1110" s="219" t="s">
        <v>52</v>
      </c>
      <c r="I1110" s="219" t="s">
        <v>2</v>
      </c>
      <c r="J1110" s="219" t="s">
        <v>1097</v>
      </c>
      <c r="K1110" s="220" t="str">
        <f>IF(J1110&lt;&gt;"",VLOOKUP(J1110,PContas!A:B,2,FALSE),"")</f>
        <v>PROVISÃO</v>
      </c>
      <c r="L1110" s="221">
        <f t="shared" si="35"/>
        <v>20</v>
      </c>
      <c r="M1110" s="221" t="str">
        <f t="shared" ca="1" si="36"/>
        <v>ATRASADO</v>
      </c>
    </row>
    <row r="1111" spans="1:13">
      <c r="A1111" s="236">
        <v>41642</v>
      </c>
      <c r="B1111" s="237"/>
      <c r="C1111" s="237" t="s">
        <v>1109</v>
      </c>
      <c r="D1111" s="236">
        <v>42014</v>
      </c>
      <c r="E1111" s="238">
        <v>80</v>
      </c>
      <c r="F1111" s="236"/>
      <c r="G1111" s="238">
        <v>-80</v>
      </c>
      <c r="H1111" s="219" t="s">
        <v>52</v>
      </c>
      <c r="I1111" s="219" t="s">
        <v>1111</v>
      </c>
      <c r="J1111" s="219" t="s">
        <v>16</v>
      </c>
      <c r="K1111" s="220" t="str">
        <f>IF(J1111&lt;&gt;"",VLOOKUP(J1111,PContas!A:B,2,FALSE),"")</f>
        <v>MORADIA</v>
      </c>
      <c r="L1111" s="221">
        <f t="shared" si="35"/>
        <v>10</v>
      </c>
      <c r="M1111" s="221" t="str">
        <f t="shared" ca="1" si="36"/>
        <v>ATRASADO</v>
      </c>
    </row>
    <row r="1112" spans="1:13">
      <c r="A1112" s="236">
        <v>41643</v>
      </c>
      <c r="B1112" s="237"/>
      <c r="C1112" s="237"/>
      <c r="D1112" s="236">
        <v>41659</v>
      </c>
      <c r="E1112" s="238">
        <v>14.13</v>
      </c>
      <c r="F1112" s="236">
        <v>41643</v>
      </c>
      <c r="G1112" s="238">
        <v>-14.13</v>
      </c>
      <c r="H1112" s="239" t="s">
        <v>52</v>
      </c>
      <c r="I1112" s="239" t="s">
        <v>2</v>
      </c>
      <c r="J1112" s="239" t="s">
        <v>488</v>
      </c>
      <c r="K1112" s="220" t="str">
        <f>IF(J1112&lt;&gt;"",VLOOKUP(J1112,PContas!A:B,2,FALSE),"")</f>
        <v>ALIMENTAÇÃO</v>
      </c>
      <c r="L1112" s="221">
        <f t="shared" si="35"/>
        <v>20</v>
      </c>
      <c r="M1112" s="221" t="str">
        <f t="shared" ca="1" si="36"/>
        <v>2014/01</v>
      </c>
    </row>
    <row r="1113" spans="1:13">
      <c r="A1113" s="216">
        <v>41644</v>
      </c>
      <c r="B1113" s="217"/>
      <c r="C1113" s="217"/>
      <c r="D1113" s="236">
        <v>41659</v>
      </c>
      <c r="E1113" s="218">
        <v>18.399999999999999</v>
      </c>
      <c r="F1113" s="216">
        <v>41644</v>
      </c>
      <c r="G1113" s="218">
        <v>-18.399999999999999</v>
      </c>
      <c r="H1113" s="219" t="s">
        <v>52</v>
      </c>
      <c r="I1113" s="239" t="s">
        <v>2</v>
      </c>
      <c r="J1113" s="219" t="s">
        <v>488</v>
      </c>
      <c r="K1113" s="220" t="str">
        <f>IF(J1113&lt;&gt;"",VLOOKUP(J1113,PContas!A:B,2,FALSE),"")</f>
        <v>ALIMENTAÇÃO</v>
      </c>
      <c r="L1113" s="221">
        <f t="shared" si="35"/>
        <v>20</v>
      </c>
      <c r="M1113" s="221" t="str">
        <f t="shared" ca="1" si="36"/>
        <v>2014/01</v>
      </c>
    </row>
    <row r="1114" spans="1:13">
      <c r="A1114" s="216">
        <v>41645</v>
      </c>
      <c r="B1114" s="217"/>
      <c r="C1114" s="217"/>
      <c r="D1114" s="236">
        <v>41659</v>
      </c>
      <c r="E1114" s="218">
        <v>52</v>
      </c>
      <c r="F1114" s="216">
        <v>41645</v>
      </c>
      <c r="G1114" s="218">
        <v>-52</v>
      </c>
      <c r="H1114" s="219" t="s">
        <v>52</v>
      </c>
      <c r="I1114" s="219" t="s">
        <v>2</v>
      </c>
      <c r="J1114" s="219" t="s">
        <v>488</v>
      </c>
      <c r="K1114" s="220" t="str">
        <f>IF(J1114&lt;&gt;"",VLOOKUP(J1114,PContas!A:B,2,FALSE),"")</f>
        <v>ALIMENTAÇÃO</v>
      </c>
      <c r="L1114" s="221">
        <f t="shared" si="35"/>
        <v>20</v>
      </c>
      <c r="M1114" s="221" t="str">
        <f t="shared" ca="1" si="36"/>
        <v>2014/01</v>
      </c>
    </row>
    <row r="1115" spans="1:13">
      <c r="A1115" s="236">
        <v>41647</v>
      </c>
      <c r="B1115" s="237"/>
      <c r="C1115" s="237"/>
      <c r="D1115" s="236">
        <v>41659</v>
      </c>
      <c r="E1115" s="238">
        <v>4.08</v>
      </c>
      <c r="F1115" s="236">
        <v>41647</v>
      </c>
      <c r="G1115" s="238">
        <v>-4.08</v>
      </c>
      <c r="H1115" s="239" t="s">
        <v>52</v>
      </c>
      <c r="I1115" s="239" t="s">
        <v>2</v>
      </c>
      <c r="J1115" s="239" t="s">
        <v>488</v>
      </c>
      <c r="K1115" s="220" t="str">
        <f>IF(J1115&lt;&gt;"",VLOOKUP(J1115,PContas!A:B,2,FALSE),"")</f>
        <v>ALIMENTAÇÃO</v>
      </c>
      <c r="L1115" s="221">
        <f t="shared" si="35"/>
        <v>20</v>
      </c>
      <c r="M1115" s="221" t="str">
        <f t="shared" ca="1" si="36"/>
        <v>2014/01</v>
      </c>
    </row>
    <row r="1116" spans="1:13">
      <c r="A1116" s="236">
        <v>41648</v>
      </c>
      <c r="B1116" s="237"/>
      <c r="C1116" s="237"/>
      <c r="D1116" s="236">
        <v>41659</v>
      </c>
      <c r="E1116" s="238">
        <v>4</v>
      </c>
      <c r="F1116" s="236">
        <v>41648</v>
      </c>
      <c r="G1116" s="238">
        <v>-4</v>
      </c>
      <c r="H1116" s="239" t="s">
        <v>52</v>
      </c>
      <c r="I1116" s="239" t="s">
        <v>2</v>
      </c>
      <c r="J1116" s="239" t="s">
        <v>488</v>
      </c>
      <c r="K1116" s="220" t="str">
        <f>IF(J1116&lt;&gt;"",VLOOKUP(J1116,PContas!A:B,2,FALSE),"")</f>
        <v>ALIMENTAÇÃO</v>
      </c>
      <c r="L1116" s="221">
        <f t="shared" si="35"/>
        <v>20</v>
      </c>
      <c r="M1116" s="221" t="str">
        <f t="shared" ca="1" si="36"/>
        <v>2014/01</v>
      </c>
    </row>
    <row r="1117" spans="1:13">
      <c r="A1117" s="236">
        <v>41648</v>
      </c>
      <c r="B1117" s="237"/>
      <c r="C1117" s="237"/>
      <c r="D1117" s="236">
        <v>41659</v>
      </c>
      <c r="E1117" s="238">
        <v>19.12</v>
      </c>
      <c r="F1117" s="236">
        <v>41648</v>
      </c>
      <c r="G1117" s="238">
        <v>-19.12</v>
      </c>
      <c r="H1117" s="239" t="s">
        <v>52</v>
      </c>
      <c r="I1117" s="239" t="s">
        <v>2</v>
      </c>
      <c r="J1117" s="239" t="s">
        <v>488</v>
      </c>
      <c r="K1117" s="220" t="str">
        <f>IF(J1117&lt;&gt;"",VLOOKUP(J1117,PContas!A:B,2,FALSE),"")</f>
        <v>ALIMENTAÇÃO</v>
      </c>
      <c r="L1117" s="221">
        <f t="shared" si="35"/>
        <v>20</v>
      </c>
      <c r="M1117" s="221" t="str">
        <f t="shared" ca="1" si="36"/>
        <v>2014/01</v>
      </c>
    </row>
    <row r="1118" spans="1:13">
      <c r="A1118" s="236">
        <v>41649</v>
      </c>
      <c r="B1118" s="237" t="s">
        <v>954</v>
      </c>
      <c r="C1118" s="237"/>
      <c r="D1118" s="236">
        <v>41628</v>
      </c>
      <c r="E1118" s="238">
        <v>100</v>
      </c>
      <c r="F1118" s="236">
        <v>41627</v>
      </c>
      <c r="G1118" s="238">
        <v>100</v>
      </c>
      <c r="H1118" s="239" t="s">
        <v>71</v>
      </c>
      <c r="I1118" s="239" t="s">
        <v>2</v>
      </c>
      <c r="J1118" s="239" t="s">
        <v>57</v>
      </c>
      <c r="K1118" s="220" t="str">
        <f>IF(J1118&lt;&gt;"",VLOOKUP(J1118,PContas!A:B,2,FALSE),"")</f>
        <v>CLIENTES</v>
      </c>
      <c r="L1118" s="221">
        <f t="shared" si="35"/>
        <v>20</v>
      </c>
      <c r="M1118" s="221" t="str">
        <f t="shared" ref="M1118:M1149" ca="1" si="37">IF(D1118&lt;&gt;"",IF(F1118="",IF(DAYS360(D1118,NOW())&gt;0,"ATRASADO",YEAR(D1118)&amp;"/"&amp;CHOOSE(MONTH(D1118),"01","02","03","04","05","06","07","08","09","10","11","12")),YEAR(D1118)&amp;"/"&amp;CHOOSE(MONTH(D1118),"01","02","03","04","05","06","07","08","09","10","11","12")),"")</f>
        <v>2013/12</v>
      </c>
    </row>
    <row r="1119" spans="1:13">
      <c r="A1119" s="236">
        <v>41649</v>
      </c>
      <c r="B1119" s="217" t="s">
        <v>1401</v>
      </c>
      <c r="C1119" s="237"/>
      <c r="D1119" s="236">
        <v>41628</v>
      </c>
      <c r="E1119" s="238">
        <v>10</v>
      </c>
      <c r="F1119" s="236">
        <v>41704</v>
      </c>
      <c r="G1119" s="238">
        <v>10</v>
      </c>
      <c r="H1119" s="239" t="s">
        <v>71</v>
      </c>
      <c r="I1119" s="239" t="s">
        <v>2</v>
      </c>
      <c r="J1119" s="239" t="s">
        <v>58</v>
      </c>
      <c r="K1119" s="220" t="str">
        <f>IF(J1119&lt;&gt;"",VLOOKUP(J1119,PContas!A:B,2,FALSE),"")</f>
        <v>CLIENTES</v>
      </c>
      <c r="L1119" s="221">
        <f t="shared" si="35"/>
        <v>20</v>
      </c>
      <c r="M1119" s="221" t="str">
        <f t="shared" ca="1" si="37"/>
        <v>2013/12</v>
      </c>
    </row>
    <row r="1120" spans="1:13">
      <c r="A1120" s="236">
        <v>41649</v>
      </c>
      <c r="B1120" s="237"/>
      <c r="C1120" s="237"/>
      <c r="D1120" s="236">
        <v>41659</v>
      </c>
      <c r="E1120" s="238">
        <v>42.15</v>
      </c>
      <c r="F1120" s="236">
        <v>41649</v>
      </c>
      <c r="G1120" s="238">
        <v>-42.15</v>
      </c>
      <c r="H1120" s="239" t="s">
        <v>52</v>
      </c>
      <c r="I1120" s="239" t="s">
        <v>2</v>
      </c>
      <c r="J1120" s="239" t="s">
        <v>488</v>
      </c>
      <c r="K1120" s="220" t="str">
        <f>IF(J1120&lt;&gt;"",VLOOKUP(J1120,PContas!A:B,2,FALSE),"")</f>
        <v>ALIMENTAÇÃO</v>
      </c>
      <c r="L1120" s="221">
        <f t="shared" si="35"/>
        <v>20</v>
      </c>
      <c r="M1120" s="221" t="str">
        <f t="shared" ca="1" si="37"/>
        <v>2014/01</v>
      </c>
    </row>
    <row r="1121" spans="1:13">
      <c r="A1121" s="236">
        <v>41651</v>
      </c>
      <c r="B1121" s="237"/>
      <c r="C1121" s="237"/>
      <c r="D1121" s="236">
        <v>41659</v>
      </c>
      <c r="E1121" s="238">
        <v>38.979999999999997</v>
      </c>
      <c r="F1121" s="236">
        <v>41651</v>
      </c>
      <c r="G1121" s="238">
        <v>-38.979999999999997</v>
      </c>
      <c r="H1121" s="239" t="s">
        <v>52</v>
      </c>
      <c r="I1121" s="239" t="s">
        <v>2</v>
      </c>
      <c r="J1121" s="239" t="s">
        <v>488</v>
      </c>
      <c r="K1121" s="220" t="str">
        <f>IF(J1121&lt;&gt;"",VLOOKUP(J1121,PContas!A:B,2,FALSE),"")</f>
        <v>ALIMENTAÇÃO</v>
      </c>
      <c r="L1121" s="221">
        <f t="shared" si="35"/>
        <v>20</v>
      </c>
      <c r="M1121" s="221" t="str">
        <f t="shared" ca="1" si="37"/>
        <v>2014/01</v>
      </c>
    </row>
    <row r="1122" spans="1:13">
      <c r="A1122" s="236">
        <v>41653</v>
      </c>
      <c r="B1122" s="237"/>
      <c r="C1122" s="237"/>
      <c r="D1122" s="236">
        <v>41659</v>
      </c>
      <c r="E1122" s="238">
        <v>20</v>
      </c>
      <c r="F1122" s="236">
        <v>41653</v>
      </c>
      <c r="G1122" s="238">
        <v>-20</v>
      </c>
      <c r="H1122" s="239" t="s">
        <v>52</v>
      </c>
      <c r="I1122" s="239" t="s">
        <v>2</v>
      </c>
      <c r="J1122" s="239" t="s">
        <v>1096</v>
      </c>
      <c r="K1122" s="220" t="str">
        <f>IF(J1122&lt;&gt;"",VLOOKUP(J1122,PContas!A:B,2,FALSE),"")</f>
        <v>PROVISÃO</v>
      </c>
      <c r="L1122" s="221">
        <f t="shared" si="35"/>
        <v>20</v>
      </c>
      <c r="M1122" s="221" t="str">
        <f t="shared" ca="1" si="37"/>
        <v>2014/01</v>
      </c>
    </row>
    <row r="1123" spans="1:13">
      <c r="A1123" s="236">
        <v>41656</v>
      </c>
      <c r="B1123" s="237"/>
      <c r="C1123" s="237"/>
      <c r="D1123" s="236">
        <v>41659</v>
      </c>
      <c r="E1123" s="238">
        <v>10</v>
      </c>
      <c r="F1123" s="236">
        <v>41656</v>
      </c>
      <c r="G1123" s="238">
        <v>-10</v>
      </c>
      <c r="H1123" s="239" t="s">
        <v>52</v>
      </c>
      <c r="I1123" s="239" t="s">
        <v>2</v>
      </c>
      <c r="J1123" s="239" t="s">
        <v>1096</v>
      </c>
      <c r="K1123" s="220" t="str">
        <f>IF(J1123&lt;&gt;"",VLOOKUP(J1123,PContas!A:B,2,FALSE),"")</f>
        <v>PROVISÃO</v>
      </c>
      <c r="L1123" s="221">
        <f t="shared" si="35"/>
        <v>20</v>
      </c>
      <c r="M1123" s="221" t="str">
        <f t="shared" ca="1" si="37"/>
        <v>2014/01</v>
      </c>
    </row>
    <row r="1124" spans="1:13">
      <c r="A1124" s="236">
        <v>41659</v>
      </c>
      <c r="B1124" s="237" t="s">
        <v>1210</v>
      </c>
      <c r="C1124" s="237"/>
      <c r="D1124" s="236">
        <v>41659</v>
      </c>
      <c r="E1124" s="238">
        <v>100</v>
      </c>
      <c r="F1124" s="236">
        <v>41659</v>
      </c>
      <c r="G1124" s="238">
        <v>100</v>
      </c>
      <c r="H1124" s="239" t="s">
        <v>71</v>
      </c>
      <c r="I1124" s="239" t="s">
        <v>2</v>
      </c>
      <c r="J1124" s="239" t="s">
        <v>57</v>
      </c>
      <c r="K1124" s="220" t="str">
        <f>IF(J1124&lt;&gt;"",VLOOKUP(J1124,PContas!A:B,2,FALSE),"")</f>
        <v>CLIENTES</v>
      </c>
      <c r="L1124" s="221">
        <f t="shared" si="35"/>
        <v>20</v>
      </c>
      <c r="M1124" s="221" t="str">
        <f t="shared" ca="1" si="37"/>
        <v>2014/01</v>
      </c>
    </row>
    <row r="1125" spans="1:13">
      <c r="A1125" s="236">
        <v>41660</v>
      </c>
      <c r="B1125" s="237"/>
      <c r="C1125" s="237"/>
      <c r="D1125" s="236">
        <v>41659</v>
      </c>
      <c r="E1125" s="238">
        <v>20</v>
      </c>
      <c r="F1125" s="236">
        <v>41660</v>
      </c>
      <c r="G1125" s="238">
        <v>-20</v>
      </c>
      <c r="H1125" s="239" t="s">
        <v>52</v>
      </c>
      <c r="I1125" s="239" t="s">
        <v>2</v>
      </c>
      <c r="J1125" s="239" t="s">
        <v>1096</v>
      </c>
      <c r="K1125" s="220" t="str">
        <f>IF(J1125&lt;&gt;"",VLOOKUP(J1125,PContas!A:B,2,FALSE),"")</f>
        <v>PROVISÃO</v>
      </c>
      <c r="L1125" s="221">
        <f t="shared" si="35"/>
        <v>20</v>
      </c>
      <c r="M1125" s="221" t="str">
        <f t="shared" ca="1" si="37"/>
        <v>2014/01</v>
      </c>
    </row>
    <row r="1126" spans="1:13">
      <c r="A1126" s="236">
        <v>41663</v>
      </c>
      <c r="B1126" s="237"/>
      <c r="C1126" s="237"/>
      <c r="D1126" s="236">
        <v>41659</v>
      </c>
      <c r="E1126" s="238">
        <v>7</v>
      </c>
      <c r="F1126" s="236">
        <v>41663</v>
      </c>
      <c r="G1126" s="238">
        <v>-7</v>
      </c>
      <c r="H1126" s="239" t="s">
        <v>52</v>
      </c>
      <c r="I1126" s="239" t="s">
        <v>2</v>
      </c>
      <c r="J1126" s="239" t="s">
        <v>1096</v>
      </c>
      <c r="K1126" s="220" t="str">
        <f>IF(J1126&lt;&gt;"",VLOOKUP(J1126,PContas!A:B,2,FALSE),"")</f>
        <v>PROVISÃO</v>
      </c>
      <c r="L1126" s="221">
        <f t="shared" si="35"/>
        <v>20</v>
      </c>
      <c r="M1126" s="221" t="str">
        <f t="shared" ca="1" si="37"/>
        <v>2014/01</v>
      </c>
    </row>
    <row r="1127" spans="1:13">
      <c r="A1127" s="236">
        <v>41668</v>
      </c>
      <c r="B1127" s="237"/>
      <c r="C1127" s="237"/>
      <c r="D1127" s="236">
        <v>41659</v>
      </c>
      <c r="E1127" s="238">
        <v>6.8</v>
      </c>
      <c r="F1127" s="236">
        <v>41668</v>
      </c>
      <c r="G1127" s="238">
        <v>-6.8</v>
      </c>
      <c r="H1127" s="239" t="s">
        <v>52</v>
      </c>
      <c r="I1127" s="239" t="s">
        <v>2</v>
      </c>
      <c r="J1127" s="239" t="s">
        <v>1096</v>
      </c>
      <c r="K1127" s="220" t="str">
        <f>IF(J1127&lt;&gt;"",VLOOKUP(J1127,PContas!A:B,2,FALSE),"")</f>
        <v>PROVISÃO</v>
      </c>
      <c r="L1127" s="221">
        <f t="shared" si="35"/>
        <v>20</v>
      </c>
      <c r="M1127" s="221" t="str">
        <f t="shared" ca="1" si="37"/>
        <v>2014/01</v>
      </c>
    </row>
    <row r="1128" spans="1:13">
      <c r="A1128" s="236">
        <v>41669</v>
      </c>
      <c r="B1128" s="237"/>
      <c r="C1128" s="237"/>
      <c r="D1128" s="236">
        <v>41659</v>
      </c>
      <c r="E1128" s="238">
        <v>20</v>
      </c>
      <c r="F1128" s="236">
        <v>41669</v>
      </c>
      <c r="G1128" s="238">
        <v>-20</v>
      </c>
      <c r="H1128" s="239" t="s">
        <v>52</v>
      </c>
      <c r="I1128" s="239" t="s">
        <v>2</v>
      </c>
      <c r="J1128" s="239" t="s">
        <v>1096</v>
      </c>
      <c r="K1128" s="220" t="str">
        <f>IF(J1128&lt;&gt;"",VLOOKUP(J1128,PContas!A:B,2,FALSE),"")</f>
        <v>PROVISÃO</v>
      </c>
      <c r="L1128" s="221">
        <f t="shared" si="35"/>
        <v>20</v>
      </c>
      <c r="M1128" s="221" t="str">
        <f t="shared" ca="1" si="37"/>
        <v>2014/01</v>
      </c>
    </row>
    <row r="1129" spans="1:13">
      <c r="A1129" s="236">
        <v>41677</v>
      </c>
      <c r="B1129" s="237" t="s">
        <v>1207</v>
      </c>
      <c r="C1129" s="237"/>
      <c r="D1129" s="236">
        <v>41677</v>
      </c>
      <c r="E1129" s="238">
        <v>150</v>
      </c>
      <c r="F1129" s="236">
        <v>41692</v>
      </c>
      <c r="G1129" s="238">
        <v>150</v>
      </c>
      <c r="H1129" s="239" t="s">
        <v>71</v>
      </c>
      <c r="I1129" s="239" t="s">
        <v>2</v>
      </c>
      <c r="J1129" s="239" t="s">
        <v>80</v>
      </c>
      <c r="K1129" s="220" t="str">
        <f>IF(J1129&lt;&gt;"",VLOOKUP(J1129,PContas!A:B,2,FALSE),"")</f>
        <v>CLIENTES</v>
      </c>
      <c r="L1129" s="221">
        <f t="shared" si="35"/>
        <v>7</v>
      </c>
      <c r="M1129" s="221" t="str">
        <f t="shared" ca="1" si="37"/>
        <v>2014/02</v>
      </c>
    </row>
    <row r="1130" spans="1:13">
      <c r="A1130" s="236">
        <v>41680</v>
      </c>
      <c r="B1130" s="237"/>
      <c r="C1130" s="237"/>
      <c r="D1130" s="236">
        <v>41649</v>
      </c>
      <c r="E1130" s="238">
        <v>3.43</v>
      </c>
      <c r="F1130" s="236"/>
      <c r="G1130" s="238">
        <v>-3.43</v>
      </c>
      <c r="H1130" s="239" t="s">
        <v>52</v>
      </c>
      <c r="I1130" s="239" t="s">
        <v>1111</v>
      </c>
      <c r="J1130" s="239" t="s">
        <v>92</v>
      </c>
      <c r="K1130" s="220" t="str">
        <f>IF(J1130&lt;&gt;"",VLOOKUP(J1130,PContas!A:B,2,FALSE),"")</f>
        <v>NET</v>
      </c>
      <c r="L1130" s="221">
        <f t="shared" si="35"/>
        <v>10</v>
      </c>
      <c r="M1130" s="221" t="str">
        <f t="shared" ca="1" si="37"/>
        <v>ATRASADO</v>
      </c>
    </row>
    <row r="1131" spans="1:13">
      <c r="A1131" s="236">
        <v>41680</v>
      </c>
      <c r="B1131" s="237"/>
      <c r="C1131" s="237"/>
      <c r="D1131" s="236">
        <v>41649</v>
      </c>
      <c r="E1131" s="238">
        <v>56.25</v>
      </c>
      <c r="F1131" s="236"/>
      <c r="G1131" s="238">
        <v>-56.25</v>
      </c>
      <c r="H1131" s="239" t="s">
        <v>52</v>
      </c>
      <c r="I1131" s="239" t="s">
        <v>1111</v>
      </c>
      <c r="J1131" s="239" t="s">
        <v>10</v>
      </c>
      <c r="K1131" s="220" t="str">
        <f>IF(J1131&lt;&gt;"",VLOOKUP(J1131,PContas!A:B,2,FALSE),"")</f>
        <v>NET</v>
      </c>
      <c r="L1131" s="221">
        <f t="shared" si="35"/>
        <v>10</v>
      </c>
      <c r="M1131" s="221" t="str">
        <f t="shared" ca="1" si="37"/>
        <v>ATRASADO</v>
      </c>
    </row>
    <row r="1132" spans="1:13">
      <c r="A1132" s="236">
        <v>41680</v>
      </c>
      <c r="B1132" s="237" t="s">
        <v>1200</v>
      </c>
      <c r="C1132" s="237"/>
      <c r="D1132" s="236">
        <v>41680</v>
      </c>
      <c r="E1132" s="238">
        <v>150</v>
      </c>
      <c r="F1132" s="236">
        <v>41680</v>
      </c>
      <c r="G1132" s="238">
        <v>150</v>
      </c>
      <c r="H1132" s="239" t="s">
        <v>71</v>
      </c>
      <c r="I1132" s="239" t="s">
        <v>2</v>
      </c>
      <c r="J1132" s="239" t="s">
        <v>1201</v>
      </c>
      <c r="K1132" s="220" t="str">
        <f>IF(J1132&lt;&gt;"",VLOOKUP(J1132,PContas!A:B,2,FALSE),"")</f>
        <v>CLIENTES</v>
      </c>
      <c r="L1132" s="221">
        <f t="shared" si="35"/>
        <v>10</v>
      </c>
      <c r="M1132" s="221" t="str">
        <f t="shared" ca="1" si="37"/>
        <v>2014/02</v>
      </c>
    </row>
    <row r="1133" spans="1:13">
      <c r="A1133" s="236">
        <v>41684</v>
      </c>
      <c r="B1133" s="237"/>
      <c r="C1133" s="237"/>
      <c r="D1133" s="236">
        <v>41690</v>
      </c>
      <c r="E1133" s="238">
        <v>13.36</v>
      </c>
      <c r="F1133" s="236">
        <v>41684</v>
      </c>
      <c r="G1133" s="238">
        <v>-13.36</v>
      </c>
      <c r="H1133" s="239" t="s">
        <v>52</v>
      </c>
      <c r="I1133" s="239" t="s">
        <v>2</v>
      </c>
      <c r="J1133" s="239" t="s">
        <v>3</v>
      </c>
      <c r="K1133" s="220" t="str">
        <f>IF(J1133&lt;&gt;"",VLOOKUP(J1133,PContas!A:B,2,FALSE),"")</f>
        <v>ALIMENTAÇÃO</v>
      </c>
      <c r="L1133" s="221">
        <f t="shared" si="35"/>
        <v>20</v>
      </c>
      <c r="M1133" s="221" t="str">
        <f t="shared" ca="1" si="37"/>
        <v>2014/02</v>
      </c>
    </row>
    <row r="1134" spans="1:13">
      <c r="A1134" s="236">
        <v>41687</v>
      </c>
      <c r="B1134" s="237"/>
      <c r="C1134" s="237"/>
      <c r="D1134" s="236">
        <v>41690</v>
      </c>
      <c r="E1134" s="238">
        <v>6</v>
      </c>
      <c r="F1134" s="236">
        <v>41687</v>
      </c>
      <c r="G1134" s="238">
        <v>-6</v>
      </c>
      <c r="H1134" s="239" t="s">
        <v>52</v>
      </c>
      <c r="I1134" s="239" t="s">
        <v>2</v>
      </c>
      <c r="J1134" s="239" t="s">
        <v>488</v>
      </c>
      <c r="K1134" s="220" t="str">
        <f>IF(J1134&lt;&gt;"",VLOOKUP(J1134,PContas!A:B,2,FALSE),"")</f>
        <v>ALIMENTAÇÃO</v>
      </c>
      <c r="L1134" s="221">
        <f t="shared" si="35"/>
        <v>20</v>
      </c>
      <c r="M1134" s="221" t="str">
        <f t="shared" ca="1" si="37"/>
        <v>2014/02</v>
      </c>
    </row>
    <row r="1135" spans="1:13">
      <c r="A1135" s="236">
        <v>41687</v>
      </c>
      <c r="B1135" s="237" t="s">
        <v>1204</v>
      </c>
      <c r="C1135" s="237" t="s">
        <v>1205</v>
      </c>
      <c r="D1135" s="236">
        <v>41691</v>
      </c>
      <c r="E1135" s="238">
        <v>2175</v>
      </c>
      <c r="F1135" s="236">
        <v>41691</v>
      </c>
      <c r="G1135" s="238">
        <v>2175</v>
      </c>
      <c r="H1135" s="219" t="s">
        <v>71</v>
      </c>
      <c r="I1135" s="219" t="s">
        <v>4</v>
      </c>
      <c r="J1135" s="219" t="s">
        <v>62</v>
      </c>
      <c r="K1135" s="220" t="str">
        <f>IF(J1135&lt;&gt;"",VLOOKUP(J1135,PContas!A:B,2,FALSE),"")</f>
        <v>CLIENTES</v>
      </c>
      <c r="L1135" s="221">
        <f t="shared" si="35"/>
        <v>21</v>
      </c>
      <c r="M1135" s="221" t="str">
        <f t="shared" ca="1" si="37"/>
        <v>2014/02</v>
      </c>
    </row>
    <row r="1136" spans="1:13">
      <c r="A1136" s="236">
        <v>41687</v>
      </c>
      <c r="B1136" s="237" t="s">
        <v>1204</v>
      </c>
      <c r="C1136" s="237" t="s">
        <v>1206</v>
      </c>
      <c r="D1136" s="236">
        <v>41718</v>
      </c>
      <c r="E1136" s="238">
        <v>2175</v>
      </c>
      <c r="F1136" s="236"/>
      <c r="G1136" s="238">
        <v>0</v>
      </c>
      <c r="H1136" s="219" t="s">
        <v>71</v>
      </c>
      <c r="I1136" s="219" t="s">
        <v>4</v>
      </c>
      <c r="J1136" s="219" t="s">
        <v>62</v>
      </c>
      <c r="K1136" s="220" t="str">
        <f>IF(J1136&lt;&gt;"",VLOOKUP(J1136,PContas!A:B,2,FALSE),"")</f>
        <v>CLIENTES</v>
      </c>
      <c r="L1136" s="221">
        <f t="shared" si="35"/>
        <v>20</v>
      </c>
      <c r="M1136" s="221" t="str">
        <f t="shared" ca="1" si="37"/>
        <v>ATRASADO</v>
      </c>
    </row>
    <row r="1137" spans="1:13">
      <c r="A1137" s="236">
        <v>41688</v>
      </c>
      <c r="B1137" s="237"/>
      <c r="C1137" s="237"/>
      <c r="D1137" s="236">
        <v>41690</v>
      </c>
      <c r="E1137" s="238">
        <v>2</v>
      </c>
      <c r="F1137" s="236">
        <v>41688</v>
      </c>
      <c r="G1137" s="238">
        <v>-2</v>
      </c>
      <c r="H1137" s="219" t="s">
        <v>52</v>
      </c>
      <c r="I1137" s="219" t="s">
        <v>2</v>
      </c>
      <c r="J1137" s="219" t="s">
        <v>488</v>
      </c>
      <c r="K1137" s="220" t="str">
        <f>IF(J1137&lt;&gt;"",VLOOKUP(J1137,PContas!A:B,2,FALSE),"")</f>
        <v>ALIMENTAÇÃO</v>
      </c>
      <c r="L1137" s="221">
        <f t="shared" si="35"/>
        <v>20</v>
      </c>
      <c r="M1137" s="221" t="str">
        <f t="shared" ca="1" si="37"/>
        <v>2014/02</v>
      </c>
    </row>
    <row r="1138" spans="1:13">
      <c r="A1138" s="236">
        <v>41690</v>
      </c>
      <c r="B1138" s="237" t="s">
        <v>1211</v>
      </c>
      <c r="C1138" s="237"/>
      <c r="D1138" s="236">
        <v>41690</v>
      </c>
      <c r="E1138" s="238">
        <v>100</v>
      </c>
      <c r="F1138" s="236">
        <v>41690</v>
      </c>
      <c r="G1138" s="238">
        <v>100</v>
      </c>
      <c r="H1138" s="239" t="s">
        <v>71</v>
      </c>
      <c r="I1138" s="239" t="s">
        <v>2</v>
      </c>
      <c r="J1138" s="239" t="s">
        <v>57</v>
      </c>
      <c r="K1138" s="220" t="str">
        <f>IF(J1138&lt;&gt;"",VLOOKUP(J1138,PContas!A:B,2,FALSE),"")</f>
        <v>CLIENTES</v>
      </c>
      <c r="L1138" s="221">
        <f t="shared" si="35"/>
        <v>20</v>
      </c>
      <c r="M1138" s="221" t="str">
        <f t="shared" ca="1" si="37"/>
        <v>2014/02</v>
      </c>
    </row>
    <row r="1139" spans="1:13">
      <c r="A1139" s="236">
        <v>41691</v>
      </c>
      <c r="B1139" s="237" t="s">
        <v>1208</v>
      </c>
      <c r="C1139" s="237"/>
      <c r="D1139" s="236">
        <v>41691</v>
      </c>
      <c r="E1139" s="238">
        <v>100</v>
      </c>
      <c r="F1139" s="236">
        <v>41692</v>
      </c>
      <c r="G1139" s="238">
        <v>100</v>
      </c>
      <c r="H1139" s="239" t="s">
        <v>71</v>
      </c>
      <c r="I1139" s="239" t="s">
        <v>2</v>
      </c>
      <c r="J1139" s="239" t="s">
        <v>80</v>
      </c>
      <c r="K1139" s="220" t="str">
        <f>IF(J1139&lt;&gt;"",VLOOKUP(J1139,PContas!A:B,2,FALSE),"")</f>
        <v>CLIENTES</v>
      </c>
      <c r="L1139" s="221">
        <f t="shared" si="35"/>
        <v>21</v>
      </c>
      <c r="M1139" s="221" t="str">
        <f t="shared" ca="1" si="37"/>
        <v>2014/02</v>
      </c>
    </row>
    <row r="1140" spans="1:13">
      <c r="A1140" s="236">
        <v>41691</v>
      </c>
      <c r="B1140" s="237" t="s">
        <v>1209</v>
      </c>
      <c r="C1140" s="237"/>
      <c r="D1140" s="236">
        <v>41691</v>
      </c>
      <c r="E1140" s="238">
        <v>350</v>
      </c>
      <c r="F1140" s="236">
        <v>41692</v>
      </c>
      <c r="G1140" s="238">
        <v>350</v>
      </c>
      <c r="H1140" s="239" t="s">
        <v>71</v>
      </c>
      <c r="I1140" s="239" t="s">
        <v>2</v>
      </c>
      <c r="J1140" s="239" t="s">
        <v>80</v>
      </c>
      <c r="K1140" s="220" t="str">
        <f>IF(J1140&lt;&gt;"",VLOOKUP(J1140,PContas!A:B,2,FALSE),"")</f>
        <v>CLIENTES</v>
      </c>
      <c r="L1140" s="221">
        <f t="shared" si="35"/>
        <v>21</v>
      </c>
      <c r="M1140" s="221" t="str">
        <f t="shared" ca="1" si="37"/>
        <v>2014/02</v>
      </c>
    </row>
    <row r="1141" spans="1:13">
      <c r="A1141" s="236">
        <v>41692</v>
      </c>
      <c r="B1141" s="237"/>
      <c r="C1141" s="237"/>
      <c r="D1141" s="236">
        <v>41690</v>
      </c>
      <c r="E1141" s="238">
        <v>22.24</v>
      </c>
      <c r="F1141" s="236">
        <v>41692</v>
      </c>
      <c r="G1141" s="238">
        <v>-22.24</v>
      </c>
      <c r="H1141" s="239" t="s">
        <v>52</v>
      </c>
      <c r="I1141" s="239" t="s">
        <v>2</v>
      </c>
      <c r="J1141" s="239" t="s">
        <v>488</v>
      </c>
      <c r="K1141" s="220" t="str">
        <f>IF(J1141&lt;&gt;"",VLOOKUP(J1141,PContas!A:B,2,FALSE),"")</f>
        <v>ALIMENTAÇÃO</v>
      </c>
      <c r="L1141" s="221">
        <f t="shared" si="35"/>
        <v>20</v>
      </c>
      <c r="M1141" s="221" t="str">
        <f t="shared" ca="1" si="37"/>
        <v>2014/02</v>
      </c>
    </row>
    <row r="1142" spans="1:13">
      <c r="A1142" s="236">
        <v>41692</v>
      </c>
      <c r="B1142" s="237"/>
      <c r="C1142" s="237"/>
      <c r="D1142" s="236">
        <v>41690</v>
      </c>
      <c r="E1142" s="238">
        <v>12.88</v>
      </c>
      <c r="F1142" s="236">
        <v>41692</v>
      </c>
      <c r="G1142" s="238">
        <v>-12.88</v>
      </c>
      <c r="H1142" s="239" t="s">
        <v>52</v>
      </c>
      <c r="I1142" s="239" t="s">
        <v>2</v>
      </c>
      <c r="J1142" s="239" t="s">
        <v>488</v>
      </c>
      <c r="K1142" s="220" t="str">
        <f>IF(J1142&lt;&gt;"",VLOOKUP(J1142,PContas!A:B,2,FALSE),"")</f>
        <v>ALIMENTAÇÃO</v>
      </c>
      <c r="L1142" s="221">
        <f t="shared" si="35"/>
        <v>20</v>
      </c>
      <c r="M1142" s="221" t="str">
        <f t="shared" ca="1" si="37"/>
        <v>2014/02</v>
      </c>
    </row>
    <row r="1143" spans="1:13">
      <c r="A1143" s="236">
        <v>41693</v>
      </c>
      <c r="B1143" s="237" t="s">
        <v>1250</v>
      </c>
      <c r="C1143" s="237"/>
      <c r="D1143" s="236">
        <v>41693</v>
      </c>
      <c r="E1143" s="238">
        <v>100</v>
      </c>
      <c r="F1143" s="236">
        <v>41693</v>
      </c>
      <c r="G1143" s="238">
        <v>100</v>
      </c>
      <c r="H1143" s="239" t="s">
        <v>71</v>
      </c>
      <c r="I1143" s="239" t="s">
        <v>2</v>
      </c>
      <c r="J1143" s="239" t="s">
        <v>514</v>
      </c>
      <c r="K1143" s="220" t="str">
        <f>IF(J1143&lt;&gt;"",VLOOKUP(J1143,PContas!A:B,2,FALSE),"")</f>
        <v>CLIENTES</v>
      </c>
      <c r="L1143" s="221">
        <f t="shared" si="35"/>
        <v>23</v>
      </c>
      <c r="M1143" s="221" t="str">
        <f t="shared" ca="1" si="37"/>
        <v>2014/02</v>
      </c>
    </row>
    <row r="1144" spans="1:13">
      <c r="A1144" s="236">
        <v>41693</v>
      </c>
      <c r="B1144" s="237"/>
      <c r="C1144" s="237"/>
      <c r="D1144" s="236">
        <v>41690</v>
      </c>
      <c r="E1144" s="238">
        <v>24.87</v>
      </c>
      <c r="F1144" s="236">
        <v>41693</v>
      </c>
      <c r="G1144" s="238">
        <v>-24.87</v>
      </c>
      <c r="H1144" s="239" t="s">
        <v>52</v>
      </c>
      <c r="I1144" s="239" t="s">
        <v>2</v>
      </c>
      <c r="J1144" s="239" t="s">
        <v>488</v>
      </c>
      <c r="K1144" s="220" t="str">
        <f>IF(J1144&lt;&gt;"",VLOOKUP(J1144,PContas!A:B,2,FALSE),"")</f>
        <v>ALIMENTAÇÃO</v>
      </c>
      <c r="L1144" s="221">
        <f t="shared" si="35"/>
        <v>20</v>
      </c>
      <c r="M1144" s="221" t="str">
        <f t="shared" ca="1" si="37"/>
        <v>2014/02</v>
      </c>
    </row>
    <row r="1145" spans="1:13">
      <c r="A1145" s="236">
        <v>41693</v>
      </c>
      <c r="B1145" s="237"/>
      <c r="C1145" s="237"/>
      <c r="D1145" s="236">
        <v>41690</v>
      </c>
      <c r="E1145" s="238">
        <v>3.5</v>
      </c>
      <c r="F1145" s="236">
        <v>41693</v>
      </c>
      <c r="G1145" s="238">
        <v>-3.5</v>
      </c>
      <c r="H1145" s="239" t="s">
        <v>52</v>
      </c>
      <c r="I1145" s="239" t="s">
        <v>2</v>
      </c>
      <c r="J1145" s="239" t="s">
        <v>488</v>
      </c>
      <c r="K1145" s="220" t="str">
        <f>IF(J1145&lt;&gt;"",VLOOKUP(J1145,PContas!A:B,2,FALSE),"")</f>
        <v>ALIMENTAÇÃO</v>
      </c>
      <c r="L1145" s="221">
        <f t="shared" si="35"/>
        <v>20</v>
      </c>
      <c r="M1145" s="221" t="str">
        <f t="shared" ca="1" si="37"/>
        <v>2014/02</v>
      </c>
    </row>
    <row r="1146" spans="1:13">
      <c r="A1146" s="236">
        <v>41718</v>
      </c>
      <c r="B1146" s="237" t="s">
        <v>1212</v>
      </c>
      <c r="C1146" s="237"/>
      <c r="D1146" s="236">
        <v>41718</v>
      </c>
      <c r="E1146" s="238">
        <v>100</v>
      </c>
      <c r="F1146" s="236"/>
      <c r="G1146" s="238">
        <v>0</v>
      </c>
      <c r="H1146" s="239" t="s">
        <v>71</v>
      </c>
      <c r="I1146" s="239" t="s">
        <v>2</v>
      </c>
      <c r="J1146" s="239" t="s">
        <v>57</v>
      </c>
      <c r="K1146" s="220" t="str">
        <f>IF(J1146&lt;&gt;"",VLOOKUP(J1146,PContas!A:B,2,FALSE),"")</f>
        <v>CLIENTES</v>
      </c>
      <c r="L1146" s="221">
        <f t="shared" si="35"/>
        <v>20</v>
      </c>
      <c r="M1146" s="221" t="str">
        <f t="shared" ca="1" si="37"/>
        <v>ATRASADO</v>
      </c>
    </row>
    <row r="1147" spans="1:13">
      <c r="A1147" s="236">
        <v>41749</v>
      </c>
      <c r="B1147" s="237" t="s">
        <v>1213</v>
      </c>
      <c r="C1147" s="237"/>
      <c r="D1147" s="236">
        <v>41749</v>
      </c>
      <c r="E1147" s="238">
        <v>100</v>
      </c>
      <c r="F1147" s="236"/>
      <c r="G1147" s="238">
        <v>0</v>
      </c>
      <c r="H1147" s="239" t="s">
        <v>71</v>
      </c>
      <c r="I1147" s="239" t="s">
        <v>2</v>
      </c>
      <c r="J1147" s="239" t="s">
        <v>57</v>
      </c>
      <c r="K1147" s="220" t="str">
        <f>IF(J1147&lt;&gt;"",VLOOKUP(J1147,PContas!A:B,2,FALSE),"")</f>
        <v>CLIENTES</v>
      </c>
      <c r="L1147" s="221">
        <f t="shared" si="35"/>
        <v>20</v>
      </c>
      <c r="M1147" s="221" t="str">
        <f t="shared" ca="1" si="37"/>
        <v>ATRASADO</v>
      </c>
    </row>
    <row r="1148" spans="1:13">
      <c r="A1148" s="236">
        <v>41779</v>
      </c>
      <c r="B1148" s="237" t="s">
        <v>1214</v>
      </c>
      <c r="C1148" s="237"/>
      <c r="D1148" s="236">
        <v>41779</v>
      </c>
      <c r="E1148" s="238">
        <v>100</v>
      </c>
      <c r="F1148" s="236"/>
      <c r="G1148" s="238">
        <v>0</v>
      </c>
      <c r="H1148" s="239" t="s">
        <v>71</v>
      </c>
      <c r="I1148" s="239" t="s">
        <v>2</v>
      </c>
      <c r="J1148" s="239" t="s">
        <v>57</v>
      </c>
      <c r="K1148" s="220" t="str">
        <f>IF(J1148&lt;&gt;"",VLOOKUP(J1148,PContas!A:B,2,FALSE),"")</f>
        <v>CLIENTES</v>
      </c>
      <c r="L1148" s="221">
        <f t="shared" si="35"/>
        <v>20</v>
      </c>
      <c r="M1148" s="221" t="str">
        <f t="shared" ca="1" si="37"/>
        <v>ATRASADO</v>
      </c>
    </row>
    <row r="1149" spans="1:13">
      <c r="A1149" s="236">
        <v>41810</v>
      </c>
      <c r="B1149" s="237" t="s">
        <v>1215</v>
      </c>
      <c r="C1149" s="237"/>
      <c r="D1149" s="236">
        <v>41810</v>
      </c>
      <c r="E1149" s="238">
        <v>100</v>
      </c>
      <c r="F1149" s="236"/>
      <c r="G1149" s="238">
        <v>0</v>
      </c>
      <c r="H1149" s="239" t="s">
        <v>71</v>
      </c>
      <c r="I1149" s="239" t="s">
        <v>2</v>
      </c>
      <c r="J1149" s="239" t="s">
        <v>57</v>
      </c>
      <c r="K1149" s="220" t="str">
        <f>IF(J1149&lt;&gt;"",VLOOKUP(J1149,PContas!A:B,2,FALSE),"")</f>
        <v>CLIENTES</v>
      </c>
      <c r="L1149" s="221">
        <f t="shared" si="35"/>
        <v>20</v>
      </c>
      <c r="M1149" s="221" t="str">
        <f t="shared" ca="1" si="37"/>
        <v>ATRASADO</v>
      </c>
    </row>
    <row r="1150" spans="1:13">
      <c r="A1150" s="236">
        <v>41840</v>
      </c>
      <c r="B1150" s="237" t="s">
        <v>1216</v>
      </c>
      <c r="C1150" s="237"/>
      <c r="D1150" s="236">
        <v>41840</v>
      </c>
      <c r="E1150" s="238">
        <v>100</v>
      </c>
      <c r="F1150" s="236"/>
      <c r="G1150" s="238">
        <v>0</v>
      </c>
      <c r="H1150" s="239" t="s">
        <v>71</v>
      </c>
      <c r="I1150" s="239" t="s">
        <v>2</v>
      </c>
      <c r="J1150" s="239" t="s">
        <v>57</v>
      </c>
      <c r="K1150" s="220" t="str">
        <f>IF(J1150&lt;&gt;"",VLOOKUP(J1150,PContas!A:B,2,FALSE),"")</f>
        <v>CLIENTES</v>
      </c>
      <c r="L1150" s="221">
        <f t="shared" ref="L1150:L1156" si="38">DAY(D1150)</f>
        <v>20</v>
      </c>
      <c r="M1150" s="221" t="str">
        <f t="shared" ref="M1150:M1156" ca="1" si="39">IF(D1150&lt;&gt;"",IF(F1150="",IF(DAYS360(D1150,NOW())&gt;0,"ATRASADO",YEAR(D1150)&amp;"/"&amp;CHOOSE(MONTH(D1150),"01","02","03","04","05","06","07","08","09","10","11","12")),YEAR(D1150)&amp;"/"&amp;CHOOSE(MONTH(D1150),"01","02","03","04","05","06","07","08","09","10","11","12")),"")</f>
        <v>ATRASADO</v>
      </c>
    </row>
    <row r="1151" spans="1:13">
      <c r="A1151" s="236">
        <v>41871</v>
      </c>
      <c r="B1151" s="237" t="s">
        <v>1217</v>
      </c>
      <c r="C1151" s="237"/>
      <c r="D1151" s="236">
        <v>41871</v>
      </c>
      <c r="E1151" s="238">
        <v>100</v>
      </c>
      <c r="F1151" s="236"/>
      <c r="G1151" s="238">
        <v>0</v>
      </c>
      <c r="H1151" s="239" t="s">
        <v>71</v>
      </c>
      <c r="I1151" s="239" t="s">
        <v>2</v>
      </c>
      <c r="J1151" s="239" t="s">
        <v>57</v>
      </c>
      <c r="K1151" s="220" t="str">
        <f>IF(J1151&lt;&gt;"",VLOOKUP(J1151,PContas!A:B,2,FALSE),"")</f>
        <v>CLIENTES</v>
      </c>
      <c r="L1151" s="221">
        <f t="shared" si="38"/>
        <v>20</v>
      </c>
      <c r="M1151" s="221" t="str">
        <f t="shared" ca="1" si="39"/>
        <v>ATRASADO</v>
      </c>
    </row>
    <row r="1152" spans="1:13">
      <c r="A1152" s="236">
        <v>41902</v>
      </c>
      <c r="B1152" s="237" t="s">
        <v>1218</v>
      </c>
      <c r="C1152" s="237"/>
      <c r="D1152" s="236">
        <v>41902</v>
      </c>
      <c r="E1152" s="238">
        <v>100</v>
      </c>
      <c r="F1152" s="236"/>
      <c r="G1152" s="238">
        <v>0</v>
      </c>
      <c r="H1152" s="239" t="s">
        <v>71</v>
      </c>
      <c r="I1152" s="239" t="s">
        <v>2</v>
      </c>
      <c r="J1152" s="239" t="s">
        <v>57</v>
      </c>
      <c r="K1152" s="220" t="str">
        <f>IF(J1152&lt;&gt;"",VLOOKUP(J1152,PContas!A:B,2,FALSE),"")</f>
        <v>CLIENTES</v>
      </c>
      <c r="L1152" s="221">
        <f t="shared" si="38"/>
        <v>20</v>
      </c>
      <c r="M1152" s="221" t="str">
        <f t="shared" ca="1" si="39"/>
        <v>ATRASADO</v>
      </c>
    </row>
    <row r="1153" spans="1:13">
      <c r="A1153" s="236">
        <v>41932</v>
      </c>
      <c r="B1153" s="237" t="s">
        <v>1219</v>
      </c>
      <c r="C1153" s="237"/>
      <c r="D1153" s="236">
        <v>41932</v>
      </c>
      <c r="E1153" s="238">
        <v>100</v>
      </c>
      <c r="F1153" s="236"/>
      <c r="G1153" s="238">
        <v>0</v>
      </c>
      <c r="H1153" s="239" t="s">
        <v>71</v>
      </c>
      <c r="I1153" s="239" t="s">
        <v>2</v>
      </c>
      <c r="J1153" s="239" t="s">
        <v>57</v>
      </c>
      <c r="K1153" s="220" t="str">
        <f>IF(J1153&lt;&gt;"",VLOOKUP(J1153,PContas!A:B,2,FALSE),"")</f>
        <v>CLIENTES</v>
      </c>
      <c r="L1153" s="221">
        <f t="shared" si="38"/>
        <v>20</v>
      </c>
      <c r="M1153" s="221" t="str">
        <f t="shared" ca="1" si="39"/>
        <v>ATRASADO</v>
      </c>
    </row>
    <row r="1154" spans="1:13">
      <c r="A1154" s="236">
        <v>41963</v>
      </c>
      <c r="B1154" s="237" t="s">
        <v>1220</v>
      </c>
      <c r="C1154" s="237"/>
      <c r="D1154" s="236">
        <v>41963</v>
      </c>
      <c r="E1154" s="238">
        <v>100</v>
      </c>
      <c r="F1154" s="236"/>
      <c r="G1154" s="238">
        <v>0</v>
      </c>
      <c r="H1154" s="239" t="s">
        <v>71</v>
      </c>
      <c r="I1154" s="239" t="s">
        <v>2</v>
      </c>
      <c r="J1154" s="239" t="s">
        <v>57</v>
      </c>
      <c r="K1154" s="220" t="str">
        <f>IF(J1154&lt;&gt;"",VLOOKUP(J1154,PContas!A:B,2,FALSE),"")</f>
        <v>CLIENTES</v>
      </c>
      <c r="L1154" s="221">
        <f t="shared" si="38"/>
        <v>20</v>
      </c>
      <c r="M1154" s="221" t="str">
        <f t="shared" ca="1" si="39"/>
        <v>ATRASADO</v>
      </c>
    </row>
    <row r="1155" spans="1:13">
      <c r="A1155" s="236">
        <v>41993</v>
      </c>
      <c r="B1155" s="237" t="s">
        <v>1221</v>
      </c>
      <c r="C1155" s="237"/>
      <c r="D1155" s="236">
        <v>41993</v>
      </c>
      <c r="E1155" s="238">
        <v>100</v>
      </c>
      <c r="F1155" s="236"/>
      <c r="G1155" s="238">
        <v>0</v>
      </c>
      <c r="H1155" s="239" t="s">
        <v>71</v>
      </c>
      <c r="I1155" s="239" t="s">
        <v>2</v>
      </c>
      <c r="J1155" s="239" t="s">
        <v>57</v>
      </c>
      <c r="K1155" s="220" t="str">
        <f>IF(J1155&lt;&gt;"",VLOOKUP(J1155,PContas!A:B,2,FALSE),"")</f>
        <v>CLIENTES</v>
      </c>
      <c r="L1155" s="221">
        <f t="shared" si="38"/>
        <v>20</v>
      </c>
      <c r="M1155" s="221" t="str">
        <f t="shared" ca="1" si="39"/>
        <v>ATRASADO</v>
      </c>
    </row>
    <row r="1156" spans="1:13">
      <c r="A1156" s="236">
        <v>41704</v>
      </c>
      <c r="B1156" s="237" t="s">
        <v>1360</v>
      </c>
      <c r="C1156" s="237" t="s">
        <v>1361</v>
      </c>
      <c r="D1156" s="236">
        <v>41659</v>
      </c>
      <c r="E1156" s="218">
        <v>87.14</v>
      </c>
      <c r="F1156" s="236"/>
      <c r="G1156" s="238">
        <v>0</v>
      </c>
      <c r="H1156" s="239" t="s">
        <v>71</v>
      </c>
      <c r="I1156" s="239" t="s">
        <v>2</v>
      </c>
      <c r="J1156" s="239" t="s">
        <v>55</v>
      </c>
      <c r="K1156" s="220" t="str">
        <f>IF(J1156&lt;&gt;"",VLOOKUP(J1156,PContas!A:B,2,FALSE),"")</f>
        <v>CLIENTES</v>
      </c>
      <c r="L1156" s="221">
        <f t="shared" si="38"/>
        <v>20</v>
      </c>
      <c r="M1156" s="221" t="str">
        <f t="shared" ca="1" si="39"/>
        <v>ATRASADO</v>
      </c>
    </row>
    <row r="1157" spans="1:13">
      <c r="A1157" s="236">
        <v>41704</v>
      </c>
      <c r="B1157" s="237" t="s">
        <v>1362</v>
      </c>
      <c r="C1157" s="237" t="s">
        <v>1373</v>
      </c>
      <c r="D1157" s="236">
        <v>41690</v>
      </c>
      <c r="E1157" s="218">
        <v>87.14</v>
      </c>
      <c r="F1157" s="236"/>
      <c r="G1157" s="238">
        <v>0</v>
      </c>
      <c r="H1157" s="239" t="s">
        <v>71</v>
      </c>
      <c r="I1157" s="239" t="s">
        <v>2</v>
      </c>
      <c r="J1157" s="239" t="s">
        <v>55</v>
      </c>
      <c r="K1157" s="220" t="str">
        <f>IF(J1157&lt;&gt;"",VLOOKUP(J1157,PContas!A:B,2,FALSE),"")</f>
        <v>CLIENTES</v>
      </c>
      <c r="L1157" s="221">
        <f t="shared" ref="L1157:L1168" si="40">DAY(D1157)</f>
        <v>20</v>
      </c>
      <c r="M1157" s="221" t="str">
        <f t="shared" ref="M1157:M1168" ca="1" si="41">IF(D1157&lt;&gt;"",IF(F1157="",IF(DAYS360(D1157,NOW())&gt;0,"ATRASADO",YEAR(D1157)&amp;"/"&amp;CHOOSE(MONTH(D1157),"01","02","03","04","05","06","07","08","09","10","11","12")),YEAR(D1157)&amp;"/"&amp;CHOOSE(MONTH(D1157),"01","02","03","04","05","06","07","08","09","10","11","12")),"")</f>
        <v>ATRASADO</v>
      </c>
    </row>
    <row r="1158" spans="1:13">
      <c r="A1158" s="236">
        <v>41704</v>
      </c>
      <c r="B1158" s="237" t="s">
        <v>1363</v>
      </c>
      <c r="C1158" s="237" t="s">
        <v>1374</v>
      </c>
      <c r="D1158" s="236">
        <v>41718</v>
      </c>
      <c r="E1158" s="218">
        <v>87.14</v>
      </c>
      <c r="F1158" s="236"/>
      <c r="G1158" s="238">
        <v>0</v>
      </c>
      <c r="H1158" s="239" t="s">
        <v>71</v>
      </c>
      <c r="I1158" s="239" t="s">
        <v>2</v>
      </c>
      <c r="J1158" s="239" t="s">
        <v>55</v>
      </c>
      <c r="K1158" s="220" t="str">
        <f>IF(J1158&lt;&gt;"",VLOOKUP(J1158,PContas!A:B,2,FALSE),"")</f>
        <v>CLIENTES</v>
      </c>
      <c r="L1158" s="221">
        <f t="shared" si="40"/>
        <v>20</v>
      </c>
      <c r="M1158" s="221" t="str">
        <f t="shared" ca="1" si="41"/>
        <v>ATRASADO</v>
      </c>
    </row>
    <row r="1159" spans="1:13">
      <c r="A1159" s="236">
        <v>41704</v>
      </c>
      <c r="B1159" s="237" t="s">
        <v>1364</v>
      </c>
      <c r="C1159" s="237" t="s">
        <v>1375</v>
      </c>
      <c r="D1159" s="236">
        <v>41749</v>
      </c>
      <c r="E1159" s="218">
        <v>87.14</v>
      </c>
      <c r="F1159" s="236"/>
      <c r="G1159" s="238">
        <v>0</v>
      </c>
      <c r="H1159" s="239" t="s">
        <v>71</v>
      </c>
      <c r="I1159" s="239" t="s">
        <v>2</v>
      </c>
      <c r="J1159" s="239" t="s">
        <v>55</v>
      </c>
      <c r="K1159" s="220" t="str">
        <f>IF(J1159&lt;&gt;"",VLOOKUP(J1159,PContas!A:B,2,FALSE),"")</f>
        <v>CLIENTES</v>
      </c>
      <c r="L1159" s="221">
        <f t="shared" si="40"/>
        <v>20</v>
      </c>
      <c r="M1159" s="221" t="str">
        <f t="shared" ca="1" si="41"/>
        <v>ATRASADO</v>
      </c>
    </row>
    <row r="1160" spans="1:13">
      <c r="A1160" s="236">
        <v>41704</v>
      </c>
      <c r="B1160" s="237" t="s">
        <v>1365</v>
      </c>
      <c r="C1160" s="237" t="s">
        <v>1376</v>
      </c>
      <c r="D1160" s="236">
        <v>41779</v>
      </c>
      <c r="E1160" s="218">
        <v>87.14</v>
      </c>
      <c r="F1160" s="236"/>
      <c r="G1160" s="238">
        <v>0</v>
      </c>
      <c r="H1160" s="239" t="s">
        <v>71</v>
      </c>
      <c r="I1160" s="239" t="s">
        <v>2</v>
      </c>
      <c r="J1160" s="239" t="s">
        <v>55</v>
      </c>
      <c r="K1160" s="220" t="str">
        <f>IF(J1160&lt;&gt;"",VLOOKUP(J1160,PContas!A:B,2,FALSE),"")</f>
        <v>CLIENTES</v>
      </c>
      <c r="L1160" s="221">
        <f t="shared" si="40"/>
        <v>20</v>
      </c>
      <c r="M1160" s="221" t="str">
        <f t="shared" ca="1" si="41"/>
        <v>ATRASADO</v>
      </c>
    </row>
    <row r="1161" spans="1:13">
      <c r="A1161" s="236">
        <v>41704</v>
      </c>
      <c r="B1161" s="237" t="s">
        <v>1366</v>
      </c>
      <c r="C1161" s="237" t="s">
        <v>1377</v>
      </c>
      <c r="D1161" s="236">
        <v>41810</v>
      </c>
      <c r="E1161" s="218">
        <v>87.14</v>
      </c>
      <c r="F1161" s="236"/>
      <c r="G1161" s="238">
        <v>0</v>
      </c>
      <c r="H1161" s="239" t="s">
        <v>71</v>
      </c>
      <c r="I1161" s="239" t="s">
        <v>2</v>
      </c>
      <c r="J1161" s="239" t="s">
        <v>55</v>
      </c>
      <c r="K1161" s="220" t="str">
        <f>IF(J1161&lt;&gt;"",VLOOKUP(J1161,PContas!A:B,2,FALSE),"")</f>
        <v>CLIENTES</v>
      </c>
      <c r="L1161" s="221">
        <f t="shared" si="40"/>
        <v>20</v>
      </c>
      <c r="M1161" s="221" t="str">
        <f t="shared" ca="1" si="41"/>
        <v>ATRASADO</v>
      </c>
    </row>
    <row r="1162" spans="1:13">
      <c r="A1162" s="236">
        <v>41704</v>
      </c>
      <c r="B1162" s="237" t="s">
        <v>1367</v>
      </c>
      <c r="C1162" s="237" t="s">
        <v>1378</v>
      </c>
      <c r="D1162" s="236">
        <v>41840</v>
      </c>
      <c r="E1162" s="218">
        <v>87.14</v>
      </c>
      <c r="F1162" s="236"/>
      <c r="G1162" s="238">
        <v>0</v>
      </c>
      <c r="H1162" s="239" t="s">
        <v>71</v>
      </c>
      <c r="I1162" s="239" t="s">
        <v>2</v>
      </c>
      <c r="J1162" s="239" t="s">
        <v>55</v>
      </c>
      <c r="K1162" s="220" t="str">
        <f>IF(J1162&lt;&gt;"",VLOOKUP(J1162,PContas!A:B,2,FALSE),"")</f>
        <v>CLIENTES</v>
      </c>
      <c r="L1162" s="221">
        <f t="shared" si="40"/>
        <v>20</v>
      </c>
      <c r="M1162" s="221" t="str">
        <f t="shared" ca="1" si="41"/>
        <v>ATRASADO</v>
      </c>
    </row>
    <row r="1163" spans="1:13">
      <c r="A1163" s="236">
        <v>41704</v>
      </c>
      <c r="B1163" s="237" t="s">
        <v>1368</v>
      </c>
      <c r="C1163" s="237" t="s">
        <v>1379</v>
      </c>
      <c r="D1163" s="236">
        <v>41871</v>
      </c>
      <c r="E1163" s="218">
        <v>87.14</v>
      </c>
      <c r="F1163" s="236"/>
      <c r="G1163" s="238">
        <v>0</v>
      </c>
      <c r="H1163" s="239" t="s">
        <v>71</v>
      </c>
      <c r="I1163" s="239" t="s">
        <v>2</v>
      </c>
      <c r="J1163" s="239" t="s">
        <v>55</v>
      </c>
      <c r="K1163" s="220" t="str">
        <f>IF(J1163&lt;&gt;"",VLOOKUP(J1163,PContas!A:B,2,FALSE),"")</f>
        <v>CLIENTES</v>
      </c>
      <c r="L1163" s="221">
        <f t="shared" si="40"/>
        <v>20</v>
      </c>
      <c r="M1163" s="221" t="str">
        <f t="shared" ca="1" si="41"/>
        <v>ATRASADO</v>
      </c>
    </row>
    <row r="1164" spans="1:13">
      <c r="A1164" s="236">
        <v>41704</v>
      </c>
      <c r="B1164" s="237" t="s">
        <v>1369</v>
      </c>
      <c r="C1164" s="237" t="s">
        <v>1380</v>
      </c>
      <c r="D1164" s="236">
        <v>41902</v>
      </c>
      <c r="E1164" s="218">
        <v>87.14</v>
      </c>
      <c r="F1164" s="236"/>
      <c r="G1164" s="238">
        <v>0</v>
      </c>
      <c r="H1164" s="239" t="s">
        <v>71</v>
      </c>
      <c r="I1164" s="239" t="s">
        <v>2</v>
      </c>
      <c r="J1164" s="239" t="s">
        <v>55</v>
      </c>
      <c r="K1164" s="220" t="str">
        <f>IF(J1164&lt;&gt;"",VLOOKUP(J1164,PContas!A:B,2,FALSE),"")</f>
        <v>CLIENTES</v>
      </c>
      <c r="L1164" s="221">
        <f t="shared" si="40"/>
        <v>20</v>
      </c>
      <c r="M1164" s="221" t="str">
        <f t="shared" ca="1" si="41"/>
        <v>ATRASADO</v>
      </c>
    </row>
    <row r="1165" spans="1:13">
      <c r="A1165" s="236">
        <v>41704</v>
      </c>
      <c r="B1165" s="237" t="s">
        <v>1370</v>
      </c>
      <c r="C1165" s="237" t="s">
        <v>1381</v>
      </c>
      <c r="D1165" s="236">
        <v>41932</v>
      </c>
      <c r="E1165" s="218">
        <v>87.14</v>
      </c>
      <c r="F1165" s="236"/>
      <c r="G1165" s="238">
        <v>0</v>
      </c>
      <c r="H1165" s="239" t="s">
        <v>71</v>
      </c>
      <c r="I1165" s="239" t="s">
        <v>2</v>
      </c>
      <c r="J1165" s="239" t="s">
        <v>55</v>
      </c>
      <c r="K1165" s="220" t="str">
        <f>IF(J1165&lt;&gt;"",VLOOKUP(J1165,PContas!A:B,2,FALSE),"")</f>
        <v>CLIENTES</v>
      </c>
      <c r="L1165" s="221">
        <f t="shared" si="40"/>
        <v>20</v>
      </c>
      <c r="M1165" s="221" t="str">
        <f t="shared" ca="1" si="41"/>
        <v>ATRASADO</v>
      </c>
    </row>
    <row r="1166" spans="1:13">
      <c r="A1166" s="236">
        <v>41704</v>
      </c>
      <c r="B1166" s="237" t="s">
        <v>1371</v>
      </c>
      <c r="C1166" s="237" t="s">
        <v>1382</v>
      </c>
      <c r="D1166" s="236">
        <v>41963</v>
      </c>
      <c r="E1166" s="218">
        <v>87.14</v>
      </c>
      <c r="F1166" s="236"/>
      <c r="G1166" s="238">
        <v>0</v>
      </c>
      <c r="H1166" s="239" t="s">
        <v>71</v>
      </c>
      <c r="I1166" s="239" t="s">
        <v>2</v>
      </c>
      <c r="J1166" s="239" t="s">
        <v>55</v>
      </c>
      <c r="K1166" s="220" t="str">
        <f>IF(J1166&lt;&gt;"",VLOOKUP(J1166,PContas!A:B,2,FALSE),"")</f>
        <v>CLIENTES</v>
      </c>
      <c r="L1166" s="221">
        <f t="shared" si="40"/>
        <v>20</v>
      </c>
      <c r="M1166" s="221" t="str">
        <f t="shared" ca="1" si="41"/>
        <v>ATRASADO</v>
      </c>
    </row>
    <row r="1167" spans="1:13">
      <c r="A1167" s="236">
        <v>41704</v>
      </c>
      <c r="B1167" s="237" t="s">
        <v>1372</v>
      </c>
      <c r="C1167" s="237" t="s">
        <v>1383</v>
      </c>
      <c r="D1167" s="236">
        <v>41993</v>
      </c>
      <c r="E1167" s="218">
        <v>87.14</v>
      </c>
      <c r="F1167" s="236"/>
      <c r="G1167" s="238">
        <v>0</v>
      </c>
      <c r="H1167" s="239" t="s">
        <v>71</v>
      </c>
      <c r="I1167" s="239" t="s">
        <v>2</v>
      </c>
      <c r="J1167" s="239" t="s">
        <v>55</v>
      </c>
      <c r="K1167" s="220" t="str">
        <f>IF(J1167&lt;&gt;"",VLOOKUP(J1167,PContas!A:B,2,FALSE),"")</f>
        <v>CLIENTES</v>
      </c>
      <c r="L1167" s="221">
        <f t="shared" si="40"/>
        <v>20</v>
      </c>
      <c r="M1167" s="221" t="str">
        <f t="shared" ca="1" si="41"/>
        <v>ATRASADO</v>
      </c>
    </row>
    <row r="1168" spans="1:13">
      <c r="A1168" s="236">
        <v>41704</v>
      </c>
      <c r="B1168" s="237" t="s">
        <v>1384</v>
      </c>
      <c r="C1168" s="217" t="s">
        <v>1361</v>
      </c>
      <c r="D1168" s="236">
        <v>41659</v>
      </c>
      <c r="E1168" s="238">
        <v>67.849999999999994</v>
      </c>
      <c r="F1168" s="236">
        <v>41659</v>
      </c>
      <c r="G1168" s="238">
        <v>67.849999999999994</v>
      </c>
      <c r="H1168" s="239" t="s">
        <v>71</v>
      </c>
      <c r="I1168" s="239" t="s">
        <v>2</v>
      </c>
      <c r="J1168" s="239" t="s">
        <v>56</v>
      </c>
      <c r="K1168" s="220" t="str">
        <f>IF(J1168&lt;&gt;"",VLOOKUP(J1168,PContas!A:B,2,FALSE),"")</f>
        <v>CLIENTES</v>
      </c>
      <c r="L1168" s="221">
        <f t="shared" si="40"/>
        <v>20</v>
      </c>
      <c r="M1168" s="221" t="str">
        <f t="shared" ca="1" si="41"/>
        <v>2014/01</v>
      </c>
    </row>
    <row r="1169" spans="1:13">
      <c r="A1169" s="236">
        <v>41704</v>
      </c>
      <c r="B1169" s="237" t="s">
        <v>1385</v>
      </c>
      <c r="C1169" s="217" t="s">
        <v>1373</v>
      </c>
      <c r="D1169" s="236">
        <v>41690</v>
      </c>
      <c r="E1169" s="238">
        <v>67.849999999999994</v>
      </c>
      <c r="F1169" s="236">
        <v>41690</v>
      </c>
      <c r="G1169" s="238">
        <v>67.849999999999994</v>
      </c>
      <c r="H1169" s="239" t="s">
        <v>71</v>
      </c>
      <c r="I1169" s="239" t="s">
        <v>2</v>
      </c>
      <c r="J1169" s="239" t="s">
        <v>56</v>
      </c>
      <c r="K1169" s="220" t="str">
        <f>IF(J1169&lt;&gt;"",VLOOKUP(J1169,PContas!A:B,2,FALSE),"")</f>
        <v>CLIENTES</v>
      </c>
      <c r="L1169" s="221">
        <f t="shared" ref="L1169:L1179" si="42">DAY(D1169)</f>
        <v>20</v>
      </c>
      <c r="M1169" s="221" t="str">
        <f t="shared" ref="M1169:M1179" ca="1" si="43">IF(D1169&lt;&gt;"",IF(F1169="",IF(DAYS360(D1169,NOW())&gt;0,"ATRASADO",YEAR(D1169)&amp;"/"&amp;CHOOSE(MONTH(D1169),"01","02","03","04","05","06","07","08","09","10","11","12")),YEAR(D1169)&amp;"/"&amp;CHOOSE(MONTH(D1169),"01","02","03","04","05","06","07","08","09","10","11","12")),"")</f>
        <v>2014/02</v>
      </c>
    </row>
    <row r="1170" spans="1:13">
      <c r="A1170" s="236">
        <v>41704</v>
      </c>
      <c r="B1170" s="237" t="s">
        <v>1386</v>
      </c>
      <c r="C1170" s="217" t="s">
        <v>1374</v>
      </c>
      <c r="D1170" s="236">
        <v>41718</v>
      </c>
      <c r="E1170" s="238">
        <v>67.849999999999994</v>
      </c>
      <c r="F1170" s="236"/>
      <c r="G1170" s="238">
        <v>0</v>
      </c>
      <c r="H1170" s="239" t="s">
        <v>71</v>
      </c>
      <c r="I1170" s="239" t="s">
        <v>2</v>
      </c>
      <c r="J1170" s="239" t="s">
        <v>56</v>
      </c>
      <c r="K1170" s="220" t="str">
        <f>IF(J1170&lt;&gt;"",VLOOKUP(J1170,PContas!A:B,2,FALSE),"")</f>
        <v>CLIENTES</v>
      </c>
      <c r="L1170" s="221">
        <f t="shared" si="42"/>
        <v>20</v>
      </c>
      <c r="M1170" s="221" t="str">
        <f t="shared" ca="1" si="43"/>
        <v>ATRASADO</v>
      </c>
    </row>
    <row r="1171" spans="1:13">
      <c r="A1171" s="236">
        <v>41704</v>
      </c>
      <c r="B1171" s="237" t="s">
        <v>1387</v>
      </c>
      <c r="C1171" s="217" t="s">
        <v>1375</v>
      </c>
      <c r="D1171" s="236">
        <v>41749</v>
      </c>
      <c r="E1171" s="238">
        <v>67.849999999999994</v>
      </c>
      <c r="F1171" s="236"/>
      <c r="G1171" s="238">
        <v>0</v>
      </c>
      <c r="H1171" s="239" t="s">
        <v>71</v>
      </c>
      <c r="I1171" s="239" t="s">
        <v>2</v>
      </c>
      <c r="J1171" s="239" t="s">
        <v>56</v>
      </c>
      <c r="K1171" s="220" t="str">
        <f>IF(J1171&lt;&gt;"",VLOOKUP(J1171,PContas!A:B,2,FALSE),"")</f>
        <v>CLIENTES</v>
      </c>
      <c r="L1171" s="221">
        <f t="shared" si="42"/>
        <v>20</v>
      </c>
      <c r="M1171" s="221" t="str">
        <f t="shared" ca="1" si="43"/>
        <v>ATRASADO</v>
      </c>
    </row>
    <row r="1172" spans="1:13">
      <c r="A1172" s="236">
        <v>41704</v>
      </c>
      <c r="B1172" s="237" t="s">
        <v>1388</v>
      </c>
      <c r="C1172" s="217" t="s">
        <v>1376</v>
      </c>
      <c r="D1172" s="236">
        <v>41779</v>
      </c>
      <c r="E1172" s="238">
        <v>67.849999999999994</v>
      </c>
      <c r="F1172" s="236"/>
      <c r="G1172" s="238">
        <v>0</v>
      </c>
      <c r="H1172" s="239" t="s">
        <v>71</v>
      </c>
      <c r="I1172" s="239" t="s">
        <v>2</v>
      </c>
      <c r="J1172" s="239" t="s">
        <v>56</v>
      </c>
      <c r="K1172" s="220" t="str">
        <f>IF(J1172&lt;&gt;"",VLOOKUP(J1172,PContas!A:B,2,FALSE),"")</f>
        <v>CLIENTES</v>
      </c>
      <c r="L1172" s="221">
        <f t="shared" si="42"/>
        <v>20</v>
      </c>
      <c r="M1172" s="221" t="str">
        <f t="shared" ca="1" si="43"/>
        <v>ATRASADO</v>
      </c>
    </row>
    <row r="1173" spans="1:13">
      <c r="A1173" s="236">
        <v>41704</v>
      </c>
      <c r="B1173" s="237" t="s">
        <v>1389</v>
      </c>
      <c r="C1173" s="217" t="s">
        <v>1377</v>
      </c>
      <c r="D1173" s="236">
        <v>41810</v>
      </c>
      <c r="E1173" s="238">
        <v>67.849999999999994</v>
      </c>
      <c r="F1173" s="236"/>
      <c r="G1173" s="238">
        <v>0</v>
      </c>
      <c r="H1173" s="239" t="s">
        <v>71</v>
      </c>
      <c r="I1173" s="239" t="s">
        <v>2</v>
      </c>
      <c r="J1173" s="239" t="s">
        <v>56</v>
      </c>
      <c r="K1173" s="220" t="str">
        <f>IF(J1173&lt;&gt;"",VLOOKUP(J1173,PContas!A:B,2,FALSE),"")</f>
        <v>CLIENTES</v>
      </c>
      <c r="L1173" s="221">
        <f t="shared" si="42"/>
        <v>20</v>
      </c>
      <c r="M1173" s="221" t="str">
        <f t="shared" ca="1" si="43"/>
        <v>ATRASADO</v>
      </c>
    </row>
    <row r="1174" spans="1:13">
      <c r="A1174" s="236">
        <v>41704</v>
      </c>
      <c r="B1174" s="237" t="s">
        <v>1390</v>
      </c>
      <c r="C1174" s="217" t="s">
        <v>1378</v>
      </c>
      <c r="D1174" s="236">
        <v>41840</v>
      </c>
      <c r="E1174" s="238">
        <v>67.849999999999994</v>
      </c>
      <c r="F1174" s="236"/>
      <c r="G1174" s="238">
        <v>0</v>
      </c>
      <c r="H1174" s="239" t="s">
        <v>71</v>
      </c>
      <c r="I1174" s="239" t="s">
        <v>2</v>
      </c>
      <c r="J1174" s="239" t="s">
        <v>56</v>
      </c>
      <c r="K1174" s="220" t="str">
        <f>IF(J1174&lt;&gt;"",VLOOKUP(J1174,PContas!A:B,2,FALSE),"")</f>
        <v>CLIENTES</v>
      </c>
      <c r="L1174" s="221">
        <f t="shared" si="42"/>
        <v>20</v>
      </c>
      <c r="M1174" s="221" t="str">
        <f t="shared" ca="1" si="43"/>
        <v>ATRASADO</v>
      </c>
    </row>
    <row r="1175" spans="1:13">
      <c r="A1175" s="236">
        <v>41704</v>
      </c>
      <c r="B1175" s="237" t="s">
        <v>1391</v>
      </c>
      <c r="C1175" s="217" t="s">
        <v>1379</v>
      </c>
      <c r="D1175" s="236">
        <v>41871</v>
      </c>
      <c r="E1175" s="238">
        <v>67.849999999999994</v>
      </c>
      <c r="F1175" s="236"/>
      <c r="G1175" s="238">
        <v>0</v>
      </c>
      <c r="H1175" s="239" t="s">
        <v>71</v>
      </c>
      <c r="I1175" s="239" t="s">
        <v>2</v>
      </c>
      <c r="J1175" s="239" t="s">
        <v>56</v>
      </c>
      <c r="K1175" s="220" t="str">
        <f>IF(J1175&lt;&gt;"",VLOOKUP(J1175,PContas!A:B,2,FALSE),"")</f>
        <v>CLIENTES</v>
      </c>
      <c r="L1175" s="221">
        <f t="shared" si="42"/>
        <v>20</v>
      </c>
      <c r="M1175" s="221" t="str">
        <f t="shared" ca="1" si="43"/>
        <v>ATRASADO</v>
      </c>
    </row>
    <row r="1176" spans="1:13">
      <c r="A1176" s="236">
        <v>41704</v>
      </c>
      <c r="B1176" s="237" t="s">
        <v>1392</v>
      </c>
      <c r="C1176" s="217" t="s">
        <v>1380</v>
      </c>
      <c r="D1176" s="236">
        <v>41902</v>
      </c>
      <c r="E1176" s="238">
        <v>67.849999999999994</v>
      </c>
      <c r="F1176" s="236"/>
      <c r="G1176" s="238">
        <v>0</v>
      </c>
      <c r="H1176" s="239" t="s">
        <v>71</v>
      </c>
      <c r="I1176" s="239" t="s">
        <v>2</v>
      </c>
      <c r="J1176" s="239" t="s">
        <v>56</v>
      </c>
      <c r="K1176" s="220" t="str">
        <f>IF(J1176&lt;&gt;"",VLOOKUP(J1176,PContas!A:B,2,FALSE),"")</f>
        <v>CLIENTES</v>
      </c>
      <c r="L1176" s="221">
        <f t="shared" si="42"/>
        <v>20</v>
      </c>
      <c r="M1176" s="221" t="str">
        <f t="shared" ca="1" si="43"/>
        <v>ATRASADO</v>
      </c>
    </row>
    <row r="1177" spans="1:13">
      <c r="A1177" s="236">
        <v>41704</v>
      </c>
      <c r="B1177" s="237" t="s">
        <v>1393</v>
      </c>
      <c r="C1177" s="217" t="s">
        <v>1381</v>
      </c>
      <c r="D1177" s="236">
        <v>41932</v>
      </c>
      <c r="E1177" s="238">
        <v>67.849999999999994</v>
      </c>
      <c r="F1177" s="236"/>
      <c r="G1177" s="238">
        <v>0</v>
      </c>
      <c r="H1177" s="239" t="s">
        <v>71</v>
      </c>
      <c r="I1177" s="239" t="s">
        <v>2</v>
      </c>
      <c r="J1177" s="239" t="s">
        <v>56</v>
      </c>
      <c r="K1177" s="220" t="str">
        <f>IF(J1177&lt;&gt;"",VLOOKUP(J1177,PContas!A:B,2,FALSE),"")</f>
        <v>CLIENTES</v>
      </c>
      <c r="L1177" s="221">
        <f t="shared" si="42"/>
        <v>20</v>
      </c>
      <c r="M1177" s="221" t="str">
        <f t="shared" ca="1" si="43"/>
        <v>ATRASADO</v>
      </c>
    </row>
    <row r="1178" spans="1:13">
      <c r="A1178" s="236">
        <v>41704</v>
      </c>
      <c r="B1178" s="237" t="s">
        <v>1394</v>
      </c>
      <c r="C1178" s="217" t="s">
        <v>1382</v>
      </c>
      <c r="D1178" s="236">
        <v>41963</v>
      </c>
      <c r="E1178" s="238">
        <v>67.849999999999994</v>
      </c>
      <c r="F1178" s="236"/>
      <c r="G1178" s="238">
        <v>0</v>
      </c>
      <c r="H1178" s="239" t="s">
        <v>71</v>
      </c>
      <c r="I1178" s="239" t="s">
        <v>2</v>
      </c>
      <c r="J1178" s="239" t="s">
        <v>56</v>
      </c>
      <c r="K1178" s="220" t="str">
        <f>IF(J1178&lt;&gt;"",VLOOKUP(J1178,PContas!A:B,2,FALSE),"")</f>
        <v>CLIENTES</v>
      </c>
      <c r="L1178" s="221">
        <f t="shared" si="42"/>
        <v>20</v>
      </c>
      <c r="M1178" s="221" t="str">
        <f t="shared" ca="1" si="43"/>
        <v>ATRASADO</v>
      </c>
    </row>
    <row r="1179" spans="1:13">
      <c r="A1179" s="236">
        <v>41704</v>
      </c>
      <c r="B1179" s="237" t="s">
        <v>1395</v>
      </c>
      <c r="C1179" s="217" t="s">
        <v>1383</v>
      </c>
      <c r="D1179" s="236">
        <v>41993</v>
      </c>
      <c r="E1179" s="238">
        <v>67.849999999999994</v>
      </c>
      <c r="F1179" s="236"/>
      <c r="G1179" s="238">
        <v>0</v>
      </c>
      <c r="H1179" s="239" t="s">
        <v>71</v>
      </c>
      <c r="I1179" s="239" t="s">
        <v>2</v>
      </c>
      <c r="J1179" s="239" t="s">
        <v>56</v>
      </c>
      <c r="K1179" s="220" t="str">
        <f>IF(J1179&lt;&gt;"",VLOOKUP(J1179,PContas!A:B,2,FALSE),"")</f>
        <v>CLIENTES</v>
      </c>
      <c r="L1179" s="221">
        <f t="shared" si="42"/>
        <v>20</v>
      </c>
      <c r="M1179" s="221" t="str">
        <f t="shared" ca="1" si="43"/>
        <v>ATRASADO</v>
      </c>
    </row>
    <row r="1180" spans="1:13">
      <c r="A1180" s="236">
        <v>41649</v>
      </c>
      <c r="B1180" s="237" t="s">
        <v>1402</v>
      </c>
      <c r="C1180" s="237"/>
      <c r="D1180" s="236">
        <v>41659</v>
      </c>
      <c r="E1180" s="238">
        <v>10</v>
      </c>
      <c r="F1180" s="236">
        <v>41704</v>
      </c>
      <c r="G1180" s="238">
        <v>10</v>
      </c>
      <c r="H1180" s="239" t="s">
        <v>71</v>
      </c>
      <c r="I1180" s="239" t="s">
        <v>2</v>
      </c>
      <c r="J1180" s="239" t="s">
        <v>58</v>
      </c>
      <c r="K1180" s="220" t="str">
        <f>IF(J1180&lt;&gt;"",VLOOKUP(J1180,PContas!A:B,2,FALSE),"")</f>
        <v>CLIENTES</v>
      </c>
      <c r="L1180" s="221">
        <f>DAY(D1180)</f>
        <v>20</v>
      </c>
      <c r="M1180" s="221" t="str">
        <f ca="1">IF(D1180&lt;&gt;"",IF(F1180="",IF(DAYS360(D1180,NOW())&gt;0,"ATRASADO",YEAR(D1180)&amp;"/"&amp;CHOOSE(MONTH(D1180),"01","02","03","04","05","06","07","08","09","10","11","12")),YEAR(D1180)&amp;"/"&amp;CHOOSE(MONTH(D1180),"01","02","03","04","05","06","07","08","09","10","11","12")),"")</f>
        <v>2014/01</v>
      </c>
    </row>
    <row r="1181" spans="1:13">
      <c r="A1181" s="236">
        <v>41649</v>
      </c>
      <c r="B1181" s="237" t="s">
        <v>1403</v>
      </c>
      <c r="C1181" s="237"/>
      <c r="D1181" s="236">
        <v>41690</v>
      </c>
      <c r="E1181" s="238">
        <v>10</v>
      </c>
      <c r="F1181" s="236">
        <v>41704</v>
      </c>
      <c r="G1181" s="238">
        <v>10</v>
      </c>
      <c r="H1181" s="239" t="s">
        <v>71</v>
      </c>
      <c r="I1181" s="239" t="s">
        <v>2</v>
      </c>
      <c r="J1181" s="239" t="s">
        <v>58</v>
      </c>
      <c r="K1181" s="220" t="str">
        <f>IF(J1181&lt;&gt;"",VLOOKUP(J1181,PContas!A:B,2,FALSE),"")</f>
        <v>CLIENTES</v>
      </c>
      <c r="L1181" s="221">
        <f t="shared" ref="L1181:L1190" si="44">DAY(D1181)</f>
        <v>20</v>
      </c>
      <c r="M1181" s="221" t="str">
        <f t="shared" ref="M1181:M1190" ca="1" si="45">IF(D1181&lt;&gt;"",IF(F1181="",IF(DAYS360(D1181,NOW())&gt;0,"ATRASADO",YEAR(D1181)&amp;"/"&amp;CHOOSE(MONTH(D1181),"01","02","03","04","05","06","07","08","09","10","11","12")),YEAR(D1181)&amp;"/"&amp;CHOOSE(MONTH(D1181),"01","02","03","04","05","06","07","08","09","10","11","12")),"")</f>
        <v>2014/02</v>
      </c>
    </row>
    <row r="1182" spans="1:13">
      <c r="A1182" s="236">
        <v>41649</v>
      </c>
      <c r="B1182" s="237" t="s">
        <v>1404</v>
      </c>
      <c r="C1182" s="237"/>
      <c r="D1182" s="236">
        <v>41718</v>
      </c>
      <c r="E1182" s="238">
        <v>10</v>
      </c>
      <c r="F1182" s="236">
        <v>41704</v>
      </c>
      <c r="G1182" s="238">
        <v>10</v>
      </c>
      <c r="H1182" s="239" t="s">
        <v>71</v>
      </c>
      <c r="I1182" s="239" t="s">
        <v>2</v>
      </c>
      <c r="J1182" s="239" t="s">
        <v>58</v>
      </c>
      <c r="K1182" s="220" t="str">
        <f>IF(J1182&lt;&gt;"",VLOOKUP(J1182,PContas!A:B,2,FALSE),"")</f>
        <v>CLIENTES</v>
      </c>
      <c r="L1182" s="221">
        <f t="shared" si="44"/>
        <v>20</v>
      </c>
      <c r="M1182" s="221" t="str">
        <f t="shared" ca="1" si="45"/>
        <v>2014/03</v>
      </c>
    </row>
    <row r="1183" spans="1:13">
      <c r="A1183" s="236">
        <v>41649</v>
      </c>
      <c r="B1183" s="237" t="s">
        <v>1405</v>
      </c>
      <c r="C1183" s="237"/>
      <c r="D1183" s="236">
        <v>41749</v>
      </c>
      <c r="E1183" s="238">
        <v>10</v>
      </c>
      <c r="F1183" s="236"/>
      <c r="G1183" s="238">
        <v>0</v>
      </c>
      <c r="H1183" s="239" t="s">
        <v>71</v>
      </c>
      <c r="I1183" s="239" t="s">
        <v>2</v>
      </c>
      <c r="J1183" s="239" t="s">
        <v>58</v>
      </c>
      <c r="K1183" s="220" t="str">
        <f>IF(J1183&lt;&gt;"",VLOOKUP(J1183,PContas!A:B,2,FALSE),"")</f>
        <v>CLIENTES</v>
      </c>
      <c r="L1183" s="221">
        <f t="shared" si="44"/>
        <v>20</v>
      </c>
      <c r="M1183" s="221" t="str">
        <f t="shared" ca="1" si="45"/>
        <v>ATRASADO</v>
      </c>
    </row>
    <row r="1184" spans="1:13">
      <c r="A1184" s="236">
        <v>41649</v>
      </c>
      <c r="B1184" s="237" t="s">
        <v>1406</v>
      </c>
      <c r="C1184" s="237"/>
      <c r="D1184" s="236">
        <v>41779</v>
      </c>
      <c r="E1184" s="238">
        <v>10</v>
      </c>
      <c r="F1184" s="236"/>
      <c r="G1184" s="238">
        <v>0</v>
      </c>
      <c r="H1184" s="239" t="s">
        <v>71</v>
      </c>
      <c r="I1184" s="239" t="s">
        <v>2</v>
      </c>
      <c r="J1184" s="239" t="s">
        <v>58</v>
      </c>
      <c r="K1184" s="220" t="str">
        <f>IF(J1184&lt;&gt;"",VLOOKUP(J1184,PContas!A:B,2,FALSE),"")</f>
        <v>CLIENTES</v>
      </c>
      <c r="L1184" s="221">
        <f t="shared" si="44"/>
        <v>20</v>
      </c>
      <c r="M1184" s="221" t="str">
        <f t="shared" ca="1" si="45"/>
        <v>ATRASADO</v>
      </c>
    </row>
    <row r="1185" spans="1:13">
      <c r="A1185" s="236">
        <v>41649</v>
      </c>
      <c r="B1185" s="237" t="s">
        <v>1407</v>
      </c>
      <c r="C1185" s="237"/>
      <c r="D1185" s="236">
        <v>41810</v>
      </c>
      <c r="E1185" s="238">
        <v>10</v>
      </c>
      <c r="F1185" s="236"/>
      <c r="G1185" s="238">
        <v>0</v>
      </c>
      <c r="H1185" s="239" t="s">
        <v>71</v>
      </c>
      <c r="I1185" s="239" t="s">
        <v>2</v>
      </c>
      <c r="J1185" s="239" t="s">
        <v>58</v>
      </c>
      <c r="K1185" s="220" t="str">
        <f>IF(J1185&lt;&gt;"",VLOOKUP(J1185,PContas!A:B,2,FALSE),"")</f>
        <v>CLIENTES</v>
      </c>
      <c r="L1185" s="221">
        <f t="shared" si="44"/>
        <v>20</v>
      </c>
      <c r="M1185" s="221" t="str">
        <f t="shared" ca="1" si="45"/>
        <v>ATRASADO</v>
      </c>
    </row>
    <row r="1186" spans="1:13">
      <c r="A1186" s="236">
        <v>41649</v>
      </c>
      <c r="B1186" s="237" t="s">
        <v>1408</v>
      </c>
      <c r="C1186" s="237"/>
      <c r="D1186" s="236">
        <v>41840</v>
      </c>
      <c r="E1186" s="238">
        <v>10</v>
      </c>
      <c r="F1186" s="236"/>
      <c r="G1186" s="238">
        <v>0</v>
      </c>
      <c r="H1186" s="239" t="s">
        <v>71</v>
      </c>
      <c r="I1186" s="239" t="s">
        <v>2</v>
      </c>
      <c r="J1186" s="239" t="s">
        <v>58</v>
      </c>
      <c r="K1186" s="220" t="str">
        <f>IF(J1186&lt;&gt;"",VLOOKUP(J1186,PContas!A:B,2,FALSE),"")</f>
        <v>CLIENTES</v>
      </c>
      <c r="L1186" s="221">
        <f t="shared" si="44"/>
        <v>20</v>
      </c>
      <c r="M1186" s="221" t="str">
        <f t="shared" ca="1" si="45"/>
        <v>ATRASADO</v>
      </c>
    </row>
    <row r="1187" spans="1:13">
      <c r="A1187" s="236">
        <v>41649</v>
      </c>
      <c r="B1187" s="237" t="s">
        <v>1409</v>
      </c>
      <c r="C1187" s="237"/>
      <c r="D1187" s="236">
        <v>41871</v>
      </c>
      <c r="E1187" s="238">
        <v>10</v>
      </c>
      <c r="F1187" s="236"/>
      <c r="G1187" s="238">
        <v>0</v>
      </c>
      <c r="H1187" s="239" t="s">
        <v>71</v>
      </c>
      <c r="I1187" s="239" t="s">
        <v>2</v>
      </c>
      <c r="J1187" s="239" t="s">
        <v>58</v>
      </c>
      <c r="K1187" s="220" t="str">
        <f>IF(J1187&lt;&gt;"",VLOOKUP(J1187,PContas!A:B,2,FALSE),"")</f>
        <v>CLIENTES</v>
      </c>
      <c r="L1187" s="221">
        <f t="shared" si="44"/>
        <v>20</v>
      </c>
      <c r="M1187" s="221" t="str">
        <f t="shared" ca="1" si="45"/>
        <v>ATRASADO</v>
      </c>
    </row>
    <row r="1188" spans="1:13">
      <c r="A1188" s="236">
        <v>41649</v>
      </c>
      <c r="B1188" s="237" t="s">
        <v>1410</v>
      </c>
      <c r="C1188" s="237"/>
      <c r="D1188" s="236">
        <v>41902</v>
      </c>
      <c r="E1188" s="238">
        <v>10</v>
      </c>
      <c r="F1188" s="236"/>
      <c r="G1188" s="238">
        <v>0</v>
      </c>
      <c r="H1188" s="239" t="s">
        <v>71</v>
      </c>
      <c r="I1188" s="239" t="s">
        <v>2</v>
      </c>
      <c r="J1188" s="239" t="s">
        <v>58</v>
      </c>
      <c r="K1188" s="220" t="str">
        <f>IF(J1188&lt;&gt;"",VLOOKUP(J1188,PContas!A:B,2,FALSE),"")</f>
        <v>CLIENTES</v>
      </c>
      <c r="L1188" s="221">
        <f t="shared" si="44"/>
        <v>20</v>
      </c>
      <c r="M1188" s="221" t="str">
        <f t="shared" ca="1" si="45"/>
        <v>ATRASADO</v>
      </c>
    </row>
    <row r="1189" spans="1:13">
      <c r="A1189" s="236">
        <v>41649</v>
      </c>
      <c r="B1189" s="237" t="s">
        <v>1411</v>
      </c>
      <c r="C1189" s="237"/>
      <c r="D1189" s="236">
        <v>41932</v>
      </c>
      <c r="E1189" s="238">
        <v>10</v>
      </c>
      <c r="F1189" s="236"/>
      <c r="G1189" s="238">
        <v>0</v>
      </c>
      <c r="H1189" s="239" t="s">
        <v>71</v>
      </c>
      <c r="I1189" s="239" t="s">
        <v>2</v>
      </c>
      <c r="J1189" s="239" t="s">
        <v>58</v>
      </c>
      <c r="K1189" s="220" t="str">
        <f>IF(J1189&lt;&gt;"",VLOOKUP(J1189,PContas!A:B,2,FALSE),"")</f>
        <v>CLIENTES</v>
      </c>
      <c r="L1189" s="221">
        <f t="shared" si="44"/>
        <v>20</v>
      </c>
      <c r="M1189" s="221" t="str">
        <f t="shared" ca="1" si="45"/>
        <v>ATRASADO</v>
      </c>
    </row>
    <row r="1190" spans="1:13">
      <c r="A1190" s="236">
        <v>41649</v>
      </c>
      <c r="B1190" s="237" t="s">
        <v>1412</v>
      </c>
      <c r="C1190" s="237"/>
      <c r="D1190" s="236">
        <v>41963</v>
      </c>
      <c r="E1190" s="238">
        <v>10</v>
      </c>
      <c r="F1190" s="236"/>
      <c r="G1190" s="238">
        <v>0</v>
      </c>
      <c r="H1190" s="239" t="s">
        <v>71</v>
      </c>
      <c r="I1190" s="239" t="s">
        <v>2</v>
      </c>
      <c r="J1190" s="239" t="s">
        <v>58</v>
      </c>
      <c r="K1190" s="220" t="str">
        <f>IF(J1190&lt;&gt;"",VLOOKUP(J1190,PContas!A:B,2,FALSE),"")</f>
        <v>CLIENTES</v>
      </c>
      <c r="L1190" s="221">
        <f t="shared" si="44"/>
        <v>20</v>
      </c>
      <c r="M1190" s="221" t="str">
        <f t="shared" ca="1" si="45"/>
        <v>ATRASADO</v>
      </c>
    </row>
    <row r="1191" spans="1:13">
      <c r="A1191" s="236">
        <v>41649</v>
      </c>
      <c r="B1191" s="237" t="s">
        <v>1413</v>
      </c>
      <c r="C1191" s="237"/>
      <c r="D1191" s="236">
        <v>41993</v>
      </c>
      <c r="E1191" s="238">
        <v>10</v>
      </c>
      <c r="F1191" s="236"/>
      <c r="G1191" s="238">
        <v>0</v>
      </c>
      <c r="H1191" s="239" t="s">
        <v>71</v>
      </c>
      <c r="I1191" s="239" t="s">
        <v>2</v>
      </c>
      <c r="J1191" s="239" t="s">
        <v>58</v>
      </c>
      <c r="K1191" s="220" t="str">
        <f>IF(J1191&lt;&gt;"",VLOOKUP(J1191,PContas!A:B,2,FALSE),"")</f>
        <v>CLIENTES</v>
      </c>
      <c r="L1191" s="221">
        <f t="shared" ref="L1191:L1198" si="46">DAY(D1191)</f>
        <v>20</v>
      </c>
      <c r="M1191" s="221" t="str">
        <f t="shared" ref="M1191:M1198" ca="1" si="47">IF(D1191&lt;&gt;"",IF(F1191="",IF(DAYS360(D1191,NOW())&gt;0,"ATRASADO",YEAR(D1191)&amp;"/"&amp;CHOOSE(MONTH(D1191),"01","02","03","04","05","06","07","08","09","10","11","12")),YEAR(D1191)&amp;"/"&amp;CHOOSE(MONTH(D1191),"01","02","03","04","05","06","07","08","09","10","11","12")),"")</f>
        <v>ATRASADO</v>
      </c>
    </row>
    <row r="1192" spans="1:13">
      <c r="A1192" s="236">
        <v>41642</v>
      </c>
      <c r="B1192" s="237"/>
      <c r="C1192" s="217" t="s">
        <v>1429</v>
      </c>
      <c r="D1192" s="236">
        <v>42014</v>
      </c>
      <c r="E1192" s="238">
        <v>19.5</v>
      </c>
      <c r="F1192" s="236"/>
      <c r="G1192" s="238">
        <v>-19.5</v>
      </c>
      <c r="H1192" s="219" t="s">
        <v>52</v>
      </c>
      <c r="I1192" s="239" t="s">
        <v>1111</v>
      </c>
      <c r="J1192" s="239" t="s">
        <v>96</v>
      </c>
      <c r="K1192" s="220" t="str">
        <f>IF(J1192&lt;&gt;"",VLOOKUP(J1192,PContas!A:B,2,FALSE),"")</f>
        <v>TARIFAS</v>
      </c>
      <c r="L1192" s="221">
        <f t="shared" si="46"/>
        <v>10</v>
      </c>
      <c r="M1192" s="221" t="str">
        <f t="shared" ca="1" si="47"/>
        <v>ATRASADO</v>
      </c>
    </row>
    <row r="1193" spans="1:13">
      <c r="A1193" s="216">
        <v>41639</v>
      </c>
      <c r="B1193" s="217"/>
      <c r="C1193" s="217"/>
      <c r="D1193" s="216">
        <v>41639</v>
      </c>
      <c r="E1193" s="218">
        <v>44.51</v>
      </c>
      <c r="F1193" s="216">
        <v>41639</v>
      </c>
      <c r="G1193" s="218">
        <v>-44.51</v>
      </c>
      <c r="H1193" s="219" t="s">
        <v>52</v>
      </c>
      <c r="I1193" s="239" t="s">
        <v>1111</v>
      </c>
      <c r="J1193" s="219" t="s">
        <v>23</v>
      </c>
      <c r="K1193" s="220" t="str">
        <f>IF(J1193&lt;&gt;"",VLOOKUP(J1193,PContas!A:B,2,FALSE),"")</f>
        <v>SAUDE</v>
      </c>
      <c r="L1193" s="221">
        <f t="shared" si="46"/>
        <v>31</v>
      </c>
      <c r="M1193" s="221" t="str">
        <f t="shared" ca="1" si="47"/>
        <v>2013/12</v>
      </c>
    </row>
    <row r="1194" spans="1:13">
      <c r="A1194" s="216">
        <v>41618</v>
      </c>
      <c r="B1194" s="217"/>
      <c r="C1194" s="237"/>
      <c r="D1194" s="216">
        <v>41618</v>
      </c>
      <c r="E1194" s="218">
        <v>7.44</v>
      </c>
      <c r="F1194" s="216">
        <v>41618</v>
      </c>
      <c r="G1194" s="218">
        <v>-7.44</v>
      </c>
      <c r="H1194" s="219" t="s">
        <v>52</v>
      </c>
      <c r="I1194" s="239" t="s">
        <v>1111</v>
      </c>
      <c r="J1194" s="219" t="s">
        <v>97</v>
      </c>
      <c r="K1194" s="220" t="str">
        <f>IF(J1194&lt;&gt;"",VLOOKUP(J1194,PContas!A:B,2,FALSE),"")</f>
        <v>TARIFAS</v>
      </c>
      <c r="L1194" s="221">
        <f t="shared" si="46"/>
        <v>10</v>
      </c>
      <c r="M1194" s="221" t="str">
        <f t="shared" ca="1" si="47"/>
        <v>2013/12</v>
      </c>
    </row>
    <row r="1195" spans="1:13">
      <c r="A1195" s="216">
        <v>41649</v>
      </c>
      <c r="B1195" s="217"/>
      <c r="C1195" s="237"/>
      <c r="D1195" s="216">
        <v>41649</v>
      </c>
      <c r="E1195" s="218">
        <v>3.72</v>
      </c>
      <c r="F1195" s="216">
        <v>41649</v>
      </c>
      <c r="G1195" s="218">
        <v>-3.72</v>
      </c>
      <c r="H1195" s="219" t="s">
        <v>52</v>
      </c>
      <c r="I1195" s="239" t="s">
        <v>1111</v>
      </c>
      <c r="J1195" s="219" t="s">
        <v>97</v>
      </c>
      <c r="K1195" s="220" t="str">
        <f>IF(J1195&lt;&gt;"",VLOOKUP(J1195,PContas!A:B,2,FALSE),"")</f>
        <v>TARIFAS</v>
      </c>
      <c r="L1195" s="221">
        <f t="shared" si="46"/>
        <v>10</v>
      </c>
      <c r="M1195" s="221" t="str">
        <f t="shared" ca="1" si="47"/>
        <v>2014/01</v>
      </c>
    </row>
    <row r="1196" spans="1:13">
      <c r="A1196" s="216">
        <v>41680</v>
      </c>
      <c r="B1196" s="217"/>
      <c r="C1196" s="237"/>
      <c r="D1196" s="216">
        <v>41680</v>
      </c>
      <c r="E1196" s="218">
        <v>3.72</v>
      </c>
      <c r="F1196" s="216">
        <v>41680</v>
      </c>
      <c r="G1196" s="218">
        <v>-3.72</v>
      </c>
      <c r="H1196" s="219" t="s">
        <v>52</v>
      </c>
      <c r="I1196" s="239" t="s">
        <v>1111</v>
      </c>
      <c r="J1196" s="219" t="s">
        <v>97</v>
      </c>
      <c r="K1196" s="220" t="str">
        <f>IF(J1196&lt;&gt;"",VLOOKUP(J1196,PContas!A:B,2,FALSE),"")</f>
        <v>TARIFAS</v>
      </c>
      <c r="L1196" s="221">
        <f t="shared" si="46"/>
        <v>10</v>
      </c>
      <c r="M1196" s="221" t="str">
        <f t="shared" ca="1" si="47"/>
        <v>2014/02</v>
      </c>
    </row>
    <row r="1197" spans="1:13">
      <c r="A1197" s="216">
        <v>41670</v>
      </c>
      <c r="B1197" s="217"/>
      <c r="C1197" s="217"/>
      <c r="D1197" s="216">
        <v>41670</v>
      </c>
      <c r="E1197" s="218">
        <v>15</v>
      </c>
      <c r="F1197" s="216">
        <v>41670</v>
      </c>
      <c r="G1197" s="218">
        <v>-15</v>
      </c>
      <c r="H1197" s="219" t="s">
        <v>52</v>
      </c>
      <c r="I1197" s="219" t="s">
        <v>2</v>
      </c>
      <c r="J1197" s="219" t="s">
        <v>493</v>
      </c>
      <c r="K1197" s="220" t="str">
        <f>IF(J1197&lt;&gt;"",VLOOKUP(J1197,PContas!A:B,2,FALSE),"")</f>
        <v>TELEFONIA</v>
      </c>
      <c r="L1197" s="221">
        <f t="shared" si="46"/>
        <v>31</v>
      </c>
      <c r="M1197" s="221" t="str">
        <f t="shared" ca="1" si="47"/>
        <v>2014/01</v>
      </c>
    </row>
    <row r="1198" spans="1:13">
      <c r="A1198" s="236">
        <v>41639</v>
      </c>
      <c r="B1198" s="237"/>
      <c r="C1198" s="237" t="s">
        <v>1059</v>
      </c>
      <c r="D1198" s="236">
        <v>41639</v>
      </c>
      <c r="E1198" s="238">
        <v>100</v>
      </c>
      <c r="F1198" s="236">
        <v>41639</v>
      </c>
      <c r="G1198" s="238">
        <v>-1601.57</v>
      </c>
      <c r="H1198" s="239" t="s">
        <v>52</v>
      </c>
      <c r="I1198" s="239" t="s">
        <v>2</v>
      </c>
      <c r="J1198" s="239" t="s">
        <v>1056</v>
      </c>
      <c r="K1198" s="220" t="str">
        <f>IF(J1198&lt;&gt;"",VLOOKUP(J1198,PContas!A:B,2,FALSE),"")</f>
        <v>PROVISÃO</v>
      </c>
      <c r="L1198" s="221">
        <f t="shared" si="46"/>
        <v>31</v>
      </c>
      <c r="M1198" s="221" t="str">
        <f t="shared" ca="1" si="47"/>
        <v>2013/12</v>
      </c>
    </row>
    <row r="1199" spans="1:13">
      <c r="A1199" s="236"/>
      <c r="B1199" s="237"/>
      <c r="C1199" s="237"/>
      <c r="D1199" s="236"/>
      <c r="E1199" s="238"/>
      <c r="F1199" s="236"/>
      <c r="G1199" s="238"/>
      <c r="H1199" s="239"/>
      <c r="I1199" s="239"/>
      <c r="J1199" s="239"/>
      <c r="K1199" s="289"/>
      <c r="L1199" s="290"/>
      <c r="M1199" s="290"/>
    </row>
    <row r="1200" spans="1:13">
      <c r="A1200" s="236"/>
      <c r="B1200" s="237"/>
      <c r="C1200" s="237"/>
      <c r="D1200" s="236"/>
      <c r="E1200" s="238"/>
      <c r="F1200" s="236"/>
      <c r="G1200" s="238"/>
      <c r="H1200" s="239"/>
      <c r="I1200" s="239"/>
      <c r="J1200" s="239"/>
      <c r="K1200" s="289"/>
      <c r="L1200" s="290"/>
      <c r="M1200" s="290"/>
    </row>
    <row r="1201" spans="1:13">
      <c r="A1201" s="216"/>
      <c r="B1201" s="217"/>
      <c r="C1201" s="217"/>
      <c r="D1201" s="216"/>
      <c r="E1201" s="218"/>
      <c r="F1201" s="216"/>
      <c r="G1201" s="218"/>
      <c r="H1201" s="219"/>
      <c r="I1201" s="219"/>
      <c r="J1201" s="219"/>
      <c r="K1201" s="220"/>
      <c r="L1201" s="221"/>
      <c r="M1201" s="221"/>
    </row>
    <row r="1202" spans="1:13">
      <c r="E1202" s="225">
        <f>SUBTOTAL(9,E2:E1201)</f>
        <v>158391.97666666677</v>
      </c>
      <c r="G1202" s="225">
        <f>SUBTOTAL(9,G2:G1201)</f>
        <v>-52005.916666666715</v>
      </c>
    </row>
  </sheetData>
  <autoFilter ref="A1:M1198">
    <filterColumn colId="9"/>
    <sortState ref="A2:M1159">
      <sortCondition ref="A2:A1159"/>
    </sortState>
  </autoFilter>
  <sortState ref="A2:M1134">
    <sortCondition ref="A2:A1134"/>
  </sortState>
  <conditionalFormatting sqref="M1:M1048576">
    <cfRule type="cellIs" dxfId="110" priority="2" operator="equal">
      <formula>"ATRASADO"</formula>
    </cfRule>
  </conditionalFormatting>
  <pageMargins left="0.51181102362204722" right="0.51181102362204722" top="0.47244094488188981" bottom="0.43307086614173229" header="0.31496062992125984" footer="0.31496062992125984"/>
  <pageSetup paperSize="9" scale="70" orientation="landscape" blackAndWhite="1" horizontalDpi="200" verticalDpi="200" r:id="rId1"/>
  <headerFooter>
    <oddHeader>&amp;L&amp;A</oddHeader>
    <oddFooter>&amp;L&amp;F&amp;R&amp;P - &amp;N</oddFooter>
  </headerFooter>
</worksheet>
</file>

<file path=xl/worksheets/sheet11.xml><?xml version="1.0" encoding="utf-8"?>
<worksheet xmlns="http://schemas.openxmlformats.org/spreadsheetml/2006/main" xmlns:r="http://schemas.openxmlformats.org/officeDocument/2006/relationships">
  <sheetPr codeName="Plan20"/>
  <dimension ref="A3:A23"/>
  <sheetViews>
    <sheetView workbookViewId="0">
      <selection activeCell="A4" sqref="A4"/>
    </sheetView>
  </sheetViews>
  <sheetFormatPr defaultRowHeight="15"/>
  <cols>
    <col min="1" max="1" width="18" customWidth="1"/>
    <col min="2" max="2" width="19.5703125" bestFit="1" customWidth="1"/>
    <col min="3" max="3" width="14.28515625" bestFit="1" customWidth="1"/>
    <col min="4" max="4" width="9" bestFit="1" customWidth="1"/>
    <col min="5" max="5" width="11" bestFit="1" customWidth="1"/>
    <col min="6" max="6" width="14.140625" bestFit="1" customWidth="1"/>
    <col min="7" max="7" width="10.28515625" bestFit="1" customWidth="1"/>
    <col min="8" max="8" width="10.42578125" bestFit="1" customWidth="1"/>
    <col min="9" max="9" width="8.42578125" bestFit="1" customWidth="1"/>
    <col min="10" max="10" width="9.85546875" bestFit="1" customWidth="1"/>
    <col min="11" max="11" width="4.42578125" bestFit="1" customWidth="1"/>
    <col min="12" max="12" width="13.85546875" bestFit="1" customWidth="1"/>
    <col min="13" max="13" width="10.28515625" bestFit="1" customWidth="1"/>
    <col min="14" max="14" width="9.42578125" bestFit="1" customWidth="1"/>
    <col min="15" max="15" width="7" bestFit="1" customWidth="1"/>
    <col min="16" max="16" width="8.28515625" bestFit="1" customWidth="1"/>
    <col min="17" max="17" width="10.5703125" bestFit="1" customWidth="1"/>
    <col min="18" max="18" width="8.28515625" bestFit="1" customWidth="1"/>
    <col min="19" max="19" width="5.140625" bestFit="1" customWidth="1"/>
    <col min="20" max="20" width="7" bestFit="1" customWidth="1"/>
    <col min="21" max="21" width="10.28515625" bestFit="1" customWidth="1"/>
  </cols>
  <sheetData>
    <row r="3" spans="1:1">
      <c r="A3" s="352" t="s">
        <v>74</v>
      </c>
    </row>
    <row r="4" spans="1:1">
      <c r="A4" s="353" t="s">
        <v>51</v>
      </c>
    </row>
    <row r="5" spans="1:1">
      <c r="A5" s="353" t="s">
        <v>36</v>
      </c>
    </row>
    <row r="6" spans="1:1">
      <c r="A6" s="354" t="s">
        <v>70</v>
      </c>
    </row>
    <row r="7" spans="1:1">
      <c r="A7" s="353" t="s">
        <v>1000</v>
      </c>
    </row>
    <row r="8" spans="1:1">
      <c r="A8" s="353" t="s">
        <v>35</v>
      </c>
    </row>
    <row r="9" spans="1:1">
      <c r="A9" s="354" t="s">
        <v>33</v>
      </c>
    </row>
    <row r="10" spans="1:1">
      <c r="A10" s="353" t="s">
        <v>22</v>
      </c>
    </row>
    <row r="11" spans="1:1">
      <c r="A11" s="354" t="s">
        <v>487</v>
      </c>
    </row>
    <row r="12" spans="1:1">
      <c r="A12" s="353" t="s">
        <v>15</v>
      </c>
    </row>
    <row r="13" spans="1:1">
      <c r="A13" s="353" t="s">
        <v>654</v>
      </c>
    </row>
    <row r="14" spans="1:1">
      <c r="A14" s="353" t="s">
        <v>91</v>
      </c>
    </row>
    <row r="15" spans="1:1">
      <c r="A15" s="353" t="s">
        <v>1015</v>
      </c>
    </row>
    <row r="16" spans="1:1">
      <c r="A16" s="353" t="s">
        <v>471</v>
      </c>
    </row>
    <row r="17" spans="1:1">
      <c r="A17" s="353" t="s">
        <v>24</v>
      </c>
    </row>
    <row r="18" spans="1:1">
      <c r="A18" s="353" t="s">
        <v>41</v>
      </c>
    </row>
    <row r="19" spans="1:1">
      <c r="A19" s="353" t="s">
        <v>6</v>
      </c>
    </row>
    <row r="20" spans="1:1">
      <c r="A20" s="353" t="s">
        <v>68</v>
      </c>
    </row>
    <row r="21" spans="1:1">
      <c r="A21" s="353" t="s">
        <v>11</v>
      </c>
    </row>
    <row r="22" spans="1:1">
      <c r="A22" s="353" t="s">
        <v>1457</v>
      </c>
    </row>
    <row r="23" spans="1:1">
      <c r="A23" s="353" t="s">
        <v>75</v>
      </c>
    </row>
  </sheetData>
  <pageMargins left="0.511811024" right="0.511811024" top="0.78740157499999996" bottom="0.78740157499999996" header="0.31496062000000002" footer="0.31496062000000002"/>
</worksheet>
</file>

<file path=xl/worksheets/sheet12.xml><?xml version="1.0" encoding="utf-8"?>
<worksheet xmlns="http://schemas.openxmlformats.org/spreadsheetml/2006/main" xmlns:r="http://schemas.openxmlformats.org/officeDocument/2006/relationships">
  <sheetPr codeName="Plan21"/>
  <dimension ref="A1:C94"/>
  <sheetViews>
    <sheetView workbookViewId="0">
      <selection activeCell="C27" sqref="C27"/>
    </sheetView>
  </sheetViews>
  <sheetFormatPr defaultRowHeight="15"/>
  <cols>
    <col min="2" max="2" width="14.140625" bestFit="1" customWidth="1"/>
    <col min="3" max="3" width="28.42578125" bestFit="1" customWidth="1"/>
  </cols>
  <sheetData>
    <row r="1" spans="1:3" s="1" customFormat="1">
      <c r="A1" s="1" t="s">
        <v>0</v>
      </c>
      <c r="B1" s="1" t="s">
        <v>1</v>
      </c>
      <c r="C1" s="1" t="s">
        <v>43</v>
      </c>
    </row>
    <row r="2" spans="1:3">
      <c r="B2" t="s">
        <v>51</v>
      </c>
      <c r="C2" t="s">
        <v>483</v>
      </c>
    </row>
    <row r="3" spans="1:3">
      <c r="B3" t="s">
        <v>51</v>
      </c>
      <c r="C3" t="s">
        <v>29</v>
      </c>
    </row>
    <row r="4" spans="1:3">
      <c r="B4" t="s">
        <v>51</v>
      </c>
      <c r="C4" t="s">
        <v>516</v>
      </c>
    </row>
    <row r="5" spans="1:3">
      <c r="B5" t="s">
        <v>51</v>
      </c>
      <c r="C5" t="s">
        <v>517</v>
      </c>
    </row>
    <row r="6" spans="1:3">
      <c r="B6" t="s">
        <v>51</v>
      </c>
      <c r="C6" t="s">
        <v>12</v>
      </c>
    </row>
    <row r="7" spans="1:3">
      <c r="B7" t="s">
        <v>51</v>
      </c>
      <c r="C7" t="s">
        <v>104</v>
      </c>
    </row>
    <row r="8" spans="1:3">
      <c r="B8" t="s">
        <v>51</v>
      </c>
      <c r="C8" t="s">
        <v>32</v>
      </c>
    </row>
    <row r="9" spans="1:3">
      <c r="B9" t="s">
        <v>51</v>
      </c>
      <c r="C9" t="s">
        <v>1087</v>
      </c>
    </row>
    <row r="10" spans="1:3">
      <c r="B10" t="s">
        <v>51</v>
      </c>
      <c r="C10" t="s">
        <v>54</v>
      </c>
    </row>
    <row r="11" spans="1:3">
      <c r="B11" t="s">
        <v>51</v>
      </c>
      <c r="C11" t="s">
        <v>105</v>
      </c>
    </row>
    <row r="12" spans="1:3">
      <c r="B12" t="s">
        <v>51</v>
      </c>
      <c r="C12" t="s">
        <v>31</v>
      </c>
    </row>
    <row r="13" spans="1:3">
      <c r="B13" t="s">
        <v>51</v>
      </c>
      <c r="C13" t="s">
        <v>9</v>
      </c>
    </row>
    <row r="14" spans="1:3">
      <c r="B14" t="s">
        <v>51</v>
      </c>
      <c r="C14" t="s">
        <v>7</v>
      </c>
    </row>
    <row r="15" spans="1:3">
      <c r="B15" t="s">
        <v>51</v>
      </c>
      <c r="C15" t="s">
        <v>1023</v>
      </c>
    </row>
    <row r="16" spans="1:3">
      <c r="B16" t="s">
        <v>36</v>
      </c>
      <c r="C16" t="s">
        <v>90</v>
      </c>
    </row>
    <row r="17" spans="2:3">
      <c r="B17" t="s">
        <v>36</v>
      </c>
      <c r="C17" t="s">
        <v>484</v>
      </c>
    </row>
    <row r="18" spans="2:3">
      <c r="B18" t="s">
        <v>36</v>
      </c>
      <c r="C18" t="s">
        <v>488</v>
      </c>
    </row>
    <row r="19" spans="2:3">
      <c r="B19" t="s">
        <v>36</v>
      </c>
      <c r="C19" t="s">
        <v>3</v>
      </c>
    </row>
    <row r="20" spans="2:3">
      <c r="B20" t="s">
        <v>70</v>
      </c>
      <c r="C20" t="s">
        <v>1201</v>
      </c>
    </row>
    <row r="21" spans="2:3">
      <c r="B21" t="s">
        <v>70</v>
      </c>
      <c r="C21" t="s">
        <v>58</v>
      </c>
    </row>
    <row r="22" spans="2:3">
      <c r="B22" t="s">
        <v>70</v>
      </c>
      <c r="C22" t="s">
        <v>61</v>
      </c>
    </row>
    <row r="23" spans="2:3">
      <c r="B23" t="s">
        <v>70</v>
      </c>
      <c r="C23" t="s">
        <v>59</v>
      </c>
    </row>
    <row r="24" spans="2:3">
      <c r="B24" t="s">
        <v>70</v>
      </c>
      <c r="C24" t="s">
        <v>67</v>
      </c>
    </row>
    <row r="25" spans="2:3">
      <c r="B25" t="s">
        <v>70</v>
      </c>
      <c r="C25" t="s">
        <v>651</v>
      </c>
    </row>
    <row r="26" spans="2:3">
      <c r="B26" t="s">
        <v>70</v>
      </c>
      <c r="C26" t="s">
        <v>80</v>
      </c>
    </row>
    <row r="27" spans="2:3">
      <c r="B27" t="s">
        <v>70</v>
      </c>
      <c r="C27" t="s">
        <v>57</v>
      </c>
    </row>
    <row r="28" spans="2:3">
      <c r="B28" t="s">
        <v>70</v>
      </c>
      <c r="C28" t="s">
        <v>65</v>
      </c>
    </row>
    <row r="29" spans="2:3">
      <c r="B29" t="s">
        <v>70</v>
      </c>
      <c r="C29" t="s">
        <v>95</v>
      </c>
    </row>
    <row r="30" spans="2:3">
      <c r="B30" t="s">
        <v>70</v>
      </c>
      <c r="C30" t="s">
        <v>56</v>
      </c>
    </row>
    <row r="31" spans="2:3">
      <c r="B31" t="s">
        <v>70</v>
      </c>
      <c r="C31" t="s">
        <v>60</v>
      </c>
    </row>
    <row r="32" spans="2:3">
      <c r="B32" t="s">
        <v>70</v>
      </c>
      <c r="C32" t="s">
        <v>55</v>
      </c>
    </row>
    <row r="33" spans="2:3">
      <c r="B33" t="s">
        <v>70</v>
      </c>
      <c r="C33" t="s">
        <v>1018</v>
      </c>
    </row>
    <row r="34" spans="2:3">
      <c r="B34" t="s">
        <v>70</v>
      </c>
      <c r="C34" t="s">
        <v>64</v>
      </c>
    </row>
    <row r="35" spans="2:3">
      <c r="B35" t="s">
        <v>70</v>
      </c>
      <c r="C35" t="s">
        <v>972</v>
      </c>
    </row>
    <row r="36" spans="2:3">
      <c r="B36" t="s">
        <v>70</v>
      </c>
      <c r="C36" t="s">
        <v>69</v>
      </c>
    </row>
    <row r="37" spans="2:3">
      <c r="B37" t="s">
        <v>70</v>
      </c>
      <c r="C37" t="s">
        <v>63</v>
      </c>
    </row>
    <row r="38" spans="2:3">
      <c r="B38" t="s">
        <v>70</v>
      </c>
      <c r="C38" t="s">
        <v>62</v>
      </c>
    </row>
    <row r="39" spans="2:3">
      <c r="B39" t="s">
        <v>70</v>
      </c>
      <c r="C39" t="s">
        <v>66</v>
      </c>
    </row>
    <row r="40" spans="2:3">
      <c r="B40" t="s">
        <v>70</v>
      </c>
      <c r="C40" t="s">
        <v>514</v>
      </c>
    </row>
    <row r="41" spans="2:3">
      <c r="B41" t="s">
        <v>1000</v>
      </c>
      <c r="C41" t="s">
        <v>999</v>
      </c>
    </row>
    <row r="42" spans="2:3">
      <c r="B42" t="s">
        <v>35</v>
      </c>
      <c r="C42" t="s">
        <v>37</v>
      </c>
    </row>
    <row r="43" spans="2:3">
      <c r="B43" t="s">
        <v>35</v>
      </c>
      <c r="C43" t="s">
        <v>39</v>
      </c>
    </row>
    <row r="44" spans="2:3">
      <c r="B44" t="s">
        <v>35</v>
      </c>
      <c r="C44" t="s">
        <v>34</v>
      </c>
    </row>
    <row r="45" spans="2:3">
      <c r="B45" t="s">
        <v>33</v>
      </c>
      <c r="C45" t="s">
        <v>36</v>
      </c>
    </row>
    <row r="46" spans="2:3">
      <c r="B46" t="s">
        <v>33</v>
      </c>
      <c r="C46" t="s">
        <v>38</v>
      </c>
    </row>
    <row r="47" spans="2:3">
      <c r="B47" t="s">
        <v>22</v>
      </c>
      <c r="C47" t="s">
        <v>27</v>
      </c>
    </row>
    <row r="48" spans="2:3">
      <c r="B48" t="s">
        <v>22</v>
      </c>
      <c r="C48" t="s">
        <v>21</v>
      </c>
    </row>
    <row r="49" spans="2:3">
      <c r="B49" t="s">
        <v>22</v>
      </c>
      <c r="C49" t="s">
        <v>25</v>
      </c>
    </row>
    <row r="50" spans="2:3">
      <c r="B50" t="s">
        <v>1015</v>
      </c>
      <c r="C50" t="s">
        <v>1014</v>
      </c>
    </row>
    <row r="51" spans="2:3">
      <c r="B51" t="s">
        <v>1015</v>
      </c>
      <c r="C51" t="s">
        <v>30</v>
      </c>
    </row>
    <row r="52" spans="2:3">
      <c r="B52" t="s">
        <v>487</v>
      </c>
      <c r="C52" t="s">
        <v>78</v>
      </c>
    </row>
    <row r="53" spans="2:3">
      <c r="B53" t="s">
        <v>487</v>
      </c>
      <c r="C53" t="s">
        <v>1019</v>
      </c>
    </row>
    <row r="54" spans="2:3">
      <c r="B54" t="s">
        <v>487</v>
      </c>
      <c r="C54" t="s">
        <v>1079</v>
      </c>
    </row>
    <row r="55" spans="2:3">
      <c r="B55" t="s">
        <v>15</v>
      </c>
      <c r="C55" t="s">
        <v>18</v>
      </c>
    </row>
    <row r="56" spans="2:3">
      <c r="B56" t="s">
        <v>15</v>
      </c>
      <c r="C56" t="s">
        <v>14</v>
      </c>
    </row>
    <row r="57" spans="2:3">
      <c r="B57" t="s">
        <v>15</v>
      </c>
      <c r="C57" t="s">
        <v>16</v>
      </c>
    </row>
    <row r="58" spans="2:3">
      <c r="B58" t="s">
        <v>15</v>
      </c>
      <c r="C58" t="s">
        <v>20</v>
      </c>
    </row>
    <row r="59" spans="2:3">
      <c r="B59" t="s">
        <v>15</v>
      </c>
      <c r="C59" t="s">
        <v>100</v>
      </c>
    </row>
    <row r="60" spans="2:3">
      <c r="B60" t="s">
        <v>654</v>
      </c>
      <c r="C60" t="s">
        <v>5</v>
      </c>
    </row>
    <row r="61" spans="2:3">
      <c r="B61" t="s">
        <v>654</v>
      </c>
      <c r="C61" t="s">
        <v>10</v>
      </c>
    </row>
    <row r="62" spans="2:3">
      <c r="B62" t="s">
        <v>654</v>
      </c>
      <c r="C62" t="s">
        <v>92</v>
      </c>
    </row>
    <row r="63" spans="2:3">
      <c r="B63" t="s">
        <v>654</v>
      </c>
      <c r="C63" t="s">
        <v>13</v>
      </c>
    </row>
    <row r="64" spans="2:3">
      <c r="B64" t="s">
        <v>91</v>
      </c>
      <c r="C64" t="s">
        <v>91</v>
      </c>
    </row>
    <row r="65" spans="2:3">
      <c r="B65" t="s">
        <v>91</v>
      </c>
      <c r="C65" t="s">
        <v>91</v>
      </c>
    </row>
    <row r="66" spans="2:3">
      <c r="B66" t="s">
        <v>1015</v>
      </c>
      <c r="C66" t="s">
        <v>1056</v>
      </c>
    </row>
    <row r="67" spans="2:3">
      <c r="B67" t="s">
        <v>1015</v>
      </c>
      <c r="C67" t="s">
        <v>1057</v>
      </c>
    </row>
    <row r="68" spans="2:3">
      <c r="B68" t="s">
        <v>1015</v>
      </c>
      <c r="C68" t="s">
        <v>1058</v>
      </c>
    </row>
    <row r="69" spans="2:3">
      <c r="B69" t="s">
        <v>1015</v>
      </c>
      <c r="C69" t="s">
        <v>1010</v>
      </c>
    </row>
    <row r="70" spans="2:3">
      <c r="B70" t="s">
        <v>1015</v>
      </c>
      <c r="C70" t="s">
        <v>1064</v>
      </c>
    </row>
    <row r="71" spans="2:3">
      <c r="B71" t="s">
        <v>1015</v>
      </c>
      <c r="C71" t="s">
        <v>1096</v>
      </c>
    </row>
    <row r="72" spans="2:3">
      <c r="B72" t="s">
        <v>1015</v>
      </c>
      <c r="C72" t="s">
        <v>1097</v>
      </c>
    </row>
    <row r="73" spans="2:3">
      <c r="B73" t="s">
        <v>24</v>
      </c>
      <c r="C73" t="s">
        <v>23</v>
      </c>
    </row>
    <row r="74" spans="2:3">
      <c r="B74" t="s">
        <v>24</v>
      </c>
      <c r="C74" t="s">
        <v>486</v>
      </c>
    </row>
    <row r="75" spans="2:3">
      <c r="B75" t="s">
        <v>24</v>
      </c>
      <c r="C75" t="s">
        <v>28</v>
      </c>
    </row>
    <row r="76" spans="2:3">
      <c r="B76" t="s">
        <v>24</v>
      </c>
      <c r="C76" t="s">
        <v>26</v>
      </c>
    </row>
    <row r="77" spans="2:3">
      <c r="B77" t="s">
        <v>471</v>
      </c>
      <c r="C77" t="s">
        <v>1094</v>
      </c>
    </row>
    <row r="78" spans="2:3">
      <c r="B78" t="s">
        <v>471</v>
      </c>
      <c r="C78" t="s">
        <v>1095</v>
      </c>
    </row>
    <row r="79" spans="2:3">
      <c r="B79" t="s">
        <v>471</v>
      </c>
      <c r="C79" t="s">
        <v>1110</v>
      </c>
    </row>
    <row r="80" spans="2:3">
      <c r="B80" t="s">
        <v>41</v>
      </c>
      <c r="C80" t="s">
        <v>98</v>
      </c>
    </row>
    <row r="81" spans="2:3">
      <c r="B81" t="s">
        <v>41</v>
      </c>
      <c r="C81" t="s">
        <v>40</v>
      </c>
    </row>
    <row r="82" spans="2:3">
      <c r="B82" t="s">
        <v>41</v>
      </c>
      <c r="C82" t="s">
        <v>97</v>
      </c>
    </row>
    <row r="83" spans="2:3">
      <c r="B83" t="s">
        <v>41</v>
      </c>
      <c r="C83" t="s">
        <v>501</v>
      </c>
    </row>
    <row r="84" spans="2:3">
      <c r="B84" t="s">
        <v>41</v>
      </c>
      <c r="C84" t="s">
        <v>106</v>
      </c>
    </row>
    <row r="85" spans="2:3">
      <c r="B85" t="s">
        <v>41</v>
      </c>
      <c r="C85" t="s">
        <v>96</v>
      </c>
    </row>
    <row r="86" spans="2:3">
      <c r="B86" t="s">
        <v>6</v>
      </c>
      <c r="C86" t="s">
        <v>498</v>
      </c>
    </row>
    <row r="87" spans="2:3">
      <c r="B87" t="s">
        <v>6</v>
      </c>
      <c r="C87" t="s">
        <v>1024</v>
      </c>
    </row>
    <row r="88" spans="2:3">
      <c r="B88" t="s">
        <v>6</v>
      </c>
      <c r="C88" t="s">
        <v>493</v>
      </c>
    </row>
    <row r="89" spans="2:3">
      <c r="B89" t="s">
        <v>6</v>
      </c>
      <c r="C89" t="s">
        <v>8</v>
      </c>
    </row>
    <row r="90" spans="2:3">
      <c r="B90" t="s">
        <v>68</v>
      </c>
      <c r="C90" t="s">
        <v>68</v>
      </c>
    </row>
    <row r="91" spans="2:3">
      <c r="B91" t="s">
        <v>68</v>
      </c>
      <c r="C91" t="s">
        <v>68</v>
      </c>
    </row>
    <row r="92" spans="2:3">
      <c r="B92" t="s">
        <v>11</v>
      </c>
      <c r="C92" t="s">
        <v>19</v>
      </c>
    </row>
    <row r="93" spans="2:3">
      <c r="B93" t="s">
        <v>11</v>
      </c>
      <c r="C93" t="s">
        <v>102</v>
      </c>
    </row>
    <row r="94" spans="2:3">
      <c r="B94" t="s">
        <v>11</v>
      </c>
      <c r="C94" t="s">
        <v>17</v>
      </c>
    </row>
  </sheetData>
  <pageMargins left="0.511811024" right="0.511811024" top="0.78740157499999996" bottom="0.78740157499999996" header="0.31496062000000002" footer="0.31496062000000002"/>
  <pageSetup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>
  <sheetPr codeName="Plan7">
    <pageSetUpPr fitToPage="1"/>
  </sheetPr>
  <dimension ref="A2:AJQ124"/>
  <sheetViews>
    <sheetView zoomScaleSheetLayoutView="85" workbookViewId="0">
      <pane xSplit="1" ySplit="5" topLeftCell="B6" activePane="bottomRight" state="frozen"/>
      <selection activeCell="A825" activeCellId="19" sqref="A1072:XFD1072 A1059:XFD1059 A1046:XFD1046 A1033:XFD1033 A1020:XFD1020 A1007:XFD1007 A994:XFD994 A981:XFD981 A968:XFD968 A955:XFD955 A942:XFD942 A929:XFD929 A916:XFD916 A903:XFD903 A890:XFD890 A877:XFD877 A864:XFD864 A851:XFD851 A838:XFD838 A825:XFD825"/>
      <selection pane="topRight" activeCell="A825" activeCellId="19" sqref="A1072:XFD1072 A1059:XFD1059 A1046:XFD1046 A1033:XFD1033 A1020:XFD1020 A1007:XFD1007 A994:XFD994 A981:XFD981 A968:XFD968 A955:XFD955 A942:XFD942 A929:XFD929 A916:XFD916 A903:XFD903 A890:XFD890 A877:XFD877 A864:XFD864 A851:XFD851 A838:XFD838 A825:XFD825"/>
      <selection pane="bottomLeft" activeCell="A825" activeCellId="19" sqref="A1072:XFD1072 A1059:XFD1059 A1046:XFD1046 A1033:XFD1033 A1020:XFD1020 A1007:XFD1007 A994:XFD994 A981:XFD981 A968:XFD968 A955:XFD955 A942:XFD942 A929:XFD929 A916:XFD916 A903:XFD903 A890:XFD890 A877:XFD877 A864:XFD864 A851:XFD851 A838:XFD838 A825:XFD825"/>
      <selection pane="bottomRight" activeCell="B5" sqref="B5"/>
    </sheetView>
  </sheetViews>
  <sheetFormatPr defaultRowHeight="15"/>
  <cols>
    <col min="1" max="1" width="38.28515625" customWidth="1"/>
    <col min="2" max="2" width="19.5703125" customWidth="1"/>
    <col min="3" max="5" width="9.28515625" bestFit="1" customWidth="1"/>
    <col min="6" max="8" width="9.28515625" style="3" bestFit="1" customWidth="1"/>
    <col min="9" max="12" width="9.28515625" bestFit="1" customWidth="1"/>
    <col min="13" max="13" width="9.28515625" style="3" bestFit="1" customWidth="1"/>
    <col min="14" max="14" width="10.28515625" customWidth="1"/>
    <col min="15" max="15" width="6.85546875" customWidth="1"/>
    <col min="16" max="16" width="6.42578125" customWidth="1"/>
    <col min="17" max="17" width="6.85546875" customWidth="1"/>
    <col min="18" max="18" width="6.42578125" customWidth="1"/>
    <col min="19" max="19" width="6.85546875" customWidth="1"/>
    <col min="20" max="20" width="6.42578125" customWidth="1"/>
    <col min="21" max="22" width="6.85546875" customWidth="1"/>
    <col min="23" max="23" width="6.42578125" customWidth="1"/>
    <col min="24" max="26" width="6.85546875" customWidth="1"/>
    <col min="27" max="27" width="6.42578125" customWidth="1"/>
    <col min="28" max="28" width="5.28515625" customWidth="1"/>
    <col min="29" max="32" width="5.85546875" customWidth="1"/>
    <col min="33" max="33" width="6.42578125" customWidth="1"/>
    <col min="34" max="34" width="5.28515625" customWidth="1"/>
    <col min="35" max="35" width="5.85546875" customWidth="1"/>
    <col min="36" max="36" width="5.28515625" customWidth="1"/>
    <col min="37" max="37" width="6.42578125" customWidth="1"/>
    <col min="38" max="40" width="5.85546875" customWidth="1"/>
    <col min="41" max="41" width="5.7109375" customWidth="1"/>
    <col min="42" max="43" width="6.140625" customWidth="1"/>
    <col min="44" max="45" width="6.7109375" customWidth="1"/>
    <col min="46" max="46" width="8.140625" customWidth="1"/>
    <col min="47" max="47" width="8.85546875" customWidth="1"/>
    <col min="48" max="48" width="7.85546875" customWidth="1"/>
    <col min="49" max="49" width="7.42578125" customWidth="1"/>
    <col min="50" max="51" width="6.85546875" customWidth="1"/>
    <col min="52" max="52" width="6.42578125" customWidth="1"/>
    <col min="53" max="53" width="6.85546875" customWidth="1"/>
    <col min="54" max="55" width="6.42578125" customWidth="1"/>
    <col min="56" max="57" width="6.85546875" customWidth="1"/>
    <col min="58" max="58" width="6.42578125" customWidth="1"/>
    <col min="59" max="61" width="6.85546875" customWidth="1"/>
    <col min="62" max="62" width="6.42578125" customWidth="1"/>
    <col min="63" max="63" width="6.85546875" customWidth="1"/>
    <col min="64" max="64" width="6.42578125" customWidth="1"/>
    <col min="65" max="65" width="6.85546875" customWidth="1"/>
    <col min="66" max="66" width="6.42578125" customWidth="1"/>
    <col min="67" max="67" width="5.85546875" customWidth="1"/>
    <col min="68" max="69" width="5.28515625" customWidth="1"/>
    <col min="70" max="71" width="5.85546875" customWidth="1"/>
    <col min="72" max="72" width="6.42578125" customWidth="1"/>
    <col min="73" max="73" width="5.85546875" customWidth="1"/>
    <col min="74" max="74" width="5.7109375" customWidth="1"/>
    <col min="75" max="76" width="6.140625" customWidth="1"/>
    <col min="77" max="78" width="6.7109375" customWidth="1"/>
    <col min="79" max="79" width="8.85546875" customWidth="1"/>
    <col min="80" max="82" width="7.85546875" customWidth="1"/>
    <col min="83" max="83" width="7.42578125" customWidth="1"/>
    <col min="84" max="85" width="7.85546875" customWidth="1"/>
    <col min="86" max="90" width="6.85546875" customWidth="1"/>
    <col min="91" max="91" width="6.42578125" customWidth="1"/>
    <col min="92" max="93" width="6.85546875" customWidth="1"/>
    <col min="94" max="95" width="6.42578125" customWidth="1"/>
    <col min="96" max="96" width="6.85546875" customWidth="1"/>
    <col min="97" max="97" width="6.42578125" customWidth="1"/>
    <col min="98" max="101" width="6.85546875" customWidth="1"/>
    <col min="102" max="102" width="6.42578125" customWidth="1"/>
    <col min="103" max="104" width="6.85546875" customWidth="1"/>
    <col min="105" max="112" width="6.42578125" customWidth="1"/>
    <col min="113" max="113" width="6.85546875" customWidth="1"/>
    <col min="114" max="115" width="6.42578125" customWidth="1"/>
    <col min="116" max="116" width="6.85546875" customWidth="1"/>
    <col min="117" max="119" width="6.42578125" customWidth="1"/>
    <col min="120" max="122" width="6.85546875" customWidth="1"/>
    <col min="123" max="125" width="6.42578125" customWidth="1"/>
    <col min="126" max="127" width="5.28515625" customWidth="1"/>
    <col min="128" max="128" width="6.42578125" customWidth="1"/>
    <col min="129" max="133" width="5.28515625" customWidth="1"/>
    <col min="134" max="134" width="6.42578125" customWidth="1"/>
    <col min="135" max="135" width="5.85546875" customWidth="1"/>
    <col min="136" max="138" width="5.28515625" customWidth="1"/>
    <col min="139" max="139" width="5.7109375" customWidth="1"/>
    <col min="140" max="141" width="6.140625" customWidth="1"/>
    <col min="142" max="145" width="6.7109375" customWidth="1"/>
    <col min="146" max="147" width="8.140625" customWidth="1"/>
    <col min="148" max="148" width="9.28515625" customWidth="1"/>
    <col min="149" max="153" width="7.85546875" customWidth="1"/>
    <col min="154" max="154" width="6.42578125" customWidth="1"/>
    <col min="155" max="156" width="6.85546875" customWidth="1"/>
    <col min="157" max="158" width="6.42578125" customWidth="1"/>
    <col min="159" max="161" width="6.85546875" customWidth="1"/>
    <col min="162" max="164" width="6.42578125" customWidth="1"/>
    <col min="165" max="165" width="6.85546875" customWidth="1"/>
    <col min="166" max="166" width="6.42578125" customWidth="1"/>
    <col min="167" max="167" width="6.85546875" customWidth="1"/>
    <col min="168" max="168" width="6.42578125" customWidth="1"/>
    <col min="169" max="170" width="6.85546875" customWidth="1"/>
    <col min="171" max="173" width="6.42578125" customWidth="1"/>
    <col min="174" max="174" width="5.28515625" customWidth="1"/>
    <col min="175" max="175" width="6.42578125" customWidth="1"/>
    <col min="176" max="176" width="5.28515625" customWidth="1"/>
    <col min="177" max="178" width="5.85546875" customWidth="1"/>
    <col min="179" max="179" width="5.28515625" customWidth="1"/>
    <col min="180" max="180" width="5.85546875" customWidth="1"/>
    <col min="181" max="181" width="5.28515625" customWidth="1"/>
    <col min="182" max="183" width="5.85546875" customWidth="1"/>
    <col min="184" max="184" width="6.42578125" customWidth="1"/>
    <col min="185" max="185" width="5.85546875" customWidth="1"/>
    <col min="186" max="187" width="6.140625" customWidth="1"/>
    <col min="188" max="188" width="6.7109375" customWidth="1"/>
    <col min="189" max="189" width="8.85546875" customWidth="1"/>
    <col min="190" max="190" width="7.85546875" customWidth="1"/>
    <col min="191" max="193" width="7.42578125" customWidth="1"/>
    <col min="194" max="195" width="7.85546875" customWidth="1"/>
    <col min="196" max="197" width="7.42578125" customWidth="1"/>
    <col min="198" max="198" width="7.85546875" customWidth="1"/>
    <col min="199" max="199" width="6.85546875" customWidth="1"/>
    <col min="200" max="201" width="6.42578125" customWidth="1"/>
    <col min="202" max="202" width="6.85546875" customWidth="1"/>
    <col min="203" max="203" width="6.42578125" customWidth="1"/>
    <col min="204" max="204" width="6.85546875" customWidth="1"/>
    <col min="205" max="205" width="6.42578125" customWidth="1"/>
    <col min="206" max="211" width="6.85546875" customWidth="1"/>
    <col min="212" max="215" width="6.42578125" customWidth="1"/>
    <col min="216" max="218" width="6.85546875" customWidth="1"/>
    <col min="219" max="220" width="6.42578125" customWidth="1"/>
    <col min="221" max="221" width="6.85546875" customWidth="1"/>
    <col min="222" max="223" width="6.42578125" customWidth="1"/>
    <col min="224" max="224" width="6.85546875" customWidth="1"/>
    <col min="225" max="228" width="6.42578125" customWidth="1"/>
    <col min="229" max="229" width="6.85546875" customWidth="1"/>
    <col min="230" max="231" width="5.85546875" customWidth="1"/>
    <col min="232" max="233" width="5.28515625" customWidth="1"/>
    <col min="234" max="238" width="5.85546875" customWidth="1"/>
    <col min="239" max="240" width="6.140625" customWidth="1"/>
    <col min="241" max="241" width="6.7109375" customWidth="1"/>
    <col min="242" max="243" width="8.140625" customWidth="1"/>
    <col min="244" max="244" width="9.140625" customWidth="1"/>
    <col min="245" max="247" width="7.85546875" customWidth="1"/>
    <col min="248" max="250" width="6.85546875" customWidth="1"/>
    <col min="251" max="252" width="6.42578125" customWidth="1"/>
    <col min="253" max="259" width="6.85546875" customWidth="1"/>
    <col min="260" max="260" width="6.42578125" customWidth="1"/>
    <col min="261" max="261" width="6.85546875" customWidth="1"/>
    <col min="262" max="262" width="6.42578125" customWidth="1"/>
    <col min="263" max="263" width="6.85546875" customWidth="1"/>
    <col min="264" max="265" width="6.42578125" customWidth="1"/>
    <col min="266" max="267" width="6.85546875" customWidth="1"/>
    <col min="268" max="269" width="6.42578125" customWidth="1"/>
    <col min="270" max="272" width="6.85546875" customWidth="1"/>
    <col min="273" max="274" width="6.42578125" customWidth="1"/>
    <col min="275" max="277" width="6.85546875" customWidth="1"/>
    <col min="278" max="278" width="6.42578125" customWidth="1"/>
    <col min="279" max="279" width="6.85546875" customWidth="1"/>
    <col min="280" max="280" width="5.85546875" customWidth="1"/>
    <col min="281" max="281" width="6.42578125" customWidth="1"/>
    <col min="282" max="283" width="5.85546875" customWidth="1"/>
    <col min="284" max="284" width="5.28515625" customWidth="1"/>
    <col min="285" max="286" width="5.85546875" customWidth="1"/>
    <col min="287" max="290" width="5.28515625" customWidth="1"/>
    <col min="291" max="292" width="5.85546875" customWidth="1"/>
    <col min="293" max="293" width="5.7109375" customWidth="1"/>
    <col min="294" max="295" width="6.140625" customWidth="1"/>
    <col min="296" max="298" width="6.7109375" customWidth="1"/>
    <col min="299" max="299" width="8.85546875" customWidth="1"/>
    <col min="300" max="300" width="7.42578125" customWidth="1"/>
    <col min="301" max="301" width="7.85546875" customWidth="1"/>
    <col min="302" max="302" width="7.42578125" customWidth="1"/>
    <col min="303" max="303" width="7.85546875" customWidth="1"/>
    <col min="304" max="305" width="6.85546875" customWidth="1"/>
    <col min="306" max="306" width="6.42578125" customWidth="1"/>
    <col min="307" max="307" width="6.85546875" customWidth="1"/>
    <col min="308" max="309" width="6.42578125" customWidth="1"/>
    <col min="310" max="310" width="6.85546875" customWidth="1"/>
    <col min="311" max="313" width="6.42578125" customWidth="1"/>
    <col min="314" max="316" width="6.85546875" customWidth="1"/>
    <col min="317" max="318" width="6.42578125" customWidth="1"/>
    <col min="319" max="319" width="6.85546875" customWidth="1"/>
    <col min="320" max="321" width="6.42578125" customWidth="1"/>
    <col min="322" max="323" width="6.85546875" customWidth="1"/>
    <col min="324" max="326" width="6.42578125" customWidth="1"/>
    <col min="327" max="328" width="6.85546875" customWidth="1"/>
    <col min="329" max="329" width="6.42578125" customWidth="1"/>
    <col min="330" max="330" width="6.85546875" customWidth="1"/>
    <col min="331" max="331" width="6.42578125" customWidth="1"/>
    <col min="332" max="332" width="5.85546875" customWidth="1"/>
    <col min="333" max="333" width="5.28515625" customWidth="1"/>
    <col min="334" max="335" width="5.85546875" customWidth="1"/>
    <col min="336" max="336" width="5.28515625" customWidth="1"/>
    <col min="337" max="337" width="6.42578125" customWidth="1"/>
    <col min="338" max="338" width="5.85546875" customWidth="1"/>
    <col min="339" max="345" width="5.28515625" customWidth="1"/>
    <col min="346" max="346" width="4.7109375" customWidth="1"/>
    <col min="347" max="348" width="6.140625" customWidth="1"/>
    <col min="349" max="351" width="6.7109375" customWidth="1"/>
    <col min="352" max="352" width="8.140625" customWidth="1"/>
    <col min="353" max="353" width="8.85546875" customWidth="1"/>
    <col min="354" max="355" width="7.85546875" customWidth="1"/>
    <col min="356" max="357" width="7.42578125" customWidth="1"/>
    <col min="358" max="359" width="7.85546875" customWidth="1"/>
    <col min="360" max="365" width="6.85546875" customWidth="1"/>
    <col min="366" max="367" width="6.42578125" customWidth="1"/>
    <col min="368" max="368" width="6.85546875" customWidth="1"/>
    <col min="369" max="370" width="6.42578125" customWidth="1"/>
    <col min="371" max="374" width="6.85546875" customWidth="1"/>
    <col min="375" max="375" width="6.42578125" customWidth="1"/>
    <col min="376" max="376" width="6.85546875" customWidth="1"/>
    <col min="377" max="377" width="6.42578125" customWidth="1"/>
    <col min="378" max="379" width="6.85546875" customWidth="1"/>
    <col min="380" max="380" width="6.42578125" customWidth="1"/>
    <col min="381" max="381" width="6.85546875" customWidth="1"/>
    <col min="382" max="383" width="6.42578125" customWidth="1"/>
    <col min="384" max="384" width="6.85546875" customWidth="1"/>
    <col min="385" max="385" width="6.42578125" customWidth="1"/>
    <col min="386" max="386" width="6.85546875" customWidth="1"/>
    <col min="387" max="389" width="6.42578125" customWidth="1"/>
    <col min="390" max="390" width="6.85546875" customWidth="1"/>
    <col min="391" max="394" width="6.42578125" customWidth="1"/>
    <col min="395" max="398" width="5.28515625" customWidth="1"/>
    <col min="399" max="399" width="5.85546875" customWidth="1"/>
    <col min="400" max="400" width="6.42578125" customWidth="1"/>
    <col min="401" max="402" width="5.85546875" customWidth="1"/>
    <col min="403" max="405" width="5.28515625" customWidth="1"/>
    <col min="406" max="406" width="5.85546875" customWidth="1"/>
    <col min="407" max="408" width="5.7109375" customWidth="1"/>
    <col min="409" max="410" width="6.140625" customWidth="1"/>
    <col min="411" max="414" width="6.7109375" customWidth="1"/>
    <col min="415" max="415" width="9" customWidth="1"/>
    <col min="416" max="417" width="7.85546875" customWidth="1"/>
    <col min="418" max="419" width="6.85546875" customWidth="1"/>
    <col min="420" max="420" width="6.42578125" customWidth="1"/>
    <col min="421" max="426" width="6.85546875" customWidth="1"/>
    <col min="427" max="427" width="6.42578125" customWidth="1"/>
    <col min="428" max="428" width="6.85546875" customWidth="1"/>
    <col min="429" max="429" width="6.42578125" customWidth="1"/>
    <col min="430" max="431" width="6.85546875" customWidth="1"/>
    <col min="432" max="433" width="6.42578125" customWidth="1"/>
    <col min="434" max="436" width="6.85546875" customWidth="1"/>
    <col min="437" max="444" width="6.42578125" customWidth="1"/>
    <col min="445" max="445" width="6.85546875" customWidth="1"/>
    <col min="446" max="446" width="6.42578125" customWidth="1"/>
    <col min="447" max="447" width="5.85546875" customWidth="1"/>
    <col min="448" max="448" width="5.28515625" customWidth="1"/>
    <col min="449" max="449" width="5.85546875" customWidth="1"/>
    <col min="450" max="451" width="5.28515625" customWidth="1"/>
    <col min="452" max="452" width="6.42578125" customWidth="1"/>
    <col min="453" max="454" width="5.85546875" customWidth="1"/>
    <col min="455" max="456" width="6.140625" customWidth="1"/>
    <col min="457" max="459" width="6.7109375" customWidth="1"/>
    <col min="460" max="460" width="8.140625" customWidth="1"/>
    <col min="461" max="461" width="8.85546875" customWidth="1"/>
    <col min="462" max="467" width="7.42578125" customWidth="1"/>
    <col min="468" max="468" width="7.85546875" customWidth="1"/>
    <col min="469" max="470" width="6.85546875" customWidth="1"/>
    <col min="471" max="472" width="6.42578125" customWidth="1"/>
    <col min="473" max="473" width="6.85546875" customWidth="1"/>
    <col min="474" max="475" width="6.42578125" customWidth="1"/>
    <col min="476" max="478" width="6.85546875" customWidth="1"/>
    <col min="479" max="485" width="6.42578125" customWidth="1"/>
    <col min="486" max="487" width="6.85546875" customWidth="1"/>
    <col min="488" max="488" width="6.42578125" customWidth="1"/>
    <col min="489" max="490" width="6.85546875" customWidth="1"/>
    <col min="491" max="491" width="6.42578125" customWidth="1"/>
    <col min="492" max="495" width="6.85546875" customWidth="1"/>
    <col min="496" max="498" width="6.42578125" customWidth="1"/>
    <col min="499" max="499" width="6.85546875" customWidth="1"/>
    <col min="500" max="502" width="6.42578125" customWidth="1"/>
    <col min="503" max="505" width="5.85546875" customWidth="1"/>
    <col min="506" max="506" width="5.28515625" customWidth="1"/>
    <col min="507" max="508" width="5.85546875" customWidth="1"/>
    <col min="509" max="512" width="6.7109375" customWidth="1"/>
    <col min="513" max="513" width="8.85546875" customWidth="1"/>
    <col min="514" max="519" width="7.42578125" customWidth="1"/>
    <col min="520" max="520" width="7.85546875" customWidth="1"/>
    <col min="521" max="521" width="7.42578125" customWidth="1"/>
    <col min="522" max="522" width="6.85546875" customWidth="1"/>
    <col min="523" max="525" width="6.42578125" customWidth="1"/>
    <col min="526" max="526" width="6.85546875" customWidth="1"/>
    <col min="527" max="529" width="6.42578125" customWidth="1"/>
    <col min="530" max="530" width="5.7109375" customWidth="1"/>
    <col min="531" max="532" width="6.140625" customWidth="1"/>
    <col min="533" max="533" width="6.7109375" customWidth="1"/>
    <col min="534" max="534" width="7" customWidth="1"/>
    <col min="536" max="541" width="7.42578125" customWidth="1"/>
    <col min="542" max="542" width="7.85546875" customWidth="1"/>
    <col min="543" max="543" width="7.42578125" customWidth="1"/>
    <col min="544" max="544" width="6.85546875" customWidth="1"/>
    <col min="545" max="547" width="6.42578125" customWidth="1"/>
    <col min="548" max="548" width="6.85546875" customWidth="1"/>
    <col min="549" max="551" width="6.42578125" customWidth="1"/>
    <col min="552" max="552" width="5.7109375" customWidth="1"/>
    <col min="553" max="554" width="6.140625" customWidth="1"/>
    <col min="555" max="555" width="6.7109375" customWidth="1"/>
    <col min="556" max="556" width="7" customWidth="1"/>
    <col min="557" max="557" width="9" customWidth="1"/>
    <col min="558" max="561" width="12" bestFit="1" customWidth="1"/>
    <col min="562" max="563" width="13.5703125" bestFit="1" customWidth="1"/>
    <col min="564" max="564" width="10.85546875" bestFit="1" customWidth="1"/>
    <col min="565" max="565" width="13.5703125" bestFit="1" customWidth="1"/>
    <col min="566" max="567" width="10.85546875" bestFit="1" customWidth="1"/>
    <col min="568" max="568" width="13.5703125" bestFit="1" customWidth="1"/>
    <col min="569" max="569" width="10.85546875" bestFit="1" customWidth="1"/>
    <col min="570" max="575" width="13.5703125" bestFit="1" customWidth="1"/>
    <col min="576" max="576" width="10.85546875" bestFit="1" customWidth="1"/>
    <col min="577" max="580" width="13.5703125" bestFit="1" customWidth="1"/>
    <col min="581" max="581" width="10.85546875" bestFit="1" customWidth="1"/>
    <col min="582" max="583" width="13.5703125" bestFit="1" customWidth="1"/>
    <col min="584" max="585" width="10.85546875" bestFit="1" customWidth="1"/>
    <col min="586" max="586" width="12.5703125" bestFit="1" customWidth="1"/>
    <col min="587" max="587" width="10.85546875" bestFit="1" customWidth="1"/>
    <col min="588" max="588" width="13.5703125" bestFit="1" customWidth="1"/>
    <col min="589" max="589" width="10.85546875" bestFit="1" customWidth="1"/>
    <col min="590" max="593" width="13.5703125" bestFit="1" customWidth="1"/>
    <col min="594" max="595" width="10.85546875" bestFit="1" customWidth="1"/>
    <col min="596" max="597" width="12.5703125" bestFit="1" customWidth="1"/>
    <col min="598" max="599" width="13.5703125" bestFit="1" customWidth="1"/>
    <col min="600" max="600" width="10.85546875" bestFit="1" customWidth="1"/>
    <col min="601" max="601" width="12.5703125" bestFit="1" customWidth="1"/>
    <col min="602" max="603" width="13.5703125" bestFit="1" customWidth="1"/>
    <col min="604" max="604" width="12.5703125" bestFit="1" customWidth="1"/>
    <col min="605" max="605" width="10.85546875" bestFit="1" customWidth="1"/>
    <col min="606" max="608" width="13.5703125" bestFit="1" customWidth="1"/>
    <col min="609" max="609" width="12.5703125" bestFit="1" customWidth="1"/>
    <col min="610" max="614" width="13.5703125" bestFit="1" customWidth="1"/>
    <col min="615" max="615" width="10.85546875" bestFit="1" customWidth="1"/>
    <col min="616" max="617" width="12.5703125" bestFit="1" customWidth="1"/>
    <col min="618" max="618" width="9.85546875" bestFit="1" customWidth="1"/>
    <col min="619" max="622" width="12.5703125" bestFit="1" customWidth="1"/>
    <col min="623" max="623" width="9.85546875" bestFit="1" customWidth="1"/>
    <col min="624" max="626" width="12.5703125" bestFit="1" customWidth="1"/>
    <col min="627" max="627" width="9.85546875" bestFit="1" customWidth="1"/>
    <col min="628" max="628" width="12.5703125" bestFit="1" customWidth="1"/>
    <col min="629" max="629" width="11.5703125" bestFit="1" customWidth="1"/>
    <col min="630" max="631" width="12.5703125" bestFit="1" customWidth="1"/>
    <col min="632" max="632" width="11.5703125" bestFit="1" customWidth="1"/>
    <col min="633" max="634" width="12.5703125" bestFit="1" customWidth="1"/>
    <col min="635" max="635" width="9.85546875" bestFit="1" customWidth="1"/>
    <col min="636" max="636" width="11.5703125" bestFit="1" customWidth="1"/>
    <col min="637" max="637" width="12.5703125" bestFit="1" customWidth="1"/>
    <col min="638" max="638" width="9.85546875" bestFit="1" customWidth="1"/>
    <col min="639" max="639" width="11.5703125" bestFit="1" customWidth="1"/>
    <col min="640" max="642" width="12.5703125" bestFit="1" customWidth="1"/>
    <col min="643" max="643" width="9.85546875" bestFit="1" customWidth="1"/>
    <col min="644" max="649" width="12.5703125" bestFit="1" customWidth="1"/>
    <col min="650" max="650" width="11.5703125" bestFit="1" customWidth="1"/>
    <col min="651" max="652" width="12.5703125" bestFit="1" customWidth="1"/>
    <col min="653" max="654" width="11.5703125" bestFit="1" customWidth="1"/>
    <col min="655" max="658" width="12.5703125" bestFit="1" customWidth="1"/>
    <col min="659" max="659" width="9.85546875" bestFit="1" customWidth="1"/>
    <col min="660" max="660" width="11.5703125" bestFit="1" customWidth="1"/>
    <col min="661" max="662" width="12.5703125" bestFit="1" customWidth="1"/>
    <col min="663" max="664" width="11.5703125" bestFit="1" customWidth="1"/>
    <col min="665" max="667" width="12.5703125" bestFit="1" customWidth="1"/>
    <col min="668" max="668" width="11.5703125" bestFit="1" customWidth="1"/>
    <col min="669" max="672" width="12.5703125" bestFit="1" customWidth="1"/>
    <col min="673" max="673" width="9.85546875" bestFit="1" customWidth="1"/>
    <col min="674" max="674" width="11.5703125" bestFit="1" customWidth="1"/>
    <col min="675" max="686" width="12.5703125" bestFit="1" customWidth="1"/>
    <col min="687" max="688" width="9.85546875" bestFit="1" customWidth="1"/>
    <col min="689" max="689" width="12.5703125" bestFit="1" customWidth="1"/>
    <col min="690" max="690" width="9.85546875" bestFit="1" customWidth="1"/>
    <col min="691" max="691" width="12.5703125" bestFit="1" customWidth="1"/>
    <col min="692" max="692" width="9.85546875" bestFit="1" customWidth="1"/>
    <col min="693" max="693" width="11.5703125" bestFit="1" customWidth="1"/>
    <col min="694" max="698" width="12.5703125" bestFit="1" customWidth="1"/>
    <col min="699" max="699" width="11.5703125" bestFit="1" customWidth="1"/>
    <col min="700" max="707" width="12.5703125" bestFit="1" customWidth="1"/>
    <col min="708" max="708" width="9.85546875" bestFit="1" customWidth="1"/>
    <col min="709" max="710" width="12.5703125" bestFit="1" customWidth="1"/>
    <col min="711" max="711" width="9.85546875" bestFit="1" customWidth="1"/>
    <col min="712" max="712" width="11.5703125" bestFit="1" customWidth="1"/>
    <col min="713" max="713" width="12.5703125" bestFit="1" customWidth="1"/>
    <col min="714" max="714" width="11.5703125" bestFit="1" customWidth="1"/>
    <col min="715" max="715" width="12.5703125" bestFit="1" customWidth="1"/>
    <col min="716" max="718" width="11.5703125" bestFit="1" customWidth="1"/>
    <col min="719" max="720" width="12.5703125" bestFit="1" customWidth="1"/>
    <col min="721" max="721" width="11.5703125" bestFit="1" customWidth="1"/>
    <col min="722" max="722" width="9.85546875" bestFit="1" customWidth="1"/>
    <col min="723" max="723" width="11.5703125" bestFit="1" customWidth="1"/>
    <col min="724" max="724" width="12.42578125" bestFit="1" customWidth="1"/>
    <col min="725" max="725" width="11.5703125" bestFit="1" customWidth="1"/>
    <col min="726" max="726" width="12.5703125" bestFit="1" customWidth="1"/>
    <col min="727" max="728" width="11.5703125" bestFit="1" customWidth="1"/>
    <col min="729" max="730" width="12.5703125" bestFit="1" customWidth="1"/>
    <col min="731" max="731" width="9.85546875" bestFit="1" customWidth="1"/>
    <col min="732" max="732" width="12.5703125" bestFit="1" customWidth="1"/>
    <col min="733" max="733" width="11.5703125" bestFit="1" customWidth="1"/>
    <col min="734" max="734" width="12.5703125" bestFit="1" customWidth="1"/>
    <col min="735" max="736" width="11.5703125" bestFit="1" customWidth="1"/>
    <col min="737" max="737" width="12.5703125" bestFit="1" customWidth="1"/>
    <col min="738" max="738" width="9.85546875" bestFit="1" customWidth="1"/>
    <col min="739" max="741" width="12.5703125" bestFit="1" customWidth="1"/>
    <col min="742" max="742" width="11.5703125" bestFit="1" customWidth="1"/>
    <col min="743" max="743" width="12.5703125" bestFit="1" customWidth="1"/>
    <col min="744" max="744" width="11.5703125" bestFit="1" customWidth="1"/>
    <col min="745" max="745" width="12.5703125" bestFit="1" customWidth="1"/>
    <col min="746" max="746" width="11.5703125" bestFit="1" customWidth="1"/>
    <col min="747" max="747" width="9.85546875" bestFit="1" customWidth="1"/>
    <col min="748" max="748" width="11.5703125" bestFit="1" customWidth="1"/>
    <col min="749" max="752" width="12.5703125" bestFit="1" customWidth="1"/>
    <col min="753" max="753" width="11.5703125" bestFit="1" customWidth="1"/>
    <col min="754" max="756" width="12.5703125" bestFit="1" customWidth="1"/>
    <col min="757" max="757" width="9.85546875" bestFit="1" customWidth="1"/>
    <col min="758" max="759" width="12.5703125" bestFit="1" customWidth="1"/>
    <col min="760" max="760" width="11.5703125" bestFit="1" customWidth="1"/>
    <col min="761" max="761" width="12.5703125" bestFit="1" customWidth="1"/>
    <col min="762" max="762" width="9.85546875" bestFit="1" customWidth="1"/>
    <col min="763" max="763" width="11.5703125" bestFit="1" customWidth="1"/>
    <col min="764" max="766" width="12.5703125" bestFit="1" customWidth="1"/>
    <col min="767" max="767" width="11.5703125" bestFit="1" customWidth="1"/>
    <col min="768" max="772" width="12.5703125" bestFit="1" customWidth="1"/>
    <col min="773" max="773" width="9.85546875" bestFit="1" customWidth="1"/>
    <col min="774" max="774" width="11.42578125" bestFit="1" customWidth="1"/>
    <col min="775" max="778" width="12.5703125" bestFit="1" customWidth="1"/>
    <col min="779" max="780" width="11.5703125" bestFit="1" customWidth="1"/>
    <col min="781" max="784" width="12.5703125" bestFit="1" customWidth="1"/>
    <col min="785" max="785" width="9.85546875" bestFit="1" customWidth="1"/>
    <col min="786" max="786" width="12.5703125" bestFit="1" customWidth="1"/>
    <col min="787" max="787" width="9.85546875" bestFit="1" customWidth="1"/>
    <col min="788" max="789" width="12.5703125" bestFit="1" customWidth="1"/>
    <col min="790" max="790" width="11.5703125" bestFit="1" customWidth="1"/>
    <col min="791" max="791" width="9.85546875" bestFit="1" customWidth="1"/>
    <col min="792" max="797" width="12.5703125" bestFit="1" customWidth="1"/>
    <col min="798" max="798" width="9.85546875" bestFit="1" customWidth="1"/>
    <col min="799" max="800" width="11.5703125" bestFit="1" customWidth="1"/>
    <col min="801" max="802" width="12.5703125" bestFit="1" customWidth="1"/>
    <col min="803" max="803" width="11.5703125" bestFit="1" customWidth="1"/>
    <col min="804" max="805" width="12.5703125" bestFit="1" customWidth="1"/>
    <col min="806" max="806" width="9.85546875" bestFit="1" customWidth="1"/>
    <col min="807" max="808" width="11.5703125" bestFit="1" customWidth="1"/>
    <col min="809" max="809" width="9.85546875" bestFit="1" customWidth="1"/>
    <col min="810" max="810" width="11.5703125" bestFit="1" customWidth="1"/>
    <col min="811" max="811" width="12.5703125" bestFit="1" customWidth="1"/>
    <col min="812" max="812" width="11.5703125" bestFit="1" customWidth="1"/>
    <col min="813" max="813" width="12.5703125" bestFit="1" customWidth="1"/>
    <col min="814" max="817" width="12" bestFit="1" customWidth="1"/>
    <col min="818" max="819" width="13.5703125" bestFit="1" customWidth="1"/>
    <col min="820" max="820" width="10.85546875" bestFit="1" customWidth="1"/>
    <col min="821" max="821" width="13.5703125" bestFit="1" customWidth="1"/>
    <col min="822" max="823" width="10.85546875" bestFit="1" customWidth="1"/>
    <col min="824" max="824" width="13.5703125" bestFit="1" customWidth="1"/>
    <col min="825" max="825" width="10.85546875" bestFit="1" customWidth="1"/>
    <col min="826" max="831" width="13.5703125" bestFit="1" customWidth="1"/>
    <col min="832" max="832" width="10.85546875" bestFit="1" customWidth="1"/>
    <col min="833" max="836" width="13.5703125" bestFit="1" customWidth="1"/>
    <col min="837" max="837" width="10.85546875" bestFit="1" customWidth="1"/>
    <col min="838" max="839" width="13.5703125" bestFit="1" customWidth="1"/>
    <col min="840" max="841" width="10.85546875" bestFit="1" customWidth="1"/>
    <col min="842" max="842" width="12.5703125" bestFit="1" customWidth="1"/>
    <col min="843" max="843" width="10.85546875" bestFit="1" customWidth="1"/>
    <col min="844" max="844" width="13.5703125" bestFit="1" customWidth="1"/>
    <col min="845" max="845" width="10.85546875" bestFit="1" customWidth="1"/>
    <col min="846" max="849" width="13.5703125" bestFit="1" customWidth="1"/>
    <col min="850" max="851" width="10.85546875" bestFit="1" customWidth="1"/>
    <col min="852" max="853" width="12.5703125" bestFit="1" customWidth="1"/>
    <col min="854" max="855" width="13.5703125" bestFit="1" customWidth="1"/>
    <col min="856" max="856" width="10.85546875" bestFit="1" customWidth="1"/>
    <col min="857" max="857" width="12.5703125" bestFit="1" customWidth="1"/>
    <col min="858" max="859" width="13.5703125" bestFit="1" customWidth="1"/>
    <col min="860" max="860" width="12.5703125" bestFit="1" customWidth="1"/>
    <col min="861" max="861" width="10.85546875" bestFit="1" customWidth="1"/>
    <col min="862" max="864" width="13.5703125" bestFit="1" customWidth="1"/>
    <col min="865" max="865" width="12.5703125" bestFit="1" customWidth="1"/>
    <col min="866" max="870" width="13.5703125" bestFit="1" customWidth="1"/>
    <col min="871" max="871" width="10.85546875" bestFit="1" customWidth="1"/>
    <col min="872" max="873" width="12.5703125" bestFit="1" customWidth="1"/>
    <col min="874" max="874" width="9.85546875" bestFit="1" customWidth="1"/>
    <col min="875" max="878" width="12.5703125" bestFit="1" customWidth="1"/>
    <col min="879" max="879" width="9.85546875" bestFit="1" customWidth="1"/>
    <col min="880" max="882" width="12.5703125" bestFit="1" customWidth="1"/>
    <col min="883" max="883" width="9.85546875" bestFit="1" customWidth="1"/>
    <col min="884" max="884" width="12.5703125" bestFit="1" customWidth="1"/>
    <col min="885" max="885" width="11.5703125" bestFit="1" customWidth="1"/>
    <col min="886" max="887" width="12.5703125" bestFit="1" customWidth="1"/>
    <col min="888" max="888" width="11.5703125" bestFit="1" customWidth="1"/>
    <col min="889" max="890" width="12.5703125" bestFit="1" customWidth="1"/>
    <col min="891" max="891" width="9.85546875" bestFit="1" customWidth="1"/>
    <col min="892" max="892" width="11.5703125" bestFit="1" customWidth="1"/>
    <col min="893" max="893" width="12.5703125" bestFit="1" customWidth="1"/>
    <col min="894" max="894" width="9.85546875" bestFit="1" customWidth="1"/>
    <col min="895" max="895" width="11.5703125" bestFit="1" customWidth="1"/>
    <col min="896" max="898" width="12.5703125" bestFit="1" customWidth="1"/>
    <col min="899" max="899" width="9.85546875" bestFit="1" customWidth="1"/>
    <col min="900" max="905" width="12.5703125" bestFit="1" customWidth="1"/>
    <col min="906" max="906" width="11.5703125" bestFit="1" customWidth="1"/>
    <col min="907" max="908" width="12.5703125" bestFit="1" customWidth="1"/>
    <col min="909" max="910" width="11.5703125" bestFit="1" customWidth="1"/>
    <col min="911" max="914" width="12.5703125" bestFit="1" customWidth="1"/>
    <col min="915" max="915" width="9.85546875" bestFit="1" customWidth="1"/>
    <col min="916" max="916" width="11.5703125" bestFit="1" customWidth="1"/>
    <col min="917" max="918" width="12.5703125" bestFit="1" customWidth="1"/>
    <col min="919" max="920" width="11.5703125" bestFit="1" customWidth="1"/>
    <col min="921" max="923" width="12.5703125" bestFit="1" customWidth="1"/>
    <col min="924" max="924" width="11.5703125" bestFit="1" customWidth="1"/>
    <col min="925" max="928" width="12.5703125" bestFit="1" customWidth="1"/>
    <col min="929" max="929" width="9.85546875" bestFit="1" customWidth="1"/>
    <col min="930" max="930" width="11.5703125" bestFit="1" customWidth="1"/>
    <col min="931" max="942" width="12.5703125" bestFit="1" customWidth="1"/>
    <col min="943" max="944" width="9.85546875" bestFit="1" customWidth="1"/>
    <col min="945" max="945" width="12.5703125" bestFit="1" customWidth="1"/>
    <col min="946" max="946" width="9.85546875" bestFit="1" customWidth="1"/>
    <col min="947" max="947" width="12.5703125" bestFit="1" customWidth="1"/>
    <col min="948" max="948" width="9.85546875" bestFit="1" customWidth="1"/>
    <col min="949" max="949" width="11.5703125" bestFit="1" customWidth="1"/>
    <col min="950" max="952" width="12.5703125" bestFit="1" customWidth="1"/>
    <col min="953" max="953" width="10.28515625" bestFit="1" customWidth="1"/>
  </cols>
  <sheetData>
    <row r="2" spans="1:953">
      <c r="A2" s="241" t="s">
        <v>48</v>
      </c>
      <c r="B2" s="242" t="s">
        <v>76</v>
      </c>
    </row>
    <row r="4" spans="1:953">
      <c r="A4" s="427" t="s">
        <v>1005</v>
      </c>
      <c r="B4" s="427" t="s">
        <v>81</v>
      </c>
      <c r="C4" s="428"/>
      <c r="D4" s="428"/>
      <c r="E4" s="428"/>
      <c r="F4" s="431"/>
      <c r="G4" s="431"/>
      <c r="H4" s="431"/>
      <c r="I4" s="428"/>
      <c r="J4" s="428"/>
      <c r="K4" s="431"/>
      <c r="L4" s="431"/>
      <c r="M4" s="431"/>
      <c r="N4" s="428"/>
    </row>
    <row r="5" spans="1:953" s="56" customFormat="1">
      <c r="A5" s="433" t="s">
        <v>74</v>
      </c>
      <c r="B5" s="59" t="s">
        <v>82</v>
      </c>
      <c r="C5" s="59" t="s">
        <v>83</v>
      </c>
      <c r="D5" s="59" t="s">
        <v>84</v>
      </c>
      <c r="E5" s="59" t="s">
        <v>85</v>
      </c>
      <c r="F5" s="59" t="s">
        <v>86</v>
      </c>
      <c r="G5" s="59" t="s">
        <v>87</v>
      </c>
      <c r="H5" s="59" t="s">
        <v>88</v>
      </c>
      <c r="I5" s="59" t="s">
        <v>452</v>
      </c>
      <c r="J5" s="59" t="s">
        <v>467</v>
      </c>
      <c r="K5" s="59" t="s">
        <v>468</v>
      </c>
      <c r="L5" s="243" t="s">
        <v>469</v>
      </c>
      <c r="M5" s="243" t="s">
        <v>470</v>
      </c>
      <c r="N5" s="434" t="s">
        <v>75</v>
      </c>
    </row>
    <row r="6" spans="1:953" s="70" customFormat="1">
      <c r="A6" s="68" t="s">
        <v>1111</v>
      </c>
      <c r="B6" s="429">
        <v>-2875.4</v>
      </c>
      <c r="C6" s="429">
        <v>-2787.0199999999995</v>
      </c>
      <c r="D6" s="429">
        <v>-1949.52</v>
      </c>
      <c r="E6" s="429">
        <v>-2117.3200000000002</v>
      </c>
      <c r="F6" s="429">
        <v>-1952.32</v>
      </c>
      <c r="G6" s="429">
        <v>-1952.32</v>
      </c>
      <c r="H6" s="429">
        <v>-1952.32</v>
      </c>
      <c r="I6" s="429">
        <v>-1930.86</v>
      </c>
      <c r="J6" s="429">
        <v>-1930.86</v>
      </c>
      <c r="K6" s="429">
        <v>-1930.86</v>
      </c>
      <c r="L6" s="437">
        <v>-1930.86</v>
      </c>
      <c r="M6" s="437">
        <v>-1930.86</v>
      </c>
      <c r="N6" s="429">
        <v>-25240.52</v>
      </c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  <c r="AJ6"/>
      <c r="AK6"/>
      <c r="AL6"/>
      <c r="AM6"/>
      <c r="AN6"/>
      <c r="AO6"/>
      <c r="AP6"/>
      <c r="AQ6"/>
      <c r="AR6"/>
      <c r="AS6"/>
      <c r="AT6"/>
      <c r="AU6"/>
      <c r="AV6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/>
      <c r="BV6"/>
      <c r="BW6"/>
      <c r="BX6"/>
      <c r="BY6"/>
      <c r="BZ6"/>
      <c r="CA6"/>
      <c r="CB6"/>
      <c r="CC6"/>
      <c r="CD6"/>
      <c r="CE6"/>
      <c r="CF6"/>
      <c r="CG6"/>
      <c r="CH6"/>
      <c r="CI6"/>
      <c r="CJ6"/>
      <c r="CK6"/>
      <c r="CL6"/>
      <c r="CM6"/>
      <c r="CN6"/>
      <c r="CO6"/>
      <c r="CP6"/>
      <c r="CQ6"/>
      <c r="CR6"/>
      <c r="CS6"/>
      <c r="CT6"/>
      <c r="CU6"/>
      <c r="CV6"/>
      <c r="CW6"/>
      <c r="CX6"/>
      <c r="CY6"/>
      <c r="CZ6"/>
      <c r="DA6"/>
      <c r="DB6"/>
      <c r="DC6"/>
      <c r="DD6"/>
      <c r="DE6"/>
      <c r="DF6"/>
      <c r="DG6"/>
      <c r="DH6"/>
      <c r="DI6"/>
      <c r="DJ6"/>
      <c r="DK6"/>
      <c r="DL6"/>
      <c r="DM6"/>
      <c r="DN6"/>
      <c r="DO6"/>
      <c r="DP6"/>
      <c r="DQ6"/>
      <c r="DR6"/>
      <c r="DS6"/>
      <c r="DT6"/>
      <c r="DU6"/>
      <c r="DV6"/>
      <c r="DW6"/>
      <c r="DX6"/>
      <c r="DY6"/>
      <c r="DZ6"/>
      <c r="EA6"/>
      <c r="EB6"/>
      <c r="EC6"/>
      <c r="ED6"/>
      <c r="EE6"/>
      <c r="EF6"/>
      <c r="EG6"/>
      <c r="EH6"/>
      <c r="EI6"/>
      <c r="EJ6"/>
      <c r="EK6"/>
      <c r="EL6"/>
      <c r="EM6"/>
      <c r="EN6"/>
      <c r="EO6"/>
      <c r="EP6"/>
      <c r="EQ6"/>
      <c r="ER6"/>
      <c r="ES6"/>
      <c r="ET6"/>
      <c r="EU6"/>
      <c r="EV6"/>
      <c r="EW6"/>
      <c r="EX6"/>
      <c r="EY6"/>
      <c r="EZ6"/>
      <c r="FA6"/>
      <c r="FB6"/>
      <c r="FC6"/>
      <c r="FD6"/>
      <c r="FE6"/>
      <c r="FF6"/>
      <c r="FG6"/>
      <c r="FH6"/>
      <c r="FI6"/>
      <c r="FJ6"/>
      <c r="FK6"/>
      <c r="FL6"/>
      <c r="FM6"/>
      <c r="FN6"/>
      <c r="FO6"/>
      <c r="FP6"/>
      <c r="FQ6"/>
      <c r="FR6"/>
      <c r="FS6"/>
      <c r="FT6"/>
      <c r="FU6"/>
      <c r="FV6"/>
      <c r="FW6"/>
      <c r="FX6"/>
      <c r="FY6"/>
      <c r="FZ6"/>
      <c r="GA6"/>
      <c r="GB6"/>
      <c r="GC6"/>
      <c r="GD6"/>
      <c r="GE6"/>
      <c r="GF6"/>
      <c r="GG6"/>
      <c r="GH6"/>
      <c r="GI6"/>
      <c r="GJ6"/>
      <c r="GK6"/>
      <c r="GL6"/>
      <c r="GM6"/>
      <c r="GN6"/>
      <c r="GO6"/>
      <c r="GP6"/>
      <c r="GQ6"/>
      <c r="GR6"/>
      <c r="GS6"/>
      <c r="GT6"/>
      <c r="GU6"/>
      <c r="GV6"/>
      <c r="GW6"/>
      <c r="GX6"/>
      <c r="GY6"/>
      <c r="GZ6"/>
      <c r="HA6"/>
      <c r="HB6"/>
      <c r="HC6"/>
      <c r="HD6"/>
      <c r="HE6"/>
      <c r="HF6"/>
      <c r="HG6"/>
      <c r="HH6"/>
      <c r="HI6"/>
      <c r="HJ6"/>
      <c r="HK6"/>
      <c r="HL6"/>
      <c r="HM6"/>
      <c r="HN6"/>
      <c r="HO6"/>
      <c r="HP6"/>
      <c r="HQ6"/>
      <c r="HR6"/>
      <c r="HS6"/>
      <c r="HT6"/>
      <c r="HU6"/>
      <c r="HV6"/>
      <c r="HW6"/>
      <c r="HX6"/>
      <c r="HY6"/>
      <c r="HZ6"/>
      <c r="IA6"/>
      <c r="IB6"/>
      <c r="IC6"/>
      <c r="ID6"/>
      <c r="IE6"/>
      <c r="IF6"/>
      <c r="IG6"/>
      <c r="IH6"/>
      <c r="II6"/>
      <c r="IJ6"/>
      <c r="IK6"/>
      <c r="IL6"/>
      <c r="IM6"/>
      <c r="IN6"/>
      <c r="IO6"/>
      <c r="IP6"/>
      <c r="IQ6"/>
      <c r="IR6"/>
      <c r="IS6"/>
      <c r="IT6"/>
      <c r="IU6"/>
      <c r="IV6"/>
      <c r="IW6"/>
      <c r="IX6"/>
      <c r="IY6"/>
      <c r="IZ6"/>
      <c r="JA6"/>
      <c r="JB6"/>
      <c r="JC6"/>
      <c r="JD6"/>
      <c r="JE6"/>
      <c r="JF6"/>
      <c r="JG6"/>
      <c r="JH6"/>
      <c r="JI6"/>
      <c r="JJ6"/>
      <c r="JK6"/>
      <c r="JL6"/>
      <c r="JM6"/>
      <c r="JN6"/>
      <c r="JO6"/>
      <c r="JP6"/>
      <c r="JQ6"/>
      <c r="JR6"/>
      <c r="JS6"/>
      <c r="JT6"/>
      <c r="JU6"/>
      <c r="JV6"/>
      <c r="JW6"/>
      <c r="JX6"/>
      <c r="JY6"/>
      <c r="JZ6"/>
      <c r="KA6"/>
      <c r="KB6"/>
      <c r="KC6"/>
      <c r="KD6"/>
      <c r="KE6"/>
      <c r="KF6"/>
      <c r="KG6"/>
      <c r="KH6"/>
      <c r="KI6"/>
      <c r="KJ6"/>
      <c r="KK6"/>
      <c r="KL6"/>
      <c r="KM6"/>
      <c r="KN6"/>
      <c r="KO6"/>
      <c r="KP6"/>
      <c r="KQ6"/>
      <c r="KR6"/>
      <c r="KS6"/>
      <c r="KT6"/>
      <c r="KU6"/>
      <c r="KV6"/>
      <c r="KW6"/>
      <c r="KX6"/>
      <c r="KY6"/>
      <c r="KZ6"/>
      <c r="LA6"/>
      <c r="LB6"/>
      <c r="LC6"/>
      <c r="LD6"/>
      <c r="LE6"/>
      <c r="LF6"/>
      <c r="LG6"/>
      <c r="LH6"/>
      <c r="LI6"/>
      <c r="LJ6"/>
      <c r="LK6"/>
      <c r="LL6"/>
      <c r="LM6"/>
      <c r="LN6"/>
      <c r="LO6"/>
      <c r="LP6"/>
      <c r="LQ6"/>
      <c r="LR6"/>
      <c r="LS6"/>
      <c r="LT6"/>
      <c r="LU6"/>
      <c r="LV6"/>
      <c r="LW6"/>
      <c r="LX6"/>
      <c r="LY6"/>
      <c r="LZ6"/>
      <c r="MA6"/>
      <c r="MB6"/>
      <c r="MC6"/>
      <c r="MD6"/>
      <c r="ME6"/>
      <c r="MF6"/>
      <c r="MG6"/>
      <c r="MH6"/>
      <c r="MI6"/>
      <c r="MJ6"/>
      <c r="MK6"/>
      <c r="ML6"/>
      <c r="MM6"/>
      <c r="MN6"/>
      <c r="MO6"/>
      <c r="MP6"/>
      <c r="MQ6"/>
      <c r="MR6"/>
      <c r="MS6"/>
      <c r="MT6"/>
      <c r="MU6"/>
      <c r="MV6"/>
      <c r="MW6"/>
      <c r="MX6"/>
      <c r="MY6"/>
      <c r="MZ6"/>
      <c r="NA6"/>
      <c r="NB6"/>
      <c r="NC6"/>
      <c r="ND6"/>
      <c r="NE6"/>
      <c r="NF6"/>
      <c r="NG6"/>
      <c r="NH6"/>
      <c r="NI6"/>
      <c r="NJ6"/>
      <c r="NK6"/>
      <c r="NL6"/>
      <c r="NM6"/>
      <c r="NN6"/>
      <c r="NO6"/>
      <c r="NP6"/>
      <c r="NQ6"/>
      <c r="NR6"/>
      <c r="NS6"/>
      <c r="NT6"/>
      <c r="NU6"/>
      <c r="NV6"/>
      <c r="NW6"/>
      <c r="NX6"/>
      <c r="NY6"/>
      <c r="NZ6"/>
      <c r="OA6"/>
      <c r="OB6"/>
      <c r="OC6"/>
      <c r="OD6"/>
      <c r="OE6"/>
      <c r="OF6"/>
      <c r="OG6"/>
      <c r="OH6"/>
      <c r="OI6"/>
      <c r="OJ6"/>
      <c r="OK6"/>
      <c r="OL6"/>
      <c r="OM6"/>
      <c r="ON6"/>
      <c r="OO6"/>
      <c r="OP6"/>
      <c r="OQ6"/>
      <c r="OR6"/>
      <c r="OS6"/>
      <c r="OT6"/>
      <c r="OU6"/>
      <c r="OV6"/>
      <c r="OW6"/>
      <c r="OX6"/>
      <c r="OY6"/>
      <c r="OZ6"/>
      <c r="PA6"/>
      <c r="PB6"/>
      <c r="PC6"/>
      <c r="PD6"/>
      <c r="PE6"/>
      <c r="PF6"/>
      <c r="PG6"/>
      <c r="PH6"/>
      <c r="PI6"/>
      <c r="PJ6"/>
      <c r="PK6"/>
      <c r="PL6"/>
      <c r="PM6"/>
      <c r="PN6"/>
      <c r="PO6"/>
      <c r="PP6"/>
      <c r="PQ6"/>
      <c r="PR6"/>
      <c r="PS6"/>
      <c r="PT6"/>
      <c r="PU6"/>
      <c r="PV6"/>
      <c r="PW6"/>
      <c r="PX6"/>
      <c r="PY6"/>
      <c r="PZ6"/>
      <c r="QA6"/>
      <c r="QB6"/>
      <c r="QC6"/>
      <c r="QD6"/>
      <c r="QE6"/>
      <c r="QF6"/>
      <c r="QG6"/>
      <c r="QH6"/>
      <c r="QI6"/>
      <c r="QJ6"/>
      <c r="QK6"/>
      <c r="QL6"/>
      <c r="QM6"/>
      <c r="QN6"/>
      <c r="QO6"/>
      <c r="QP6"/>
      <c r="QQ6"/>
      <c r="QR6"/>
      <c r="QS6"/>
      <c r="QT6"/>
      <c r="QU6"/>
      <c r="QV6"/>
      <c r="QW6"/>
      <c r="QX6"/>
      <c r="QY6"/>
      <c r="QZ6"/>
      <c r="RA6"/>
      <c r="RB6"/>
      <c r="RC6"/>
      <c r="RD6"/>
      <c r="RE6"/>
      <c r="RF6"/>
      <c r="RG6"/>
      <c r="RH6"/>
      <c r="RI6"/>
      <c r="RJ6"/>
      <c r="RK6"/>
      <c r="RL6"/>
      <c r="RM6"/>
      <c r="RN6"/>
      <c r="RO6"/>
      <c r="RP6"/>
      <c r="RQ6"/>
      <c r="RR6"/>
      <c r="RS6"/>
      <c r="RT6"/>
      <c r="RU6"/>
      <c r="RV6"/>
      <c r="RW6"/>
      <c r="RX6"/>
      <c r="RY6"/>
      <c r="RZ6"/>
      <c r="SA6"/>
      <c r="SB6"/>
      <c r="SC6"/>
      <c r="SD6"/>
      <c r="SE6"/>
      <c r="SF6"/>
      <c r="SG6"/>
      <c r="SH6"/>
      <c r="SI6"/>
      <c r="SJ6"/>
      <c r="SK6"/>
      <c r="SL6"/>
      <c r="SM6"/>
      <c r="SN6"/>
      <c r="SO6"/>
      <c r="SP6"/>
      <c r="SQ6"/>
      <c r="SR6"/>
      <c r="SS6"/>
      <c r="ST6"/>
      <c r="SU6"/>
      <c r="SV6"/>
      <c r="SW6"/>
      <c r="SX6"/>
      <c r="SY6"/>
      <c r="SZ6"/>
      <c r="TA6"/>
      <c r="TB6"/>
      <c r="TC6"/>
      <c r="TD6"/>
      <c r="TE6"/>
      <c r="TF6"/>
      <c r="TG6"/>
      <c r="TH6"/>
      <c r="TI6"/>
      <c r="TJ6"/>
      <c r="TK6"/>
      <c r="TL6"/>
      <c r="TM6"/>
      <c r="TN6"/>
      <c r="TO6"/>
      <c r="TP6"/>
      <c r="TQ6"/>
      <c r="TR6"/>
      <c r="TS6"/>
      <c r="TT6"/>
      <c r="TU6"/>
      <c r="TV6"/>
      <c r="TW6"/>
      <c r="TX6"/>
      <c r="TY6"/>
      <c r="TZ6"/>
      <c r="UA6"/>
      <c r="UB6"/>
      <c r="UC6"/>
      <c r="UD6"/>
      <c r="UE6"/>
      <c r="UF6"/>
      <c r="UG6"/>
      <c r="UH6"/>
      <c r="UI6"/>
      <c r="UJ6"/>
      <c r="UK6"/>
      <c r="UL6"/>
      <c r="UM6"/>
      <c r="UN6"/>
      <c r="UO6"/>
      <c r="UP6"/>
      <c r="UQ6"/>
      <c r="UR6"/>
      <c r="US6"/>
      <c r="UT6"/>
      <c r="UU6"/>
      <c r="UV6"/>
      <c r="UW6"/>
      <c r="UX6"/>
      <c r="UY6"/>
      <c r="UZ6"/>
      <c r="VA6"/>
      <c r="VB6"/>
      <c r="VC6"/>
      <c r="VD6"/>
      <c r="VE6"/>
      <c r="VF6"/>
      <c r="VG6"/>
      <c r="VH6"/>
      <c r="VI6"/>
      <c r="VJ6"/>
      <c r="VK6"/>
      <c r="VL6"/>
      <c r="VM6"/>
      <c r="VN6"/>
      <c r="VO6"/>
      <c r="VP6"/>
      <c r="VQ6"/>
      <c r="VR6"/>
      <c r="VS6"/>
      <c r="VT6"/>
      <c r="VU6"/>
      <c r="VV6"/>
      <c r="VW6"/>
      <c r="VX6"/>
      <c r="VY6"/>
      <c r="VZ6"/>
      <c r="WA6"/>
      <c r="WB6"/>
      <c r="WC6"/>
      <c r="WD6"/>
      <c r="WE6"/>
      <c r="WF6"/>
      <c r="WG6"/>
      <c r="WH6"/>
      <c r="WI6"/>
      <c r="WJ6"/>
      <c r="WK6"/>
      <c r="WL6"/>
      <c r="WM6"/>
      <c r="WN6"/>
      <c r="WO6"/>
      <c r="WP6"/>
      <c r="WQ6"/>
      <c r="WR6"/>
      <c r="WS6"/>
      <c r="WT6"/>
      <c r="WU6"/>
      <c r="WV6"/>
      <c r="WW6"/>
      <c r="WX6"/>
      <c r="WY6"/>
      <c r="WZ6"/>
      <c r="XA6"/>
      <c r="XB6"/>
      <c r="XC6"/>
      <c r="XD6"/>
      <c r="XE6"/>
      <c r="XF6"/>
      <c r="XG6"/>
      <c r="XH6"/>
      <c r="XI6"/>
      <c r="XJ6"/>
      <c r="XK6"/>
      <c r="XL6"/>
      <c r="XM6"/>
      <c r="XN6"/>
      <c r="XO6"/>
      <c r="XP6"/>
      <c r="XQ6"/>
      <c r="XR6"/>
      <c r="XS6"/>
      <c r="XT6"/>
      <c r="XU6"/>
      <c r="XV6"/>
      <c r="XW6"/>
      <c r="XX6"/>
      <c r="XY6"/>
      <c r="XZ6"/>
      <c r="YA6"/>
      <c r="YB6"/>
      <c r="YC6"/>
      <c r="YD6"/>
      <c r="YE6"/>
      <c r="YF6"/>
      <c r="YG6"/>
      <c r="YH6"/>
      <c r="YI6"/>
      <c r="YJ6"/>
      <c r="YK6"/>
      <c r="YL6"/>
      <c r="YM6"/>
      <c r="YN6"/>
      <c r="YO6"/>
      <c r="YP6"/>
      <c r="YQ6"/>
      <c r="YR6"/>
      <c r="YS6"/>
      <c r="YT6"/>
      <c r="YU6"/>
      <c r="YV6"/>
      <c r="YW6"/>
      <c r="YX6"/>
      <c r="YY6"/>
      <c r="YZ6"/>
      <c r="ZA6"/>
      <c r="ZB6"/>
      <c r="ZC6"/>
      <c r="ZD6"/>
      <c r="ZE6"/>
      <c r="ZF6"/>
      <c r="ZG6"/>
      <c r="ZH6"/>
      <c r="ZI6"/>
      <c r="ZJ6"/>
      <c r="ZK6"/>
      <c r="ZL6"/>
      <c r="ZM6"/>
      <c r="ZN6"/>
      <c r="ZO6"/>
      <c r="ZP6"/>
      <c r="ZQ6"/>
      <c r="ZR6"/>
      <c r="ZS6"/>
      <c r="ZT6"/>
      <c r="ZU6"/>
      <c r="ZV6"/>
      <c r="ZW6"/>
      <c r="ZX6"/>
      <c r="ZY6"/>
      <c r="ZZ6"/>
      <c r="AAA6"/>
      <c r="AAB6"/>
      <c r="AAC6"/>
      <c r="AAD6"/>
      <c r="AAE6"/>
      <c r="AAF6"/>
      <c r="AAG6"/>
      <c r="AAH6"/>
      <c r="AAI6"/>
      <c r="AAJ6"/>
      <c r="AAK6"/>
      <c r="AAL6"/>
      <c r="AAM6"/>
      <c r="AAN6"/>
      <c r="AAO6"/>
      <c r="AAP6"/>
      <c r="AAQ6"/>
      <c r="AAR6"/>
      <c r="AAS6"/>
      <c r="AAT6"/>
      <c r="AAU6"/>
      <c r="AAV6"/>
      <c r="AAW6"/>
      <c r="AAX6"/>
      <c r="AAY6"/>
      <c r="AAZ6"/>
      <c r="ABA6"/>
      <c r="ABB6"/>
      <c r="ABC6"/>
      <c r="ABD6"/>
      <c r="ABE6"/>
      <c r="ABF6"/>
      <c r="ABG6"/>
      <c r="ABH6"/>
      <c r="ABI6"/>
      <c r="ABJ6"/>
      <c r="ABK6"/>
      <c r="ABL6"/>
      <c r="ABM6"/>
      <c r="ABN6"/>
      <c r="ABO6"/>
      <c r="ABP6"/>
      <c r="ABQ6"/>
      <c r="ABR6"/>
      <c r="ABS6"/>
      <c r="ABT6"/>
      <c r="ABU6"/>
      <c r="ABV6"/>
      <c r="ABW6"/>
      <c r="ABX6"/>
      <c r="ABY6"/>
      <c r="ABZ6"/>
      <c r="ACA6"/>
      <c r="ACB6"/>
      <c r="ACC6"/>
      <c r="ACD6"/>
      <c r="ACE6"/>
      <c r="ACF6"/>
      <c r="ACG6"/>
      <c r="ACH6"/>
      <c r="ACI6"/>
      <c r="ACJ6"/>
      <c r="ACK6"/>
      <c r="ACL6"/>
      <c r="ACM6"/>
      <c r="ACN6"/>
      <c r="ACO6"/>
      <c r="ACP6"/>
      <c r="ACQ6"/>
      <c r="ACR6"/>
      <c r="ACS6"/>
      <c r="ACT6"/>
      <c r="ACU6"/>
      <c r="ACV6"/>
      <c r="ACW6"/>
      <c r="ACX6"/>
      <c r="ACY6"/>
      <c r="ACZ6"/>
      <c r="ADA6"/>
      <c r="ADB6"/>
      <c r="ADC6"/>
      <c r="ADD6"/>
      <c r="ADE6"/>
      <c r="ADF6"/>
      <c r="ADG6"/>
      <c r="ADH6"/>
      <c r="ADI6"/>
      <c r="ADJ6"/>
      <c r="ADK6"/>
      <c r="ADL6"/>
      <c r="ADM6"/>
      <c r="ADN6"/>
      <c r="ADO6"/>
      <c r="ADP6"/>
      <c r="ADQ6"/>
      <c r="ADR6"/>
      <c r="ADS6"/>
      <c r="ADT6"/>
      <c r="ADU6"/>
      <c r="ADV6"/>
      <c r="ADW6"/>
      <c r="ADX6"/>
      <c r="ADY6"/>
      <c r="ADZ6"/>
      <c r="AEA6"/>
      <c r="AEB6"/>
      <c r="AEC6"/>
      <c r="AED6"/>
      <c r="AEE6"/>
      <c r="AEF6"/>
      <c r="AEG6"/>
      <c r="AEH6"/>
      <c r="AEI6"/>
      <c r="AEJ6"/>
      <c r="AEK6"/>
      <c r="AEL6"/>
      <c r="AEM6"/>
      <c r="AEN6"/>
      <c r="AEO6"/>
      <c r="AEP6"/>
      <c r="AEQ6"/>
      <c r="AER6"/>
      <c r="AES6"/>
      <c r="AET6"/>
      <c r="AEU6"/>
      <c r="AEV6"/>
      <c r="AEW6"/>
      <c r="AEX6"/>
      <c r="AEY6"/>
      <c r="AEZ6"/>
      <c r="AFA6"/>
      <c r="AFB6"/>
      <c r="AFC6"/>
      <c r="AFD6"/>
      <c r="AFE6"/>
      <c r="AFF6"/>
      <c r="AFG6"/>
      <c r="AFH6"/>
      <c r="AFI6"/>
      <c r="AFJ6"/>
      <c r="AFK6"/>
      <c r="AFL6"/>
      <c r="AFM6"/>
      <c r="AFN6"/>
      <c r="AFO6"/>
      <c r="AFP6"/>
      <c r="AFQ6"/>
      <c r="AFR6"/>
      <c r="AFS6"/>
      <c r="AFT6"/>
      <c r="AFU6"/>
      <c r="AFV6"/>
      <c r="AFW6"/>
      <c r="AFX6"/>
      <c r="AFY6"/>
      <c r="AFZ6"/>
      <c r="AGA6"/>
      <c r="AGB6"/>
      <c r="AGC6"/>
      <c r="AGD6"/>
      <c r="AGE6"/>
      <c r="AGF6"/>
      <c r="AGG6"/>
      <c r="AGH6"/>
      <c r="AGI6"/>
      <c r="AGJ6"/>
      <c r="AGK6"/>
      <c r="AGL6"/>
      <c r="AGM6"/>
      <c r="AGN6"/>
      <c r="AGO6"/>
      <c r="AGP6"/>
      <c r="AGQ6"/>
      <c r="AGR6"/>
      <c r="AGS6"/>
      <c r="AGT6"/>
      <c r="AGU6"/>
      <c r="AGV6"/>
      <c r="AGW6"/>
      <c r="AGX6"/>
      <c r="AGY6"/>
      <c r="AGZ6"/>
      <c r="AHA6"/>
      <c r="AHB6"/>
      <c r="AHC6"/>
      <c r="AHD6"/>
      <c r="AHE6"/>
      <c r="AHF6"/>
      <c r="AHG6"/>
      <c r="AHH6"/>
      <c r="AHI6"/>
      <c r="AHJ6"/>
      <c r="AHK6"/>
      <c r="AHL6"/>
      <c r="AHM6"/>
      <c r="AHN6"/>
      <c r="AHO6"/>
      <c r="AHP6"/>
      <c r="AHQ6"/>
      <c r="AHR6"/>
      <c r="AHS6"/>
      <c r="AHT6"/>
      <c r="AHU6"/>
      <c r="AHV6"/>
      <c r="AHW6"/>
      <c r="AHX6"/>
      <c r="AHY6"/>
      <c r="AHZ6"/>
      <c r="AIA6"/>
      <c r="AIB6"/>
      <c r="AIC6"/>
      <c r="AID6"/>
      <c r="AIE6"/>
      <c r="AIF6"/>
      <c r="AIG6"/>
      <c r="AIH6"/>
      <c r="AII6"/>
      <c r="AIJ6"/>
      <c r="AIK6"/>
      <c r="AIL6"/>
      <c r="AIM6"/>
      <c r="AIN6"/>
      <c r="AIO6"/>
      <c r="AIP6"/>
      <c r="AIQ6"/>
      <c r="AIR6"/>
      <c r="AIS6"/>
      <c r="AIT6"/>
      <c r="AIU6"/>
      <c r="AIV6"/>
      <c r="AIW6"/>
      <c r="AIX6"/>
      <c r="AIY6"/>
      <c r="AIZ6"/>
      <c r="AJA6"/>
      <c r="AJB6"/>
      <c r="AJC6"/>
      <c r="AJD6"/>
      <c r="AJE6"/>
      <c r="AJF6"/>
      <c r="AJG6"/>
      <c r="AJH6"/>
      <c r="AJI6"/>
      <c r="AJJ6"/>
      <c r="AJK6"/>
      <c r="AJL6"/>
      <c r="AJM6"/>
      <c r="AJN6"/>
      <c r="AJO6"/>
      <c r="AJP6"/>
      <c r="AJQ6"/>
    </row>
    <row r="7" spans="1:953">
      <c r="A7" s="432" t="s">
        <v>52</v>
      </c>
      <c r="B7" s="435">
        <v>-2875.4</v>
      </c>
      <c r="C7" s="435">
        <v>-2787.0199999999995</v>
      </c>
      <c r="D7" s="435">
        <v>-1949.52</v>
      </c>
      <c r="E7" s="435">
        <v>-2117.3200000000002</v>
      </c>
      <c r="F7" s="435">
        <v>-1952.32</v>
      </c>
      <c r="G7" s="435">
        <v>-1952.32</v>
      </c>
      <c r="H7" s="435">
        <v>-1952.32</v>
      </c>
      <c r="I7" s="435">
        <v>-1930.86</v>
      </c>
      <c r="J7" s="435">
        <v>-1930.86</v>
      </c>
      <c r="K7" s="435">
        <v>-1930.86</v>
      </c>
      <c r="L7" s="438">
        <v>-1930.86</v>
      </c>
      <c r="M7" s="438">
        <v>-1930.86</v>
      </c>
      <c r="N7" s="435">
        <v>-25240.52</v>
      </c>
    </row>
    <row r="8" spans="1:953">
      <c r="A8" s="240">
        <v>1</v>
      </c>
      <c r="B8" s="429"/>
      <c r="C8" s="429"/>
      <c r="D8" s="429"/>
      <c r="E8" s="429"/>
      <c r="F8" s="429"/>
      <c r="G8" s="429"/>
      <c r="H8" s="429"/>
      <c r="I8" s="429"/>
      <c r="J8" s="429"/>
      <c r="K8" s="429"/>
      <c r="L8" s="437"/>
      <c r="M8" s="437"/>
      <c r="N8" s="429"/>
    </row>
    <row r="9" spans="1:953">
      <c r="A9" s="258" t="s">
        <v>24</v>
      </c>
      <c r="B9" s="429">
        <v>-51.46</v>
      </c>
      <c r="C9" s="429">
        <v>-51.54</v>
      </c>
      <c r="D9" s="429">
        <v>-51.08</v>
      </c>
      <c r="E9" s="429">
        <v>-55</v>
      </c>
      <c r="F9" s="429">
        <v>-55</v>
      </c>
      <c r="G9" s="429">
        <v>-55</v>
      </c>
      <c r="H9" s="429">
        <v>-55</v>
      </c>
      <c r="I9" s="429">
        <v>-55</v>
      </c>
      <c r="J9" s="429">
        <v>-55</v>
      </c>
      <c r="K9" s="429">
        <v>-55</v>
      </c>
      <c r="L9" s="437">
        <v>-55</v>
      </c>
      <c r="M9" s="437">
        <v>-55</v>
      </c>
      <c r="N9" s="429">
        <v>-649.07999999999993</v>
      </c>
    </row>
    <row r="10" spans="1:953">
      <c r="A10" s="268" t="s">
        <v>28</v>
      </c>
      <c r="B10" s="429">
        <v>-51.46</v>
      </c>
      <c r="C10" s="429">
        <v>-51.54</v>
      </c>
      <c r="D10" s="429">
        <v>-51.08</v>
      </c>
      <c r="E10" s="429">
        <v>-55</v>
      </c>
      <c r="F10" s="429">
        <v>-55</v>
      </c>
      <c r="G10" s="429">
        <v>-55</v>
      </c>
      <c r="H10" s="429">
        <v>-55</v>
      </c>
      <c r="I10" s="429">
        <v>-55</v>
      </c>
      <c r="J10" s="429">
        <v>-55</v>
      </c>
      <c r="K10" s="429">
        <v>-55</v>
      </c>
      <c r="L10" s="437">
        <v>-55</v>
      </c>
      <c r="M10" s="437">
        <v>-55</v>
      </c>
      <c r="N10" s="429">
        <v>-649.07999999999993</v>
      </c>
    </row>
    <row r="11" spans="1:953">
      <c r="A11" s="258"/>
      <c r="B11" s="429"/>
      <c r="C11" s="429"/>
      <c r="D11" s="429"/>
      <c r="E11" s="429"/>
      <c r="F11" s="429"/>
      <c r="G11" s="429"/>
      <c r="H11" s="429"/>
      <c r="I11" s="429"/>
      <c r="J11" s="429"/>
      <c r="K11" s="429"/>
      <c r="L11" s="437"/>
      <c r="M11" s="437"/>
      <c r="N11" s="429"/>
    </row>
    <row r="12" spans="1:953">
      <c r="A12" s="258" t="s">
        <v>11</v>
      </c>
      <c r="B12" s="429">
        <v>-49.9</v>
      </c>
      <c r="C12" s="429">
        <v>-81.02000000000001</v>
      </c>
      <c r="D12" s="429">
        <v>-51.02</v>
      </c>
      <c r="E12" s="429">
        <v>-49.9</v>
      </c>
      <c r="F12" s="429">
        <v>-49.9</v>
      </c>
      <c r="G12" s="429">
        <v>-49.9</v>
      </c>
      <c r="H12" s="429">
        <v>-49.9</v>
      </c>
      <c r="I12" s="429">
        <v>-49.9</v>
      </c>
      <c r="J12" s="429">
        <v>-49.9</v>
      </c>
      <c r="K12" s="429">
        <v>-49.9</v>
      </c>
      <c r="L12" s="437">
        <v>-49.9</v>
      </c>
      <c r="M12" s="437">
        <v>-49.9</v>
      </c>
      <c r="N12" s="429">
        <v>-631.03999999999985</v>
      </c>
    </row>
    <row r="13" spans="1:953">
      <c r="A13" s="268" t="s">
        <v>19</v>
      </c>
      <c r="B13" s="429"/>
      <c r="C13" s="429">
        <v>-30</v>
      </c>
      <c r="D13" s="429"/>
      <c r="E13" s="429"/>
      <c r="F13" s="429"/>
      <c r="G13" s="429"/>
      <c r="H13" s="429"/>
      <c r="I13" s="429"/>
      <c r="J13" s="429"/>
      <c r="K13" s="429"/>
      <c r="L13" s="437"/>
      <c r="M13" s="437"/>
      <c r="N13" s="429">
        <v>-30</v>
      </c>
    </row>
    <row r="14" spans="1:953">
      <c r="A14" s="268" t="s">
        <v>102</v>
      </c>
      <c r="B14" s="429">
        <v>-49.9</v>
      </c>
      <c r="C14" s="429">
        <v>-51.02</v>
      </c>
      <c r="D14" s="429">
        <v>-51.02</v>
      </c>
      <c r="E14" s="429">
        <v>-49.9</v>
      </c>
      <c r="F14" s="429">
        <v>-49.9</v>
      </c>
      <c r="G14" s="429">
        <v>-49.9</v>
      </c>
      <c r="H14" s="429">
        <v>-49.9</v>
      </c>
      <c r="I14" s="429">
        <v>-49.9</v>
      </c>
      <c r="J14" s="429">
        <v>-49.9</v>
      </c>
      <c r="K14" s="429">
        <v>-49.9</v>
      </c>
      <c r="L14" s="437">
        <v>-49.9</v>
      </c>
      <c r="M14" s="437">
        <v>-49.9</v>
      </c>
      <c r="N14" s="429">
        <v>-601.03999999999985</v>
      </c>
    </row>
    <row r="15" spans="1:953">
      <c r="A15" s="258"/>
      <c r="B15" s="429"/>
      <c r="C15" s="429"/>
      <c r="D15" s="429"/>
      <c r="E15" s="429"/>
      <c r="F15" s="429"/>
      <c r="G15" s="429"/>
      <c r="H15" s="429"/>
      <c r="I15" s="429"/>
      <c r="J15" s="429"/>
      <c r="K15" s="429"/>
      <c r="L15" s="437"/>
      <c r="M15" s="437"/>
      <c r="N15" s="429"/>
    </row>
    <row r="16" spans="1:953">
      <c r="A16" s="258" t="s">
        <v>22</v>
      </c>
      <c r="B16" s="429"/>
      <c r="C16" s="429"/>
      <c r="D16" s="429"/>
      <c r="E16" s="429">
        <v>-165</v>
      </c>
      <c r="F16" s="429"/>
      <c r="G16" s="429"/>
      <c r="H16" s="429"/>
      <c r="I16" s="429"/>
      <c r="J16" s="429"/>
      <c r="K16" s="429"/>
      <c r="L16" s="437"/>
      <c r="M16" s="437"/>
      <c r="N16" s="429">
        <v>-165</v>
      </c>
    </row>
    <row r="17" spans="1:14">
      <c r="A17" s="268" t="s">
        <v>27</v>
      </c>
      <c r="B17" s="429"/>
      <c r="C17" s="429"/>
      <c r="D17" s="429"/>
      <c r="E17" s="429">
        <v>-165</v>
      </c>
      <c r="F17" s="429"/>
      <c r="G17" s="429"/>
      <c r="H17" s="429"/>
      <c r="I17" s="429"/>
      <c r="J17" s="429"/>
      <c r="K17" s="429"/>
      <c r="L17" s="437"/>
      <c r="M17" s="437"/>
      <c r="N17" s="429">
        <v>-165</v>
      </c>
    </row>
    <row r="18" spans="1:14">
      <c r="A18" s="258"/>
      <c r="B18" s="429"/>
      <c r="C18" s="429"/>
      <c r="D18" s="429"/>
      <c r="E18" s="429"/>
      <c r="F18" s="429"/>
      <c r="G18" s="429"/>
      <c r="H18" s="429"/>
      <c r="I18" s="429"/>
      <c r="J18" s="429"/>
      <c r="K18" s="429"/>
      <c r="L18" s="437"/>
      <c r="M18" s="437"/>
      <c r="N18" s="429"/>
    </row>
    <row r="19" spans="1:14">
      <c r="A19" s="240">
        <v>10</v>
      </c>
      <c r="B19" s="429"/>
      <c r="C19" s="429"/>
      <c r="D19" s="429"/>
      <c r="E19" s="429"/>
      <c r="F19" s="429"/>
      <c r="G19" s="429"/>
      <c r="H19" s="429"/>
      <c r="I19" s="429"/>
      <c r="J19" s="429"/>
      <c r="K19" s="429"/>
      <c r="L19" s="437"/>
      <c r="M19" s="437"/>
      <c r="N19" s="429"/>
    </row>
    <row r="20" spans="1:14">
      <c r="A20" s="258" t="s">
        <v>15</v>
      </c>
      <c r="B20" s="429">
        <v>-1668.3899999999999</v>
      </c>
      <c r="C20" s="429">
        <v>-897.62</v>
      </c>
      <c r="D20" s="429">
        <v>-890</v>
      </c>
      <c r="E20" s="429">
        <v>-890</v>
      </c>
      <c r="F20" s="429">
        <v>-890</v>
      </c>
      <c r="G20" s="429">
        <v>-890</v>
      </c>
      <c r="H20" s="429">
        <v>-890</v>
      </c>
      <c r="I20" s="429">
        <v>-890</v>
      </c>
      <c r="J20" s="429">
        <v>-890</v>
      </c>
      <c r="K20" s="429">
        <v>-890</v>
      </c>
      <c r="L20" s="437">
        <v>-890</v>
      </c>
      <c r="M20" s="437">
        <v>-890</v>
      </c>
      <c r="N20" s="429">
        <v>-11466.01</v>
      </c>
    </row>
    <row r="21" spans="1:14">
      <c r="A21" s="268" t="s">
        <v>18</v>
      </c>
      <c r="B21" s="429">
        <v>-1300</v>
      </c>
      <c r="C21" s="429">
        <v>-600</v>
      </c>
      <c r="D21" s="429">
        <v>-600</v>
      </c>
      <c r="E21" s="429">
        <v>-600</v>
      </c>
      <c r="F21" s="429">
        <v>-600</v>
      </c>
      <c r="G21" s="429">
        <v>-600</v>
      </c>
      <c r="H21" s="429">
        <v>-600</v>
      </c>
      <c r="I21" s="429">
        <v>-600</v>
      </c>
      <c r="J21" s="429">
        <v>-600</v>
      </c>
      <c r="K21" s="429">
        <v>-600</v>
      </c>
      <c r="L21" s="437">
        <v>-600</v>
      </c>
      <c r="M21" s="437">
        <v>-600</v>
      </c>
      <c r="N21" s="429">
        <v>-7900</v>
      </c>
    </row>
    <row r="22" spans="1:14">
      <c r="A22" s="268" t="s">
        <v>14</v>
      </c>
      <c r="B22" s="429">
        <v>-210</v>
      </c>
      <c r="C22" s="429">
        <v>-210</v>
      </c>
      <c r="D22" s="429">
        <v>-210</v>
      </c>
      <c r="E22" s="429">
        <v>-210</v>
      </c>
      <c r="F22" s="429">
        <v>-210</v>
      </c>
      <c r="G22" s="429">
        <v>-210</v>
      </c>
      <c r="H22" s="429">
        <v>-210</v>
      </c>
      <c r="I22" s="429">
        <v>-210</v>
      </c>
      <c r="J22" s="429">
        <v>-210</v>
      </c>
      <c r="K22" s="429">
        <v>-210</v>
      </c>
      <c r="L22" s="437">
        <v>-210</v>
      </c>
      <c r="M22" s="437">
        <v>-210</v>
      </c>
      <c r="N22" s="429">
        <v>-2520</v>
      </c>
    </row>
    <row r="23" spans="1:14">
      <c r="A23" s="268" t="s">
        <v>16</v>
      </c>
      <c r="B23" s="429">
        <v>-158.38999999999999</v>
      </c>
      <c r="C23" s="429">
        <v>-87.62</v>
      </c>
      <c r="D23" s="429">
        <v>-80</v>
      </c>
      <c r="E23" s="429">
        <v>-80</v>
      </c>
      <c r="F23" s="429">
        <v>-80</v>
      </c>
      <c r="G23" s="429">
        <v>-80</v>
      </c>
      <c r="H23" s="429">
        <v>-80</v>
      </c>
      <c r="I23" s="429">
        <v>-80</v>
      </c>
      <c r="J23" s="429">
        <v>-80</v>
      </c>
      <c r="K23" s="429">
        <v>-80</v>
      </c>
      <c r="L23" s="437">
        <v>-80</v>
      </c>
      <c r="M23" s="437">
        <v>-80</v>
      </c>
      <c r="N23" s="429">
        <v>-1046.01</v>
      </c>
    </row>
    <row r="24" spans="1:14">
      <c r="A24" s="258"/>
      <c r="B24" s="429"/>
      <c r="C24" s="429"/>
      <c r="D24" s="429"/>
      <c r="E24" s="429"/>
      <c r="F24" s="429"/>
      <c r="G24" s="429"/>
      <c r="H24" s="429"/>
      <c r="I24" s="429"/>
      <c r="J24" s="429"/>
      <c r="K24" s="429"/>
      <c r="L24" s="437"/>
      <c r="M24" s="437"/>
      <c r="N24" s="429"/>
    </row>
    <row r="25" spans="1:14">
      <c r="A25" s="258" t="s">
        <v>471</v>
      </c>
      <c r="B25" s="429"/>
      <c r="C25" s="429">
        <v>-1310</v>
      </c>
      <c r="D25" s="429">
        <v>-505</v>
      </c>
      <c r="E25" s="429">
        <v>-505</v>
      </c>
      <c r="F25" s="429">
        <v>-505</v>
      </c>
      <c r="G25" s="429">
        <v>-505</v>
      </c>
      <c r="H25" s="429">
        <v>-505</v>
      </c>
      <c r="I25" s="429">
        <v>-505</v>
      </c>
      <c r="J25" s="429">
        <v>-505</v>
      </c>
      <c r="K25" s="429">
        <v>-505</v>
      </c>
      <c r="L25" s="437">
        <v>-505</v>
      </c>
      <c r="M25" s="437">
        <v>-505</v>
      </c>
      <c r="N25" s="429">
        <v>-6360</v>
      </c>
    </row>
    <row r="26" spans="1:14">
      <c r="A26" s="268" t="s">
        <v>1095</v>
      </c>
      <c r="B26" s="429"/>
      <c r="C26" s="429">
        <v>-1310</v>
      </c>
      <c r="D26" s="429">
        <v>-505</v>
      </c>
      <c r="E26" s="429">
        <v>-505</v>
      </c>
      <c r="F26" s="429">
        <v>-505</v>
      </c>
      <c r="G26" s="429">
        <v>-505</v>
      </c>
      <c r="H26" s="429">
        <v>-505</v>
      </c>
      <c r="I26" s="429">
        <v>-505</v>
      </c>
      <c r="J26" s="429">
        <v>-505</v>
      </c>
      <c r="K26" s="429">
        <v>-505</v>
      </c>
      <c r="L26" s="437">
        <v>-505</v>
      </c>
      <c r="M26" s="437">
        <v>-505</v>
      </c>
      <c r="N26" s="429">
        <v>-6360</v>
      </c>
    </row>
    <row r="27" spans="1:14">
      <c r="A27" s="258"/>
      <c r="B27" s="429"/>
      <c r="C27" s="429"/>
      <c r="D27" s="429"/>
      <c r="E27" s="429"/>
      <c r="F27" s="429"/>
      <c r="G27" s="429"/>
      <c r="H27" s="429"/>
      <c r="I27" s="429"/>
      <c r="J27" s="429"/>
      <c r="K27" s="429"/>
      <c r="L27" s="437"/>
      <c r="M27" s="437"/>
      <c r="N27" s="429"/>
    </row>
    <row r="28" spans="1:14">
      <c r="A28" s="258" t="s">
        <v>654</v>
      </c>
      <c r="B28" s="429">
        <v>-490.34</v>
      </c>
      <c r="C28" s="429">
        <v>-220</v>
      </c>
      <c r="D28" s="429">
        <v>-220</v>
      </c>
      <c r="E28" s="429">
        <v>-220</v>
      </c>
      <c r="F28" s="429">
        <v>-220</v>
      </c>
      <c r="G28" s="429">
        <v>-220</v>
      </c>
      <c r="H28" s="429">
        <v>-220</v>
      </c>
      <c r="I28" s="429">
        <v>-220</v>
      </c>
      <c r="J28" s="429">
        <v>-220</v>
      </c>
      <c r="K28" s="429">
        <v>-220</v>
      </c>
      <c r="L28" s="437">
        <v>-220</v>
      </c>
      <c r="M28" s="437">
        <v>-220</v>
      </c>
      <c r="N28" s="429">
        <v>-2910.3399999999997</v>
      </c>
    </row>
    <row r="29" spans="1:14">
      <c r="A29" s="268" t="s">
        <v>5</v>
      </c>
      <c r="B29" s="429">
        <v>-255.28</v>
      </c>
      <c r="C29" s="429">
        <v>-100</v>
      </c>
      <c r="D29" s="429">
        <v>-100</v>
      </c>
      <c r="E29" s="429">
        <v>-100</v>
      </c>
      <c r="F29" s="429">
        <v>-100</v>
      </c>
      <c r="G29" s="429">
        <v>-100</v>
      </c>
      <c r="H29" s="429">
        <v>-100</v>
      </c>
      <c r="I29" s="429">
        <v>-100</v>
      </c>
      <c r="J29" s="429">
        <v>-100</v>
      </c>
      <c r="K29" s="429">
        <v>-100</v>
      </c>
      <c r="L29" s="437">
        <v>-100</v>
      </c>
      <c r="M29" s="437">
        <v>-100</v>
      </c>
      <c r="N29" s="429">
        <v>-1355.28</v>
      </c>
    </row>
    <row r="30" spans="1:14">
      <c r="A30" s="268" t="s">
        <v>10</v>
      </c>
      <c r="B30" s="429">
        <v>-116.25</v>
      </c>
      <c r="C30" s="429">
        <v>-60</v>
      </c>
      <c r="D30" s="429">
        <v>-60</v>
      </c>
      <c r="E30" s="429">
        <v>-60</v>
      </c>
      <c r="F30" s="429">
        <v>-60</v>
      </c>
      <c r="G30" s="429">
        <v>-60</v>
      </c>
      <c r="H30" s="429">
        <v>-60</v>
      </c>
      <c r="I30" s="429">
        <v>-60</v>
      </c>
      <c r="J30" s="429">
        <v>-60</v>
      </c>
      <c r="K30" s="429">
        <v>-60</v>
      </c>
      <c r="L30" s="437">
        <v>-60</v>
      </c>
      <c r="M30" s="437">
        <v>-60</v>
      </c>
      <c r="N30" s="429">
        <v>-776.25</v>
      </c>
    </row>
    <row r="31" spans="1:14">
      <c r="A31" s="268" t="s">
        <v>92</v>
      </c>
      <c r="B31" s="429">
        <v>-3.43</v>
      </c>
      <c r="C31" s="429"/>
      <c r="D31" s="429"/>
      <c r="E31" s="429"/>
      <c r="F31" s="429"/>
      <c r="G31" s="429"/>
      <c r="H31" s="429"/>
      <c r="I31" s="429"/>
      <c r="J31" s="429"/>
      <c r="K31" s="429"/>
      <c r="L31" s="437"/>
      <c r="M31" s="437"/>
      <c r="N31" s="429">
        <v>-3.43</v>
      </c>
    </row>
    <row r="32" spans="1:14">
      <c r="A32" s="268" t="s">
        <v>13</v>
      </c>
      <c r="B32" s="429">
        <v>-115.38</v>
      </c>
      <c r="C32" s="429">
        <v>-60</v>
      </c>
      <c r="D32" s="429">
        <v>-60</v>
      </c>
      <c r="E32" s="429">
        <v>-60</v>
      </c>
      <c r="F32" s="429">
        <v>-60</v>
      </c>
      <c r="G32" s="429">
        <v>-60</v>
      </c>
      <c r="H32" s="429">
        <v>-60</v>
      </c>
      <c r="I32" s="429">
        <v>-60</v>
      </c>
      <c r="J32" s="429">
        <v>-60</v>
      </c>
      <c r="K32" s="429">
        <v>-60</v>
      </c>
      <c r="L32" s="437">
        <v>-60</v>
      </c>
      <c r="M32" s="437">
        <v>-60</v>
      </c>
      <c r="N32" s="429">
        <v>-775.38</v>
      </c>
    </row>
    <row r="33" spans="1:953">
      <c r="A33" s="258"/>
      <c r="B33" s="429"/>
      <c r="C33" s="429"/>
      <c r="D33" s="429"/>
      <c r="E33" s="429"/>
      <c r="F33" s="429"/>
      <c r="G33" s="429"/>
      <c r="H33" s="429"/>
      <c r="I33" s="429"/>
      <c r="J33" s="429"/>
      <c r="K33" s="429"/>
      <c r="L33" s="437"/>
      <c r="M33" s="437"/>
      <c r="N33" s="429"/>
    </row>
    <row r="34" spans="1:953">
      <c r="A34" s="258" t="s">
        <v>1015</v>
      </c>
      <c r="B34" s="429">
        <v>-42.92</v>
      </c>
      <c r="C34" s="429">
        <v>-42.92</v>
      </c>
      <c r="D34" s="429">
        <v>-42.92</v>
      </c>
      <c r="E34" s="429">
        <v>-42.92</v>
      </c>
      <c r="F34" s="429">
        <v>-42.92</v>
      </c>
      <c r="G34" s="429">
        <v>-42.92</v>
      </c>
      <c r="H34" s="429">
        <v>-42.92</v>
      </c>
      <c r="I34" s="429">
        <v>-21.46</v>
      </c>
      <c r="J34" s="429">
        <v>-21.46</v>
      </c>
      <c r="K34" s="429">
        <v>-21.46</v>
      </c>
      <c r="L34" s="437">
        <v>-21.46</v>
      </c>
      <c r="M34" s="437">
        <v>-21.46</v>
      </c>
      <c r="N34" s="429">
        <v>-407.73999999999995</v>
      </c>
    </row>
    <row r="35" spans="1:953">
      <c r="A35" s="268" t="s">
        <v>30</v>
      </c>
      <c r="B35" s="429">
        <v>-42.92</v>
      </c>
      <c r="C35" s="429">
        <v>-42.92</v>
      </c>
      <c r="D35" s="429">
        <v>-42.92</v>
      </c>
      <c r="E35" s="429">
        <v>-42.92</v>
      </c>
      <c r="F35" s="429">
        <v>-42.92</v>
      </c>
      <c r="G35" s="429">
        <v>-42.92</v>
      </c>
      <c r="H35" s="429">
        <v>-42.92</v>
      </c>
      <c r="I35" s="429">
        <v>-21.46</v>
      </c>
      <c r="J35" s="429">
        <v>-21.46</v>
      </c>
      <c r="K35" s="429">
        <v>-21.46</v>
      </c>
      <c r="L35" s="437">
        <v>-21.46</v>
      </c>
      <c r="M35" s="437">
        <v>-21.46</v>
      </c>
      <c r="N35" s="429">
        <v>-407.73999999999995</v>
      </c>
    </row>
    <row r="36" spans="1:953">
      <c r="A36" s="258"/>
      <c r="B36" s="429"/>
      <c r="C36" s="429"/>
      <c r="D36" s="429"/>
      <c r="E36" s="429"/>
      <c r="F36" s="429"/>
      <c r="G36" s="429"/>
      <c r="H36" s="429"/>
      <c r="I36" s="429"/>
      <c r="J36" s="429"/>
      <c r="K36" s="429"/>
      <c r="L36" s="437"/>
      <c r="M36" s="437"/>
      <c r="N36" s="429"/>
    </row>
    <row r="37" spans="1:953">
      <c r="A37" s="258" t="s">
        <v>41</v>
      </c>
      <c r="B37" s="429">
        <v>-42.72</v>
      </c>
      <c r="C37" s="429">
        <v>-23.22</v>
      </c>
      <c r="D37" s="429">
        <v>-19.5</v>
      </c>
      <c r="E37" s="429">
        <v>-19.5</v>
      </c>
      <c r="F37" s="429">
        <v>-19.5</v>
      </c>
      <c r="G37" s="429">
        <v>-19.5</v>
      </c>
      <c r="H37" s="429">
        <v>-19.5</v>
      </c>
      <c r="I37" s="429">
        <v>-19.5</v>
      </c>
      <c r="J37" s="429">
        <v>-19.5</v>
      </c>
      <c r="K37" s="429">
        <v>-19.5</v>
      </c>
      <c r="L37" s="437">
        <v>-19.5</v>
      </c>
      <c r="M37" s="437">
        <v>-19.5</v>
      </c>
      <c r="N37" s="429">
        <v>-260.94</v>
      </c>
    </row>
    <row r="38" spans="1:953">
      <c r="A38" s="268" t="s">
        <v>97</v>
      </c>
      <c r="B38" s="429">
        <v>-3.72</v>
      </c>
      <c r="C38" s="429">
        <v>-3.72</v>
      </c>
      <c r="D38" s="429"/>
      <c r="E38" s="429"/>
      <c r="F38" s="429"/>
      <c r="G38" s="429"/>
      <c r="H38" s="429"/>
      <c r="I38" s="429"/>
      <c r="J38" s="429"/>
      <c r="K38" s="429"/>
      <c r="L38" s="437"/>
      <c r="M38" s="437"/>
      <c r="N38" s="429">
        <v>-7.44</v>
      </c>
    </row>
    <row r="39" spans="1:953" s="58" customFormat="1">
      <c r="A39" s="268" t="s">
        <v>96</v>
      </c>
      <c r="B39" s="429">
        <v>-39</v>
      </c>
      <c r="C39" s="429">
        <v>-19.5</v>
      </c>
      <c r="D39" s="429">
        <v>-19.5</v>
      </c>
      <c r="E39" s="429">
        <v>-19.5</v>
      </c>
      <c r="F39" s="429">
        <v>-19.5</v>
      </c>
      <c r="G39" s="429">
        <v>-19.5</v>
      </c>
      <c r="H39" s="429">
        <v>-19.5</v>
      </c>
      <c r="I39" s="429">
        <v>-19.5</v>
      </c>
      <c r="J39" s="429">
        <v>-19.5</v>
      </c>
      <c r="K39" s="429">
        <v>-19.5</v>
      </c>
      <c r="L39" s="437">
        <v>-19.5</v>
      </c>
      <c r="M39" s="437">
        <v>-19.5</v>
      </c>
      <c r="N39" s="429">
        <v>-253.5</v>
      </c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I39"/>
      <c r="AJ39"/>
      <c r="AK39"/>
      <c r="AL39"/>
      <c r="AM39"/>
      <c r="AN39"/>
      <c r="AO39"/>
      <c r="AP39"/>
      <c r="AQ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/>
      <c r="BO39"/>
      <c r="BP39"/>
      <c r="BQ39"/>
      <c r="BR39"/>
      <c r="BS39"/>
      <c r="BT39"/>
      <c r="BU39"/>
      <c r="BV39"/>
      <c r="BW39"/>
      <c r="BX39"/>
      <c r="BY39"/>
      <c r="BZ39"/>
      <c r="CA39"/>
      <c r="CB39"/>
      <c r="CC39"/>
      <c r="CD39"/>
      <c r="CE39"/>
      <c r="CF39"/>
      <c r="CG39"/>
      <c r="CH39"/>
      <c r="CI39"/>
      <c r="CJ39"/>
      <c r="CK39"/>
      <c r="CL39"/>
      <c r="CM39"/>
      <c r="CN39"/>
      <c r="CO39"/>
      <c r="CP39"/>
      <c r="CQ39"/>
      <c r="CR39"/>
      <c r="CS39"/>
      <c r="CT39"/>
      <c r="CU39"/>
      <c r="CV39"/>
      <c r="CW39"/>
      <c r="CX39"/>
      <c r="CY39"/>
      <c r="CZ39"/>
      <c r="DA39"/>
      <c r="DB39"/>
      <c r="DC39"/>
      <c r="DD39"/>
      <c r="DE39"/>
      <c r="DF39"/>
      <c r="DG39"/>
      <c r="DH39"/>
      <c r="DI39"/>
      <c r="DJ39"/>
      <c r="DK39"/>
      <c r="DL39"/>
      <c r="DM39"/>
      <c r="DN39"/>
      <c r="DO39"/>
      <c r="DP39"/>
      <c r="DQ39"/>
      <c r="DR39"/>
      <c r="DS39"/>
      <c r="DT39"/>
      <c r="DU39"/>
      <c r="DV39"/>
      <c r="DW39"/>
      <c r="DX39"/>
      <c r="DY39"/>
      <c r="DZ39"/>
      <c r="EA39"/>
      <c r="EB39"/>
      <c r="EC39"/>
      <c r="ED39"/>
      <c r="EE39"/>
      <c r="EF39"/>
      <c r="EG39"/>
      <c r="EH39"/>
      <c r="EI39"/>
      <c r="EJ39"/>
      <c r="EK39"/>
      <c r="EL39"/>
      <c r="EM39"/>
      <c r="EN39"/>
      <c r="EO39"/>
      <c r="EP39"/>
      <c r="EQ39"/>
      <c r="ER39"/>
      <c r="ES39"/>
      <c r="ET39"/>
      <c r="EU39"/>
      <c r="EV39"/>
      <c r="EW39"/>
      <c r="EX39"/>
      <c r="EY39"/>
      <c r="EZ39"/>
      <c r="FA39"/>
      <c r="FB39"/>
      <c r="FC39"/>
      <c r="FD39"/>
      <c r="FE39"/>
      <c r="FF39"/>
      <c r="FG39"/>
      <c r="FH39"/>
      <c r="FI39"/>
      <c r="FJ39"/>
      <c r="FK39"/>
      <c r="FL39"/>
      <c r="FM39"/>
      <c r="FN39"/>
      <c r="FO39"/>
      <c r="FP39"/>
      <c r="FQ39"/>
      <c r="FR39"/>
      <c r="FS39"/>
      <c r="FT39"/>
      <c r="FU39"/>
      <c r="FV39"/>
      <c r="FW39"/>
      <c r="FX39"/>
      <c r="FY39"/>
      <c r="FZ39"/>
      <c r="GA39"/>
      <c r="GB39"/>
      <c r="GC39"/>
      <c r="GD39"/>
      <c r="GE39"/>
      <c r="GF39"/>
      <c r="GG39"/>
      <c r="GH39"/>
      <c r="GI39"/>
      <c r="GJ39"/>
      <c r="GK39"/>
      <c r="GL39"/>
      <c r="GM39"/>
      <c r="GN39"/>
      <c r="GO39"/>
      <c r="GP39"/>
      <c r="GQ39"/>
      <c r="GR39"/>
      <c r="GS39"/>
      <c r="GT39"/>
      <c r="GU39"/>
      <c r="GV39"/>
      <c r="GW39"/>
      <c r="GX39"/>
      <c r="GY39"/>
      <c r="GZ39"/>
      <c r="HA39"/>
      <c r="HB39"/>
      <c r="HC39"/>
      <c r="HD39"/>
      <c r="HE39"/>
      <c r="HF39"/>
      <c r="HG39"/>
      <c r="HH39"/>
      <c r="HI39"/>
      <c r="HJ39"/>
      <c r="HK39"/>
      <c r="HL39"/>
      <c r="HM39"/>
      <c r="HN39"/>
      <c r="HO39"/>
      <c r="HP39"/>
      <c r="HQ39"/>
      <c r="HR39"/>
      <c r="HS39"/>
      <c r="HT39"/>
      <c r="HU39"/>
      <c r="HV39"/>
      <c r="HW39"/>
      <c r="HX39"/>
      <c r="HY39"/>
      <c r="HZ39"/>
      <c r="IA39"/>
      <c r="IB39"/>
      <c r="IC39"/>
      <c r="ID39"/>
      <c r="IE39"/>
      <c r="IF39"/>
      <c r="IG39"/>
      <c r="IH39"/>
      <c r="II39"/>
      <c r="IJ39"/>
      <c r="IK39"/>
      <c r="IL39"/>
      <c r="IM39"/>
      <c r="IN39"/>
      <c r="IO39"/>
      <c r="IP39"/>
      <c r="IQ39"/>
      <c r="IR39"/>
      <c r="IS39"/>
      <c r="IT39"/>
      <c r="IU39"/>
      <c r="IV39"/>
      <c r="IW39"/>
      <c r="IX39"/>
      <c r="IY39"/>
      <c r="IZ39"/>
      <c r="JA39"/>
      <c r="JB39"/>
      <c r="JC39"/>
      <c r="JD39"/>
      <c r="JE39"/>
      <c r="JF39"/>
      <c r="JG39"/>
      <c r="JH39"/>
      <c r="JI39"/>
      <c r="JJ39"/>
      <c r="JK39"/>
      <c r="JL39"/>
      <c r="JM39"/>
      <c r="JN39"/>
      <c r="JO39"/>
      <c r="JP39"/>
      <c r="JQ39"/>
      <c r="JR39"/>
      <c r="JS39"/>
      <c r="JT39"/>
      <c r="JU39"/>
      <c r="JV39"/>
      <c r="JW39"/>
      <c r="JX39"/>
      <c r="JY39"/>
      <c r="JZ39"/>
      <c r="KA39"/>
      <c r="KB39"/>
      <c r="KC39"/>
      <c r="KD39"/>
      <c r="KE39"/>
      <c r="KF39"/>
      <c r="KG39"/>
      <c r="KH39"/>
      <c r="KI39"/>
      <c r="KJ39"/>
      <c r="KK39"/>
      <c r="KL39"/>
      <c r="KM39"/>
      <c r="KN39"/>
      <c r="KO39"/>
      <c r="KP39"/>
      <c r="KQ39"/>
      <c r="KR39"/>
      <c r="KS39"/>
      <c r="KT39"/>
      <c r="KU39"/>
      <c r="KV39"/>
      <c r="KW39"/>
      <c r="KX39"/>
      <c r="KY39"/>
      <c r="KZ39"/>
      <c r="LA39"/>
      <c r="LB39"/>
      <c r="LC39"/>
      <c r="LD39"/>
      <c r="LE39"/>
      <c r="LF39"/>
      <c r="LG39"/>
      <c r="LH39"/>
      <c r="LI39"/>
      <c r="LJ39"/>
      <c r="LK39"/>
      <c r="LL39"/>
      <c r="LM39"/>
      <c r="LN39"/>
      <c r="LO39"/>
      <c r="LP39"/>
      <c r="LQ39"/>
      <c r="LR39"/>
      <c r="LS39"/>
      <c r="LT39"/>
      <c r="LU39"/>
      <c r="LV39"/>
      <c r="LW39"/>
      <c r="LX39"/>
      <c r="LY39"/>
      <c r="LZ39"/>
      <c r="MA39"/>
      <c r="MB39"/>
      <c r="MC39"/>
      <c r="MD39"/>
      <c r="ME39"/>
      <c r="MF39"/>
      <c r="MG39"/>
      <c r="MH39"/>
      <c r="MI39"/>
      <c r="MJ39"/>
      <c r="MK39"/>
      <c r="ML39"/>
      <c r="MM39"/>
      <c r="MN39"/>
      <c r="MO39"/>
      <c r="MP39"/>
      <c r="MQ39"/>
      <c r="MR39"/>
      <c r="MS39"/>
      <c r="MT39"/>
      <c r="MU39"/>
      <c r="MV39"/>
      <c r="MW39"/>
      <c r="MX39"/>
      <c r="MY39"/>
      <c r="MZ39"/>
      <c r="NA39"/>
      <c r="NB39"/>
      <c r="NC39"/>
      <c r="ND39"/>
      <c r="NE39"/>
      <c r="NF39"/>
      <c r="NG39"/>
      <c r="NH39"/>
      <c r="NI39"/>
      <c r="NJ39"/>
      <c r="NK39"/>
      <c r="NL39"/>
      <c r="NM39"/>
      <c r="NN39"/>
      <c r="NO39"/>
      <c r="NP39"/>
      <c r="NQ39"/>
      <c r="NR39"/>
      <c r="NS39"/>
      <c r="NT39"/>
      <c r="NU39"/>
      <c r="NV39"/>
      <c r="NW39"/>
      <c r="NX39"/>
      <c r="NY39"/>
      <c r="NZ39"/>
      <c r="OA39"/>
      <c r="OB39"/>
      <c r="OC39"/>
      <c r="OD39"/>
      <c r="OE39"/>
      <c r="OF39"/>
      <c r="OG39"/>
      <c r="OH39"/>
      <c r="OI39"/>
      <c r="OJ39"/>
      <c r="OK39"/>
      <c r="OL39"/>
      <c r="OM39"/>
      <c r="ON39"/>
      <c r="OO39"/>
      <c r="OP39"/>
      <c r="OQ39"/>
      <c r="OR39"/>
      <c r="OS39"/>
      <c r="OT39"/>
      <c r="OU39"/>
      <c r="OV39"/>
      <c r="OW39"/>
      <c r="OX39"/>
      <c r="OY39"/>
      <c r="OZ39"/>
      <c r="PA39"/>
      <c r="PB39"/>
      <c r="PC39"/>
      <c r="PD39"/>
      <c r="PE39"/>
      <c r="PF39"/>
      <c r="PG39"/>
      <c r="PH39"/>
      <c r="PI39"/>
      <c r="PJ39"/>
      <c r="PK39"/>
      <c r="PL39"/>
      <c r="PM39"/>
      <c r="PN39"/>
      <c r="PO39"/>
      <c r="PP39"/>
      <c r="PQ39"/>
      <c r="PR39"/>
      <c r="PS39"/>
      <c r="PT39"/>
      <c r="PU39"/>
      <c r="PV39"/>
      <c r="PW39"/>
      <c r="PX39"/>
      <c r="PY39"/>
      <c r="PZ39"/>
      <c r="QA39"/>
      <c r="QB39"/>
      <c r="QC39"/>
      <c r="QD39"/>
      <c r="QE39"/>
      <c r="QF39"/>
      <c r="QG39"/>
      <c r="QH39"/>
      <c r="QI39"/>
      <c r="QJ39"/>
      <c r="QK39"/>
      <c r="QL39"/>
      <c r="QM39"/>
      <c r="QN39"/>
      <c r="QO39"/>
      <c r="QP39"/>
      <c r="QQ39"/>
      <c r="QR39"/>
      <c r="QS39"/>
      <c r="QT39"/>
      <c r="QU39"/>
      <c r="QV39"/>
      <c r="QW39"/>
      <c r="QX39"/>
      <c r="QY39"/>
      <c r="QZ39"/>
      <c r="RA39"/>
      <c r="RB39"/>
      <c r="RC39"/>
      <c r="RD39"/>
      <c r="RE39"/>
      <c r="RF39"/>
      <c r="RG39"/>
      <c r="RH39"/>
      <c r="RI39"/>
      <c r="RJ39"/>
      <c r="RK39"/>
      <c r="RL39"/>
      <c r="RM39"/>
      <c r="RN39"/>
      <c r="RO39"/>
      <c r="RP39"/>
      <c r="RQ39"/>
      <c r="RR39"/>
      <c r="RS39"/>
      <c r="RT39"/>
      <c r="RU39"/>
      <c r="RV39"/>
      <c r="RW39"/>
      <c r="RX39"/>
      <c r="RY39"/>
      <c r="RZ39"/>
      <c r="SA39"/>
      <c r="SB39"/>
      <c r="SC39"/>
      <c r="SD39"/>
      <c r="SE39"/>
      <c r="SF39"/>
      <c r="SG39"/>
      <c r="SH39"/>
      <c r="SI39"/>
      <c r="SJ39"/>
      <c r="SK39"/>
      <c r="SL39"/>
      <c r="SM39"/>
      <c r="SN39"/>
      <c r="SO39"/>
      <c r="SP39"/>
      <c r="SQ39"/>
      <c r="SR39"/>
      <c r="SS39"/>
      <c r="ST39"/>
      <c r="SU39"/>
      <c r="SV39"/>
      <c r="SW39"/>
      <c r="SX39"/>
      <c r="SY39"/>
      <c r="SZ39"/>
      <c r="TA39"/>
      <c r="TB39"/>
      <c r="TC39"/>
      <c r="TD39"/>
      <c r="TE39"/>
      <c r="TF39"/>
      <c r="TG39"/>
      <c r="TH39"/>
      <c r="TI39"/>
      <c r="TJ39"/>
      <c r="TK39"/>
      <c r="TL39"/>
      <c r="TM39"/>
      <c r="TN39"/>
      <c r="TO39"/>
      <c r="TP39"/>
      <c r="TQ39"/>
      <c r="TR39"/>
      <c r="TS39"/>
      <c r="TT39"/>
      <c r="TU39"/>
      <c r="TV39"/>
      <c r="TW39"/>
      <c r="TX39"/>
      <c r="TY39"/>
      <c r="TZ39"/>
      <c r="UA39"/>
      <c r="UB39"/>
      <c r="UC39"/>
      <c r="UD39"/>
      <c r="UE39"/>
      <c r="UF39"/>
      <c r="UG39"/>
      <c r="UH39"/>
      <c r="UI39"/>
      <c r="UJ39"/>
      <c r="UK39"/>
      <c r="UL39"/>
      <c r="UM39"/>
      <c r="UN39"/>
      <c r="UO39"/>
      <c r="UP39"/>
      <c r="UQ39"/>
      <c r="UR39"/>
      <c r="US39"/>
      <c r="UT39"/>
      <c r="UU39"/>
      <c r="UV39"/>
      <c r="UW39"/>
      <c r="UX39"/>
      <c r="UY39"/>
      <c r="UZ39"/>
      <c r="VA39"/>
      <c r="VB39"/>
      <c r="VC39"/>
      <c r="VD39"/>
      <c r="VE39"/>
      <c r="VF39"/>
      <c r="VG39"/>
      <c r="VH39"/>
      <c r="VI39"/>
      <c r="VJ39"/>
      <c r="VK39"/>
      <c r="VL39"/>
      <c r="VM39"/>
      <c r="VN39"/>
      <c r="VO39"/>
      <c r="VP39"/>
      <c r="VQ39"/>
      <c r="VR39"/>
      <c r="VS39"/>
      <c r="VT39"/>
      <c r="VU39"/>
      <c r="VV39"/>
      <c r="VW39"/>
      <c r="VX39"/>
      <c r="VY39"/>
      <c r="VZ39"/>
      <c r="WA39"/>
      <c r="WB39"/>
      <c r="WC39"/>
      <c r="WD39"/>
      <c r="WE39"/>
      <c r="WF39"/>
      <c r="WG39"/>
      <c r="WH39"/>
      <c r="WI39"/>
      <c r="WJ39"/>
      <c r="WK39"/>
      <c r="WL39"/>
      <c r="WM39"/>
      <c r="WN39"/>
      <c r="WO39"/>
      <c r="WP39"/>
      <c r="WQ39"/>
      <c r="WR39"/>
      <c r="WS39"/>
      <c r="WT39"/>
      <c r="WU39"/>
      <c r="WV39"/>
      <c r="WW39"/>
      <c r="WX39"/>
      <c r="WY39"/>
      <c r="WZ39"/>
      <c r="XA39"/>
      <c r="XB39"/>
      <c r="XC39"/>
      <c r="XD39"/>
      <c r="XE39"/>
      <c r="XF39"/>
      <c r="XG39"/>
      <c r="XH39"/>
      <c r="XI39"/>
      <c r="XJ39"/>
      <c r="XK39"/>
      <c r="XL39"/>
      <c r="XM39"/>
      <c r="XN39"/>
      <c r="XO39"/>
      <c r="XP39"/>
      <c r="XQ39"/>
      <c r="XR39"/>
      <c r="XS39"/>
      <c r="XT39"/>
      <c r="XU39"/>
      <c r="XV39"/>
      <c r="XW39"/>
      <c r="XX39"/>
      <c r="XY39"/>
      <c r="XZ39"/>
      <c r="YA39"/>
      <c r="YB39"/>
      <c r="YC39"/>
      <c r="YD39"/>
      <c r="YE39"/>
      <c r="YF39"/>
      <c r="YG39"/>
      <c r="YH39"/>
      <c r="YI39"/>
      <c r="YJ39"/>
      <c r="YK39"/>
      <c r="YL39"/>
      <c r="YM39"/>
      <c r="YN39"/>
      <c r="YO39"/>
      <c r="YP39"/>
      <c r="YQ39"/>
      <c r="YR39"/>
      <c r="YS39"/>
      <c r="YT39"/>
      <c r="YU39"/>
      <c r="YV39"/>
      <c r="YW39"/>
      <c r="YX39"/>
      <c r="YY39"/>
      <c r="YZ39"/>
      <c r="ZA39"/>
      <c r="ZB39"/>
      <c r="ZC39"/>
      <c r="ZD39"/>
      <c r="ZE39"/>
      <c r="ZF39"/>
      <c r="ZG39"/>
      <c r="ZH39"/>
      <c r="ZI39"/>
      <c r="ZJ39"/>
      <c r="ZK39"/>
      <c r="ZL39"/>
      <c r="ZM39"/>
      <c r="ZN39"/>
      <c r="ZO39"/>
      <c r="ZP39"/>
      <c r="ZQ39"/>
      <c r="ZR39"/>
      <c r="ZS39"/>
      <c r="ZT39"/>
      <c r="ZU39"/>
      <c r="ZV39"/>
      <c r="ZW39"/>
      <c r="ZX39"/>
      <c r="ZY39"/>
      <c r="ZZ39"/>
      <c r="AAA39"/>
      <c r="AAB39"/>
      <c r="AAC39"/>
      <c r="AAD39"/>
      <c r="AAE39"/>
      <c r="AAF39"/>
      <c r="AAG39"/>
      <c r="AAH39"/>
      <c r="AAI39"/>
      <c r="AAJ39"/>
      <c r="AAK39"/>
      <c r="AAL39"/>
      <c r="AAM39"/>
      <c r="AAN39"/>
      <c r="AAO39"/>
      <c r="AAP39"/>
      <c r="AAQ39"/>
      <c r="AAR39"/>
      <c r="AAS39"/>
      <c r="AAT39"/>
      <c r="AAU39"/>
      <c r="AAV39"/>
      <c r="AAW39"/>
      <c r="AAX39"/>
      <c r="AAY39"/>
      <c r="AAZ39"/>
      <c r="ABA39"/>
      <c r="ABB39"/>
      <c r="ABC39"/>
      <c r="ABD39"/>
      <c r="ABE39"/>
      <c r="ABF39"/>
      <c r="ABG39"/>
      <c r="ABH39"/>
      <c r="ABI39"/>
      <c r="ABJ39"/>
      <c r="ABK39"/>
      <c r="ABL39"/>
      <c r="ABM39"/>
      <c r="ABN39"/>
      <c r="ABO39"/>
      <c r="ABP39"/>
      <c r="ABQ39"/>
      <c r="ABR39"/>
      <c r="ABS39"/>
      <c r="ABT39"/>
      <c r="ABU39"/>
      <c r="ABV39"/>
      <c r="ABW39"/>
      <c r="ABX39"/>
      <c r="ABY39"/>
      <c r="ABZ39"/>
      <c r="ACA39"/>
      <c r="ACB39"/>
      <c r="ACC39"/>
      <c r="ACD39"/>
      <c r="ACE39"/>
      <c r="ACF39"/>
      <c r="ACG39"/>
      <c r="ACH39"/>
      <c r="ACI39"/>
      <c r="ACJ39"/>
      <c r="ACK39"/>
      <c r="ACL39"/>
      <c r="ACM39"/>
      <c r="ACN39"/>
      <c r="ACO39"/>
      <c r="ACP39"/>
      <c r="ACQ39"/>
      <c r="ACR39"/>
      <c r="ACS39"/>
      <c r="ACT39"/>
      <c r="ACU39"/>
      <c r="ACV39"/>
      <c r="ACW39"/>
      <c r="ACX39"/>
      <c r="ACY39"/>
      <c r="ACZ39"/>
      <c r="ADA39"/>
      <c r="ADB39"/>
      <c r="ADC39"/>
      <c r="ADD39"/>
      <c r="ADE39"/>
      <c r="ADF39"/>
      <c r="ADG39"/>
      <c r="ADH39"/>
      <c r="ADI39"/>
      <c r="ADJ39"/>
      <c r="ADK39"/>
      <c r="ADL39"/>
      <c r="ADM39"/>
      <c r="ADN39"/>
      <c r="ADO39"/>
      <c r="ADP39"/>
      <c r="ADQ39"/>
      <c r="ADR39"/>
      <c r="ADS39"/>
      <c r="ADT39"/>
      <c r="ADU39"/>
      <c r="ADV39"/>
      <c r="ADW39"/>
      <c r="ADX39"/>
      <c r="ADY39"/>
      <c r="ADZ39"/>
      <c r="AEA39"/>
      <c r="AEB39"/>
      <c r="AEC39"/>
      <c r="AED39"/>
      <c r="AEE39"/>
      <c r="AEF39"/>
      <c r="AEG39"/>
      <c r="AEH39"/>
      <c r="AEI39"/>
      <c r="AEJ39"/>
      <c r="AEK39"/>
      <c r="AEL39"/>
      <c r="AEM39"/>
      <c r="AEN39"/>
      <c r="AEO39"/>
      <c r="AEP39"/>
      <c r="AEQ39"/>
      <c r="AER39"/>
      <c r="AES39"/>
      <c r="AET39"/>
      <c r="AEU39"/>
      <c r="AEV39"/>
      <c r="AEW39"/>
      <c r="AEX39"/>
      <c r="AEY39"/>
      <c r="AEZ39"/>
      <c r="AFA39"/>
      <c r="AFB39"/>
      <c r="AFC39"/>
      <c r="AFD39"/>
      <c r="AFE39"/>
      <c r="AFF39"/>
      <c r="AFG39"/>
      <c r="AFH39"/>
      <c r="AFI39"/>
      <c r="AFJ39"/>
      <c r="AFK39"/>
      <c r="AFL39"/>
      <c r="AFM39"/>
      <c r="AFN39"/>
      <c r="AFO39"/>
      <c r="AFP39"/>
      <c r="AFQ39"/>
      <c r="AFR39"/>
      <c r="AFS39"/>
      <c r="AFT39"/>
      <c r="AFU39"/>
      <c r="AFV39"/>
      <c r="AFW39"/>
      <c r="AFX39"/>
      <c r="AFY39"/>
      <c r="AFZ39"/>
      <c r="AGA39"/>
      <c r="AGB39"/>
      <c r="AGC39"/>
      <c r="AGD39"/>
      <c r="AGE39"/>
      <c r="AGF39"/>
      <c r="AGG39"/>
      <c r="AGH39"/>
      <c r="AGI39"/>
      <c r="AGJ39"/>
      <c r="AGK39"/>
      <c r="AGL39"/>
      <c r="AGM39"/>
      <c r="AGN39"/>
      <c r="AGO39"/>
      <c r="AGP39"/>
      <c r="AGQ39"/>
      <c r="AGR39"/>
      <c r="AGS39"/>
      <c r="AGT39"/>
      <c r="AGU39"/>
      <c r="AGV39"/>
      <c r="AGW39"/>
      <c r="AGX39"/>
      <c r="AGY39"/>
      <c r="AGZ39"/>
      <c r="AHA39"/>
      <c r="AHB39"/>
      <c r="AHC39"/>
      <c r="AHD39"/>
      <c r="AHE39"/>
      <c r="AHF39"/>
      <c r="AHG39"/>
      <c r="AHH39"/>
      <c r="AHI39"/>
      <c r="AHJ39"/>
      <c r="AHK39"/>
      <c r="AHL39"/>
      <c r="AHM39"/>
      <c r="AHN39"/>
      <c r="AHO39"/>
      <c r="AHP39"/>
      <c r="AHQ39"/>
      <c r="AHR39"/>
      <c r="AHS39"/>
      <c r="AHT39"/>
      <c r="AHU39"/>
      <c r="AHV39"/>
      <c r="AHW39"/>
      <c r="AHX39"/>
      <c r="AHY39"/>
      <c r="AHZ39"/>
      <c r="AIA39"/>
      <c r="AIB39"/>
      <c r="AIC39"/>
      <c r="AID39"/>
      <c r="AIE39"/>
      <c r="AIF39"/>
      <c r="AIG39"/>
      <c r="AIH39"/>
      <c r="AII39"/>
      <c r="AIJ39"/>
      <c r="AIK39"/>
      <c r="AIL39"/>
      <c r="AIM39"/>
      <c r="AIN39"/>
      <c r="AIO39"/>
      <c r="AIP39"/>
      <c r="AIQ39"/>
      <c r="AIR39"/>
      <c r="AIS39"/>
      <c r="AIT39"/>
      <c r="AIU39"/>
      <c r="AIV39"/>
      <c r="AIW39"/>
      <c r="AIX39"/>
      <c r="AIY39"/>
      <c r="AIZ39"/>
      <c r="AJA39"/>
      <c r="AJB39"/>
      <c r="AJC39"/>
      <c r="AJD39"/>
      <c r="AJE39"/>
      <c r="AJF39"/>
      <c r="AJG39"/>
      <c r="AJH39"/>
      <c r="AJI39"/>
      <c r="AJJ39"/>
      <c r="AJK39"/>
      <c r="AJL39"/>
      <c r="AJM39"/>
      <c r="AJN39"/>
      <c r="AJO39"/>
      <c r="AJP39"/>
      <c r="AJQ39"/>
    </row>
    <row r="40" spans="1:953">
      <c r="A40" s="258"/>
      <c r="B40" s="429"/>
      <c r="C40" s="429"/>
      <c r="D40" s="429"/>
      <c r="E40" s="429"/>
      <c r="F40" s="429"/>
      <c r="G40" s="429"/>
      <c r="H40" s="429"/>
      <c r="I40" s="429"/>
      <c r="J40" s="429"/>
      <c r="K40" s="429"/>
      <c r="L40" s="437"/>
      <c r="M40" s="437"/>
      <c r="N40" s="429"/>
    </row>
    <row r="41" spans="1:953">
      <c r="A41" s="240">
        <v>20</v>
      </c>
      <c r="B41" s="429"/>
      <c r="C41" s="429"/>
      <c r="D41" s="429"/>
      <c r="E41" s="429"/>
      <c r="F41" s="429"/>
      <c r="G41" s="429"/>
      <c r="H41" s="429"/>
      <c r="I41" s="429"/>
      <c r="J41" s="429"/>
      <c r="K41" s="429"/>
      <c r="L41" s="437"/>
      <c r="M41" s="437"/>
      <c r="N41" s="429"/>
    </row>
    <row r="42" spans="1:953">
      <c r="A42" s="258" t="s">
        <v>471</v>
      </c>
      <c r="B42" s="429">
        <v>-529.66999999999996</v>
      </c>
      <c r="C42" s="429">
        <v>-160.69999999999999</v>
      </c>
      <c r="D42" s="429">
        <v>-170</v>
      </c>
      <c r="E42" s="429">
        <v>-170</v>
      </c>
      <c r="F42" s="429">
        <v>-170</v>
      </c>
      <c r="G42" s="429">
        <v>-170</v>
      </c>
      <c r="H42" s="429">
        <v>-170</v>
      </c>
      <c r="I42" s="429">
        <v>-170</v>
      </c>
      <c r="J42" s="429">
        <v>-170</v>
      </c>
      <c r="K42" s="429">
        <v>-170</v>
      </c>
      <c r="L42" s="437">
        <v>-170</v>
      </c>
      <c r="M42" s="437">
        <v>-170</v>
      </c>
      <c r="N42" s="429">
        <v>-2390.37</v>
      </c>
    </row>
    <row r="43" spans="1:953">
      <c r="A43" s="268" t="s">
        <v>1094</v>
      </c>
      <c r="B43" s="429">
        <v>-329.66999999999996</v>
      </c>
      <c r="C43" s="429">
        <v>-160.69999999999999</v>
      </c>
      <c r="D43" s="429">
        <v>-170</v>
      </c>
      <c r="E43" s="429">
        <v>-170</v>
      </c>
      <c r="F43" s="429">
        <v>-170</v>
      </c>
      <c r="G43" s="429">
        <v>-170</v>
      </c>
      <c r="H43" s="429">
        <v>-170</v>
      </c>
      <c r="I43" s="429">
        <v>-170</v>
      </c>
      <c r="J43" s="429">
        <v>-170</v>
      </c>
      <c r="K43" s="429">
        <v>-170</v>
      </c>
      <c r="L43" s="437">
        <v>-170</v>
      </c>
      <c r="M43" s="437">
        <v>-170</v>
      </c>
      <c r="N43" s="429">
        <v>-2190.37</v>
      </c>
    </row>
    <row r="44" spans="1:953">
      <c r="A44" s="268" t="s">
        <v>1110</v>
      </c>
      <c r="B44" s="429">
        <v>-200</v>
      </c>
      <c r="C44" s="429"/>
      <c r="D44" s="429"/>
      <c r="E44" s="429"/>
      <c r="F44" s="429"/>
      <c r="G44" s="429"/>
      <c r="H44" s="429"/>
      <c r="I44" s="429"/>
      <c r="J44" s="429"/>
      <c r="K44" s="429"/>
      <c r="L44" s="437"/>
      <c r="M44" s="437"/>
      <c r="N44" s="429">
        <v>-200</v>
      </c>
    </row>
    <row r="45" spans="1:953">
      <c r="A45" s="258"/>
      <c r="B45" s="429"/>
      <c r="C45" s="429"/>
      <c r="D45" s="429"/>
      <c r="E45" s="429"/>
      <c r="F45" s="429"/>
      <c r="G45" s="429"/>
      <c r="H45" s="429"/>
      <c r="I45" s="429"/>
      <c r="J45" s="429"/>
      <c r="K45" s="429"/>
      <c r="L45" s="437"/>
      <c r="M45" s="437"/>
      <c r="N45" s="429"/>
    </row>
    <row r="46" spans="1:953">
      <c r="A46" s="68" t="s">
        <v>2</v>
      </c>
      <c r="B46" s="429">
        <v>-10807.95</v>
      </c>
      <c r="C46" s="429">
        <v>-2819.87</v>
      </c>
      <c r="D46" s="429">
        <v>-2981.9</v>
      </c>
      <c r="E46" s="429">
        <v>-2981.9</v>
      </c>
      <c r="F46" s="429">
        <v>-2981.9</v>
      </c>
      <c r="G46" s="429">
        <v>-2981.9</v>
      </c>
      <c r="H46" s="429">
        <v>-2981.9</v>
      </c>
      <c r="I46" s="429">
        <v>-2981.9</v>
      </c>
      <c r="J46" s="429">
        <v>-2981.9</v>
      </c>
      <c r="K46" s="429">
        <v>-2981.9</v>
      </c>
      <c r="L46" s="437">
        <v>-4681.8999999999996</v>
      </c>
      <c r="M46" s="437">
        <v>-3204.42</v>
      </c>
      <c r="N46" s="429">
        <v>-45369.340000000004</v>
      </c>
    </row>
    <row r="47" spans="1:953">
      <c r="A47" s="432" t="s">
        <v>52</v>
      </c>
      <c r="B47" s="435">
        <v>-10807.95</v>
      </c>
      <c r="C47" s="435">
        <v>-2819.87</v>
      </c>
      <c r="D47" s="435">
        <v>-2981.9</v>
      </c>
      <c r="E47" s="435">
        <v>-2981.9</v>
      </c>
      <c r="F47" s="435">
        <v>-2981.9</v>
      </c>
      <c r="G47" s="435">
        <v>-2981.9</v>
      </c>
      <c r="H47" s="435">
        <v>-2981.9</v>
      </c>
      <c r="I47" s="435">
        <v>-2981.9</v>
      </c>
      <c r="J47" s="435">
        <v>-2981.9</v>
      </c>
      <c r="K47" s="435">
        <v>-2981.9</v>
      </c>
      <c r="L47" s="438">
        <v>-4681.8999999999996</v>
      </c>
      <c r="M47" s="438">
        <v>-3204.42</v>
      </c>
      <c r="N47" s="435">
        <v>-45369.340000000004</v>
      </c>
    </row>
    <row r="48" spans="1:953">
      <c r="A48" s="240">
        <v>1</v>
      </c>
      <c r="B48" s="429"/>
      <c r="C48" s="429"/>
      <c r="D48" s="429"/>
      <c r="E48" s="429"/>
      <c r="F48" s="429"/>
      <c r="G48" s="429"/>
      <c r="H48" s="429"/>
      <c r="I48" s="429"/>
      <c r="J48" s="429"/>
      <c r="K48" s="429"/>
      <c r="L48" s="437"/>
      <c r="M48" s="437"/>
      <c r="N48" s="429"/>
    </row>
    <row r="49" spans="1:14">
      <c r="A49" s="258" t="s">
        <v>35</v>
      </c>
      <c r="B49" s="429">
        <v>-7500</v>
      </c>
      <c r="C49" s="429"/>
      <c r="D49" s="429"/>
      <c r="E49" s="429"/>
      <c r="F49" s="429"/>
      <c r="G49" s="429"/>
      <c r="H49" s="429"/>
      <c r="I49" s="429"/>
      <c r="J49" s="429"/>
      <c r="K49" s="429"/>
      <c r="L49" s="437"/>
      <c r="M49" s="437"/>
      <c r="N49" s="429">
        <v>-7500</v>
      </c>
    </row>
    <row r="50" spans="1:14">
      <c r="A50" s="268" t="s">
        <v>37</v>
      </c>
      <c r="B50" s="429">
        <v>-2500</v>
      </c>
      <c r="C50" s="429"/>
      <c r="D50" s="429"/>
      <c r="E50" s="429"/>
      <c r="F50" s="429"/>
      <c r="G50" s="429"/>
      <c r="H50" s="429"/>
      <c r="I50" s="429"/>
      <c r="J50" s="429"/>
      <c r="K50" s="429"/>
      <c r="L50" s="437"/>
      <c r="M50" s="437"/>
      <c r="N50" s="429">
        <v>-2500</v>
      </c>
    </row>
    <row r="51" spans="1:14">
      <c r="A51" s="268" t="s">
        <v>34</v>
      </c>
      <c r="B51" s="429">
        <v>-5000</v>
      </c>
      <c r="C51" s="429"/>
      <c r="D51" s="429"/>
      <c r="E51" s="429"/>
      <c r="F51" s="429"/>
      <c r="G51" s="429"/>
      <c r="H51" s="429"/>
      <c r="I51" s="429"/>
      <c r="J51" s="429"/>
      <c r="K51" s="429"/>
      <c r="L51" s="437"/>
      <c r="M51" s="437"/>
      <c r="N51" s="429">
        <v>-5000</v>
      </c>
    </row>
    <row r="52" spans="1:14">
      <c r="A52" s="258"/>
      <c r="B52" s="429"/>
      <c r="C52" s="429"/>
      <c r="D52" s="429"/>
      <c r="E52" s="429"/>
      <c r="F52" s="429"/>
      <c r="G52" s="429"/>
      <c r="H52" s="429"/>
      <c r="I52" s="429"/>
      <c r="J52" s="429"/>
      <c r="K52" s="429"/>
      <c r="L52" s="437"/>
      <c r="M52" s="437"/>
      <c r="N52" s="429"/>
    </row>
    <row r="53" spans="1:14">
      <c r="A53" s="240">
        <v>10</v>
      </c>
      <c r="B53" s="429"/>
      <c r="C53" s="429"/>
      <c r="D53" s="429"/>
      <c r="E53" s="429"/>
      <c r="F53" s="429"/>
      <c r="G53" s="429"/>
      <c r="H53" s="429"/>
      <c r="I53" s="429"/>
      <c r="J53" s="429"/>
      <c r="K53" s="429"/>
      <c r="L53" s="437"/>
      <c r="M53" s="437"/>
      <c r="N53" s="429"/>
    </row>
    <row r="54" spans="1:14">
      <c r="A54" s="258" t="s">
        <v>6</v>
      </c>
      <c r="B54" s="429">
        <v>-966.62</v>
      </c>
      <c r="C54" s="429"/>
      <c r="D54" s="429"/>
      <c r="E54" s="429"/>
      <c r="F54" s="429"/>
      <c r="G54" s="429"/>
      <c r="H54" s="429"/>
      <c r="I54" s="429"/>
      <c r="J54" s="429"/>
      <c r="K54" s="429"/>
      <c r="L54" s="437"/>
      <c r="M54" s="437"/>
      <c r="N54" s="429">
        <v>-966.62</v>
      </c>
    </row>
    <row r="55" spans="1:14">
      <c r="A55" s="268" t="s">
        <v>8</v>
      </c>
      <c r="B55" s="429">
        <v>-966.62</v>
      </c>
      <c r="C55" s="429"/>
      <c r="D55" s="429"/>
      <c r="E55" s="429"/>
      <c r="F55" s="429"/>
      <c r="G55" s="429"/>
      <c r="H55" s="429"/>
      <c r="I55" s="429"/>
      <c r="J55" s="429"/>
      <c r="K55" s="429"/>
      <c r="L55" s="437"/>
      <c r="M55" s="437"/>
      <c r="N55" s="429">
        <v>-966.62</v>
      </c>
    </row>
    <row r="56" spans="1:14">
      <c r="A56" s="258"/>
      <c r="B56" s="429"/>
      <c r="C56" s="429"/>
      <c r="D56" s="429"/>
      <c r="E56" s="429"/>
      <c r="F56" s="429"/>
      <c r="G56" s="429"/>
      <c r="H56" s="429"/>
      <c r="I56" s="429"/>
      <c r="J56" s="429"/>
      <c r="K56" s="429"/>
      <c r="L56" s="437"/>
      <c r="M56" s="437"/>
      <c r="N56" s="429"/>
    </row>
    <row r="57" spans="1:14">
      <c r="A57" s="258" t="s">
        <v>51</v>
      </c>
      <c r="B57" s="429">
        <v>-16.899999999999999</v>
      </c>
      <c r="C57" s="429">
        <v>-16.899999999999999</v>
      </c>
      <c r="D57" s="429">
        <v>-16.899999999999999</v>
      </c>
      <c r="E57" s="429">
        <v>-16.899999999999999</v>
      </c>
      <c r="F57" s="429">
        <v>-16.899999999999999</v>
      </c>
      <c r="G57" s="429">
        <v>-16.899999999999999</v>
      </c>
      <c r="H57" s="429">
        <v>-16.899999999999999</v>
      </c>
      <c r="I57" s="429">
        <v>-16.899999999999999</v>
      </c>
      <c r="J57" s="429">
        <v>-16.899999999999999</v>
      </c>
      <c r="K57" s="429">
        <v>-16.899999999999999</v>
      </c>
      <c r="L57" s="437">
        <v>-16.899999999999999</v>
      </c>
      <c r="M57" s="437">
        <v>-106.36000000000001</v>
      </c>
      <c r="N57" s="429">
        <v>-292.26000000000005</v>
      </c>
    </row>
    <row r="58" spans="1:14">
      <c r="A58" s="268" t="s">
        <v>1023</v>
      </c>
      <c r="B58" s="429">
        <v>-16.899999999999999</v>
      </c>
      <c r="C58" s="429">
        <v>-16.899999999999999</v>
      </c>
      <c r="D58" s="429">
        <v>-16.899999999999999</v>
      </c>
      <c r="E58" s="429">
        <v>-16.899999999999999</v>
      </c>
      <c r="F58" s="429">
        <v>-16.899999999999999</v>
      </c>
      <c r="G58" s="429">
        <v>-16.899999999999999</v>
      </c>
      <c r="H58" s="429">
        <v>-16.899999999999999</v>
      </c>
      <c r="I58" s="429">
        <v>-16.899999999999999</v>
      </c>
      <c r="J58" s="429">
        <v>-16.899999999999999</v>
      </c>
      <c r="K58" s="429">
        <v>-16.899999999999999</v>
      </c>
      <c r="L58" s="437">
        <v>-16.899999999999999</v>
      </c>
      <c r="M58" s="437">
        <v>-16.899999999999999</v>
      </c>
      <c r="N58" s="429">
        <v>-202.80000000000004</v>
      </c>
    </row>
    <row r="59" spans="1:14">
      <c r="A59" s="268" t="s">
        <v>105</v>
      </c>
      <c r="B59" s="429"/>
      <c r="C59" s="429"/>
      <c r="D59" s="429"/>
      <c r="E59" s="429"/>
      <c r="F59" s="429"/>
      <c r="G59" s="429"/>
      <c r="H59" s="429"/>
      <c r="I59" s="429"/>
      <c r="J59" s="429"/>
      <c r="K59" s="429"/>
      <c r="L59" s="437"/>
      <c r="M59" s="437">
        <v>-89.460000000000008</v>
      </c>
      <c r="N59" s="429">
        <v>-89.460000000000008</v>
      </c>
    </row>
    <row r="60" spans="1:14">
      <c r="A60" s="258"/>
      <c r="B60" s="429"/>
      <c r="C60" s="429"/>
      <c r="D60" s="429"/>
      <c r="E60" s="429"/>
      <c r="F60" s="429"/>
      <c r="G60" s="429"/>
      <c r="H60" s="429"/>
      <c r="I60" s="429"/>
      <c r="J60" s="429"/>
      <c r="K60" s="429"/>
      <c r="L60" s="437"/>
      <c r="M60" s="437"/>
      <c r="N60" s="429"/>
    </row>
    <row r="61" spans="1:14">
      <c r="A61" s="240">
        <v>20</v>
      </c>
      <c r="B61" s="429"/>
      <c r="C61" s="429"/>
      <c r="D61" s="429"/>
      <c r="E61" s="429"/>
      <c r="F61" s="429"/>
      <c r="G61" s="429"/>
      <c r="H61" s="429"/>
      <c r="I61" s="429"/>
      <c r="J61" s="429"/>
      <c r="K61" s="429"/>
      <c r="L61" s="437"/>
      <c r="M61" s="437"/>
      <c r="N61" s="429"/>
    </row>
    <row r="62" spans="1:14">
      <c r="A62" s="258" t="s">
        <v>1015</v>
      </c>
      <c r="B62" s="429">
        <v>-2005.3</v>
      </c>
      <c r="C62" s="429">
        <v>-2481.86</v>
      </c>
      <c r="D62" s="429">
        <v>-1850</v>
      </c>
      <c r="E62" s="429">
        <v>-1850</v>
      </c>
      <c r="F62" s="429">
        <v>-1850</v>
      </c>
      <c r="G62" s="429">
        <v>-1850</v>
      </c>
      <c r="H62" s="429">
        <v>-1850</v>
      </c>
      <c r="I62" s="429">
        <v>-1850</v>
      </c>
      <c r="J62" s="429">
        <v>-1850</v>
      </c>
      <c r="K62" s="429">
        <v>-1850</v>
      </c>
      <c r="L62" s="437">
        <v>-1850</v>
      </c>
      <c r="M62" s="437">
        <v>-1850</v>
      </c>
      <c r="N62" s="429">
        <v>-22987.16</v>
      </c>
    </row>
    <row r="63" spans="1:14">
      <c r="A63" s="268" t="s">
        <v>1014</v>
      </c>
      <c r="B63" s="429">
        <v>-250</v>
      </c>
      <c r="C63" s="429">
        <v>-250</v>
      </c>
      <c r="D63" s="429">
        <v>-250</v>
      </c>
      <c r="E63" s="429">
        <v>-250</v>
      </c>
      <c r="F63" s="429">
        <v>-250</v>
      </c>
      <c r="G63" s="429">
        <v>-250</v>
      </c>
      <c r="H63" s="429">
        <v>-250</v>
      </c>
      <c r="I63" s="429">
        <v>-250</v>
      </c>
      <c r="J63" s="429">
        <v>-250</v>
      </c>
      <c r="K63" s="429">
        <v>-250</v>
      </c>
      <c r="L63" s="437">
        <v>-250</v>
      </c>
      <c r="M63" s="437">
        <v>-250</v>
      </c>
      <c r="N63" s="429">
        <v>-3000</v>
      </c>
    </row>
    <row r="64" spans="1:14">
      <c r="A64" s="268" t="s">
        <v>1056</v>
      </c>
      <c r="B64" s="429">
        <v>-271.5</v>
      </c>
      <c r="C64" s="429">
        <v>-731.86</v>
      </c>
      <c r="D64" s="429">
        <v>-100</v>
      </c>
      <c r="E64" s="429">
        <v>-100</v>
      </c>
      <c r="F64" s="429">
        <v>-100</v>
      </c>
      <c r="G64" s="429">
        <v>-100</v>
      </c>
      <c r="H64" s="429">
        <v>-100</v>
      </c>
      <c r="I64" s="429">
        <v>-100</v>
      </c>
      <c r="J64" s="429">
        <v>-100</v>
      </c>
      <c r="K64" s="429">
        <v>-100</v>
      </c>
      <c r="L64" s="437">
        <v>-100</v>
      </c>
      <c r="M64" s="437">
        <v>-100</v>
      </c>
      <c r="N64" s="429">
        <v>-2003.3600000000001</v>
      </c>
    </row>
    <row r="65" spans="1:14">
      <c r="A65" s="268" t="s">
        <v>1057</v>
      </c>
      <c r="B65" s="429">
        <v>-200</v>
      </c>
      <c r="C65" s="429">
        <v>-200</v>
      </c>
      <c r="D65" s="429">
        <v>-200</v>
      </c>
      <c r="E65" s="429">
        <v>-200</v>
      </c>
      <c r="F65" s="429">
        <v>-200</v>
      </c>
      <c r="G65" s="429">
        <v>-200</v>
      </c>
      <c r="H65" s="429">
        <v>-200</v>
      </c>
      <c r="I65" s="429">
        <v>-200</v>
      </c>
      <c r="J65" s="429">
        <v>-200</v>
      </c>
      <c r="K65" s="429">
        <v>-200</v>
      </c>
      <c r="L65" s="437">
        <v>-200</v>
      </c>
      <c r="M65" s="437">
        <v>-200</v>
      </c>
      <c r="N65" s="429">
        <v>-2400</v>
      </c>
    </row>
    <row r="66" spans="1:14">
      <c r="A66" s="268" t="s">
        <v>1058</v>
      </c>
      <c r="B66" s="429">
        <v>-400</v>
      </c>
      <c r="C66" s="429">
        <v>-400</v>
      </c>
      <c r="D66" s="429">
        <v>-400</v>
      </c>
      <c r="E66" s="429">
        <v>-400</v>
      </c>
      <c r="F66" s="429">
        <v>-400</v>
      </c>
      <c r="G66" s="429">
        <v>-400</v>
      </c>
      <c r="H66" s="429">
        <v>-400</v>
      </c>
      <c r="I66" s="429">
        <v>-400</v>
      </c>
      <c r="J66" s="429">
        <v>-400</v>
      </c>
      <c r="K66" s="429">
        <v>-400</v>
      </c>
      <c r="L66" s="437">
        <v>-400</v>
      </c>
      <c r="M66" s="437">
        <v>-400</v>
      </c>
      <c r="N66" s="429">
        <v>-4800</v>
      </c>
    </row>
    <row r="67" spans="1:14">
      <c r="A67" s="268" t="s">
        <v>1097</v>
      </c>
      <c r="B67" s="429">
        <v>-100</v>
      </c>
      <c r="C67" s="429">
        <v>-100</v>
      </c>
      <c r="D67" s="429">
        <v>-100</v>
      </c>
      <c r="E67" s="429">
        <v>-100</v>
      </c>
      <c r="F67" s="429">
        <v>-100</v>
      </c>
      <c r="G67" s="429">
        <v>-100</v>
      </c>
      <c r="H67" s="429">
        <v>-100</v>
      </c>
      <c r="I67" s="429">
        <v>-100</v>
      </c>
      <c r="J67" s="429">
        <v>-100</v>
      </c>
      <c r="K67" s="429">
        <v>-100</v>
      </c>
      <c r="L67" s="437">
        <v>-100</v>
      </c>
      <c r="M67" s="437">
        <v>-100</v>
      </c>
      <c r="N67" s="429">
        <v>-1200</v>
      </c>
    </row>
    <row r="68" spans="1:14">
      <c r="A68" s="268" t="s">
        <v>1064</v>
      </c>
      <c r="B68" s="429">
        <v>-600</v>
      </c>
      <c r="C68" s="429">
        <v>-600</v>
      </c>
      <c r="D68" s="429">
        <v>-600</v>
      </c>
      <c r="E68" s="429">
        <v>-600</v>
      </c>
      <c r="F68" s="429">
        <v>-600</v>
      </c>
      <c r="G68" s="429">
        <v>-600</v>
      </c>
      <c r="H68" s="429">
        <v>-600</v>
      </c>
      <c r="I68" s="429">
        <v>-600</v>
      </c>
      <c r="J68" s="429">
        <v>-600</v>
      </c>
      <c r="K68" s="429">
        <v>-600</v>
      </c>
      <c r="L68" s="437">
        <v>-600</v>
      </c>
      <c r="M68" s="437">
        <v>-600</v>
      </c>
      <c r="N68" s="429">
        <v>-7200</v>
      </c>
    </row>
    <row r="69" spans="1:14">
      <c r="A69" s="268" t="s">
        <v>1010</v>
      </c>
      <c r="B69" s="429">
        <v>-100</v>
      </c>
      <c r="C69" s="429">
        <v>-100</v>
      </c>
      <c r="D69" s="429">
        <v>-100</v>
      </c>
      <c r="E69" s="429">
        <v>-100</v>
      </c>
      <c r="F69" s="429">
        <v>-100</v>
      </c>
      <c r="G69" s="429">
        <v>-100</v>
      </c>
      <c r="H69" s="429">
        <v>-100</v>
      </c>
      <c r="I69" s="429">
        <v>-100</v>
      </c>
      <c r="J69" s="429">
        <v>-100</v>
      </c>
      <c r="K69" s="429">
        <v>-100</v>
      </c>
      <c r="L69" s="437">
        <v>-100</v>
      </c>
      <c r="M69" s="437">
        <v>-100</v>
      </c>
      <c r="N69" s="429">
        <v>-1200</v>
      </c>
    </row>
    <row r="70" spans="1:14">
      <c r="A70" s="268" t="s">
        <v>1096</v>
      </c>
      <c r="B70" s="429">
        <v>-83.8</v>
      </c>
      <c r="C70" s="429">
        <v>-100</v>
      </c>
      <c r="D70" s="429">
        <v>-100</v>
      </c>
      <c r="E70" s="429">
        <v>-100</v>
      </c>
      <c r="F70" s="429">
        <v>-100</v>
      </c>
      <c r="G70" s="429">
        <v>-100</v>
      </c>
      <c r="H70" s="429">
        <v>-100</v>
      </c>
      <c r="I70" s="429">
        <v>-100</v>
      </c>
      <c r="J70" s="429">
        <v>-100</v>
      </c>
      <c r="K70" s="429">
        <v>-100</v>
      </c>
      <c r="L70" s="437">
        <v>-100</v>
      </c>
      <c r="M70" s="437">
        <v>-100</v>
      </c>
      <c r="N70" s="429">
        <v>-1183.8</v>
      </c>
    </row>
    <row r="71" spans="1:14">
      <c r="A71" s="258"/>
      <c r="B71" s="429"/>
      <c r="C71" s="429"/>
      <c r="D71" s="429"/>
      <c r="E71" s="429"/>
      <c r="F71" s="429"/>
      <c r="G71" s="429"/>
      <c r="H71" s="429"/>
      <c r="I71" s="429"/>
      <c r="J71" s="429"/>
      <c r="K71" s="429"/>
      <c r="L71" s="437"/>
      <c r="M71" s="437"/>
      <c r="N71" s="429"/>
    </row>
    <row r="72" spans="1:14">
      <c r="A72" s="258" t="s">
        <v>36</v>
      </c>
      <c r="B72" s="429">
        <v>-304.13</v>
      </c>
      <c r="C72" s="429">
        <v>-321.11</v>
      </c>
      <c r="D72" s="429">
        <v>-1115</v>
      </c>
      <c r="E72" s="429">
        <v>-1115</v>
      </c>
      <c r="F72" s="429">
        <v>-1115</v>
      </c>
      <c r="G72" s="429">
        <v>-1115</v>
      </c>
      <c r="H72" s="429">
        <v>-1115</v>
      </c>
      <c r="I72" s="429">
        <v>-1115</v>
      </c>
      <c r="J72" s="429">
        <v>-1115</v>
      </c>
      <c r="K72" s="429">
        <v>-1115</v>
      </c>
      <c r="L72" s="437">
        <v>-1115</v>
      </c>
      <c r="M72" s="437">
        <v>-1148.06</v>
      </c>
      <c r="N72" s="429">
        <v>-11808.3</v>
      </c>
    </row>
    <row r="73" spans="1:14">
      <c r="A73" s="268" t="s">
        <v>90</v>
      </c>
      <c r="B73" s="429">
        <v>-65</v>
      </c>
      <c r="C73" s="429">
        <v>-65</v>
      </c>
      <c r="D73" s="429">
        <v>-65</v>
      </c>
      <c r="E73" s="429">
        <v>-65</v>
      </c>
      <c r="F73" s="429">
        <v>-65</v>
      </c>
      <c r="G73" s="429">
        <v>-65</v>
      </c>
      <c r="H73" s="429">
        <v>-65</v>
      </c>
      <c r="I73" s="429">
        <v>-65</v>
      </c>
      <c r="J73" s="429">
        <v>-65</v>
      </c>
      <c r="K73" s="429">
        <v>-65</v>
      </c>
      <c r="L73" s="437">
        <v>-65</v>
      </c>
      <c r="M73" s="437">
        <v>-65</v>
      </c>
      <c r="N73" s="429">
        <v>-780</v>
      </c>
    </row>
    <row r="74" spans="1:14">
      <c r="A74" s="268" t="s">
        <v>488</v>
      </c>
      <c r="B74" s="429">
        <v>-192.85999999999999</v>
      </c>
      <c r="C74" s="429">
        <v>-71.489999999999995</v>
      </c>
      <c r="D74" s="429">
        <v>-150</v>
      </c>
      <c r="E74" s="429">
        <v>-150</v>
      </c>
      <c r="F74" s="429">
        <v>-150</v>
      </c>
      <c r="G74" s="429">
        <v>-150</v>
      </c>
      <c r="H74" s="429">
        <v>-150</v>
      </c>
      <c r="I74" s="429">
        <v>-150</v>
      </c>
      <c r="J74" s="429">
        <v>-150</v>
      </c>
      <c r="K74" s="429">
        <v>-150</v>
      </c>
      <c r="L74" s="437">
        <v>-150</v>
      </c>
      <c r="M74" s="437">
        <v>-174.8</v>
      </c>
      <c r="N74" s="429">
        <v>-1789.1499999999999</v>
      </c>
    </row>
    <row r="75" spans="1:14">
      <c r="A75" s="268" t="s">
        <v>3</v>
      </c>
      <c r="B75" s="429">
        <v>-46.27</v>
      </c>
      <c r="C75" s="429">
        <v>-184.62</v>
      </c>
      <c r="D75" s="429">
        <v>-900</v>
      </c>
      <c r="E75" s="429">
        <v>-900</v>
      </c>
      <c r="F75" s="429">
        <v>-900</v>
      </c>
      <c r="G75" s="429">
        <v>-900</v>
      </c>
      <c r="H75" s="429">
        <v>-900</v>
      </c>
      <c r="I75" s="429">
        <v>-900</v>
      </c>
      <c r="J75" s="429">
        <v>-900</v>
      </c>
      <c r="K75" s="429">
        <v>-900</v>
      </c>
      <c r="L75" s="437">
        <v>-900</v>
      </c>
      <c r="M75" s="437">
        <v>-908.26</v>
      </c>
      <c r="N75" s="429">
        <v>-9239.15</v>
      </c>
    </row>
    <row r="76" spans="1:14">
      <c r="A76" s="258"/>
      <c r="B76" s="429"/>
      <c r="C76" s="429"/>
      <c r="D76" s="429"/>
      <c r="E76" s="429"/>
      <c r="F76" s="429"/>
      <c r="G76" s="429"/>
      <c r="H76" s="429"/>
      <c r="I76" s="429"/>
      <c r="J76" s="429"/>
      <c r="K76" s="429"/>
      <c r="L76" s="437"/>
      <c r="M76" s="437"/>
      <c r="N76" s="429"/>
    </row>
    <row r="77" spans="1:14">
      <c r="A77" s="258" t="s">
        <v>487</v>
      </c>
      <c r="B77" s="429"/>
      <c r="C77" s="429"/>
      <c r="D77" s="429"/>
      <c r="E77" s="429"/>
      <c r="F77" s="429"/>
      <c r="G77" s="429"/>
      <c r="H77" s="429"/>
      <c r="I77" s="429"/>
      <c r="J77" s="429"/>
      <c r="K77" s="429"/>
      <c r="L77" s="437">
        <v>-1700</v>
      </c>
      <c r="M77" s="437">
        <v>-100</v>
      </c>
      <c r="N77" s="429">
        <v>-1800</v>
      </c>
    </row>
    <row r="78" spans="1:14">
      <c r="A78" s="268" t="s">
        <v>1079</v>
      </c>
      <c r="B78" s="429"/>
      <c r="C78" s="429"/>
      <c r="D78" s="429"/>
      <c r="E78" s="429"/>
      <c r="F78" s="429"/>
      <c r="G78" s="429"/>
      <c r="H78" s="429"/>
      <c r="I78" s="429"/>
      <c r="J78" s="429"/>
      <c r="K78" s="429"/>
      <c r="L78" s="437"/>
      <c r="M78" s="437">
        <v>-100</v>
      </c>
      <c r="N78" s="429">
        <v>-100</v>
      </c>
    </row>
    <row r="79" spans="1:14">
      <c r="A79" s="268" t="s">
        <v>78</v>
      </c>
      <c r="B79" s="429"/>
      <c r="C79" s="429"/>
      <c r="D79" s="429"/>
      <c r="E79" s="429"/>
      <c r="F79" s="429"/>
      <c r="G79" s="429"/>
      <c r="H79" s="429"/>
      <c r="I79" s="429"/>
      <c r="J79" s="429"/>
      <c r="K79" s="429"/>
      <c r="L79" s="437">
        <v>-1700</v>
      </c>
      <c r="M79" s="437"/>
      <c r="N79" s="429">
        <v>-1700</v>
      </c>
    </row>
    <row r="80" spans="1:14">
      <c r="A80" s="258"/>
      <c r="B80" s="429"/>
      <c r="C80" s="429"/>
      <c r="D80" s="429"/>
      <c r="E80" s="429"/>
      <c r="F80" s="429"/>
      <c r="G80" s="429"/>
      <c r="H80" s="429"/>
      <c r="I80" s="429"/>
      <c r="J80" s="429"/>
      <c r="K80" s="429"/>
      <c r="L80" s="437"/>
      <c r="M80" s="437"/>
      <c r="N80" s="429"/>
    </row>
    <row r="81" spans="1:14">
      <c r="A81" s="240">
        <v>31</v>
      </c>
      <c r="B81" s="429"/>
      <c r="C81" s="429"/>
      <c r="D81" s="429"/>
      <c r="E81" s="429"/>
      <c r="F81" s="429"/>
      <c r="G81" s="429"/>
      <c r="H81" s="429"/>
      <c r="I81" s="429"/>
      <c r="J81" s="429"/>
      <c r="K81" s="429"/>
      <c r="L81" s="437"/>
      <c r="M81" s="437"/>
      <c r="N81" s="429"/>
    </row>
    <row r="82" spans="1:14">
      <c r="A82" s="258" t="s">
        <v>6</v>
      </c>
      <c r="B82" s="429">
        <v>-15</v>
      </c>
      <c r="C82" s="429"/>
      <c r="D82" s="429"/>
      <c r="E82" s="429"/>
      <c r="F82" s="429"/>
      <c r="G82" s="429"/>
      <c r="H82" s="429"/>
      <c r="I82" s="429"/>
      <c r="J82" s="429"/>
      <c r="K82" s="429"/>
      <c r="L82" s="437"/>
      <c r="M82" s="437"/>
      <c r="N82" s="429">
        <v>-15</v>
      </c>
    </row>
    <row r="83" spans="1:14">
      <c r="A83" s="268" t="s">
        <v>493</v>
      </c>
      <c r="B83" s="429">
        <v>-15</v>
      </c>
      <c r="C83" s="429"/>
      <c r="D83" s="429"/>
      <c r="E83" s="429"/>
      <c r="F83" s="429"/>
      <c r="G83" s="429"/>
      <c r="H83" s="429"/>
      <c r="I83" s="429"/>
      <c r="J83" s="429"/>
      <c r="K83" s="429"/>
      <c r="L83" s="437"/>
      <c r="M83" s="437"/>
      <c r="N83" s="429">
        <v>-15</v>
      </c>
    </row>
    <row r="84" spans="1:14">
      <c r="A84" s="258"/>
      <c r="B84" s="429"/>
      <c r="C84" s="429"/>
      <c r="D84" s="429"/>
      <c r="E84" s="429"/>
      <c r="F84" s="429"/>
      <c r="G84" s="429"/>
      <c r="H84" s="429"/>
      <c r="I84" s="429"/>
      <c r="J84" s="429"/>
      <c r="K84" s="429"/>
      <c r="L84" s="437"/>
      <c r="M84" s="437"/>
      <c r="N84" s="429"/>
    </row>
    <row r="85" spans="1:14">
      <c r="A85" s="68" t="s">
        <v>4</v>
      </c>
      <c r="B85" s="429"/>
      <c r="C85" s="429"/>
      <c r="D85" s="429"/>
      <c r="E85" s="429"/>
      <c r="F85" s="429"/>
      <c r="G85" s="429"/>
      <c r="H85" s="429">
        <v>-217.32</v>
      </c>
      <c r="I85" s="429"/>
      <c r="J85" s="429"/>
      <c r="K85" s="429"/>
      <c r="L85" s="437"/>
      <c r="M85" s="437"/>
      <c r="N85" s="429">
        <v>-217.32</v>
      </c>
    </row>
    <row r="86" spans="1:14">
      <c r="A86" s="432" t="s">
        <v>52</v>
      </c>
      <c r="B86" s="435"/>
      <c r="C86" s="435"/>
      <c r="D86" s="435"/>
      <c r="E86" s="435"/>
      <c r="F86" s="435"/>
      <c r="G86" s="435"/>
      <c r="H86" s="435">
        <v>-217.32</v>
      </c>
      <c r="I86" s="435"/>
      <c r="J86" s="435"/>
      <c r="K86" s="435"/>
      <c r="L86" s="438"/>
      <c r="M86" s="438"/>
      <c r="N86" s="435">
        <v>-217.32</v>
      </c>
    </row>
    <row r="87" spans="1:14">
      <c r="A87" s="240">
        <v>10</v>
      </c>
      <c r="B87" s="429"/>
      <c r="C87" s="429"/>
      <c r="D87" s="429"/>
      <c r="E87" s="429"/>
      <c r="F87" s="429"/>
      <c r="G87" s="429"/>
      <c r="H87" s="429"/>
      <c r="I87" s="429"/>
      <c r="J87" s="429"/>
      <c r="K87" s="429"/>
      <c r="L87" s="437"/>
      <c r="M87" s="437"/>
      <c r="N87" s="429"/>
    </row>
    <row r="88" spans="1:14">
      <c r="A88" s="258" t="s">
        <v>22</v>
      </c>
      <c r="B88" s="429"/>
      <c r="C88" s="429"/>
      <c r="D88" s="429"/>
      <c r="E88" s="429"/>
      <c r="F88" s="429"/>
      <c r="G88" s="429"/>
      <c r="H88" s="429">
        <v>-217.32</v>
      </c>
      <c r="I88" s="429"/>
      <c r="J88" s="429"/>
      <c r="K88" s="429"/>
      <c r="L88" s="437"/>
      <c r="M88" s="437"/>
      <c r="N88" s="429">
        <v>-217.32</v>
      </c>
    </row>
    <row r="89" spans="1:14">
      <c r="A89" s="268" t="s">
        <v>25</v>
      </c>
      <c r="B89" s="429"/>
      <c r="C89" s="429"/>
      <c r="D89" s="429"/>
      <c r="E89" s="429"/>
      <c r="F89" s="429"/>
      <c r="G89" s="429"/>
      <c r="H89" s="429">
        <v>-217.32</v>
      </c>
      <c r="I89" s="429"/>
      <c r="J89" s="429"/>
      <c r="K89" s="429"/>
      <c r="L89" s="437"/>
      <c r="M89" s="437"/>
      <c r="N89" s="429">
        <v>-217.32</v>
      </c>
    </row>
    <row r="90" spans="1:14">
      <c r="A90" s="258"/>
      <c r="B90" s="429"/>
      <c r="C90" s="429"/>
      <c r="D90" s="429"/>
      <c r="E90" s="429"/>
      <c r="F90" s="429"/>
      <c r="G90" s="429"/>
      <c r="H90" s="429"/>
      <c r="I90" s="429"/>
      <c r="J90" s="429"/>
      <c r="K90" s="429"/>
      <c r="L90" s="437"/>
      <c r="M90" s="437"/>
      <c r="N90" s="429"/>
    </row>
    <row r="91" spans="1:14">
      <c r="A91" s="430" t="s">
        <v>75</v>
      </c>
      <c r="B91" s="436">
        <v>-13683.35</v>
      </c>
      <c r="C91" s="436">
        <v>-5606.8899999999994</v>
      </c>
      <c r="D91" s="436">
        <v>-4931.42</v>
      </c>
      <c r="E91" s="436">
        <v>-5099.22</v>
      </c>
      <c r="F91" s="436">
        <v>-4934.22</v>
      </c>
      <c r="G91" s="436">
        <v>-4934.22</v>
      </c>
      <c r="H91" s="436">
        <v>-5151.54</v>
      </c>
      <c r="I91" s="436">
        <v>-4912.76</v>
      </c>
      <c r="J91" s="436">
        <v>-4912.76</v>
      </c>
      <c r="K91" s="436">
        <v>-4912.76</v>
      </c>
      <c r="L91" s="438">
        <v>-6612.76</v>
      </c>
      <c r="M91" s="438">
        <v>-5135.2800000000007</v>
      </c>
      <c r="N91" s="436">
        <v>-70827.180000000008</v>
      </c>
    </row>
    <row r="92" spans="1:14">
      <c r="F92"/>
      <c r="G92"/>
      <c r="H92"/>
      <c r="M92"/>
    </row>
    <row r="93" spans="1:14">
      <c r="F93"/>
      <c r="G93"/>
      <c r="H93"/>
      <c r="M93"/>
    </row>
    <row r="94" spans="1:14">
      <c r="F94"/>
      <c r="G94"/>
      <c r="H94"/>
      <c r="M94"/>
    </row>
    <row r="95" spans="1:14">
      <c r="F95"/>
      <c r="G95"/>
      <c r="H95"/>
      <c r="M95"/>
    </row>
    <row r="96" spans="1:14">
      <c r="F96"/>
      <c r="G96"/>
      <c r="H96"/>
      <c r="M96"/>
    </row>
    <row r="97" spans="6:13">
      <c r="F97"/>
      <c r="G97"/>
      <c r="H97"/>
      <c r="M97"/>
    </row>
    <row r="98" spans="6:13">
      <c r="F98"/>
      <c r="G98"/>
      <c r="H98"/>
      <c r="M98"/>
    </row>
    <row r="99" spans="6:13">
      <c r="F99"/>
      <c r="G99"/>
      <c r="H99"/>
      <c r="M99"/>
    </row>
    <row r="100" spans="6:13">
      <c r="F100"/>
      <c r="G100"/>
      <c r="H100"/>
      <c r="M100"/>
    </row>
    <row r="101" spans="6:13">
      <c r="F101"/>
      <c r="G101"/>
      <c r="H101"/>
      <c r="M101"/>
    </row>
    <row r="102" spans="6:13">
      <c r="F102"/>
      <c r="G102"/>
      <c r="H102"/>
      <c r="M102"/>
    </row>
    <row r="103" spans="6:13">
      <c r="F103"/>
      <c r="G103"/>
      <c r="H103"/>
      <c r="M103"/>
    </row>
    <row r="104" spans="6:13">
      <c r="F104"/>
      <c r="G104"/>
      <c r="H104"/>
      <c r="M104"/>
    </row>
    <row r="105" spans="6:13">
      <c r="F105"/>
      <c r="G105"/>
      <c r="H105"/>
      <c r="M105"/>
    </row>
    <row r="106" spans="6:13">
      <c r="F106"/>
      <c r="G106"/>
      <c r="H106"/>
      <c r="M106"/>
    </row>
    <row r="107" spans="6:13">
      <c r="F107"/>
      <c r="G107"/>
      <c r="H107"/>
      <c r="M107"/>
    </row>
    <row r="108" spans="6:13">
      <c r="F108"/>
      <c r="G108"/>
      <c r="H108"/>
      <c r="M108"/>
    </row>
    <row r="109" spans="6:13">
      <c r="F109"/>
      <c r="G109"/>
      <c r="H109"/>
      <c r="M109"/>
    </row>
    <row r="110" spans="6:13">
      <c r="F110"/>
      <c r="G110"/>
      <c r="H110"/>
      <c r="M110"/>
    </row>
    <row r="111" spans="6:13">
      <c r="F111"/>
      <c r="G111"/>
      <c r="H111"/>
      <c r="M111"/>
    </row>
    <row r="112" spans="6:13">
      <c r="F112"/>
      <c r="G112"/>
      <c r="H112"/>
      <c r="M112"/>
    </row>
    <row r="113" spans="6:13">
      <c r="F113"/>
      <c r="G113"/>
      <c r="H113"/>
      <c r="M113"/>
    </row>
    <row r="114" spans="6:13">
      <c r="F114"/>
      <c r="G114"/>
      <c r="H114"/>
      <c r="M114"/>
    </row>
    <row r="115" spans="6:13">
      <c r="F115"/>
      <c r="G115"/>
      <c r="H115"/>
      <c r="M115"/>
    </row>
    <row r="116" spans="6:13">
      <c r="F116"/>
      <c r="G116"/>
      <c r="H116"/>
      <c r="M116"/>
    </row>
    <row r="117" spans="6:13">
      <c r="F117"/>
      <c r="G117"/>
      <c r="H117"/>
      <c r="M117"/>
    </row>
    <row r="118" spans="6:13">
      <c r="F118"/>
      <c r="G118"/>
      <c r="H118"/>
      <c r="M118"/>
    </row>
    <row r="119" spans="6:13">
      <c r="F119"/>
      <c r="G119"/>
      <c r="H119"/>
      <c r="M119"/>
    </row>
    <row r="120" spans="6:13">
      <c r="F120"/>
      <c r="G120"/>
      <c r="H120"/>
      <c r="M120"/>
    </row>
    <row r="121" spans="6:13">
      <c r="F121"/>
      <c r="G121"/>
      <c r="H121"/>
      <c r="M121"/>
    </row>
    <row r="122" spans="6:13">
      <c r="F122"/>
      <c r="G122"/>
      <c r="H122"/>
      <c r="M122"/>
    </row>
    <row r="123" spans="6:13">
      <c r="F123"/>
      <c r="G123"/>
      <c r="H123"/>
      <c r="M123"/>
    </row>
    <row r="124" spans="6:13">
      <c r="F124"/>
      <c r="G124"/>
      <c r="H124"/>
      <c r="M124"/>
    </row>
  </sheetData>
  <pageMargins left="0.31496062992125984" right="0.19685039370078741" top="0.55118110236220474" bottom="0.55118110236220474" header="0.31496062992125984" footer="0.31496062992125984"/>
  <pageSetup paperSize="9" scale="57" orientation="portrait" horizontalDpi="300" verticalDpi="300" r:id="rId2"/>
  <headerFooter>
    <oddHeader>&amp;L&amp;A&amp;C - PREVISÃO DE DESPESAS - &amp;R&amp;P - &amp;N</oddHeader>
    <oddFooter>&amp;R&amp;F</oddFooter>
  </headerFooter>
</worksheet>
</file>

<file path=xl/worksheets/sheet14.xml><?xml version="1.0" encoding="utf-8"?>
<worksheet xmlns="http://schemas.openxmlformats.org/spreadsheetml/2006/main" xmlns:r="http://schemas.openxmlformats.org/officeDocument/2006/relationships">
  <sheetPr codeName="Plan5">
    <pageSetUpPr fitToPage="1"/>
  </sheetPr>
  <dimension ref="A2:AJQ121"/>
  <sheetViews>
    <sheetView zoomScaleSheetLayoutView="85" workbookViewId="0">
      <pane xSplit="1" ySplit="5" topLeftCell="B6" activePane="bottomRight" state="frozen"/>
      <selection activeCell="A825" activeCellId="19" sqref="A1072:XFD1072 A1059:XFD1059 A1046:XFD1046 A1033:XFD1033 A1020:XFD1020 A1007:XFD1007 A994:XFD994 A981:XFD981 A968:XFD968 A955:XFD955 A942:XFD942 A929:XFD929 A916:XFD916 A903:XFD903 A890:XFD890 A877:XFD877 A864:XFD864 A851:XFD851 A838:XFD838 A825:XFD825"/>
      <selection pane="topRight" activeCell="A825" activeCellId="19" sqref="A1072:XFD1072 A1059:XFD1059 A1046:XFD1046 A1033:XFD1033 A1020:XFD1020 A1007:XFD1007 A994:XFD994 A981:XFD981 A968:XFD968 A955:XFD955 A942:XFD942 A929:XFD929 A916:XFD916 A903:XFD903 A890:XFD890 A877:XFD877 A864:XFD864 A851:XFD851 A838:XFD838 A825:XFD825"/>
      <selection pane="bottomLeft" activeCell="A825" activeCellId="19" sqref="A1072:XFD1072 A1059:XFD1059 A1046:XFD1046 A1033:XFD1033 A1020:XFD1020 A1007:XFD1007 A994:XFD994 A981:XFD981 A968:XFD968 A955:XFD955 A942:XFD942 A929:XFD929 A916:XFD916 A903:XFD903 A890:XFD890 A877:XFD877 A864:XFD864 A851:XFD851 A838:XFD838 A825:XFD825"/>
      <selection pane="bottomRight" activeCell="M14" sqref="M14"/>
    </sheetView>
  </sheetViews>
  <sheetFormatPr defaultRowHeight="15"/>
  <cols>
    <col min="1" max="1" width="31.85546875" customWidth="1"/>
    <col min="2" max="2" width="19.5703125" customWidth="1"/>
    <col min="3" max="3" width="7.7109375" customWidth="1"/>
    <col min="4" max="5" width="9.28515625" bestFit="1" customWidth="1"/>
    <col min="6" max="6" width="9.28515625" style="3" bestFit="1" customWidth="1"/>
    <col min="7" max="7" width="8.5703125" style="3" customWidth="1"/>
    <col min="8" max="8" width="9.28515625" style="3" bestFit="1" customWidth="1"/>
    <col min="9" max="12" width="9.28515625" bestFit="1" customWidth="1"/>
    <col min="13" max="13" width="9.28515625" style="3" bestFit="1" customWidth="1"/>
    <col min="14" max="14" width="10.28515625" customWidth="1"/>
    <col min="15" max="15" width="6.85546875" customWidth="1"/>
    <col min="16" max="16" width="6.42578125" customWidth="1"/>
    <col min="17" max="17" width="6.85546875" customWidth="1"/>
    <col min="18" max="18" width="6.42578125" customWidth="1"/>
    <col min="19" max="19" width="6.85546875" customWidth="1"/>
    <col min="20" max="20" width="6.42578125" customWidth="1"/>
    <col min="21" max="22" width="6.85546875" customWidth="1"/>
    <col min="23" max="23" width="6.42578125" customWidth="1"/>
    <col min="24" max="26" width="6.85546875" customWidth="1"/>
    <col min="27" max="27" width="6.42578125" customWidth="1"/>
    <col min="28" max="28" width="5.28515625" customWidth="1"/>
    <col min="29" max="32" width="5.85546875" customWidth="1"/>
    <col min="33" max="33" width="6.42578125" customWidth="1"/>
    <col min="34" max="34" width="5.28515625" customWidth="1"/>
    <col min="35" max="35" width="5.85546875" customWidth="1"/>
    <col min="36" max="36" width="5.28515625" customWidth="1"/>
    <col min="37" max="37" width="6.42578125" customWidth="1"/>
    <col min="38" max="40" width="5.85546875" customWidth="1"/>
    <col min="41" max="41" width="5.7109375" customWidth="1"/>
    <col min="42" max="43" width="6.140625" customWidth="1"/>
    <col min="44" max="45" width="6.7109375" customWidth="1"/>
    <col min="46" max="46" width="8.140625" customWidth="1"/>
    <col min="47" max="47" width="8.85546875" customWidth="1"/>
    <col min="48" max="48" width="7.85546875" customWidth="1"/>
    <col min="49" max="49" width="7.42578125" customWidth="1"/>
    <col min="50" max="51" width="6.85546875" customWidth="1"/>
    <col min="52" max="52" width="6.42578125" customWidth="1"/>
    <col min="53" max="53" width="6.85546875" customWidth="1"/>
    <col min="54" max="55" width="6.42578125" customWidth="1"/>
    <col min="56" max="57" width="6.85546875" customWidth="1"/>
    <col min="58" max="58" width="6.42578125" customWidth="1"/>
    <col min="59" max="61" width="6.85546875" customWidth="1"/>
    <col min="62" max="62" width="6.42578125" customWidth="1"/>
    <col min="63" max="63" width="6.85546875" customWidth="1"/>
    <col min="64" max="64" width="6.42578125" customWidth="1"/>
    <col min="65" max="65" width="6.85546875" customWidth="1"/>
    <col min="66" max="66" width="6.42578125" customWidth="1"/>
    <col min="67" max="67" width="5.85546875" customWidth="1"/>
    <col min="68" max="69" width="5.28515625" customWidth="1"/>
    <col min="70" max="71" width="5.85546875" customWidth="1"/>
    <col min="72" max="72" width="6.42578125" customWidth="1"/>
    <col min="73" max="73" width="5.85546875" customWidth="1"/>
    <col min="74" max="74" width="5.7109375" customWidth="1"/>
    <col min="75" max="76" width="6.140625" customWidth="1"/>
    <col min="77" max="78" width="6.7109375" customWidth="1"/>
    <col min="79" max="79" width="8.85546875" customWidth="1"/>
    <col min="80" max="82" width="7.85546875" customWidth="1"/>
    <col min="83" max="83" width="7.42578125" customWidth="1"/>
    <col min="84" max="85" width="7.85546875" customWidth="1"/>
    <col min="86" max="90" width="6.85546875" customWidth="1"/>
    <col min="91" max="91" width="6.42578125" customWidth="1"/>
    <col min="92" max="93" width="6.85546875" customWidth="1"/>
    <col min="94" max="95" width="6.42578125" customWidth="1"/>
    <col min="96" max="96" width="6.85546875" customWidth="1"/>
    <col min="97" max="97" width="6.42578125" customWidth="1"/>
    <col min="98" max="101" width="6.85546875" customWidth="1"/>
    <col min="102" max="102" width="6.42578125" customWidth="1"/>
    <col min="103" max="104" width="6.85546875" customWidth="1"/>
    <col min="105" max="112" width="6.42578125" customWidth="1"/>
    <col min="113" max="113" width="6.85546875" customWidth="1"/>
    <col min="114" max="115" width="6.42578125" customWidth="1"/>
    <col min="116" max="116" width="6.85546875" customWidth="1"/>
    <col min="117" max="119" width="6.42578125" customWidth="1"/>
    <col min="120" max="122" width="6.85546875" customWidth="1"/>
    <col min="123" max="125" width="6.42578125" customWidth="1"/>
    <col min="126" max="127" width="5.28515625" customWidth="1"/>
    <col min="128" max="128" width="6.42578125" customWidth="1"/>
    <col min="129" max="133" width="5.28515625" customWidth="1"/>
    <col min="134" max="134" width="6.42578125" customWidth="1"/>
    <col min="135" max="135" width="5.85546875" customWidth="1"/>
    <col min="136" max="138" width="5.28515625" customWidth="1"/>
    <col min="139" max="139" width="5.7109375" customWidth="1"/>
    <col min="140" max="141" width="6.140625" customWidth="1"/>
    <col min="142" max="145" width="6.7109375" customWidth="1"/>
    <col min="146" max="147" width="8.140625" customWidth="1"/>
    <col min="148" max="148" width="9.28515625" customWidth="1"/>
    <col min="149" max="153" width="7.85546875" customWidth="1"/>
    <col min="154" max="154" width="6.42578125" customWidth="1"/>
    <col min="155" max="156" width="6.85546875" customWidth="1"/>
    <col min="157" max="158" width="6.42578125" customWidth="1"/>
    <col min="159" max="161" width="6.85546875" customWidth="1"/>
    <col min="162" max="164" width="6.42578125" customWidth="1"/>
    <col min="165" max="165" width="6.85546875" customWidth="1"/>
    <col min="166" max="166" width="6.42578125" customWidth="1"/>
    <col min="167" max="167" width="6.85546875" customWidth="1"/>
    <col min="168" max="168" width="6.42578125" customWidth="1"/>
    <col min="169" max="170" width="6.85546875" customWidth="1"/>
    <col min="171" max="173" width="6.42578125" customWidth="1"/>
    <col min="174" max="174" width="5.28515625" customWidth="1"/>
    <col min="175" max="175" width="6.42578125" customWidth="1"/>
    <col min="176" max="176" width="5.28515625" customWidth="1"/>
    <col min="177" max="178" width="5.85546875" customWidth="1"/>
    <col min="179" max="179" width="5.28515625" customWidth="1"/>
    <col min="180" max="180" width="5.85546875" customWidth="1"/>
    <col min="181" max="181" width="5.28515625" customWidth="1"/>
    <col min="182" max="183" width="5.85546875" customWidth="1"/>
    <col min="184" max="184" width="6.42578125" customWidth="1"/>
    <col min="185" max="185" width="5.85546875" customWidth="1"/>
    <col min="186" max="187" width="6.140625" customWidth="1"/>
    <col min="188" max="188" width="6.7109375" customWidth="1"/>
    <col min="189" max="189" width="8.85546875" customWidth="1"/>
    <col min="190" max="190" width="7.85546875" customWidth="1"/>
    <col min="191" max="193" width="7.42578125" customWidth="1"/>
    <col min="194" max="195" width="7.85546875" customWidth="1"/>
    <col min="196" max="197" width="7.42578125" customWidth="1"/>
    <col min="198" max="198" width="7.85546875" customWidth="1"/>
    <col min="199" max="199" width="6.85546875" customWidth="1"/>
    <col min="200" max="201" width="6.42578125" customWidth="1"/>
    <col min="202" max="202" width="6.85546875" customWidth="1"/>
    <col min="203" max="203" width="6.42578125" customWidth="1"/>
    <col min="204" max="204" width="6.85546875" customWidth="1"/>
    <col min="205" max="205" width="6.42578125" customWidth="1"/>
    <col min="206" max="211" width="6.85546875" customWidth="1"/>
    <col min="212" max="215" width="6.42578125" customWidth="1"/>
    <col min="216" max="218" width="6.85546875" customWidth="1"/>
    <col min="219" max="220" width="6.42578125" customWidth="1"/>
    <col min="221" max="221" width="6.85546875" customWidth="1"/>
    <col min="222" max="223" width="6.42578125" customWidth="1"/>
    <col min="224" max="224" width="6.85546875" customWidth="1"/>
    <col min="225" max="228" width="6.42578125" customWidth="1"/>
    <col min="229" max="229" width="6.85546875" customWidth="1"/>
    <col min="230" max="231" width="5.85546875" customWidth="1"/>
    <col min="232" max="233" width="5.28515625" customWidth="1"/>
    <col min="234" max="238" width="5.85546875" customWidth="1"/>
    <col min="239" max="240" width="6.140625" customWidth="1"/>
    <col min="241" max="241" width="6.7109375" customWidth="1"/>
    <col min="242" max="243" width="8.140625" customWidth="1"/>
    <col min="244" max="244" width="9.140625" customWidth="1"/>
    <col min="245" max="247" width="7.85546875" customWidth="1"/>
    <col min="248" max="250" width="6.85546875" customWidth="1"/>
    <col min="251" max="252" width="6.42578125" customWidth="1"/>
    <col min="253" max="259" width="6.85546875" customWidth="1"/>
    <col min="260" max="260" width="6.42578125" customWidth="1"/>
    <col min="261" max="261" width="6.85546875" customWidth="1"/>
    <col min="262" max="262" width="6.42578125" customWidth="1"/>
    <col min="263" max="263" width="6.85546875" customWidth="1"/>
    <col min="264" max="265" width="6.42578125" customWidth="1"/>
    <col min="266" max="267" width="6.85546875" customWidth="1"/>
    <col min="268" max="269" width="6.42578125" customWidth="1"/>
    <col min="270" max="272" width="6.85546875" customWidth="1"/>
    <col min="273" max="274" width="6.42578125" customWidth="1"/>
    <col min="275" max="277" width="6.85546875" customWidth="1"/>
    <col min="278" max="278" width="6.42578125" customWidth="1"/>
    <col min="279" max="279" width="6.85546875" customWidth="1"/>
    <col min="280" max="280" width="5.85546875" customWidth="1"/>
    <col min="281" max="281" width="6.42578125" customWidth="1"/>
    <col min="282" max="283" width="5.85546875" customWidth="1"/>
    <col min="284" max="284" width="5.28515625" customWidth="1"/>
    <col min="285" max="286" width="5.85546875" customWidth="1"/>
    <col min="287" max="290" width="5.28515625" customWidth="1"/>
    <col min="291" max="292" width="5.85546875" customWidth="1"/>
    <col min="293" max="293" width="5.7109375" customWidth="1"/>
    <col min="294" max="295" width="6.140625" customWidth="1"/>
    <col min="296" max="298" width="6.7109375" customWidth="1"/>
    <col min="299" max="299" width="8.85546875" customWidth="1"/>
    <col min="300" max="300" width="7.42578125" customWidth="1"/>
    <col min="301" max="301" width="7.85546875" customWidth="1"/>
    <col min="302" max="302" width="7.42578125" customWidth="1"/>
    <col min="303" max="303" width="7.85546875" customWidth="1"/>
    <col min="304" max="305" width="6.85546875" customWidth="1"/>
    <col min="306" max="306" width="6.42578125" customWidth="1"/>
    <col min="307" max="307" width="6.85546875" customWidth="1"/>
    <col min="308" max="309" width="6.42578125" customWidth="1"/>
    <col min="310" max="310" width="6.85546875" customWidth="1"/>
    <col min="311" max="313" width="6.42578125" customWidth="1"/>
    <col min="314" max="316" width="6.85546875" customWidth="1"/>
    <col min="317" max="318" width="6.42578125" customWidth="1"/>
    <col min="319" max="319" width="6.85546875" customWidth="1"/>
    <col min="320" max="321" width="6.42578125" customWidth="1"/>
    <col min="322" max="323" width="6.85546875" customWidth="1"/>
    <col min="324" max="326" width="6.42578125" customWidth="1"/>
    <col min="327" max="328" width="6.85546875" customWidth="1"/>
    <col min="329" max="329" width="6.42578125" customWidth="1"/>
    <col min="330" max="330" width="6.85546875" customWidth="1"/>
    <col min="331" max="331" width="6.42578125" customWidth="1"/>
    <col min="332" max="332" width="5.85546875" customWidth="1"/>
    <col min="333" max="333" width="5.28515625" customWidth="1"/>
    <col min="334" max="335" width="5.85546875" customWidth="1"/>
    <col min="336" max="336" width="5.28515625" customWidth="1"/>
    <col min="337" max="337" width="6.42578125" customWidth="1"/>
    <col min="338" max="338" width="5.85546875" customWidth="1"/>
    <col min="339" max="345" width="5.28515625" customWidth="1"/>
    <col min="346" max="346" width="4.7109375" customWidth="1"/>
    <col min="347" max="348" width="6.140625" customWidth="1"/>
    <col min="349" max="351" width="6.7109375" customWidth="1"/>
    <col min="352" max="352" width="8.140625" customWidth="1"/>
    <col min="353" max="353" width="8.85546875" customWidth="1"/>
    <col min="354" max="355" width="7.85546875" customWidth="1"/>
    <col min="356" max="357" width="7.42578125" customWidth="1"/>
    <col min="358" max="359" width="7.85546875" customWidth="1"/>
    <col min="360" max="365" width="6.85546875" customWidth="1"/>
    <col min="366" max="367" width="6.42578125" customWidth="1"/>
    <col min="368" max="368" width="6.85546875" customWidth="1"/>
    <col min="369" max="370" width="6.42578125" customWidth="1"/>
    <col min="371" max="374" width="6.85546875" customWidth="1"/>
    <col min="375" max="375" width="6.42578125" customWidth="1"/>
    <col min="376" max="376" width="6.85546875" customWidth="1"/>
    <col min="377" max="377" width="6.42578125" customWidth="1"/>
    <col min="378" max="379" width="6.85546875" customWidth="1"/>
    <col min="380" max="380" width="6.42578125" customWidth="1"/>
    <col min="381" max="381" width="6.85546875" customWidth="1"/>
    <col min="382" max="383" width="6.42578125" customWidth="1"/>
    <col min="384" max="384" width="6.85546875" customWidth="1"/>
    <col min="385" max="385" width="6.42578125" customWidth="1"/>
    <col min="386" max="386" width="6.85546875" customWidth="1"/>
    <col min="387" max="389" width="6.42578125" customWidth="1"/>
    <col min="390" max="390" width="6.85546875" customWidth="1"/>
    <col min="391" max="394" width="6.42578125" customWidth="1"/>
    <col min="395" max="398" width="5.28515625" customWidth="1"/>
    <col min="399" max="399" width="5.85546875" customWidth="1"/>
    <col min="400" max="400" width="6.42578125" customWidth="1"/>
    <col min="401" max="402" width="5.85546875" customWidth="1"/>
    <col min="403" max="405" width="5.28515625" customWidth="1"/>
    <col min="406" max="406" width="5.85546875" customWidth="1"/>
    <col min="407" max="408" width="5.7109375" customWidth="1"/>
    <col min="409" max="410" width="6.140625" customWidth="1"/>
    <col min="411" max="414" width="6.7109375" customWidth="1"/>
    <col min="415" max="415" width="9" customWidth="1"/>
    <col min="416" max="417" width="7.85546875" customWidth="1"/>
    <col min="418" max="419" width="6.85546875" customWidth="1"/>
    <col min="420" max="420" width="6.42578125" customWidth="1"/>
    <col min="421" max="426" width="6.85546875" customWidth="1"/>
    <col min="427" max="427" width="6.42578125" customWidth="1"/>
    <col min="428" max="428" width="6.85546875" customWidth="1"/>
    <col min="429" max="429" width="6.42578125" customWidth="1"/>
    <col min="430" max="431" width="6.85546875" customWidth="1"/>
    <col min="432" max="433" width="6.42578125" customWidth="1"/>
    <col min="434" max="436" width="6.85546875" customWidth="1"/>
    <col min="437" max="444" width="6.42578125" customWidth="1"/>
    <col min="445" max="445" width="6.85546875" customWidth="1"/>
    <col min="446" max="446" width="6.42578125" customWidth="1"/>
    <col min="447" max="447" width="5.85546875" customWidth="1"/>
    <col min="448" max="448" width="5.28515625" customWidth="1"/>
    <col min="449" max="449" width="5.85546875" customWidth="1"/>
    <col min="450" max="451" width="5.28515625" customWidth="1"/>
    <col min="452" max="452" width="6.42578125" customWidth="1"/>
    <col min="453" max="454" width="5.85546875" customWidth="1"/>
    <col min="455" max="456" width="6.140625" customWidth="1"/>
    <col min="457" max="459" width="6.7109375" customWidth="1"/>
    <col min="460" max="460" width="8.140625" customWidth="1"/>
    <col min="461" max="461" width="8.85546875" customWidth="1"/>
    <col min="462" max="467" width="7.42578125" customWidth="1"/>
    <col min="468" max="468" width="7.85546875" customWidth="1"/>
    <col min="469" max="470" width="6.85546875" customWidth="1"/>
    <col min="471" max="472" width="6.42578125" customWidth="1"/>
    <col min="473" max="473" width="6.85546875" customWidth="1"/>
    <col min="474" max="475" width="6.42578125" customWidth="1"/>
    <col min="476" max="478" width="6.85546875" customWidth="1"/>
    <col min="479" max="485" width="6.42578125" customWidth="1"/>
    <col min="486" max="487" width="6.85546875" customWidth="1"/>
    <col min="488" max="488" width="6.42578125" customWidth="1"/>
    <col min="489" max="490" width="6.85546875" customWidth="1"/>
    <col min="491" max="491" width="6.42578125" customWidth="1"/>
    <col min="492" max="495" width="6.85546875" customWidth="1"/>
    <col min="496" max="498" width="6.42578125" customWidth="1"/>
    <col min="499" max="499" width="6.85546875" customWidth="1"/>
    <col min="500" max="502" width="6.42578125" customWidth="1"/>
    <col min="503" max="505" width="5.85546875" customWidth="1"/>
    <col min="506" max="506" width="5.28515625" customWidth="1"/>
    <col min="507" max="508" width="5.85546875" customWidth="1"/>
    <col min="509" max="512" width="6.7109375" customWidth="1"/>
    <col min="513" max="513" width="8.85546875" customWidth="1"/>
    <col min="514" max="519" width="7.42578125" customWidth="1"/>
    <col min="520" max="520" width="7.85546875" customWidth="1"/>
    <col min="521" max="521" width="7.42578125" customWidth="1"/>
    <col min="522" max="522" width="6.85546875" customWidth="1"/>
    <col min="523" max="525" width="6.42578125" customWidth="1"/>
    <col min="526" max="526" width="6.85546875" customWidth="1"/>
    <col min="527" max="529" width="6.42578125" customWidth="1"/>
    <col min="530" max="530" width="5.7109375" customWidth="1"/>
    <col min="531" max="532" width="6.140625" customWidth="1"/>
    <col min="533" max="533" width="6.7109375" customWidth="1"/>
    <col min="534" max="534" width="7" customWidth="1"/>
    <col min="536" max="541" width="7.42578125" customWidth="1"/>
    <col min="542" max="542" width="7.85546875" customWidth="1"/>
    <col min="543" max="543" width="7.42578125" customWidth="1"/>
    <col min="544" max="544" width="6.85546875" customWidth="1"/>
    <col min="545" max="547" width="6.42578125" customWidth="1"/>
    <col min="548" max="548" width="6.85546875" customWidth="1"/>
    <col min="549" max="551" width="6.42578125" customWidth="1"/>
    <col min="552" max="552" width="5.7109375" customWidth="1"/>
    <col min="553" max="554" width="6.140625" customWidth="1"/>
    <col min="555" max="555" width="6.7109375" customWidth="1"/>
    <col min="556" max="556" width="7" customWidth="1"/>
    <col min="557" max="557" width="9" customWidth="1"/>
    <col min="558" max="561" width="12" bestFit="1" customWidth="1"/>
    <col min="562" max="563" width="13.5703125" bestFit="1" customWidth="1"/>
    <col min="564" max="564" width="10.85546875" bestFit="1" customWidth="1"/>
    <col min="565" max="565" width="13.5703125" bestFit="1" customWidth="1"/>
    <col min="566" max="567" width="10.85546875" bestFit="1" customWidth="1"/>
    <col min="568" max="568" width="13.5703125" bestFit="1" customWidth="1"/>
    <col min="569" max="569" width="10.85546875" bestFit="1" customWidth="1"/>
    <col min="570" max="575" width="13.5703125" bestFit="1" customWidth="1"/>
    <col min="576" max="576" width="10.85546875" bestFit="1" customWidth="1"/>
    <col min="577" max="580" width="13.5703125" bestFit="1" customWidth="1"/>
    <col min="581" max="581" width="10.85546875" bestFit="1" customWidth="1"/>
    <col min="582" max="583" width="13.5703125" bestFit="1" customWidth="1"/>
    <col min="584" max="585" width="10.85546875" bestFit="1" customWidth="1"/>
    <col min="586" max="586" width="12.5703125" bestFit="1" customWidth="1"/>
    <col min="587" max="587" width="10.85546875" bestFit="1" customWidth="1"/>
    <col min="588" max="588" width="13.5703125" bestFit="1" customWidth="1"/>
    <col min="589" max="589" width="10.85546875" bestFit="1" customWidth="1"/>
    <col min="590" max="593" width="13.5703125" bestFit="1" customWidth="1"/>
    <col min="594" max="595" width="10.85546875" bestFit="1" customWidth="1"/>
    <col min="596" max="597" width="12.5703125" bestFit="1" customWidth="1"/>
    <col min="598" max="599" width="13.5703125" bestFit="1" customWidth="1"/>
    <col min="600" max="600" width="10.85546875" bestFit="1" customWidth="1"/>
    <col min="601" max="601" width="12.5703125" bestFit="1" customWidth="1"/>
    <col min="602" max="603" width="13.5703125" bestFit="1" customWidth="1"/>
    <col min="604" max="604" width="12.5703125" bestFit="1" customWidth="1"/>
    <col min="605" max="605" width="10.85546875" bestFit="1" customWidth="1"/>
    <col min="606" max="608" width="13.5703125" bestFit="1" customWidth="1"/>
    <col min="609" max="609" width="12.5703125" bestFit="1" customWidth="1"/>
    <col min="610" max="614" width="13.5703125" bestFit="1" customWidth="1"/>
    <col min="615" max="615" width="10.85546875" bestFit="1" customWidth="1"/>
    <col min="616" max="617" width="12.5703125" bestFit="1" customWidth="1"/>
    <col min="618" max="618" width="9.85546875" bestFit="1" customWidth="1"/>
    <col min="619" max="622" width="12.5703125" bestFit="1" customWidth="1"/>
    <col min="623" max="623" width="9.85546875" bestFit="1" customWidth="1"/>
    <col min="624" max="626" width="12.5703125" bestFit="1" customWidth="1"/>
    <col min="627" max="627" width="9.85546875" bestFit="1" customWidth="1"/>
    <col min="628" max="628" width="12.5703125" bestFit="1" customWidth="1"/>
    <col min="629" max="629" width="11.5703125" bestFit="1" customWidth="1"/>
    <col min="630" max="631" width="12.5703125" bestFit="1" customWidth="1"/>
    <col min="632" max="632" width="11.5703125" bestFit="1" customWidth="1"/>
    <col min="633" max="634" width="12.5703125" bestFit="1" customWidth="1"/>
    <col min="635" max="635" width="9.85546875" bestFit="1" customWidth="1"/>
    <col min="636" max="636" width="11.5703125" bestFit="1" customWidth="1"/>
    <col min="637" max="637" width="12.5703125" bestFit="1" customWidth="1"/>
    <col min="638" max="638" width="9.85546875" bestFit="1" customWidth="1"/>
    <col min="639" max="639" width="11.5703125" bestFit="1" customWidth="1"/>
    <col min="640" max="642" width="12.5703125" bestFit="1" customWidth="1"/>
    <col min="643" max="643" width="9.85546875" bestFit="1" customWidth="1"/>
    <col min="644" max="649" width="12.5703125" bestFit="1" customWidth="1"/>
    <col min="650" max="650" width="11.5703125" bestFit="1" customWidth="1"/>
    <col min="651" max="652" width="12.5703125" bestFit="1" customWidth="1"/>
    <col min="653" max="654" width="11.5703125" bestFit="1" customWidth="1"/>
    <col min="655" max="658" width="12.5703125" bestFit="1" customWidth="1"/>
    <col min="659" max="659" width="9.85546875" bestFit="1" customWidth="1"/>
    <col min="660" max="660" width="11.5703125" bestFit="1" customWidth="1"/>
    <col min="661" max="662" width="12.5703125" bestFit="1" customWidth="1"/>
    <col min="663" max="664" width="11.5703125" bestFit="1" customWidth="1"/>
    <col min="665" max="667" width="12.5703125" bestFit="1" customWidth="1"/>
    <col min="668" max="668" width="11.5703125" bestFit="1" customWidth="1"/>
    <col min="669" max="672" width="12.5703125" bestFit="1" customWidth="1"/>
    <col min="673" max="673" width="9.85546875" bestFit="1" customWidth="1"/>
    <col min="674" max="674" width="11.5703125" bestFit="1" customWidth="1"/>
    <col min="675" max="686" width="12.5703125" bestFit="1" customWidth="1"/>
    <col min="687" max="688" width="9.85546875" bestFit="1" customWidth="1"/>
    <col min="689" max="689" width="12.5703125" bestFit="1" customWidth="1"/>
    <col min="690" max="690" width="9.85546875" bestFit="1" customWidth="1"/>
    <col min="691" max="691" width="12.5703125" bestFit="1" customWidth="1"/>
    <col min="692" max="692" width="9.85546875" bestFit="1" customWidth="1"/>
    <col min="693" max="693" width="11.5703125" bestFit="1" customWidth="1"/>
    <col min="694" max="698" width="12.5703125" bestFit="1" customWidth="1"/>
    <col min="699" max="699" width="11.5703125" bestFit="1" customWidth="1"/>
    <col min="700" max="707" width="12.5703125" bestFit="1" customWidth="1"/>
    <col min="708" max="708" width="9.85546875" bestFit="1" customWidth="1"/>
    <col min="709" max="710" width="12.5703125" bestFit="1" customWidth="1"/>
    <col min="711" max="711" width="9.85546875" bestFit="1" customWidth="1"/>
    <col min="712" max="712" width="11.5703125" bestFit="1" customWidth="1"/>
    <col min="713" max="713" width="12.5703125" bestFit="1" customWidth="1"/>
    <col min="714" max="714" width="11.5703125" bestFit="1" customWidth="1"/>
    <col min="715" max="715" width="12.5703125" bestFit="1" customWidth="1"/>
    <col min="716" max="718" width="11.5703125" bestFit="1" customWidth="1"/>
    <col min="719" max="720" width="12.5703125" bestFit="1" customWidth="1"/>
    <col min="721" max="721" width="11.5703125" bestFit="1" customWidth="1"/>
    <col min="722" max="722" width="9.85546875" bestFit="1" customWidth="1"/>
    <col min="723" max="723" width="11.5703125" bestFit="1" customWidth="1"/>
    <col min="724" max="724" width="12.42578125" bestFit="1" customWidth="1"/>
    <col min="725" max="725" width="11.5703125" bestFit="1" customWidth="1"/>
    <col min="726" max="726" width="12.5703125" bestFit="1" customWidth="1"/>
    <col min="727" max="728" width="11.5703125" bestFit="1" customWidth="1"/>
    <col min="729" max="730" width="12.5703125" bestFit="1" customWidth="1"/>
    <col min="731" max="731" width="9.85546875" bestFit="1" customWidth="1"/>
    <col min="732" max="732" width="12.5703125" bestFit="1" customWidth="1"/>
    <col min="733" max="733" width="11.5703125" bestFit="1" customWidth="1"/>
    <col min="734" max="734" width="12.5703125" bestFit="1" customWidth="1"/>
    <col min="735" max="736" width="11.5703125" bestFit="1" customWidth="1"/>
    <col min="737" max="737" width="12.5703125" bestFit="1" customWidth="1"/>
    <col min="738" max="738" width="9.85546875" bestFit="1" customWidth="1"/>
    <col min="739" max="741" width="12.5703125" bestFit="1" customWidth="1"/>
    <col min="742" max="742" width="11.5703125" bestFit="1" customWidth="1"/>
    <col min="743" max="743" width="12.5703125" bestFit="1" customWidth="1"/>
    <col min="744" max="744" width="11.5703125" bestFit="1" customWidth="1"/>
    <col min="745" max="745" width="12.5703125" bestFit="1" customWidth="1"/>
    <col min="746" max="746" width="11.5703125" bestFit="1" customWidth="1"/>
    <col min="747" max="747" width="9.85546875" bestFit="1" customWidth="1"/>
    <col min="748" max="748" width="11.5703125" bestFit="1" customWidth="1"/>
    <col min="749" max="752" width="12.5703125" bestFit="1" customWidth="1"/>
    <col min="753" max="753" width="11.5703125" bestFit="1" customWidth="1"/>
    <col min="754" max="756" width="12.5703125" bestFit="1" customWidth="1"/>
    <col min="757" max="757" width="9.85546875" bestFit="1" customWidth="1"/>
    <col min="758" max="759" width="12.5703125" bestFit="1" customWidth="1"/>
    <col min="760" max="760" width="11.5703125" bestFit="1" customWidth="1"/>
    <col min="761" max="761" width="12.5703125" bestFit="1" customWidth="1"/>
    <col min="762" max="762" width="9.85546875" bestFit="1" customWidth="1"/>
    <col min="763" max="763" width="11.5703125" bestFit="1" customWidth="1"/>
    <col min="764" max="766" width="12.5703125" bestFit="1" customWidth="1"/>
    <col min="767" max="767" width="11.5703125" bestFit="1" customWidth="1"/>
    <col min="768" max="772" width="12.5703125" bestFit="1" customWidth="1"/>
    <col min="773" max="773" width="9.85546875" bestFit="1" customWidth="1"/>
    <col min="774" max="774" width="11.42578125" bestFit="1" customWidth="1"/>
    <col min="775" max="778" width="12.5703125" bestFit="1" customWidth="1"/>
    <col min="779" max="780" width="11.5703125" bestFit="1" customWidth="1"/>
    <col min="781" max="784" width="12.5703125" bestFit="1" customWidth="1"/>
    <col min="785" max="785" width="9.85546875" bestFit="1" customWidth="1"/>
    <col min="786" max="786" width="12.5703125" bestFit="1" customWidth="1"/>
    <col min="787" max="787" width="9.85546875" bestFit="1" customWidth="1"/>
    <col min="788" max="789" width="12.5703125" bestFit="1" customWidth="1"/>
    <col min="790" max="790" width="11.5703125" bestFit="1" customWidth="1"/>
    <col min="791" max="791" width="9.85546875" bestFit="1" customWidth="1"/>
    <col min="792" max="797" width="12.5703125" bestFit="1" customWidth="1"/>
    <col min="798" max="798" width="9.85546875" bestFit="1" customWidth="1"/>
    <col min="799" max="800" width="11.5703125" bestFit="1" customWidth="1"/>
    <col min="801" max="802" width="12.5703125" bestFit="1" customWidth="1"/>
    <col min="803" max="803" width="11.5703125" bestFit="1" customWidth="1"/>
    <col min="804" max="805" width="12.5703125" bestFit="1" customWidth="1"/>
    <col min="806" max="806" width="9.85546875" bestFit="1" customWidth="1"/>
    <col min="807" max="808" width="11.5703125" bestFit="1" customWidth="1"/>
    <col min="809" max="809" width="9.85546875" bestFit="1" customWidth="1"/>
    <col min="810" max="810" width="11.5703125" bestFit="1" customWidth="1"/>
    <col min="811" max="811" width="12.5703125" bestFit="1" customWidth="1"/>
    <col min="812" max="812" width="11.5703125" bestFit="1" customWidth="1"/>
    <col min="813" max="813" width="12.5703125" bestFit="1" customWidth="1"/>
    <col min="814" max="817" width="12" bestFit="1" customWidth="1"/>
    <col min="818" max="819" width="13.5703125" bestFit="1" customWidth="1"/>
    <col min="820" max="820" width="10.85546875" bestFit="1" customWidth="1"/>
    <col min="821" max="821" width="13.5703125" bestFit="1" customWidth="1"/>
    <col min="822" max="823" width="10.85546875" bestFit="1" customWidth="1"/>
    <col min="824" max="824" width="13.5703125" bestFit="1" customWidth="1"/>
    <col min="825" max="825" width="10.85546875" bestFit="1" customWidth="1"/>
    <col min="826" max="831" width="13.5703125" bestFit="1" customWidth="1"/>
    <col min="832" max="832" width="10.85546875" bestFit="1" customWidth="1"/>
    <col min="833" max="836" width="13.5703125" bestFit="1" customWidth="1"/>
    <col min="837" max="837" width="10.85546875" bestFit="1" customWidth="1"/>
    <col min="838" max="839" width="13.5703125" bestFit="1" customWidth="1"/>
    <col min="840" max="841" width="10.85546875" bestFit="1" customWidth="1"/>
    <col min="842" max="842" width="12.5703125" bestFit="1" customWidth="1"/>
    <col min="843" max="843" width="10.85546875" bestFit="1" customWidth="1"/>
    <col min="844" max="844" width="13.5703125" bestFit="1" customWidth="1"/>
    <col min="845" max="845" width="10.85546875" bestFit="1" customWidth="1"/>
    <col min="846" max="849" width="13.5703125" bestFit="1" customWidth="1"/>
    <col min="850" max="851" width="10.85546875" bestFit="1" customWidth="1"/>
    <col min="852" max="853" width="12.5703125" bestFit="1" customWidth="1"/>
    <col min="854" max="855" width="13.5703125" bestFit="1" customWidth="1"/>
    <col min="856" max="856" width="10.85546875" bestFit="1" customWidth="1"/>
    <col min="857" max="857" width="12.5703125" bestFit="1" customWidth="1"/>
    <col min="858" max="859" width="13.5703125" bestFit="1" customWidth="1"/>
    <col min="860" max="860" width="12.5703125" bestFit="1" customWidth="1"/>
    <col min="861" max="861" width="10.85546875" bestFit="1" customWidth="1"/>
    <col min="862" max="864" width="13.5703125" bestFit="1" customWidth="1"/>
    <col min="865" max="865" width="12.5703125" bestFit="1" customWidth="1"/>
    <col min="866" max="870" width="13.5703125" bestFit="1" customWidth="1"/>
    <col min="871" max="871" width="10.85546875" bestFit="1" customWidth="1"/>
    <col min="872" max="873" width="12.5703125" bestFit="1" customWidth="1"/>
    <col min="874" max="874" width="9.85546875" bestFit="1" customWidth="1"/>
    <col min="875" max="878" width="12.5703125" bestFit="1" customWidth="1"/>
    <col min="879" max="879" width="9.85546875" bestFit="1" customWidth="1"/>
    <col min="880" max="882" width="12.5703125" bestFit="1" customWidth="1"/>
    <col min="883" max="883" width="9.85546875" bestFit="1" customWidth="1"/>
    <col min="884" max="884" width="12.5703125" bestFit="1" customWidth="1"/>
    <col min="885" max="885" width="11.5703125" bestFit="1" customWidth="1"/>
    <col min="886" max="887" width="12.5703125" bestFit="1" customWidth="1"/>
    <col min="888" max="888" width="11.5703125" bestFit="1" customWidth="1"/>
    <col min="889" max="890" width="12.5703125" bestFit="1" customWidth="1"/>
    <col min="891" max="891" width="9.85546875" bestFit="1" customWidth="1"/>
    <col min="892" max="892" width="11.5703125" bestFit="1" customWidth="1"/>
    <col min="893" max="893" width="12.5703125" bestFit="1" customWidth="1"/>
    <col min="894" max="894" width="9.85546875" bestFit="1" customWidth="1"/>
    <col min="895" max="895" width="11.5703125" bestFit="1" customWidth="1"/>
    <col min="896" max="898" width="12.5703125" bestFit="1" customWidth="1"/>
    <col min="899" max="899" width="9.85546875" bestFit="1" customWidth="1"/>
    <col min="900" max="905" width="12.5703125" bestFit="1" customWidth="1"/>
    <col min="906" max="906" width="11.5703125" bestFit="1" customWidth="1"/>
    <col min="907" max="908" width="12.5703125" bestFit="1" customWidth="1"/>
    <col min="909" max="910" width="11.5703125" bestFit="1" customWidth="1"/>
    <col min="911" max="914" width="12.5703125" bestFit="1" customWidth="1"/>
    <col min="915" max="915" width="9.85546875" bestFit="1" customWidth="1"/>
    <col min="916" max="916" width="11.5703125" bestFit="1" customWidth="1"/>
    <col min="917" max="918" width="12.5703125" bestFit="1" customWidth="1"/>
    <col min="919" max="920" width="11.5703125" bestFit="1" customWidth="1"/>
    <col min="921" max="923" width="12.5703125" bestFit="1" customWidth="1"/>
    <col min="924" max="924" width="11.5703125" bestFit="1" customWidth="1"/>
    <col min="925" max="928" width="12.5703125" bestFit="1" customWidth="1"/>
    <col min="929" max="929" width="9.85546875" bestFit="1" customWidth="1"/>
    <col min="930" max="930" width="11.5703125" bestFit="1" customWidth="1"/>
    <col min="931" max="942" width="12.5703125" bestFit="1" customWidth="1"/>
    <col min="943" max="944" width="9.85546875" bestFit="1" customWidth="1"/>
    <col min="945" max="945" width="12.5703125" bestFit="1" customWidth="1"/>
    <col min="946" max="946" width="9.85546875" bestFit="1" customWidth="1"/>
    <col min="947" max="947" width="12.5703125" bestFit="1" customWidth="1"/>
    <col min="948" max="948" width="9.85546875" bestFit="1" customWidth="1"/>
    <col min="949" max="949" width="11.5703125" bestFit="1" customWidth="1"/>
    <col min="950" max="952" width="12.5703125" bestFit="1" customWidth="1"/>
    <col min="953" max="953" width="10.28515625" bestFit="1" customWidth="1"/>
  </cols>
  <sheetData>
    <row r="2" spans="1:953">
      <c r="A2" s="241" t="s">
        <v>48</v>
      </c>
      <c r="B2" s="242" t="s">
        <v>76</v>
      </c>
    </row>
    <row r="4" spans="1:953">
      <c r="A4" s="427" t="s">
        <v>1005</v>
      </c>
      <c r="B4" s="427" t="s">
        <v>81</v>
      </c>
      <c r="C4" s="428"/>
      <c r="D4" s="428"/>
      <c r="E4" s="428"/>
      <c r="F4" s="431"/>
      <c r="G4" s="431"/>
      <c r="H4" s="431"/>
      <c r="I4" s="428"/>
      <c r="J4" s="428"/>
      <c r="K4" s="431"/>
      <c r="L4" s="431"/>
      <c r="M4" s="431"/>
      <c r="N4" s="428"/>
    </row>
    <row r="5" spans="1:953" s="56" customFormat="1">
      <c r="A5" s="433" t="s">
        <v>74</v>
      </c>
      <c r="B5" s="59" t="s">
        <v>82</v>
      </c>
      <c r="C5" s="59" t="s">
        <v>83</v>
      </c>
      <c r="D5" s="59" t="s">
        <v>84</v>
      </c>
      <c r="E5" s="59" t="s">
        <v>85</v>
      </c>
      <c r="F5" s="59" t="s">
        <v>86</v>
      </c>
      <c r="G5" s="59" t="s">
        <v>87</v>
      </c>
      <c r="H5" s="59" t="s">
        <v>88</v>
      </c>
      <c r="I5" s="59" t="s">
        <v>452</v>
      </c>
      <c r="J5" s="59" t="s">
        <v>467</v>
      </c>
      <c r="K5" s="59" t="s">
        <v>468</v>
      </c>
      <c r="L5" s="243" t="s">
        <v>469</v>
      </c>
      <c r="M5" s="243" t="s">
        <v>470</v>
      </c>
      <c r="N5" s="434" t="s">
        <v>75</v>
      </c>
    </row>
    <row r="6" spans="1:953" s="70" customFormat="1">
      <c r="A6" s="68" t="s">
        <v>2</v>
      </c>
      <c r="B6" s="429">
        <v>970.44999999999959</v>
      </c>
      <c r="C6" s="429">
        <v>-480.29000000000008</v>
      </c>
      <c r="D6" s="429">
        <v>337.61</v>
      </c>
      <c r="E6" s="429">
        <v>1289.2199999999993</v>
      </c>
      <c r="F6" s="429">
        <v>112.7800000000002</v>
      </c>
      <c r="G6" s="429">
        <v>106.52000000000039</v>
      </c>
      <c r="H6" s="429">
        <v>-51.42999999999995</v>
      </c>
      <c r="I6" s="429">
        <v>-422.22</v>
      </c>
      <c r="J6" s="429">
        <v>1319.6899999999994</v>
      </c>
      <c r="K6" s="429">
        <v>1162.6700000000003</v>
      </c>
      <c r="L6" s="437">
        <v>-1145.6866666666665</v>
      </c>
      <c r="M6" s="437">
        <v>-1996.7299999999996</v>
      </c>
      <c r="N6" s="429">
        <v>1202.5833333333323</v>
      </c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  <c r="AJ6"/>
      <c r="AK6"/>
      <c r="AL6"/>
      <c r="AM6"/>
      <c r="AN6"/>
      <c r="AO6"/>
      <c r="AP6"/>
      <c r="AQ6"/>
      <c r="AR6"/>
      <c r="AS6"/>
      <c r="AT6"/>
      <c r="AU6"/>
      <c r="AV6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/>
      <c r="BV6"/>
      <c r="BW6"/>
      <c r="BX6"/>
      <c r="BY6"/>
      <c r="BZ6"/>
      <c r="CA6"/>
      <c r="CB6"/>
      <c r="CC6"/>
      <c r="CD6"/>
      <c r="CE6"/>
      <c r="CF6"/>
      <c r="CG6"/>
      <c r="CH6"/>
      <c r="CI6"/>
      <c r="CJ6"/>
      <c r="CK6"/>
      <c r="CL6"/>
      <c r="CM6"/>
      <c r="CN6"/>
      <c r="CO6"/>
      <c r="CP6"/>
      <c r="CQ6"/>
      <c r="CR6"/>
      <c r="CS6"/>
      <c r="CT6"/>
      <c r="CU6"/>
      <c r="CV6"/>
      <c r="CW6"/>
      <c r="CX6"/>
      <c r="CY6"/>
      <c r="CZ6"/>
      <c r="DA6"/>
      <c r="DB6"/>
      <c r="DC6"/>
      <c r="DD6"/>
      <c r="DE6"/>
      <c r="DF6"/>
      <c r="DG6"/>
      <c r="DH6"/>
      <c r="DI6"/>
      <c r="DJ6"/>
      <c r="DK6"/>
      <c r="DL6"/>
      <c r="DM6"/>
      <c r="DN6"/>
      <c r="DO6"/>
      <c r="DP6"/>
      <c r="DQ6"/>
      <c r="DR6"/>
      <c r="DS6"/>
      <c r="DT6"/>
      <c r="DU6"/>
      <c r="DV6"/>
      <c r="DW6"/>
      <c r="DX6"/>
      <c r="DY6"/>
      <c r="DZ6"/>
      <c r="EA6"/>
      <c r="EB6"/>
      <c r="EC6"/>
      <c r="ED6"/>
      <c r="EE6"/>
      <c r="EF6"/>
      <c r="EG6"/>
      <c r="EH6"/>
      <c r="EI6"/>
      <c r="EJ6"/>
      <c r="EK6"/>
      <c r="EL6"/>
      <c r="EM6"/>
      <c r="EN6"/>
      <c r="EO6"/>
      <c r="EP6"/>
      <c r="EQ6"/>
      <c r="ER6"/>
      <c r="ES6"/>
      <c r="ET6"/>
      <c r="EU6"/>
      <c r="EV6"/>
      <c r="EW6"/>
      <c r="EX6"/>
      <c r="EY6"/>
      <c r="EZ6"/>
      <c r="FA6"/>
      <c r="FB6"/>
      <c r="FC6"/>
      <c r="FD6"/>
      <c r="FE6"/>
      <c r="FF6"/>
      <c r="FG6"/>
      <c r="FH6"/>
      <c r="FI6"/>
      <c r="FJ6"/>
      <c r="FK6"/>
      <c r="FL6"/>
      <c r="FM6"/>
      <c r="FN6"/>
      <c r="FO6"/>
      <c r="FP6"/>
      <c r="FQ6"/>
      <c r="FR6"/>
      <c r="FS6"/>
      <c r="FT6"/>
      <c r="FU6"/>
      <c r="FV6"/>
      <c r="FW6"/>
      <c r="FX6"/>
      <c r="FY6"/>
      <c r="FZ6"/>
      <c r="GA6"/>
      <c r="GB6"/>
      <c r="GC6"/>
      <c r="GD6"/>
      <c r="GE6"/>
      <c r="GF6"/>
      <c r="GG6"/>
      <c r="GH6"/>
      <c r="GI6"/>
      <c r="GJ6"/>
      <c r="GK6"/>
      <c r="GL6"/>
      <c r="GM6"/>
      <c r="GN6"/>
      <c r="GO6"/>
      <c r="GP6"/>
      <c r="GQ6"/>
      <c r="GR6"/>
      <c r="GS6"/>
      <c r="GT6"/>
      <c r="GU6"/>
      <c r="GV6"/>
      <c r="GW6"/>
      <c r="GX6"/>
      <c r="GY6"/>
      <c r="GZ6"/>
      <c r="HA6"/>
      <c r="HB6"/>
      <c r="HC6"/>
      <c r="HD6"/>
      <c r="HE6"/>
      <c r="HF6"/>
      <c r="HG6"/>
      <c r="HH6"/>
      <c r="HI6"/>
      <c r="HJ6"/>
      <c r="HK6"/>
      <c r="HL6"/>
      <c r="HM6"/>
      <c r="HN6"/>
      <c r="HO6"/>
      <c r="HP6"/>
      <c r="HQ6"/>
      <c r="HR6"/>
      <c r="HS6"/>
      <c r="HT6"/>
      <c r="HU6"/>
      <c r="HV6"/>
      <c r="HW6"/>
      <c r="HX6"/>
      <c r="HY6"/>
      <c r="HZ6"/>
      <c r="IA6"/>
      <c r="IB6"/>
      <c r="IC6"/>
      <c r="ID6"/>
      <c r="IE6"/>
      <c r="IF6"/>
      <c r="IG6"/>
      <c r="IH6"/>
      <c r="II6"/>
      <c r="IJ6"/>
      <c r="IK6"/>
      <c r="IL6"/>
      <c r="IM6"/>
      <c r="IN6"/>
      <c r="IO6"/>
      <c r="IP6"/>
      <c r="IQ6"/>
      <c r="IR6"/>
      <c r="IS6"/>
      <c r="IT6"/>
      <c r="IU6"/>
      <c r="IV6"/>
      <c r="IW6"/>
      <c r="IX6"/>
      <c r="IY6"/>
      <c r="IZ6"/>
      <c r="JA6"/>
      <c r="JB6"/>
      <c r="JC6"/>
      <c r="JD6"/>
      <c r="JE6"/>
      <c r="JF6"/>
      <c r="JG6"/>
      <c r="JH6"/>
      <c r="JI6"/>
      <c r="JJ6"/>
      <c r="JK6"/>
      <c r="JL6"/>
      <c r="JM6"/>
      <c r="JN6"/>
      <c r="JO6"/>
      <c r="JP6"/>
      <c r="JQ6"/>
      <c r="JR6"/>
      <c r="JS6"/>
      <c r="JT6"/>
      <c r="JU6"/>
      <c r="JV6"/>
      <c r="JW6"/>
      <c r="JX6"/>
      <c r="JY6"/>
      <c r="JZ6"/>
      <c r="KA6"/>
      <c r="KB6"/>
      <c r="KC6"/>
      <c r="KD6"/>
      <c r="KE6"/>
      <c r="KF6"/>
      <c r="KG6"/>
      <c r="KH6"/>
      <c r="KI6"/>
      <c r="KJ6"/>
      <c r="KK6"/>
      <c r="KL6"/>
      <c r="KM6"/>
      <c r="KN6"/>
      <c r="KO6"/>
      <c r="KP6"/>
      <c r="KQ6"/>
      <c r="KR6"/>
      <c r="KS6"/>
      <c r="KT6"/>
      <c r="KU6"/>
      <c r="KV6"/>
      <c r="KW6"/>
      <c r="KX6"/>
      <c r="KY6"/>
      <c r="KZ6"/>
      <c r="LA6"/>
      <c r="LB6"/>
      <c r="LC6"/>
      <c r="LD6"/>
      <c r="LE6"/>
      <c r="LF6"/>
      <c r="LG6"/>
      <c r="LH6"/>
      <c r="LI6"/>
      <c r="LJ6"/>
      <c r="LK6"/>
      <c r="LL6"/>
      <c r="LM6"/>
      <c r="LN6"/>
      <c r="LO6"/>
      <c r="LP6"/>
      <c r="LQ6"/>
      <c r="LR6"/>
      <c r="LS6"/>
      <c r="LT6"/>
      <c r="LU6"/>
      <c r="LV6"/>
      <c r="LW6"/>
      <c r="LX6"/>
      <c r="LY6"/>
      <c r="LZ6"/>
      <c r="MA6"/>
      <c r="MB6"/>
      <c r="MC6"/>
      <c r="MD6"/>
      <c r="ME6"/>
      <c r="MF6"/>
      <c r="MG6"/>
      <c r="MH6"/>
      <c r="MI6"/>
      <c r="MJ6"/>
      <c r="MK6"/>
      <c r="ML6"/>
      <c r="MM6"/>
      <c r="MN6"/>
      <c r="MO6"/>
      <c r="MP6"/>
      <c r="MQ6"/>
      <c r="MR6"/>
      <c r="MS6"/>
      <c r="MT6"/>
      <c r="MU6"/>
      <c r="MV6"/>
      <c r="MW6"/>
      <c r="MX6"/>
      <c r="MY6"/>
      <c r="MZ6"/>
      <c r="NA6"/>
      <c r="NB6"/>
      <c r="NC6"/>
      <c r="ND6"/>
      <c r="NE6"/>
      <c r="NF6"/>
      <c r="NG6"/>
      <c r="NH6"/>
      <c r="NI6"/>
      <c r="NJ6"/>
      <c r="NK6"/>
      <c r="NL6"/>
      <c r="NM6"/>
      <c r="NN6"/>
      <c r="NO6"/>
      <c r="NP6"/>
      <c r="NQ6"/>
      <c r="NR6"/>
      <c r="NS6"/>
      <c r="NT6"/>
      <c r="NU6"/>
      <c r="NV6"/>
      <c r="NW6"/>
      <c r="NX6"/>
      <c r="NY6"/>
      <c r="NZ6"/>
      <c r="OA6"/>
      <c r="OB6"/>
      <c r="OC6"/>
      <c r="OD6"/>
      <c r="OE6"/>
      <c r="OF6"/>
      <c r="OG6"/>
      <c r="OH6"/>
      <c r="OI6"/>
      <c r="OJ6"/>
      <c r="OK6"/>
      <c r="OL6"/>
      <c r="OM6"/>
      <c r="ON6"/>
      <c r="OO6"/>
      <c r="OP6"/>
      <c r="OQ6"/>
      <c r="OR6"/>
      <c r="OS6"/>
      <c r="OT6"/>
      <c r="OU6"/>
      <c r="OV6"/>
      <c r="OW6"/>
      <c r="OX6"/>
      <c r="OY6"/>
      <c r="OZ6"/>
      <c r="PA6"/>
      <c r="PB6"/>
      <c r="PC6"/>
      <c r="PD6"/>
      <c r="PE6"/>
      <c r="PF6"/>
      <c r="PG6"/>
      <c r="PH6"/>
      <c r="PI6"/>
      <c r="PJ6"/>
      <c r="PK6"/>
      <c r="PL6"/>
      <c r="PM6"/>
      <c r="PN6"/>
      <c r="PO6"/>
      <c r="PP6"/>
      <c r="PQ6"/>
      <c r="PR6"/>
      <c r="PS6"/>
      <c r="PT6"/>
      <c r="PU6"/>
      <c r="PV6"/>
      <c r="PW6"/>
      <c r="PX6"/>
      <c r="PY6"/>
      <c r="PZ6"/>
      <c r="QA6"/>
      <c r="QB6"/>
      <c r="QC6"/>
      <c r="QD6"/>
      <c r="QE6"/>
      <c r="QF6"/>
      <c r="QG6"/>
      <c r="QH6"/>
      <c r="QI6"/>
      <c r="QJ6"/>
      <c r="QK6"/>
      <c r="QL6"/>
      <c r="QM6"/>
      <c r="QN6"/>
      <c r="QO6"/>
      <c r="QP6"/>
      <c r="QQ6"/>
      <c r="QR6"/>
      <c r="QS6"/>
      <c r="QT6"/>
      <c r="QU6"/>
      <c r="QV6"/>
      <c r="QW6"/>
      <c r="QX6"/>
      <c r="QY6"/>
      <c r="QZ6"/>
      <c r="RA6"/>
      <c r="RB6"/>
      <c r="RC6"/>
      <c r="RD6"/>
      <c r="RE6"/>
      <c r="RF6"/>
      <c r="RG6"/>
      <c r="RH6"/>
      <c r="RI6"/>
      <c r="RJ6"/>
      <c r="RK6"/>
      <c r="RL6"/>
      <c r="RM6"/>
      <c r="RN6"/>
      <c r="RO6"/>
      <c r="RP6"/>
      <c r="RQ6"/>
      <c r="RR6"/>
      <c r="RS6"/>
      <c r="RT6"/>
      <c r="RU6"/>
      <c r="RV6"/>
      <c r="RW6"/>
      <c r="RX6"/>
      <c r="RY6"/>
      <c r="RZ6"/>
      <c r="SA6"/>
      <c r="SB6"/>
      <c r="SC6"/>
      <c r="SD6"/>
      <c r="SE6"/>
      <c r="SF6"/>
      <c r="SG6"/>
      <c r="SH6"/>
      <c r="SI6"/>
      <c r="SJ6"/>
      <c r="SK6"/>
      <c r="SL6"/>
      <c r="SM6"/>
      <c r="SN6"/>
      <c r="SO6"/>
      <c r="SP6"/>
      <c r="SQ6"/>
      <c r="SR6"/>
      <c r="SS6"/>
      <c r="ST6"/>
      <c r="SU6"/>
      <c r="SV6"/>
      <c r="SW6"/>
      <c r="SX6"/>
      <c r="SY6"/>
      <c r="SZ6"/>
      <c r="TA6"/>
      <c r="TB6"/>
      <c r="TC6"/>
      <c r="TD6"/>
      <c r="TE6"/>
      <c r="TF6"/>
      <c r="TG6"/>
      <c r="TH6"/>
      <c r="TI6"/>
      <c r="TJ6"/>
      <c r="TK6"/>
      <c r="TL6"/>
      <c r="TM6"/>
      <c r="TN6"/>
      <c r="TO6"/>
      <c r="TP6"/>
      <c r="TQ6"/>
      <c r="TR6"/>
      <c r="TS6"/>
      <c r="TT6"/>
      <c r="TU6"/>
      <c r="TV6"/>
      <c r="TW6"/>
      <c r="TX6"/>
      <c r="TY6"/>
      <c r="TZ6"/>
      <c r="UA6"/>
      <c r="UB6"/>
      <c r="UC6"/>
      <c r="UD6"/>
      <c r="UE6"/>
      <c r="UF6"/>
      <c r="UG6"/>
      <c r="UH6"/>
      <c r="UI6"/>
      <c r="UJ6"/>
      <c r="UK6"/>
      <c r="UL6"/>
      <c r="UM6"/>
      <c r="UN6"/>
      <c r="UO6"/>
      <c r="UP6"/>
      <c r="UQ6"/>
      <c r="UR6"/>
      <c r="US6"/>
      <c r="UT6"/>
      <c r="UU6"/>
      <c r="UV6"/>
      <c r="UW6"/>
      <c r="UX6"/>
      <c r="UY6"/>
      <c r="UZ6"/>
      <c r="VA6"/>
      <c r="VB6"/>
      <c r="VC6"/>
      <c r="VD6"/>
      <c r="VE6"/>
      <c r="VF6"/>
      <c r="VG6"/>
      <c r="VH6"/>
      <c r="VI6"/>
      <c r="VJ6"/>
      <c r="VK6"/>
      <c r="VL6"/>
      <c r="VM6"/>
      <c r="VN6"/>
      <c r="VO6"/>
      <c r="VP6"/>
      <c r="VQ6"/>
      <c r="VR6"/>
      <c r="VS6"/>
      <c r="VT6"/>
      <c r="VU6"/>
      <c r="VV6"/>
      <c r="VW6"/>
      <c r="VX6"/>
      <c r="VY6"/>
      <c r="VZ6"/>
      <c r="WA6"/>
      <c r="WB6"/>
      <c r="WC6"/>
      <c r="WD6"/>
      <c r="WE6"/>
      <c r="WF6"/>
      <c r="WG6"/>
      <c r="WH6"/>
      <c r="WI6"/>
      <c r="WJ6"/>
      <c r="WK6"/>
      <c r="WL6"/>
      <c r="WM6"/>
      <c r="WN6"/>
      <c r="WO6"/>
      <c r="WP6"/>
      <c r="WQ6"/>
      <c r="WR6"/>
      <c r="WS6"/>
      <c r="WT6"/>
      <c r="WU6"/>
      <c r="WV6"/>
      <c r="WW6"/>
      <c r="WX6"/>
      <c r="WY6"/>
      <c r="WZ6"/>
      <c r="XA6"/>
      <c r="XB6"/>
      <c r="XC6"/>
      <c r="XD6"/>
      <c r="XE6"/>
      <c r="XF6"/>
      <c r="XG6"/>
      <c r="XH6"/>
      <c r="XI6"/>
      <c r="XJ6"/>
      <c r="XK6"/>
      <c r="XL6"/>
      <c r="XM6"/>
      <c r="XN6"/>
      <c r="XO6"/>
      <c r="XP6"/>
      <c r="XQ6"/>
      <c r="XR6"/>
      <c r="XS6"/>
      <c r="XT6"/>
      <c r="XU6"/>
      <c r="XV6"/>
      <c r="XW6"/>
      <c r="XX6"/>
      <c r="XY6"/>
      <c r="XZ6"/>
      <c r="YA6"/>
      <c r="YB6"/>
      <c r="YC6"/>
      <c r="YD6"/>
      <c r="YE6"/>
      <c r="YF6"/>
      <c r="YG6"/>
      <c r="YH6"/>
      <c r="YI6"/>
      <c r="YJ6"/>
      <c r="YK6"/>
      <c r="YL6"/>
      <c r="YM6"/>
      <c r="YN6"/>
      <c r="YO6"/>
      <c r="YP6"/>
      <c r="YQ6"/>
      <c r="YR6"/>
      <c r="YS6"/>
      <c r="YT6"/>
      <c r="YU6"/>
      <c r="YV6"/>
      <c r="YW6"/>
      <c r="YX6"/>
      <c r="YY6"/>
      <c r="YZ6"/>
      <c r="ZA6"/>
      <c r="ZB6"/>
      <c r="ZC6"/>
      <c r="ZD6"/>
      <c r="ZE6"/>
      <c r="ZF6"/>
      <c r="ZG6"/>
      <c r="ZH6"/>
      <c r="ZI6"/>
      <c r="ZJ6"/>
      <c r="ZK6"/>
      <c r="ZL6"/>
      <c r="ZM6"/>
      <c r="ZN6"/>
      <c r="ZO6"/>
      <c r="ZP6"/>
      <c r="ZQ6"/>
      <c r="ZR6"/>
      <c r="ZS6"/>
      <c r="ZT6"/>
      <c r="ZU6"/>
      <c r="ZV6"/>
      <c r="ZW6"/>
      <c r="ZX6"/>
      <c r="ZY6"/>
      <c r="ZZ6"/>
      <c r="AAA6"/>
      <c r="AAB6"/>
      <c r="AAC6"/>
      <c r="AAD6"/>
      <c r="AAE6"/>
      <c r="AAF6"/>
      <c r="AAG6"/>
      <c r="AAH6"/>
      <c r="AAI6"/>
      <c r="AAJ6"/>
      <c r="AAK6"/>
      <c r="AAL6"/>
      <c r="AAM6"/>
      <c r="AAN6"/>
      <c r="AAO6"/>
      <c r="AAP6"/>
      <c r="AAQ6"/>
      <c r="AAR6"/>
      <c r="AAS6"/>
      <c r="AAT6"/>
      <c r="AAU6"/>
      <c r="AAV6"/>
      <c r="AAW6"/>
      <c r="AAX6"/>
      <c r="AAY6"/>
      <c r="AAZ6"/>
      <c r="ABA6"/>
      <c r="ABB6"/>
      <c r="ABC6"/>
      <c r="ABD6"/>
      <c r="ABE6"/>
      <c r="ABF6"/>
      <c r="ABG6"/>
      <c r="ABH6"/>
      <c r="ABI6"/>
      <c r="ABJ6"/>
      <c r="ABK6"/>
      <c r="ABL6"/>
      <c r="ABM6"/>
      <c r="ABN6"/>
      <c r="ABO6"/>
      <c r="ABP6"/>
      <c r="ABQ6"/>
      <c r="ABR6"/>
      <c r="ABS6"/>
      <c r="ABT6"/>
      <c r="ABU6"/>
      <c r="ABV6"/>
      <c r="ABW6"/>
      <c r="ABX6"/>
      <c r="ABY6"/>
      <c r="ABZ6"/>
      <c r="ACA6"/>
      <c r="ACB6"/>
      <c r="ACC6"/>
      <c r="ACD6"/>
      <c r="ACE6"/>
      <c r="ACF6"/>
      <c r="ACG6"/>
      <c r="ACH6"/>
      <c r="ACI6"/>
      <c r="ACJ6"/>
      <c r="ACK6"/>
      <c r="ACL6"/>
      <c r="ACM6"/>
      <c r="ACN6"/>
      <c r="ACO6"/>
      <c r="ACP6"/>
      <c r="ACQ6"/>
      <c r="ACR6"/>
      <c r="ACS6"/>
      <c r="ACT6"/>
      <c r="ACU6"/>
      <c r="ACV6"/>
      <c r="ACW6"/>
      <c r="ACX6"/>
      <c r="ACY6"/>
      <c r="ACZ6"/>
      <c r="ADA6"/>
      <c r="ADB6"/>
      <c r="ADC6"/>
      <c r="ADD6"/>
      <c r="ADE6"/>
      <c r="ADF6"/>
      <c r="ADG6"/>
      <c r="ADH6"/>
      <c r="ADI6"/>
      <c r="ADJ6"/>
      <c r="ADK6"/>
      <c r="ADL6"/>
      <c r="ADM6"/>
      <c r="ADN6"/>
      <c r="ADO6"/>
      <c r="ADP6"/>
      <c r="ADQ6"/>
      <c r="ADR6"/>
      <c r="ADS6"/>
      <c r="ADT6"/>
      <c r="ADU6"/>
      <c r="ADV6"/>
      <c r="ADW6"/>
      <c r="ADX6"/>
      <c r="ADY6"/>
      <c r="ADZ6"/>
      <c r="AEA6"/>
      <c r="AEB6"/>
      <c r="AEC6"/>
      <c r="AED6"/>
      <c r="AEE6"/>
      <c r="AEF6"/>
      <c r="AEG6"/>
      <c r="AEH6"/>
      <c r="AEI6"/>
      <c r="AEJ6"/>
      <c r="AEK6"/>
      <c r="AEL6"/>
      <c r="AEM6"/>
      <c r="AEN6"/>
      <c r="AEO6"/>
      <c r="AEP6"/>
      <c r="AEQ6"/>
      <c r="AER6"/>
      <c r="AES6"/>
      <c r="AET6"/>
      <c r="AEU6"/>
      <c r="AEV6"/>
      <c r="AEW6"/>
      <c r="AEX6"/>
      <c r="AEY6"/>
      <c r="AEZ6"/>
      <c r="AFA6"/>
      <c r="AFB6"/>
      <c r="AFC6"/>
      <c r="AFD6"/>
      <c r="AFE6"/>
      <c r="AFF6"/>
      <c r="AFG6"/>
      <c r="AFH6"/>
      <c r="AFI6"/>
      <c r="AFJ6"/>
      <c r="AFK6"/>
      <c r="AFL6"/>
      <c r="AFM6"/>
      <c r="AFN6"/>
      <c r="AFO6"/>
      <c r="AFP6"/>
      <c r="AFQ6"/>
      <c r="AFR6"/>
      <c r="AFS6"/>
      <c r="AFT6"/>
      <c r="AFU6"/>
      <c r="AFV6"/>
      <c r="AFW6"/>
      <c r="AFX6"/>
      <c r="AFY6"/>
      <c r="AFZ6"/>
      <c r="AGA6"/>
      <c r="AGB6"/>
      <c r="AGC6"/>
      <c r="AGD6"/>
      <c r="AGE6"/>
      <c r="AGF6"/>
      <c r="AGG6"/>
      <c r="AGH6"/>
      <c r="AGI6"/>
      <c r="AGJ6"/>
      <c r="AGK6"/>
      <c r="AGL6"/>
      <c r="AGM6"/>
      <c r="AGN6"/>
      <c r="AGO6"/>
      <c r="AGP6"/>
      <c r="AGQ6"/>
      <c r="AGR6"/>
      <c r="AGS6"/>
      <c r="AGT6"/>
      <c r="AGU6"/>
      <c r="AGV6"/>
      <c r="AGW6"/>
      <c r="AGX6"/>
      <c r="AGY6"/>
      <c r="AGZ6"/>
      <c r="AHA6"/>
      <c r="AHB6"/>
      <c r="AHC6"/>
      <c r="AHD6"/>
      <c r="AHE6"/>
      <c r="AHF6"/>
      <c r="AHG6"/>
      <c r="AHH6"/>
      <c r="AHI6"/>
      <c r="AHJ6"/>
      <c r="AHK6"/>
      <c r="AHL6"/>
      <c r="AHM6"/>
      <c r="AHN6"/>
      <c r="AHO6"/>
      <c r="AHP6"/>
      <c r="AHQ6"/>
      <c r="AHR6"/>
      <c r="AHS6"/>
      <c r="AHT6"/>
      <c r="AHU6"/>
      <c r="AHV6"/>
      <c r="AHW6"/>
      <c r="AHX6"/>
      <c r="AHY6"/>
      <c r="AHZ6"/>
      <c r="AIA6"/>
      <c r="AIB6"/>
      <c r="AIC6"/>
      <c r="AID6"/>
      <c r="AIE6"/>
      <c r="AIF6"/>
      <c r="AIG6"/>
      <c r="AIH6"/>
      <c r="AII6"/>
      <c r="AIJ6"/>
      <c r="AIK6"/>
      <c r="AIL6"/>
      <c r="AIM6"/>
      <c r="AIN6"/>
      <c r="AIO6"/>
      <c r="AIP6"/>
      <c r="AIQ6"/>
      <c r="AIR6"/>
      <c r="AIS6"/>
      <c r="AIT6"/>
      <c r="AIU6"/>
      <c r="AIV6"/>
      <c r="AIW6"/>
      <c r="AIX6"/>
      <c r="AIY6"/>
      <c r="AIZ6"/>
      <c r="AJA6"/>
      <c r="AJB6"/>
      <c r="AJC6"/>
      <c r="AJD6"/>
      <c r="AJE6"/>
      <c r="AJF6"/>
      <c r="AJG6"/>
      <c r="AJH6"/>
      <c r="AJI6"/>
      <c r="AJJ6"/>
      <c r="AJK6"/>
      <c r="AJL6"/>
      <c r="AJM6"/>
      <c r="AJN6"/>
      <c r="AJO6"/>
      <c r="AJP6"/>
      <c r="AJQ6"/>
    </row>
    <row r="7" spans="1:953">
      <c r="A7" s="432" t="s">
        <v>71</v>
      </c>
      <c r="B7" s="435">
        <v>2510.5899999999997</v>
      </c>
      <c r="C7" s="435">
        <v>450.59</v>
      </c>
      <c r="D7" s="435">
        <v>1972.59</v>
      </c>
      <c r="E7" s="435">
        <v>3775.5899999999997</v>
      </c>
      <c r="F7" s="435">
        <v>2775.59</v>
      </c>
      <c r="G7" s="435">
        <v>1085.5900000000001</v>
      </c>
      <c r="H7" s="435">
        <v>995.58999999999992</v>
      </c>
      <c r="I7" s="435">
        <v>1395.59</v>
      </c>
      <c r="J7" s="435">
        <v>2795.5899999999997</v>
      </c>
      <c r="K7" s="435">
        <v>3035.63</v>
      </c>
      <c r="L7" s="438">
        <v>674.52</v>
      </c>
      <c r="M7" s="438">
        <v>1948.91</v>
      </c>
      <c r="N7" s="435">
        <v>23416.37</v>
      </c>
    </row>
    <row r="8" spans="1:953">
      <c r="A8" s="240" t="s">
        <v>68</v>
      </c>
      <c r="B8" s="429">
        <v>195</v>
      </c>
      <c r="C8" s="429"/>
      <c r="D8" s="429"/>
      <c r="E8" s="429"/>
      <c r="F8" s="429"/>
      <c r="G8" s="429"/>
      <c r="H8" s="429"/>
      <c r="I8" s="429">
        <v>50</v>
      </c>
      <c r="J8" s="429"/>
      <c r="K8" s="429"/>
      <c r="L8" s="437"/>
      <c r="M8" s="437"/>
      <c r="N8" s="429">
        <v>245</v>
      </c>
    </row>
    <row r="9" spans="1:953">
      <c r="A9" s="240" t="s">
        <v>70</v>
      </c>
      <c r="B9" s="429">
        <v>2315.5899999999997</v>
      </c>
      <c r="C9" s="429">
        <v>450.59</v>
      </c>
      <c r="D9" s="429">
        <v>1972.59</v>
      </c>
      <c r="E9" s="429">
        <v>3775.5899999999997</v>
      </c>
      <c r="F9" s="429">
        <v>2775.59</v>
      </c>
      <c r="G9" s="429">
        <v>1085.5900000000001</v>
      </c>
      <c r="H9" s="429">
        <v>995.58999999999992</v>
      </c>
      <c r="I9" s="429">
        <v>1345.59</v>
      </c>
      <c r="J9" s="429">
        <v>2795.5899999999997</v>
      </c>
      <c r="K9" s="429">
        <v>3035.63</v>
      </c>
      <c r="L9" s="437">
        <v>674.52</v>
      </c>
      <c r="M9" s="437">
        <v>1948.91</v>
      </c>
      <c r="N9" s="429">
        <v>23171.37</v>
      </c>
    </row>
    <row r="10" spans="1:953">
      <c r="A10" s="432" t="s">
        <v>52</v>
      </c>
      <c r="B10" s="435">
        <v>-1540.1399999999999</v>
      </c>
      <c r="C10" s="435">
        <v>-930.88000000000011</v>
      </c>
      <c r="D10" s="435">
        <v>-1634.98</v>
      </c>
      <c r="E10" s="435">
        <v>-2486.3700000000003</v>
      </c>
      <c r="F10" s="435">
        <v>-2662.81</v>
      </c>
      <c r="G10" s="435">
        <v>-979.06999999999994</v>
      </c>
      <c r="H10" s="435">
        <v>-1047.02</v>
      </c>
      <c r="I10" s="435">
        <v>-1817.81</v>
      </c>
      <c r="J10" s="435">
        <v>-1475.9</v>
      </c>
      <c r="K10" s="435">
        <v>-1872.96</v>
      </c>
      <c r="L10" s="438">
        <v>-1820.2066666666667</v>
      </c>
      <c r="M10" s="438">
        <v>-3945.6399999999994</v>
      </c>
      <c r="N10" s="435">
        <v>-22213.78666666667</v>
      </c>
    </row>
    <row r="11" spans="1:953">
      <c r="A11" s="240" t="s">
        <v>36</v>
      </c>
      <c r="B11" s="429">
        <v>-1269.74</v>
      </c>
      <c r="C11" s="429">
        <v>-810.88000000000011</v>
      </c>
      <c r="D11" s="429">
        <v>-1579.1799999999998</v>
      </c>
      <c r="E11" s="429">
        <v>-413.82000000000005</v>
      </c>
      <c r="F11" s="429">
        <v>-1640.9099999999999</v>
      </c>
      <c r="G11" s="429">
        <v>-883.05</v>
      </c>
      <c r="H11" s="429">
        <v>-886.31999999999994</v>
      </c>
      <c r="I11" s="429">
        <v>-1540.24</v>
      </c>
      <c r="J11" s="429">
        <v>-1340.4</v>
      </c>
      <c r="K11" s="429">
        <v>-1110.4699999999998</v>
      </c>
      <c r="L11" s="437">
        <v>-1447.76</v>
      </c>
      <c r="M11" s="437">
        <v>-1491.3499999999997</v>
      </c>
      <c r="N11" s="429">
        <v>-14414.12</v>
      </c>
    </row>
    <row r="12" spans="1:953">
      <c r="A12" s="258" t="s">
        <v>90</v>
      </c>
      <c r="B12" s="429">
        <v>-65</v>
      </c>
      <c r="C12" s="429">
        <v>-65</v>
      </c>
      <c r="D12" s="429">
        <v>-65</v>
      </c>
      <c r="E12" s="429">
        <v>-65</v>
      </c>
      <c r="F12" s="429">
        <v>-65</v>
      </c>
      <c r="G12" s="429">
        <v>-65</v>
      </c>
      <c r="H12" s="429">
        <v>-80.37</v>
      </c>
      <c r="I12" s="429">
        <v>-72.8</v>
      </c>
      <c r="J12" s="429">
        <v>-65</v>
      </c>
      <c r="K12" s="429">
        <v>-65</v>
      </c>
      <c r="L12" s="437">
        <v>-65</v>
      </c>
      <c r="M12" s="437">
        <v>-65</v>
      </c>
      <c r="N12" s="429">
        <v>-803.17</v>
      </c>
    </row>
    <row r="13" spans="1:953">
      <c r="A13" s="258" t="s">
        <v>488</v>
      </c>
      <c r="B13" s="429">
        <v>-174.91000000000003</v>
      </c>
      <c r="C13" s="429">
        <v>-27.2</v>
      </c>
      <c r="D13" s="429">
        <v>-526.88999999999987</v>
      </c>
      <c r="E13" s="429">
        <v>-264.86</v>
      </c>
      <c r="F13" s="429">
        <v>-519.33000000000004</v>
      </c>
      <c r="G13" s="429">
        <v>-270.87</v>
      </c>
      <c r="H13" s="429">
        <v>-123.82000000000001</v>
      </c>
      <c r="I13" s="429">
        <v>-306.69</v>
      </c>
      <c r="J13" s="429">
        <v>-316.55</v>
      </c>
      <c r="K13" s="429">
        <v>-370.89999999999992</v>
      </c>
      <c r="L13" s="437">
        <v>-462.97999999999996</v>
      </c>
      <c r="M13" s="437">
        <v>-231.51</v>
      </c>
      <c r="N13" s="429">
        <v>-3596.51</v>
      </c>
    </row>
    <row r="14" spans="1:953">
      <c r="A14" s="258" t="s">
        <v>3</v>
      </c>
      <c r="B14" s="429">
        <v>-1029.83</v>
      </c>
      <c r="C14" s="429">
        <v>-718.68000000000006</v>
      </c>
      <c r="D14" s="429">
        <v>-987.29</v>
      </c>
      <c r="E14" s="429">
        <v>-83.960000000000008</v>
      </c>
      <c r="F14" s="429">
        <v>-1056.58</v>
      </c>
      <c r="G14" s="429">
        <v>-547.17999999999995</v>
      </c>
      <c r="H14" s="429">
        <v>-682.12999999999988</v>
      </c>
      <c r="I14" s="429">
        <v>-1160.75</v>
      </c>
      <c r="J14" s="429">
        <v>-958.85000000000014</v>
      </c>
      <c r="K14" s="429">
        <v>-674.56999999999994</v>
      </c>
      <c r="L14" s="437">
        <v>-919.78</v>
      </c>
      <c r="M14" s="437">
        <v>-1194.8399999999997</v>
      </c>
      <c r="N14" s="429">
        <v>-10014.44</v>
      </c>
    </row>
    <row r="15" spans="1:953">
      <c r="A15" s="240" t="s">
        <v>15</v>
      </c>
      <c r="B15" s="429"/>
      <c r="C15" s="429">
        <v>-100</v>
      </c>
      <c r="D15" s="429">
        <v>-24.9</v>
      </c>
      <c r="E15" s="429">
        <v>-2062.5500000000002</v>
      </c>
      <c r="F15" s="429"/>
      <c r="G15" s="429">
        <v>-44.3</v>
      </c>
      <c r="H15" s="429"/>
      <c r="I15" s="429"/>
      <c r="J15" s="429"/>
      <c r="K15" s="429">
        <v>-511.44</v>
      </c>
      <c r="L15" s="437"/>
      <c r="M15" s="437"/>
      <c r="N15" s="429">
        <v>-2743.19</v>
      </c>
    </row>
    <row r="16" spans="1:953">
      <c r="A16" s="258" t="s">
        <v>18</v>
      </c>
      <c r="B16" s="429"/>
      <c r="C16" s="429"/>
      <c r="D16" s="429"/>
      <c r="E16" s="429">
        <v>-2062.5500000000002</v>
      </c>
      <c r="F16" s="429"/>
      <c r="G16" s="429"/>
      <c r="H16" s="429"/>
      <c r="I16" s="429"/>
      <c r="J16" s="429"/>
      <c r="K16" s="429">
        <v>-511.44</v>
      </c>
      <c r="L16" s="437"/>
      <c r="M16" s="437"/>
      <c r="N16" s="429">
        <v>-2573.9900000000002</v>
      </c>
    </row>
    <row r="17" spans="1:14">
      <c r="A17" s="258" t="s">
        <v>20</v>
      </c>
      <c r="B17" s="429"/>
      <c r="C17" s="429">
        <v>-100</v>
      </c>
      <c r="D17" s="429">
        <v>-24.9</v>
      </c>
      <c r="E17" s="429"/>
      <c r="F17" s="429"/>
      <c r="G17" s="429">
        <v>-44.3</v>
      </c>
      <c r="H17" s="429"/>
      <c r="I17" s="429"/>
      <c r="J17" s="429"/>
      <c r="K17" s="429"/>
      <c r="L17" s="437"/>
      <c r="M17" s="437"/>
      <c r="N17" s="429">
        <v>-169.2</v>
      </c>
    </row>
    <row r="18" spans="1:14">
      <c r="A18" s="240" t="s">
        <v>51</v>
      </c>
      <c r="B18" s="429">
        <v>-270.39999999999998</v>
      </c>
      <c r="C18" s="429">
        <v>-20</v>
      </c>
      <c r="D18" s="429">
        <v>-20.9</v>
      </c>
      <c r="E18" s="429">
        <v>-10</v>
      </c>
      <c r="F18" s="429">
        <v>-672.9</v>
      </c>
      <c r="G18" s="429">
        <v>-38.72</v>
      </c>
      <c r="H18" s="429">
        <v>-142.69999999999999</v>
      </c>
      <c r="I18" s="429">
        <v>-259.57</v>
      </c>
      <c r="J18" s="429">
        <v>-79.5</v>
      </c>
      <c r="K18" s="429">
        <v>-238.05</v>
      </c>
      <c r="L18" s="437">
        <v>-339.44666666666672</v>
      </c>
      <c r="M18" s="437">
        <v>-55.72</v>
      </c>
      <c r="N18" s="429">
        <v>-2147.9066666666668</v>
      </c>
    </row>
    <row r="19" spans="1:14">
      <c r="A19" s="258" t="s">
        <v>483</v>
      </c>
      <c r="B19" s="429"/>
      <c r="C19" s="429"/>
      <c r="D19" s="429">
        <v>-20.9</v>
      </c>
      <c r="E19" s="429"/>
      <c r="F19" s="429"/>
      <c r="G19" s="429"/>
      <c r="H19" s="429">
        <v>-10</v>
      </c>
      <c r="I19" s="429">
        <v>-64</v>
      </c>
      <c r="J19" s="429"/>
      <c r="K19" s="429"/>
      <c r="L19" s="437"/>
      <c r="M19" s="437"/>
      <c r="N19" s="429">
        <v>-94.9</v>
      </c>
    </row>
    <row r="20" spans="1:14">
      <c r="A20" s="258" t="s">
        <v>29</v>
      </c>
      <c r="B20" s="429"/>
      <c r="C20" s="429"/>
      <c r="D20" s="429"/>
      <c r="E20" s="429"/>
      <c r="F20" s="429"/>
      <c r="G20" s="429"/>
      <c r="H20" s="429"/>
      <c r="I20" s="429"/>
      <c r="J20" s="429"/>
      <c r="K20" s="429"/>
      <c r="L20" s="437">
        <v>-84.626666666666694</v>
      </c>
      <c r="M20" s="437"/>
      <c r="N20" s="429">
        <v>-84.626666666666694</v>
      </c>
    </row>
    <row r="21" spans="1:14">
      <c r="A21" s="258" t="s">
        <v>517</v>
      </c>
      <c r="B21" s="429"/>
      <c r="C21" s="429"/>
      <c r="D21" s="429"/>
      <c r="E21" s="429"/>
      <c r="F21" s="429"/>
      <c r="G21" s="429"/>
      <c r="H21" s="429"/>
      <c r="I21" s="429"/>
      <c r="J21" s="429"/>
      <c r="K21" s="429">
        <v>-20</v>
      </c>
      <c r="L21" s="437"/>
      <c r="M21" s="437"/>
      <c r="N21" s="429">
        <v>-20</v>
      </c>
    </row>
    <row r="22" spans="1:14">
      <c r="A22" s="258" t="s">
        <v>104</v>
      </c>
      <c r="B22" s="429">
        <v>-106.4</v>
      </c>
      <c r="C22" s="429"/>
      <c r="D22" s="429"/>
      <c r="E22" s="429"/>
      <c r="F22" s="429"/>
      <c r="G22" s="429"/>
      <c r="H22" s="429">
        <v>-10.9</v>
      </c>
      <c r="I22" s="429">
        <v>-15.9</v>
      </c>
      <c r="J22" s="429"/>
      <c r="K22" s="429">
        <v>-43.6</v>
      </c>
      <c r="L22" s="437"/>
      <c r="M22" s="437"/>
      <c r="N22" s="429">
        <v>-176.8</v>
      </c>
    </row>
    <row r="23" spans="1:14">
      <c r="A23" s="258" t="s">
        <v>32</v>
      </c>
      <c r="B23" s="429"/>
      <c r="C23" s="429"/>
      <c r="D23" s="429"/>
      <c r="E23" s="429"/>
      <c r="F23" s="429"/>
      <c r="G23" s="429">
        <v>-23.87</v>
      </c>
      <c r="H23" s="429">
        <v>-17.899999999999999</v>
      </c>
      <c r="I23" s="429">
        <v>-2.1</v>
      </c>
      <c r="J23" s="429"/>
      <c r="K23" s="429"/>
      <c r="L23" s="437"/>
      <c r="M23" s="437"/>
      <c r="N23" s="429">
        <v>-43.87</v>
      </c>
    </row>
    <row r="24" spans="1:14">
      <c r="A24" s="258" t="s">
        <v>1023</v>
      </c>
      <c r="B24" s="429"/>
      <c r="C24" s="429"/>
      <c r="D24" s="429"/>
      <c r="E24" s="429"/>
      <c r="F24" s="429"/>
      <c r="G24" s="429"/>
      <c r="H24" s="429"/>
      <c r="I24" s="429"/>
      <c r="J24" s="429"/>
      <c r="K24" s="429"/>
      <c r="L24" s="437"/>
      <c r="M24" s="437">
        <v>-16.899999999999999</v>
      </c>
      <c r="N24" s="429">
        <v>-16.899999999999999</v>
      </c>
    </row>
    <row r="25" spans="1:14">
      <c r="A25" s="258" t="s">
        <v>105</v>
      </c>
      <c r="B25" s="429"/>
      <c r="C25" s="429"/>
      <c r="D25" s="429"/>
      <c r="E25" s="429"/>
      <c r="F25" s="429"/>
      <c r="G25" s="429"/>
      <c r="H25" s="429">
        <v>-21.9</v>
      </c>
      <c r="I25" s="429">
        <v>-99.57</v>
      </c>
      <c r="J25" s="429">
        <v>-13.5</v>
      </c>
      <c r="K25" s="429">
        <v>-15</v>
      </c>
      <c r="L25" s="437">
        <v>-129.82</v>
      </c>
      <c r="M25" s="437">
        <v>-29.82</v>
      </c>
      <c r="N25" s="429">
        <v>-309.60999999999996</v>
      </c>
    </row>
    <row r="26" spans="1:14">
      <c r="A26" s="258" t="s">
        <v>31</v>
      </c>
      <c r="B26" s="429">
        <v>-164</v>
      </c>
      <c r="C26" s="429"/>
      <c r="D26" s="429"/>
      <c r="E26" s="429"/>
      <c r="F26" s="429">
        <v>-243</v>
      </c>
      <c r="G26" s="429"/>
      <c r="H26" s="429"/>
      <c r="I26" s="429"/>
      <c r="J26" s="429"/>
      <c r="K26" s="429"/>
      <c r="L26" s="437"/>
      <c r="M26" s="437"/>
      <c r="N26" s="429">
        <v>-407</v>
      </c>
    </row>
    <row r="27" spans="1:14">
      <c r="A27" s="258" t="s">
        <v>9</v>
      </c>
      <c r="B27" s="429"/>
      <c r="C27" s="429">
        <v>-20</v>
      </c>
      <c r="D27" s="429"/>
      <c r="E27" s="429">
        <v>-10</v>
      </c>
      <c r="F27" s="429">
        <v>-40</v>
      </c>
      <c r="G27" s="429">
        <v>-14.85</v>
      </c>
      <c r="H27" s="429">
        <v>-82</v>
      </c>
      <c r="I27" s="429">
        <v>-78</v>
      </c>
      <c r="J27" s="429">
        <v>-66</v>
      </c>
      <c r="K27" s="429">
        <v>-159.45000000000002</v>
      </c>
      <c r="L27" s="437">
        <v>-125</v>
      </c>
      <c r="M27" s="437">
        <v>-9</v>
      </c>
      <c r="N27" s="429">
        <v>-604.30000000000007</v>
      </c>
    </row>
    <row r="28" spans="1:14">
      <c r="A28" s="258" t="s">
        <v>7</v>
      </c>
      <c r="B28" s="429"/>
      <c r="C28" s="429"/>
      <c r="D28" s="429"/>
      <c r="E28" s="429"/>
      <c r="F28" s="429">
        <v>-389.9</v>
      </c>
      <c r="G28" s="429"/>
      <c r="H28" s="429"/>
      <c r="I28" s="429"/>
      <c r="J28" s="429"/>
      <c r="K28" s="429"/>
      <c r="L28" s="437"/>
      <c r="M28" s="437"/>
      <c r="N28" s="429">
        <v>-389.9</v>
      </c>
    </row>
    <row r="29" spans="1:14">
      <c r="A29" s="240" t="s">
        <v>1015</v>
      </c>
      <c r="B29" s="429"/>
      <c r="C29" s="429"/>
      <c r="D29" s="429"/>
      <c r="E29" s="429"/>
      <c r="F29" s="429"/>
      <c r="G29" s="429"/>
      <c r="H29" s="429"/>
      <c r="I29" s="429"/>
      <c r="J29" s="429"/>
      <c r="K29" s="429"/>
      <c r="L29" s="437"/>
      <c r="M29" s="437">
        <v>-1685.57</v>
      </c>
      <c r="N29" s="429">
        <v>-1685.57</v>
      </c>
    </row>
    <row r="30" spans="1:14">
      <c r="A30" s="258" t="s">
        <v>1056</v>
      </c>
      <c r="B30" s="429"/>
      <c r="C30" s="429"/>
      <c r="D30" s="429"/>
      <c r="E30" s="429"/>
      <c r="F30" s="429"/>
      <c r="G30" s="429"/>
      <c r="H30" s="429"/>
      <c r="I30" s="429"/>
      <c r="J30" s="429"/>
      <c r="K30" s="429"/>
      <c r="L30" s="437"/>
      <c r="M30" s="437">
        <v>-1601.57</v>
      </c>
      <c r="N30" s="429">
        <v>-1601.57</v>
      </c>
    </row>
    <row r="31" spans="1:14">
      <c r="A31" s="258" t="s">
        <v>1096</v>
      </c>
      <c r="B31" s="429"/>
      <c r="C31" s="429"/>
      <c r="D31" s="429"/>
      <c r="E31" s="429"/>
      <c r="F31" s="429"/>
      <c r="G31" s="429"/>
      <c r="H31" s="429"/>
      <c r="I31" s="429"/>
      <c r="J31" s="429"/>
      <c r="K31" s="429"/>
      <c r="L31" s="437"/>
      <c r="M31" s="437">
        <v>-84</v>
      </c>
      <c r="N31" s="429">
        <v>-84</v>
      </c>
    </row>
    <row r="32" spans="1:14">
      <c r="A32" s="240" t="s">
        <v>487</v>
      </c>
      <c r="B32" s="429"/>
      <c r="C32" s="429"/>
      <c r="D32" s="429"/>
      <c r="E32" s="429"/>
      <c r="F32" s="429">
        <v>-300</v>
      </c>
      <c r="G32" s="429"/>
      <c r="H32" s="429"/>
      <c r="I32" s="429"/>
      <c r="J32" s="429"/>
      <c r="K32" s="429"/>
      <c r="L32" s="437"/>
      <c r="M32" s="437">
        <v>-700</v>
      </c>
      <c r="N32" s="429">
        <v>-1000</v>
      </c>
    </row>
    <row r="33" spans="1:953">
      <c r="A33" s="258" t="s">
        <v>1079</v>
      </c>
      <c r="B33" s="429"/>
      <c r="C33" s="429"/>
      <c r="D33" s="429"/>
      <c r="E33" s="429"/>
      <c r="F33" s="429"/>
      <c r="G33" s="429"/>
      <c r="H33" s="429"/>
      <c r="I33" s="429"/>
      <c r="J33" s="429"/>
      <c r="K33" s="429"/>
      <c r="L33" s="437"/>
      <c r="M33" s="437">
        <v>-300</v>
      </c>
      <c r="N33" s="429">
        <v>-300</v>
      </c>
    </row>
    <row r="34" spans="1:953">
      <c r="A34" s="258" t="s">
        <v>78</v>
      </c>
      <c r="B34" s="429"/>
      <c r="C34" s="429"/>
      <c r="D34" s="429"/>
      <c r="E34" s="429"/>
      <c r="F34" s="429">
        <v>-300</v>
      </c>
      <c r="G34" s="429"/>
      <c r="H34" s="429"/>
      <c r="I34" s="429"/>
      <c r="J34" s="429"/>
      <c r="K34" s="429"/>
      <c r="L34" s="437"/>
      <c r="M34" s="437"/>
      <c r="N34" s="429">
        <v>-300</v>
      </c>
    </row>
    <row r="35" spans="1:953">
      <c r="A35" s="258" t="s">
        <v>1019</v>
      </c>
      <c r="B35" s="429"/>
      <c r="C35" s="429"/>
      <c r="D35" s="429"/>
      <c r="E35" s="429"/>
      <c r="F35" s="429"/>
      <c r="G35" s="429"/>
      <c r="H35" s="429"/>
      <c r="I35" s="429"/>
      <c r="J35" s="429"/>
      <c r="K35" s="429"/>
      <c r="L35" s="437"/>
      <c r="M35" s="437">
        <v>-400</v>
      </c>
      <c r="N35" s="429">
        <v>-400</v>
      </c>
    </row>
    <row r="36" spans="1:953">
      <c r="A36" s="240" t="s">
        <v>6</v>
      </c>
      <c r="B36" s="429"/>
      <c r="C36" s="429"/>
      <c r="D36" s="429">
        <v>-10</v>
      </c>
      <c r="E36" s="429"/>
      <c r="F36" s="429">
        <v>-49</v>
      </c>
      <c r="G36" s="429">
        <v>-13</v>
      </c>
      <c r="H36" s="429">
        <v>-18</v>
      </c>
      <c r="I36" s="429">
        <v>-18</v>
      </c>
      <c r="J36" s="429">
        <v>-56</v>
      </c>
      <c r="K36" s="429">
        <v>-13</v>
      </c>
      <c r="L36" s="437">
        <v>-33</v>
      </c>
      <c r="M36" s="437">
        <v>-13</v>
      </c>
      <c r="N36" s="429">
        <v>-223</v>
      </c>
    </row>
    <row r="37" spans="1:953">
      <c r="A37" s="258" t="s">
        <v>498</v>
      </c>
      <c r="B37" s="429"/>
      <c r="C37" s="429"/>
      <c r="D37" s="429">
        <v>-10</v>
      </c>
      <c r="E37" s="429"/>
      <c r="F37" s="429">
        <v>-49</v>
      </c>
      <c r="G37" s="429">
        <v>-13</v>
      </c>
      <c r="H37" s="429">
        <v>-18</v>
      </c>
      <c r="I37" s="429"/>
      <c r="J37" s="429">
        <v>-31</v>
      </c>
      <c r="K37" s="429">
        <v>-13</v>
      </c>
      <c r="L37" s="437"/>
      <c r="M37" s="437">
        <v>-13</v>
      </c>
      <c r="N37" s="429">
        <v>-147</v>
      </c>
    </row>
    <row r="38" spans="1:953">
      <c r="A38" s="258" t="s">
        <v>1024</v>
      </c>
      <c r="B38" s="429"/>
      <c r="C38" s="429"/>
      <c r="D38" s="429"/>
      <c r="E38" s="429"/>
      <c r="F38" s="429"/>
      <c r="G38" s="429"/>
      <c r="H38" s="429"/>
      <c r="I38" s="429">
        <v>-18</v>
      </c>
      <c r="J38" s="429"/>
      <c r="K38" s="429"/>
      <c r="L38" s="437">
        <v>-18</v>
      </c>
      <c r="M38" s="437"/>
      <c r="N38" s="429">
        <v>-36</v>
      </c>
    </row>
    <row r="39" spans="1:953" s="58" customFormat="1">
      <c r="A39" s="258" t="s">
        <v>493</v>
      </c>
      <c r="B39" s="429"/>
      <c r="C39" s="429"/>
      <c r="D39" s="429"/>
      <c r="E39" s="429"/>
      <c r="F39" s="429"/>
      <c r="G39" s="429"/>
      <c r="H39" s="429"/>
      <c r="I39" s="429"/>
      <c r="J39" s="429">
        <v>-25</v>
      </c>
      <c r="K39" s="429"/>
      <c r="L39" s="437">
        <v>-15</v>
      </c>
      <c r="M39" s="437"/>
      <c r="N39" s="429">
        <v>-40</v>
      </c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I39"/>
      <c r="AJ39"/>
      <c r="AK39"/>
      <c r="AL39"/>
      <c r="AM39"/>
      <c r="AN39"/>
      <c r="AO39"/>
      <c r="AP39"/>
      <c r="AQ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/>
      <c r="BO39"/>
      <c r="BP39"/>
      <c r="BQ39"/>
      <c r="BR39"/>
      <c r="BS39"/>
      <c r="BT39"/>
      <c r="BU39"/>
      <c r="BV39"/>
      <c r="BW39"/>
      <c r="BX39"/>
      <c r="BY39"/>
      <c r="BZ39"/>
      <c r="CA39"/>
      <c r="CB39"/>
      <c r="CC39"/>
      <c r="CD39"/>
      <c r="CE39"/>
      <c r="CF39"/>
      <c r="CG39"/>
      <c r="CH39"/>
      <c r="CI39"/>
      <c r="CJ39"/>
      <c r="CK39"/>
      <c r="CL39"/>
      <c r="CM39"/>
      <c r="CN39"/>
      <c r="CO39"/>
      <c r="CP39"/>
      <c r="CQ39"/>
      <c r="CR39"/>
      <c r="CS39"/>
      <c r="CT39"/>
      <c r="CU39"/>
      <c r="CV39"/>
      <c r="CW39"/>
      <c r="CX39"/>
      <c r="CY39"/>
      <c r="CZ39"/>
      <c r="DA39"/>
      <c r="DB39"/>
      <c r="DC39"/>
      <c r="DD39"/>
      <c r="DE39"/>
      <c r="DF39"/>
      <c r="DG39"/>
      <c r="DH39"/>
      <c r="DI39"/>
      <c r="DJ39"/>
      <c r="DK39"/>
      <c r="DL39"/>
      <c r="DM39"/>
      <c r="DN39"/>
      <c r="DO39"/>
      <c r="DP39"/>
      <c r="DQ39"/>
      <c r="DR39"/>
      <c r="DS39"/>
      <c r="DT39"/>
      <c r="DU39"/>
      <c r="DV39"/>
      <c r="DW39"/>
      <c r="DX39"/>
      <c r="DY39"/>
      <c r="DZ39"/>
      <c r="EA39"/>
      <c r="EB39"/>
      <c r="EC39"/>
      <c r="ED39"/>
      <c r="EE39"/>
      <c r="EF39"/>
      <c r="EG39"/>
      <c r="EH39"/>
      <c r="EI39"/>
      <c r="EJ39"/>
      <c r="EK39"/>
      <c r="EL39"/>
      <c r="EM39"/>
      <c r="EN39"/>
      <c r="EO39"/>
      <c r="EP39"/>
      <c r="EQ39"/>
      <c r="ER39"/>
      <c r="ES39"/>
      <c r="ET39"/>
      <c r="EU39"/>
      <c r="EV39"/>
      <c r="EW39"/>
      <c r="EX39"/>
      <c r="EY39"/>
      <c r="EZ39"/>
      <c r="FA39"/>
      <c r="FB39"/>
      <c r="FC39"/>
      <c r="FD39"/>
      <c r="FE39"/>
      <c r="FF39"/>
      <c r="FG39"/>
      <c r="FH39"/>
      <c r="FI39"/>
      <c r="FJ39"/>
      <c r="FK39"/>
      <c r="FL39"/>
      <c r="FM39"/>
      <c r="FN39"/>
      <c r="FO39"/>
      <c r="FP39"/>
      <c r="FQ39"/>
      <c r="FR39"/>
      <c r="FS39"/>
      <c r="FT39"/>
      <c r="FU39"/>
      <c r="FV39"/>
      <c r="FW39"/>
      <c r="FX39"/>
      <c r="FY39"/>
      <c r="FZ39"/>
      <c r="GA39"/>
      <c r="GB39"/>
      <c r="GC39"/>
      <c r="GD39"/>
      <c r="GE39"/>
      <c r="GF39"/>
      <c r="GG39"/>
      <c r="GH39"/>
      <c r="GI39"/>
      <c r="GJ39"/>
      <c r="GK39"/>
      <c r="GL39"/>
      <c r="GM39"/>
      <c r="GN39"/>
      <c r="GO39"/>
      <c r="GP39"/>
      <c r="GQ39"/>
      <c r="GR39"/>
      <c r="GS39"/>
      <c r="GT39"/>
      <c r="GU39"/>
      <c r="GV39"/>
      <c r="GW39"/>
      <c r="GX39"/>
      <c r="GY39"/>
      <c r="GZ39"/>
      <c r="HA39"/>
      <c r="HB39"/>
      <c r="HC39"/>
      <c r="HD39"/>
      <c r="HE39"/>
      <c r="HF39"/>
      <c r="HG39"/>
      <c r="HH39"/>
      <c r="HI39"/>
      <c r="HJ39"/>
      <c r="HK39"/>
      <c r="HL39"/>
      <c r="HM39"/>
      <c r="HN39"/>
      <c r="HO39"/>
      <c r="HP39"/>
      <c r="HQ39"/>
      <c r="HR39"/>
      <c r="HS39"/>
      <c r="HT39"/>
      <c r="HU39"/>
      <c r="HV39"/>
      <c r="HW39"/>
      <c r="HX39"/>
      <c r="HY39"/>
      <c r="HZ39"/>
      <c r="IA39"/>
      <c r="IB39"/>
      <c r="IC39"/>
      <c r="ID39"/>
      <c r="IE39"/>
      <c r="IF39"/>
      <c r="IG39"/>
      <c r="IH39"/>
      <c r="II39"/>
      <c r="IJ39"/>
      <c r="IK39"/>
      <c r="IL39"/>
      <c r="IM39"/>
      <c r="IN39"/>
      <c r="IO39"/>
      <c r="IP39"/>
      <c r="IQ39"/>
      <c r="IR39"/>
      <c r="IS39"/>
      <c r="IT39"/>
      <c r="IU39"/>
      <c r="IV39"/>
      <c r="IW39"/>
      <c r="IX39"/>
      <c r="IY39"/>
      <c r="IZ39"/>
      <c r="JA39"/>
      <c r="JB39"/>
      <c r="JC39"/>
      <c r="JD39"/>
      <c r="JE39"/>
      <c r="JF39"/>
      <c r="JG39"/>
      <c r="JH39"/>
      <c r="JI39"/>
      <c r="JJ39"/>
      <c r="JK39"/>
      <c r="JL39"/>
      <c r="JM39"/>
      <c r="JN39"/>
      <c r="JO39"/>
      <c r="JP39"/>
      <c r="JQ39"/>
      <c r="JR39"/>
      <c r="JS39"/>
      <c r="JT39"/>
      <c r="JU39"/>
      <c r="JV39"/>
      <c r="JW39"/>
      <c r="JX39"/>
      <c r="JY39"/>
      <c r="JZ39"/>
      <c r="KA39"/>
      <c r="KB39"/>
      <c r="KC39"/>
      <c r="KD39"/>
      <c r="KE39"/>
      <c r="KF39"/>
      <c r="KG39"/>
      <c r="KH39"/>
      <c r="KI39"/>
      <c r="KJ39"/>
      <c r="KK39"/>
      <c r="KL39"/>
      <c r="KM39"/>
      <c r="KN39"/>
      <c r="KO39"/>
      <c r="KP39"/>
      <c r="KQ39"/>
      <c r="KR39"/>
      <c r="KS39"/>
      <c r="KT39"/>
      <c r="KU39"/>
      <c r="KV39"/>
      <c r="KW39"/>
      <c r="KX39"/>
      <c r="KY39"/>
      <c r="KZ39"/>
      <c r="LA39"/>
      <c r="LB39"/>
      <c r="LC39"/>
      <c r="LD39"/>
      <c r="LE39"/>
      <c r="LF39"/>
      <c r="LG39"/>
      <c r="LH39"/>
      <c r="LI39"/>
      <c r="LJ39"/>
      <c r="LK39"/>
      <c r="LL39"/>
      <c r="LM39"/>
      <c r="LN39"/>
      <c r="LO39"/>
      <c r="LP39"/>
      <c r="LQ39"/>
      <c r="LR39"/>
      <c r="LS39"/>
      <c r="LT39"/>
      <c r="LU39"/>
      <c r="LV39"/>
      <c r="LW39"/>
      <c r="LX39"/>
      <c r="LY39"/>
      <c r="LZ39"/>
      <c r="MA39"/>
      <c r="MB39"/>
      <c r="MC39"/>
      <c r="MD39"/>
      <c r="ME39"/>
      <c r="MF39"/>
      <c r="MG39"/>
      <c r="MH39"/>
      <c r="MI39"/>
      <c r="MJ39"/>
      <c r="MK39"/>
      <c r="ML39"/>
      <c r="MM39"/>
      <c r="MN39"/>
      <c r="MO39"/>
      <c r="MP39"/>
      <c r="MQ39"/>
      <c r="MR39"/>
      <c r="MS39"/>
      <c r="MT39"/>
      <c r="MU39"/>
      <c r="MV39"/>
      <c r="MW39"/>
      <c r="MX39"/>
      <c r="MY39"/>
      <c r="MZ39"/>
      <c r="NA39"/>
      <c r="NB39"/>
      <c r="NC39"/>
      <c r="ND39"/>
      <c r="NE39"/>
      <c r="NF39"/>
      <c r="NG39"/>
      <c r="NH39"/>
      <c r="NI39"/>
      <c r="NJ39"/>
      <c r="NK39"/>
      <c r="NL39"/>
      <c r="NM39"/>
      <c r="NN39"/>
      <c r="NO39"/>
      <c r="NP39"/>
      <c r="NQ39"/>
      <c r="NR39"/>
      <c r="NS39"/>
      <c r="NT39"/>
      <c r="NU39"/>
      <c r="NV39"/>
      <c r="NW39"/>
      <c r="NX39"/>
      <c r="NY39"/>
      <c r="NZ39"/>
      <c r="OA39"/>
      <c r="OB39"/>
      <c r="OC39"/>
      <c r="OD39"/>
      <c r="OE39"/>
      <c r="OF39"/>
      <c r="OG39"/>
      <c r="OH39"/>
      <c r="OI39"/>
      <c r="OJ39"/>
      <c r="OK39"/>
      <c r="OL39"/>
      <c r="OM39"/>
      <c r="ON39"/>
      <c r="OO39"/>
      <c r="OP39"/>
      <c r="OQ39"/>
      <c r="OR39"/>
      <c r="OS39"/>
      <c r="OT39"/>
      <c r="OU39"/>
      <c r="OV39"/>
      <c r="OW39"/>
      <c r="OX39"/>
      <c r="OY39"/>
      <c r="OZ39"/>
      <c r="PA39"/>
      <c r="PB39"/>
      <c r="PC39"/>
      <c r="PD39"/>
      <c r="PE39"/>
      <c r="PF39"/>
      <c r="PG39"/>
      <c r="PH39"/>
      <c r="PI39"/>
      <c r="PJ39"/>
      <c r="PK39"/>
      <c r="PL39"/>
      <c r="PM39"/>
      <c r="PN39"/>
      <c r="PO39"/>
      <c r="PP39"/>
      <c r="PQ39"/>
      <c r="PR39"/>
      <c r="PS39"/>
      <c r="PT39"/>
      <c r="PU39"/>
      <c r="PV39"/>
      <c r="PW39"/>
      <c r="PX39"/>
      <c r="PY39"/>
      <c r="PZ39"/>
      <c r="QA39"/>
      <c r="QB39"/>
      <c r="QC39"/>
      <c r="QD39"/>
      <c r="QE39"/>
      <c r="QF39"/>
      <c r="QG39"/>
      <c r="QH39"/>
      <c r="QI39"/>
      <c r="QJ39"/>
      <c r="QK39"/>
      <c r="QL39"/>
      <c r="QM39"/>
      <c r="QN39"/>
      <c r="QO39"/>
      <c r="QP39"/>
      <c r="QQ39"/>
      <c r="QR39"/>
      <c r="QS39"/>
      <c r="QT39"/>
      <c r="QU39"/>
      <c r="QV39"/>
      <c r="QW39"/>
      <c r="QX39"/>
      <c r="QY39"/>
      <c r="QZ39"/>
      <c r="RA39"/>
      <c r="RB39"/>
      <c r="RC39"/>
      <c r="RD39"/>
      <c r="RE39"/>
      <c r="RF39"/>
      <c r="RG39"/>
      <c r="RH39"/>
      <c r="RI39"/>
      <c r="RJ39"/>
      <c r="RK39"/>
      <c r="RL39"/>
      <c r="RM39"/>
      <c r="RN39"/>
      <c r="RO39"/>
      <c r="RP39"/>
      <c r="RQ39"/>
      <c r="RR39"/>
      <c r="RS39"/>
      <c r="RT39"/>
      <c r="RU39"/>
      <c r="RV39"/>
      <c r="RW39"/>
      <c r="RX39"/>
      <c r="RY39"/>
      <c r="RZ39"/>
      <c r="SA39"/>
      <c r="SB39"/>
      <c r="SC39"/>
      <c r="SD39"/>
      <c r="SE39"/>
      <c r="SF39"/>
      <c r="SG39"/>
      <c r="SH39"/>
      <c r="SI39"/>
      <c r="SJ39"/>
      <c r="SK39"/>
      <c r="SL39"/>
      <c r="SM39"/>
      <c r="SN39"/>
      <c r="SO39"/>
      <c r="SP39"/>
      <c r="SQ39"/>
      <c r="SR39"/>
      <c r="SS39"/>
      <c r="ST39"/>
      <c r="SU39"/>
      <c r="SV39"/>
      <c r="SW39"/>
      <c r="SX39"/>
      <c r="SY39"/>
      <c r="SZ39"/>
      <c r="TA39"/>
      <c r="TB39"/>
      <c r="TC39"/>
      <c r="TD39"/>
      <c r="TE39"/>
      <c r="TF39"/>
      <c r="TG39"/>
      <c r="TH39"/>
      <c r="TI39"/>
      <c r="TJ39"/>
      <c r="TK39"/>
      <c r="TL39"/>
      <c r="TM39"/>
      <c r="TN39"/>
      <c r="TO39"/>
      <c r="TP39"/>
      <c r="TQ39"/>
      <c r="TR39"/>
      <c r="TS39"/>
      <c r="TT39"/>
      <c r="TU39"/>
      <c r="TV39"/>
      <c r="TW39"/>
      <c r="TX39"/>
      <c r="TY39"/>
      <c r="TZ39"/>
      <c r="UA39"/>
      <c r="UB39"/>
      <c r="UC39"/>
      <c r="UD39"/>
      <c r="UE39"/>
      <c r="UF39"/>
      <c r="UG39"/>
      <c r="UH39"/>
      <c r="UI39"/>
      <c r="UJ39"/>
      <c r="UK39"/>
      <c r="UL39"/>
      <c r="UM39"/>
      <c r="UN39"/>
      <c r="UO39"/>
      <c r="UP39"/>
      <c r="UQ39"/>
      <c r="UR39"/>
      <c r="US39"/>
      <c r="UT39"/>
      <c r="UU39"/>
      <c r="UV39"/>
      <c r="UW39"/>
      <c r="UX39"/>
      <c r="UY39"/>
      <c r="UZ39"/>
      <c r="VA39"/>
      <c r="VB39"/>
      <c r="VC39"/>
      <c r="VD39"/>
      <c r="VE39"/>
      <c r="VF39"/>
      <c r="VG39"/>
      <c r="VH39"/>
      <c r="VI39"/>
      <c r="VJ39"/>
      <c r="VK39"/>
      <c r="VL39"/>
      <c r="VM39"/>
      <c r="VN39"/>
      <c r="VO39"/>
      <c r="VP39"/>
      <c r="VQ39"/>
      <c r="VR39"/>
      <c r="VS39"/>
      <c r="VT39"/>
      <c r="VU39"/>
      <c r="VV39"/>
      <c r="VW39"/>
      <c r="VX39"/>
      <c r="VY39"/>
      <c r="VZ39"/>
      <c r="WA39"/>
      <c r="WB39"/>
      <c r="WC39"/>
      <c r="WD39"/>
      <c r="WE39"/>
      <c r="WF39"/>
      <c r="WG39"/>
      <c r="WH39"/>
      <c r="WI39"/>
      <c r="WJ39"/>
      <c r="WK39"/>
      <c r="WL39"/>
      <c r="WM39"/>
      <c r="WN39"/>
      <c r="WO39"/>
      <c r="WP39"/>
      <c r="WQ39"/>
      <c r="WR39"/>
      <c r="WS39"/>
      <c r="WT39"/>
      <c r="WU39"/>
      <c r="WV39"/>
      <c r="WW39"/>
      <c r="WX39"/>
      <c r="WY39"/>
      <c r="WZ39"/>
      <c r="XA39"/>
      <c r="XB39"/>
      <c r="XC39"/>
      <c r="XD39"/>
      <c r="XE39"/>
      <c r="XF39"/>
      <c r="XG39"/>
      <c r="XH39"/>
      <c r="XI39"/>
      <c r="XJ39"/>
      <c r="XK39"/>
      <c r="XL39"/>
      <c r="XM39"/>
      <c r="XN39"/>
      <c r="XO39"/>
      <c r="XP39"/>
      <c r="XQ39"/>
      <c r="XR39"/>
      <c r="XS39"/>
      <c r="XT39"/>
      <c r="XU39"/>
      <c r="XV39"/>
      <c r="XW39"/>
      <c r="XX39"/>
      <c r="XY39"/>
      <c r="XZ39"/>
      <c r="YA39"/>
      <c r="YB39"/>
      <c r="YC39"/>
      <c r="YD39"/>
      <c r="YE39"/>
      <c r="YF39"/>
      <c r="YG39"/>
      <c r="YH39"/>
      <c r="YI39"/>
      <c r="YJ39"/>
      <c r="YK39"/>
      <c r="YL39"/>
      <c r="YM39"/>
      <c r="YN39"/>
      <c r="YO39"/>
      <c r="YP39"/>
      <c r="YQ39"/>
      <c r="YR39"/>
      <c r="YS39"/>
      <c r="YT39"/>
      <c r="YU39"/>
      <c r="YV39"/>
      <c r="YW39"/>
      <c r="YX39"/>
      <c r="YY39"/>
      <c r="YZ39"/>
      <c r="ZA39"/>
      <c r="ZB39"/>
      <c r="ZC39"/>
      <c r="ZD39"/>
      <c r="ZE39"/>
      <c r="ZF39"/>
      <c r="ZG39"/>
      <c r="ZH39"/>
      <c r="ZI39"/>
      <c r="ZJ39"/>
      <c r="ZK39"/>
      <c r="ZL39"/>
      <c r="ZM39"/>
      <c r="ZN39"/>
      <c r="ZO39"/>
      <c r="ZP39"/>
      <c r="ZQ39"/>
      <c r="ZR39"/>
      <c r="ZS39"/>
      <c r="ZT39"/>
      <c r="ZU39"/>
      <c r="ZV39"/>
      <c r="ZW39"/>
      <c r="ZX39"/>
      <c r="ZY39"/>
      <c r="ZZ39"/>
      <c r="AAA39"/>
      <c r="AAB39"/>
      <c r="AAC39"/>
      <c r="AAD39"/>
      <c r="AAE39"/>
      <c r="AAF39"/>
      <c r="AAG39"/>
      <c r="AAH39"/>
      <c r="AAI39"/>
      <c r="AAJ39"/>
      <c r="AAK39"/>
      <c r="AAL39"/>
      <c r="AAM39"/>
      <c r="AAN39"/>
      <c r="AAO39"/>
      <c r="AAP39"/>
      <c r="AAQ39"/>
      <c r="AAR39"/>
      <c r="AAS39"/>
      <c r="AAT39"/>
      <c r="AAU39"/>
      <c r="AAV39"/>
      <c r="AAW39"/>
      <c r="AAX39"/>
      <c r="AAY39"/>
      <c r="AAZ39"/>
      <c r="ABA39"/>
      <c r="ABB39"/>
      <c r="ABC39"/>
      <c r="ABD39"/>
      <c r="ABE39"/>
      <c r="ABF39"/>
      <c r="ABG39"/>
      <c r="ABH39"/>
      <c r="ABI39"/>
      <c r="ABJ39"/>
      <c r="ABK39"/>
      <c r="ABL39"/>
      <c r="ABM39"/>
      <c r="ABN39"/>
      <c r="ABO39"/>
      <c r="ABP39"/>
      <c r="ABQ39"/>
      <c r="ABR39"/>
      <c r="ABS39"/>
      <c r="ABT39"/>
      <c r="ABU39"/>
      <c r="ABV39"/>
      <c r="ABW39"/>
      <c r="ABX39"/>
      <c r="ABY39"/>
      <c r="ABZ39"/>
      <c r="ACA39"/>
      <c r="ACB39"/>
      <c r="ACC39"/>
      <c r="ACD39"/>
      <c r="ACE39"/>
      <c r="ACF39"/>
      <c r="ACG39"/>
      <c r="ACH39"/>
      <c r="ACI39"/>
      <c r="ACJ39"/>
      <c r="ACK39"/>
      <c r="ACL39"/>
      <c r="ACM39"/>
      <c r="ACN39"/>
      <c r="ACO39"/>
      <c r="ACP39"/>
      <c r="ACQ39"/>
      <c r="ACR39"/>
      <c r="ACS39"/>
      <c r="ACT39"/>
      <c r="ACU39"/>
      <c r="ACV39"/>
      <c r="ACW39"/>
      <c r="ACX39"/>
      <c r="ACY39"/>
      <c r="ACZ39"/>
      <c r="ADA39"/>
      <c r="ADB39"/>
      <c r="ADC39"/>
      <c r="ADD39"/>
      <c r="ADE39"/>
      <c r="ADF39"/>
      <c r="ADG39"/>
      <c r="ADH39"/>
      <c r="ADI39"/>
      <c r="ADJ39"/>
      <c r="ADK39"/>
      <c r="ADL39"/>
      <c r="ADM39"/>
      <c r="ADN39"/>
      <c r="ADO39"/>
      <c r="ADP39"/>
      <c r="ADQ39"/>
      <c r="ADR39"/>
      <c r="ADS39"/>
      <c r="ADT39"/>
      <c r="ADU39"/>
      <c r="ADV39"/>
      <c r="ADW39"/>
      <c r="ADX39"/>
      <c r="ADY39"/>
      <c r="ADZ39"/>
      <c r="AEA39"/>
      <c r="AEB39"/>
      <c r="AEC39"/>
      <c r="AED39"/>
      <c r="AEE39"/>
      <c r="AEF39"/>
      <c r="AEG39"/>
      <c r="AEH39"/>
      <c r="AEI39"/>
      <c r="AEJ39"/>
      <c r="AEK39"/>
      <c r="AEL39"/>
      <c r="AEM39"/>
      <c r="AEN39"/>
      <c r="AEO39"/>
      <c r="AEP39"/>
      <c r="AEQ39"/>
      <c r="AER39"/>
      <c r="AES39"/>
      <c r="AET39"/>
      <c r="AEU39"/>
      <c r="AEV39"/>
      <c r="AEW39"/>
      <c r="AEX39"/>
      <c r="AEY39"/>
      <c r="AEZ39"/>
      <c r="AFA39"/>
      <c r="AFB39"/>
      <c r="AFC39"/>
      <c r="AFD39"/>
      <c r="AFE39"/>
      <c r="AFF39"/>
      <c r="AFG39"/>
      <c r="AFH39"/>
      <c r="AFI39"/>
      <c r="AFJ39"/>
      <c r="AFK39"/>
      <c r="AFL39"/>
      <c r="AFM39"/>
      <c r="AFN39"/>
      <c r="AFO39"/>
      <c r="AFP39"/>
      <c r="AFQ39"/>
      <c r="AFR39"/>
      <c r="AFS39"/>
      <c r="AFT39"/>
      <c r="AFU39"/>
      <c r="AFV39"/>
      <c r="AFW39"/>
      <c r="AFX39"/>
      <c r="AFY39"/>
      <c r="AFZ39"/>
      <c r="AGA39"/>
      <c r="AGB39"/>
      <c r="AGC39"/>
      <c r="AGD39"/>
      <c r="AGE39"/>
      <c r="AGF39"/>
      <c r="AGG39"/>
      <c r="AGH39"/>
      <c r="AGI39"/>
      <c r="AGJ39"/>
      <c r="AGK39"/>
      <c r="AGL39"/>
      <c r="AGM39"/>
      <c r="AGN39"/>
      <c r="AGO39"/>
      <c r="AGP39"/>
      <c r="AGQ39"/>
      <c r="AGR39"/>
      <c r="AGS39"/>
      <c r="AGT39"/>
      <c r="AGU39"/>
      <c r="AGV39"/>
      <c r="AGW39"/>
      <c r="AGX39"/>
      <c r="AGY39"/>
      <c r="AGZ39"/>
      <c r="AHA39"/>
      <c r="AHB39"/>
      <c r="AHC39"/>
      <c r="AHD39"/>
      <c r="AHE39"/>
      <c r="AHF39"/>
      <c r="AHG39"/>
      <c r="AHH39"/>
      <c r="AHI39"/>
      <c r="AHJ39"/>
      <c r="AHK39"/>
      <c r="AHL39"/>
      <c r="AHM39"/>
      <c r="AHN39"/>
      <c r="AHO39"/>
      <c r="AHP39"/>
      <c r="AHQ39"/>
      <c r="AHR39"/>
      <c r="AHS39"/>
      <c r="AHT39"/>
      <c r="AHU39"/>
      <c r="AHV39"/>
      <c r="AHW39"/>
      <c r="AHX39"/>
      <c r="AHY39"/>
      <c r="AHZ39"/>
      <c r="AIA39"/>
      <c r="AIB39"/>
      <c r="AIC39"/>
      <c r="AID39"/>
      <c r="AIE39"/>
      <c r="AIF39"/>
      <c r="AIG39"/>
      <c r="AIH39"/>
      <c r="AII39"/>
      <c r="AIJ39"/>
      <c r="AIK39"/>
      <c r="AIL39"/>
      <c r="AIM39"/>
      <c r="AIN39"/>
      <c r="AIO39"/>
      <c r="AIP39"/>
      <c r="AIQ39"/>
      <c r="AIR39"/>
      <c r="AIS39"/>
      <c r="AIT39"/>
      <c r="AIU39"/>
      <c r="AIV39"/>
      <c r="AIW39"/>
      <c r="AIX39"/>
      <c r="AIY39"/>
      <c r="AIZ39"/>
      <c r="AJA39"/>
      <c r="AJB39"/>
      <c r="AJC39"/>
      <c r="AJD39"/>
      <c r="AJE39"/>
      <c r="AJF39"/>
      <c r="AJG39"/>
      <c r="AJH39"/>
      <c r="AJI39"/>
      <c r="AJJ39"/>
      <c r="AJK39"/>
      <c r="AJL39"/>
      <c r="AJM39"/>
      <c r="AJN39"/>
      <c r="AJO39"/>
      <c r="AJP39"/>
      <c r="AJQ39"/>
    </row>
    <row r="40" spans="1:953">
      <c r="A40" s="68" t="s">
        <v>4</v>
      </c>
      <c r="B40" s="429"/>
      <c r="C40" s="429"/>
      <c r="D40" s="429">
        <v>2637.4</v>
      </c>
      <c r="E40" s="429">
        <v>2100</v>
      </c>
      <c r="F40" s="429">
        <v>1935</v>
      </c>
      <c r="G40" s="429"/>
      <c r="H40" s="429">
        <v>960.4</v>
      </c>
      <c r="I40" s="429">
        <v>392</v>
      </c>
      <c r="J40" s="429"/>
      <c r="K40" s="429"/>
      <c r="L40" s="437">
        <v>1176</v>
      </c>
      <c r="M40" s="437">
        <v>512.91999999999996</v>
      </c>
      <c r="N40" s="429">
        <v>9713.7199999999993</v>
      </c>
    </row>
    <row r="41" spans="1:953">
      <c r="A41" s="432" t="s">
        <v>71</v>
      </c>
      <c r="B41" s="435"/>
      <c r="C41" s="435"/>
      <c r="D41" s="435">
        <v>2700</v>
      </c>
      <c r="E41" s="435">
        <v>2100</v>
      </c>
      <c r="F41" s="435">
        <v>2100</v>
      </c>
      <c r="G41" s="435"/>
      <c r="H41" s="435">
        <v>980</v>
      </c>
      <c r="I41" s="435">
        <v>400</v>
      </c>
      <c r="J41" s="435"/>
      <c r="K41" s="435"/>
      <c r="L41" s="438">
        <v>1200</v>
      </c>
      <c r="M41" s="438">
        <v>550</v>
      </c>
      <c r="N41" s="435">
        <v>10030</v>
      </c>
    </row>
    <row r="42" spans="1:953">
      <c r="A42" s="240" t="s">
        <v>70</v>
      </c>
      <c r="B42" s="429"/>
      <c r="C42" s="429"/>
      <c r="D42" s="429">
        <v>2700</v>
      </c>
      <c r="E42" s="429">
        <v>2100</v>
      </c>
      <c r="F42" s="429">
        <v>2100</v>
      </c>
      <c r="G42" s="429"/>
      <c r="H42" s="429">
        <v>980</v>
      </c>
      <c r="I42" s="429">
        <v>400</v>
      </c>
      <c r="J42" s="429"/>
      <c r="K42" s="429"/>
      <c r="L42" s="437">
        <v>1200</v>
      </c>
      <c r="M42" s="437">
        <v>550</v>
      </c>
      <c r="N42" s="429">
        <v>10030</v>
      </c>
    </row>
    <row r="43" spans="1:953">
      <c r="A43" s="432" t="s">
        <v>52</v>
      </c>
      <c r="B43" s="435"/>
      <c r="C43" s="435"/>
      <c r="D43" s="435">
        <v>-62.6</v>
      </c>
      <c r="E43" s="435"/>
      <c r="F43" s="435">
        <v>-165</v>
      </c>
      <c r="G43" s="435"/>
      <c r="H43" s="435">
        <v>-19.600000000000001</v>
      </c>
      <c r="I43" s="435">
        <v>-8</v>
      </c>
      <c r="J43" s="435"/>
      <c r="K43" s="435"/>
      <c r="L43" s="438">
        <v>-24</v>
      </c>
      <c r="M43" s="438">
        <v>-37.08</v>
      </c>
      <c r="N43" s="435">
        <v>-316.27999999999997</v>
      </c>
    </row>
    <row r="44" spans="1:953">
      <c r="A44" s="240" t="s">
        <v>22</v>
      </c>
      <c r="B44" s="429"/>
      <c r="C44" s="429"/>
      <c r="D44" s="429">
        <v>-62.6</v>
      </c>
      <c r="E44" s="429"/>
      <c r="F44" s="429">
        <v>-165</v>
      </c>
      <c r="G44" s="429"/>
      <c r="H44" s="429">
        <v>-19.600000000000001</v>
      </c>
      <c r="I44" s="429">
        <v>-8</v>
      </c>
      <c r="J44" s="429"/>
      <c r="K44" s="429"/>
      <c r="L44" s="437">
        <v>-24</v>
      </c>
      <c r="M44" s="437">
        <v>-11</v>
      </c>
      <c r="N44" s="429">
        <v>-290.2</v>
      </c>
    </row>
    <row r="45" spans="1:953">
      <c r="A45" s="258" t="s">
        <v>27</v>
      </c>
      <c r="B45" s="429"/>
      <c r="C45" s="429"/>
      <c r="D45" s="429"/>
      <c r="E45" s="429"/>
      <c r="F45" s="429">
        <v>-165</v>
      </c>
      <c r="G45" s="429"/>
      <c r="H45" s="429"/>
      <c r="I45" s="429"/>
      <c r="J45" s="429"/>
      <c r="K45" s="429"/>
      <c r="L45" s="437"/>
      <c r="M45" s="437"/>
      <c r="N45" s="429">
        <v>-165</v>
      </c>
    </row>
    <row r="46" spans="1:953">
      <c r="A46" s="258" t="s">
        <v>21</v>
      </c>
      <c r="B46" s="429"/>
      <c r="C46" s="429"/>
      <c r="D46" s="429">
        <v>-62.6</v>
      </c>
      <c r="E46" s="429"/>
      <c r="F46" s="429"/>
      <c r="G46" s="429"/>
      <c r="H46" s="429">
        <v>-19.600000000000001</v>
      </c>
      <c r="I46" s="429">
        <v>-8</v>
      </c>
      <c r="J46" s="429"/>
      <c r="K46" s="429"/>
      <c r="L46" s="437">
        <v>-24</v>
      </c>
      <c r="M46" s="437">
        <v>-11</v>
      </c>
      <c r="N46" s="429">
        <v>-125.2</v>
      </c>
    </row>
    <row r="47" spans="1:953">
      <c r="A47" s="240" t="s">
        <v>1000</v>
      </c>
      <c r="B47" s="429"/>
      <c r="C47" s="429"/>
      <c r="D47" s="429"/>
      <c r="E47" s="429"/>
      <c r="F47" s="429"/>
      <c r="G47" s="429"/>
      <c r="H47" s="429"/>
      <c r="I47" s="429"/>
      <c r="J47" s="429"/>
      <c r="K47" s="429"/>
      <c r="L47" s="437"/>
      <c r="M47" s="437">
        <v>-26.08</v>
      </c>
      <c r="N47" s="429">
        <v>-26.08</v>
      </c>
    </row>
    <row r="48" spans="1:953">
      <c r="A48" s="258" t="s">
        <v>999</v>
      </c>
      <c r="B48" s="429"/>
      <c r="C48" s="429"/>
      <c r="D48" s="429"/>
      <c r="E48" s="429"/>
      <c r="F48" s="429"/>
      <c r="G48" s="429"/>
      <c r="H48" s="429"/>
      <c r="I48" s="429"/>
      <c r="J48" s="429"/>
      <c r="K48" s="429"/>
      <c r="L48" s="437"/>
      <c r="M48" s="437">
        <v>-26.08</v>
      </c>
      <c r="N48" s="429">
        <v>-26.08</v>
      </c>
    </row>
    <row r="49" spans="1:14">
      <c r="A49" s="430" t="s">
        <v>75</v>
      </c>
      <c r="B49" s="436">
        <v>970.44999999999959</v>
      </c>
      <c r="C49" s="436">
        <v>-480.29000000000008</v>
      </c>
      <c r="D49" s="436">
        <v>2975.01</v>
      </c>
      <c r="E49" s="436">
        <v>3389.2199999999993</v>
      </c>
      <c r="F49" s="436">
        <v>2047.7800000000002</v>
      </c>
      <c r="G49" s="436">
        <v>106.52000000000039</v>
      </c>
      <c r="H49" s="436">
        <v>908.97</v>
      </c>
      <c r="I49" s="436">
        <v>-30.220000000000027</v>
      </c>
      <c r="J49" s="436">
        <v>1319.6899999999994</v>
      </c>
      <c r="K49" s="436">
        <v>1162.6700000000003</v>
      </c>
      <c r="L49" s="438">
        <v>30.313333333333503</v>
      </c>
      <c r="M49" s="438">
        <v>-1483.8099999999995</v>
      </c>
      <c r="N49" s="436">
        <v>10916.303333333331</v>
      </c>
    </row>
    <row r="50" spans="1:14">
      <c r="F50"/>
      <c r="G50"/>
      <c r="H50"/>
      <c r="M50"/>
    </row>
    <row r="51" spans="1:14">
      <c r="F51"/>
      <c r="G51"/>
      <c r="H51"/>
      <c r="M51"/>
    </row>
    <row r="52" spans="1:14">
      <c r="F52"/>
      <c r="G52"/>
      <c r="H52"/>
      <c r="M52"/>
    </row>
    <row r="53" spans="1:14">
      <c r="F53"/>
      <c r="G53"/>
      <c r="H53"/>
      <c r="M53"/>
    </row>
    <row r="54" spans="1:14">
      <c r="F54"/>
      <c r="G54"/>
      <c r="H54"/>
      <c r="M54"/>
    </row>
    <row r="55" spans="1:14">
      <c r="F55"/>
      <c r="G55"/>
      <c r="H55"/>
      <c r="M55"/>
    </row>
    <row r="56" spans="1:14">
      <c r="F56"/>
      <c r="G56"/>
      <c r="H56"/>
      <c r="M56"/>
    </row>
    <row r="57" spans="1:14">
      <c r="F57"/>
      <c r="G57"/>
      <c r="H57"/>
      <c r="M57"/>
    </row>
    <row r="58" spans="1:14">
      <c r="F58"/>
      <c r="G58"/>
      <c r="H58"/>
      <c r="M58"/>
    </row>
    <row r="59" spans="1:14">
      <c r="F59"/>
      <c r="G59"/>
      <c r="H59"/>
      <c r="M59"/>
    </row>
    <row r="60" spans="1:14">
      <c r="F60"/>
      <c r="G60"/>
      <c r="H60"/>
      <c r="M60"/>
    </row>
    <row r="61" spans="1:14">
      <c r="F61"/>
      <c r="G61"/>
      <c r="H61"/>
      <c r="M61"/>
    </row>
    <row r="62" spans="1:14">
      <c r="F62"/>
      <c r="G62"/>
      <c r="H62"/>
      <c r="M62"/>
    </row>
    <row r="63" spans="1:14">
      <c r="F63"/>
      <c r="G63"/>
      <c r="H63"/>
      <c r="M63"/>
    </row>
    <row r="64" spans="1:14">
      <c r="F64"/>
      <c r="G64"/>
      <c r="H64"/>
      <c r="M64"/>
    </row>
    <row r="65" spans="6:13">
      <c r="F65"/>
      <c r="G65"/>
      <c r="H65"/>
      <c r="M65"/>
    </row>
    <row r="66" spans="6:13">
      <c r="F66"/>
      <c r="G66"/>
      <c r="H66"/>
      <c r="M66"/>
    </row>
    <row r="67" spans="6:13">
      <c r="F67"/>
      <c r="G67"/>
      <c r="H67"/>
      <c r="M67"/>
    </row>
    <row r="68" spans="6:13">
      <c r="F68"/>
      <c r="G68"/>
      <c r="H68"/>
      <c r="M68"/>
    </row>
    <row r="69" spans="6:13">
      <c r="F69"/>
      <c r="G69"/>
      <c r="H69"/>
      <c r="M69"/>
    </row>
    <row r="70" spans="6:13">
      <c r="F70"/>
      <c r="G70"/>
      <c r="H70"/>
      <c r="M70"/>
    </row>
    <row r="71" spans="6:13">
      <c r="F71"/>
      <c r="G71"/>
      <c r="H71"/>
      <c r="M71"/>
    </row>
    <row r="72" spans="6:13">
      <c r="F72"/>
      <c r="G72"/>
      <c r="H72"/>
      <c r="M72"/>
    </row>
    <row r="73" spans="6:13">
      <c r="F73"/>
      <c r="G73"/>
      <c r="H73"/>
      <c r="M73"/>
    </row>
    <row r="74" spans="6:13">
      <c r="F74"/>
      <c r="G74"/>
      <c r="H74"/>
      <c r="M74"/>
    </row>
    <row r="75" spans="6:13">
      <c r="F75"/>
      <c r="G75"/>
      <c r="H75"/>
      <c r="M75"/>
    </row>
    <row r="76" spans="6:13">
      <c r="F76"/>
      <c r="G76"/>
      <c r="H76"/>
      <c r="M76"/>
    </row>
    <row r="77" spans="6:13">
      <c r="F77"/>
      <c r="G77"/>
      <c r="H77"/>
      <c r="M77"/>
    </row>
    <row r="78" spans="6:13">
      <c r="F78"/>
      <c r="G78"/>
      <c r="H78"/>
      <c r="M78"/>
    </row>
    <row r="79" spans="6:13">
      <c r="F79"/>
      <c r="G79"/>
      <c r="H79"/>
      <c r="M79"/>
    </row>
    <row r="80" spans="6:13">
      <c r="F80"/>
      <c r="G80"/>
      <c r="H80"/>
      <c r="M80"/>
    </row>
    <row r="81" spans="6:13">
      <c r="F81"/>
      <c r="G81"/>
      <c r="H81"/>
      <c r="M81"/>
    </row>
    <row r="82" spans="6:13">
      <c r="F82"/>
      <c r="G82"/>
      <c r="H82"/>
      <c r="M82"/>
    </row>
    <row r="83" spans="6:13">
      <c r="F83"/>
      <c r="G83"/>
      <c r="H83"/>
      <c r="M83"/>
    </row>
    <row r="84" spans="6:13">
      <c r="F84"/>
      <c r="G84"/>
      <c r="H84"/>
      <c r="M84"/>
    </row>
    <row r="85" spans="6:13">
      <c r="F85"/>
      <c r="G85"/>
      <c r="H85"/>
      <c r="M85"/>
    </row>
    <row r="86" spans="6:13">
      <c r="F86"/>
      <c r="G86"/>
      <c r="H86"/>
      <c r="M86"/>
    </row>
    <row r="87" spans="6:13">
      <c r="F87"/>
      <c r="G87"/>
      <c r="H87"/>
      <c r="M87"/>
    </row>
    <row r="88" spans="6:13">
      <c r="F88"/>
      <c r="G88"/>
      <c r="H88"/>
      <c r="M88"/>
    </row>
    <row r="89" spans="6:13">
      <c r="F89"/>
      <c r="G89"/>
      <c r="H89"/>
      <c r="M89"/>
    </row>
    <row r="90" spans="6:13">
      <c r="F90"/>
      <c r="G90"/>
      <c r="H90"/>
      <c r="M90"/>
    </row>
    <row r="91" spans="6:13">
      <c r="F91"/>
      <c r="G91"/>
      <c r="H91"/>
      <c r="M91"/>
    </row>
    <row r="92" spans="6:13">
      <c r="F92"/>
      <c r="G92"/>
      <c r="H92"/>
      <c r="M92"/>
    </row>
    <row r="93" spans="6:13">
      <c r="F93"/>
      <c r="G93"/>
      <c r="H93"/>
      <c r="M93"/>
    </row>
    <row r="94" spans="6:13">
      <c r="F94"/>
      <c r="G94"/>
      <c r="H94"/>
      <c r="M94"/>
    </row>
    <row r="95" spans="6:13">
      <c r="F95"/>
      <c r="G95"/>
      <c r="H95"/>
      <c r="M95"/>
    </row>
    <row r="96" spans="6:13">
      <c r="F96"/>
      <c r="G96"/>
      <c r="H96"/>
      <c r="M96"/>
    </row>
    <row r="97" spans="6:13">
      <c r="F97"/>
      <c r="G97"/>
      <c r="H97"/>
      <c r="M97"/>
    </row>
    <row r="98" spans="6:13">
      <c r="F98"/>
      <c r="G98"/>
      <c r="H98"/>
      <c r="M98"/>
    </row>
    <row r="99" spans="6:13">
      <c r="F99"/>
      <c r="G99"/>
      <c r="H99"/>
    </row>
    <row r="100" spans="6:13">
      <c r="F100"/>
      <c r="G100"/>
      <c r="H100"/>
    </row>
    <row r="101" spans="6:13">
      <c r="F101"/>
      <c r="G101"/>
      <c r="H101"/>
    </row>
    <row r="102" spans="6:13">
      <c r="F102"/>
      <c r="G102"/>
      <c r="H102"/>
    </row>
    <row r="103" spans="6:13">
      <c r="F103"/>
      <c r="G103"/>
      <c r="H103"/>
    </row>
    <row r="104" spans="6:13">
      <c r="F104"/>
      <c r="G104"/>
      <c r="H104"/>
    </row>
    <row r="105" spans="6:13">
      <c r="F105"/>
      <c r="G105"/>
      <c r="H105"/>
    </row>
    <row r="106" spans="6:13">
      <c r="F106"/>
      <c r="G106"/>
      <c r="H106"/>
    </row>
    <row r="107" spans="6:13">
      <c r="F107"/>
      <c r="G107"/>
      <c r="H107"/>
    </row>
    <row r="108" spans="6:13">
      <c r="F108"/>
      <c r="G108"/>
      <c r="H108"/>
    </row>
    <row r="109" spans="6:13">
      <c r="F109"/>
      <c r="G109"/>
      <c r="H109"/>
    </row>
    <row r="110" spans="6:13">
      <c r="F110"/>
      <c r="G110"/>
      <c r="H110"/>
    </row>
    <row r="111" spans="6:13">
      <c r="F111"/>
      <c r="G111"/>
      <c r="H111"/>
    </row>
    <row r="112" spans="6:13">
      <c r="F112"/>
      <c r="G112"/>
      <c r="H112"/>
    </row>
    <row r="113" spans="6:8">
      <c r="F113"/>
      <c r="G113"/>
      <c r="H113"/>
    </row>
    <row r="114" spans="6:8">
      <c r="F114"/>
      <c r="G114"/>
      <c r="H114"/>
    </row>
    <row r="115" spans="6:8">
      <c r="F115"/>
      <c r="G115"/>
      <c r="H115"/>
    </row>
    <row r="116" spans="6:8">
      <c r="F116"/>
      <c r="G116"/>
      <c r="H116"/>
    </row>
    <row r="117" spans="6:8">
      <c r="F117"/>
      <c r="G117"/>
      <c r="H117"/>
    </row>
    <row r="118" spans="6:8">
      <c r="F118"/>
      <c r="G118"/>
      <c r="H118"/>
    </row>
    <row r="119" spans="6:8">
      <c r="F119"/>
      <c r="G119"/>
      <c r="H119"/>
    </row>
    <row r="120" spans="6:8">
      <c r="F120"/>
      <c r="G120"/>
      <c r="H120"/>
    </row>
    <row r="121" spans="6:8">
      <c r="F121"/>
      <c r="G121"/>
      <c r="H121"/>
    </row>
  </sheetData>
  <pageMargins left="0.31496062992125984" right="0.19685039370078741" top="0.55118110236220474" bottom="0.55118110236220474" header="0.31496062992125984" footer="0.31496062992125984"/>
  <pageSetup paperSize="9" scale="61" orientation="portrait" horizontalDpi="300" verticalDpi="300" r:id="rId2"/>
  <headerFooter>
    <oddHeader>&amp;L&amp;A&amp;C - RECEBIDOS / PAGOS - &amp;R&amp;P - &amp;N</oddHeader>
    <oddFooter>&amp;R&amp;F</oddFooter>
  </headerFooter>
</worksheet>
</file>

<file path=xl/worksheets/sheet15.xml><?xml version="1.0" encoding="utf-8"?>
<worksheet xmlns="http://schemas.openxmlformats.org/spreadsheetml/2006/main" xmlns:r="http://schemas.openxmlformats.org/officeDocument/2006/relationships">
  <sheetPr codeName="Plan6"/>
  <dimension ref="A1:C94"/>
  <sheetViews>
    <sheetView workbookViewId="0">
      <pane ySplit="1" topLeftCell="A2" activePane="bottomLeft" state="frozen"/>
      <selection pane="bottomLeft" activeCell="A2" sqref="A2"/>
    </sheetView>
  </sheetViews>
  <sheetFormatPr defaultRowHeight="15"/>
  <cols>
    <col min="1" max="1" width="28.42578125" bestFit="1" customWidth="1"/>
    <col min="2" max="2" width="22.85546875" bestFit="1" customWidth="1"/>
    <col min="3" max="3" width="45" bestFit="1" customWidth="1"/>
  </cols>
  <sheetData>
    <row r="1" spans="1:3" s="1" customFormat="1">
      <c r="A1" s="1" t="s">
        <v>475</v>
      </c>
      <c r="B1" s="2" t="s">
        <v>1</v>
      </c>
      <c r="C1" s="1" t="s">
        <v>99</v>
      </c>
    </row>
    <row r="2" spans="1:3">
      <c r="A2" t="s">
        <v>483</v>
      </c>
      <c r="B2" t="s">
        <v>51</v>
      </c>
    </row>
    <row r="3" spans="1:3">
      <c r="A3" t="s">
        <v>29</v>
      </c>
      <c r="B3" t="s">
        <v>51</v>
      </c>
    </row>
    <row r="4" spans="1:3">
      <c r="A4" t="s">
        <v>516</v>
      </c>
      <c r="B4" t="s">
        <v>51</v>
      </c>
    </row>
    <row r="5" spans="1:3">
      <c r="A5" t="s">
        <v>517</v>
      </c>
      <c r="B5" t="s">
        <v>51</v>
      </c>
    </row>
    <row r="6" spans="1:3">
      <c r="A6" t="s">
        <v>12</v>
      </c>
      <c r="B6" t="s">
        <v>51</v>
      </c>
    </row>
    <row r="7" spans="1:3">
      <c r="A7" t="s">
        <v>104</v>
      </c>
      <c r="B7" t="s">
        <v>51</v>
      </c>
    </row>
    <row r="8" spans="1:3">
      <c r="A8" t="s">
        <v>32</v>
      </c>
      <c r="B8" t="s">
        <v>51</v>
      </c>
    </row>
    <row r="9" spans="1:3">
      <c r="A9" t="s">
        <v>1087</v>
      </c>
      <c r="B9" t="s">
        <v>51</v>
      </c>
    </row>
    <row r="10" spans="1:3">
      <c r="A10" t="s">
        <v>54</v>
      </c>
      <c r="B10" t="s">
        <v>51</v>
      </c>
    </row>
    <row r="11" spans="1:3">
      <c r="A11" t="s">
        <v>105</v>
      </c>
      <c r="B11" t="s">
        <v>51</v>
      </c>
    </row>
    <row r="12" spans="1:3">
      <c r="A12" t="s">
        <v>31</v>
      </c>
      <c r="B12" t="s">
        <v>51</v>
      </c>
    </row>
    <row r="13" spans="1:3">
      <c r="A13" t="s">
        <v>9</v>
      </c>
      <c r="B13" t="s">
        <v>51</v>
      </c>
    </row>
    <row r="14" spans="1:3">
      <c r="A14" t="s">
        <v>7</v>
      </c>
      <c r="B14" t="s">
        <v>51</v>
      </c>
    </row>
    <row r="15" spans="1:3">
      <c r="A15" t="s">
        <v>1023</v>
      </c>
      <c r="B15" t="s">
        <v>51</v>
      </c>
    </row>
    <row r="16" spans="1:3">
      <c r="A16" t="s">
        <v>90</v>
      </c>
      <c r="B16" t="s">
        <v>36</v>
      </c>
    </row>
    <row r="17" spans="1:2">
      <c r="A17" t="s">
        <v>484</v>
      </c>
      <c r="B17" t="s">
        <v>36</v>
      </c>
    </row>
    <row r="18" spans="1:2">
      <c r="A18" t="s">
        <v>488</v>
      </c>
      <c r="B18" t="s">
        <v>36</v>
      </c>
    </row>
    <row r="19" spans="1:2">
      <c r="A19" t="s">
        <v>3</v>
      </c>
      <c r="B19" t="s">
        <v>36</v>
      </c>
    </row>
    <row r="20" spans="1:2">
      <c r="A20" t="s">
        <v>1201</v>
      </c>
      <c r="B20" t="s">
        <v>70</v>
      </c>
    </row>
    <row r="21" spans="1:2">
      <c r="A21" t="s">
        <v>58</v>
      </c>
      <c r="B21" t="s">
        <v>70</v>
      </c>
    </row>
    <row r="22" spans="1:2">
      <c r="A22" t="s">
        <v>61</v>
      </c>
      <c r="B22" t="s">
        <v>70</v>
      </c>
    </row>
    <row r="23" spans="1:2">
      <c r="A23" t="s">
        <v>59</v>
      </c>
      <c r="B23" t="s">
        <v>70</v>
      </c>
    </row>
    <row r="24" spans="1:2">
      <c r="A24" t="s">
        <v>67</v>
      </c>
      <c r="B24" t="s">
        <v>70</v>
      </c>
    </row>
    <row r="25" spans="1:2">
      <c r="A25" t="s">
        <v>651</v>
      </c>
      <c r="B25" t="s">
        <v>70</v>
      </c>
    </row>
    <row r="26" spans="1:2">
      <c r="A26" t="s">
        <v>80</v>
      </c>
      <c r="B26" t="s">
        <v>70</v>
      </c>
    </row>
    <row r="27" spans="1:2">
      <c r="A27" t="s">
        <v>57</v>
      </c>
      <c r="B27" t="s">
        <v>70</v>
      </c>
    </row>
    <row r="28" spans="1:2">
      <c r="A28" t="s">
        <v>65</v>
      </c>
      <c r="B28" t="s">
        <v>70</v>
      </c>
    </row>
    <row r="29" spans="1:2">
      <c r="A29" t="s">
        <v>95</v>
      </c>
      <c r="B29" t="s">
        <v>70</v>
      </c>
    </row>
    <row r="30" spans="1:2">
      <c r="A30" t="s">
        <v>56</v>
      </c>
      <c r="B30" t="s">
        <v>70</v>
      </c>
    </row>
    <row r="31" spans="1:2">
      <c r="A31" t="s">
        <v>60</v>
      </c>
      <c r="B31" t="s">
        <v>70</v>
      </c>
    </row>
    <row r="32" spans="1:2">
      <c r="A32" t="s">
        <v>55</v>
      </c>
      <c r="B32" t="s">
        <v>70</v>
      </c>
    </row>
    <row r="33" spans="1:2">
      <c r="A33" t="s">
        <v>1018</v>
      </c>
      <c r="B33" t="s">
        <v>70</v>
      </c>
    </row>
    <row r="34" spans="1:2">
      <c r="A34" t="s">
        <v>64</v>
      </c>
      <c r="B34" t="s">
        <v>70</v>
      </c>
    </row>
    <row r="35" spans="1:2">
      <c r="A35" t="s">
        <v>972</v>
      </c>
      <c r="B35" t="s">
        <v>70</v>
      </c>
    </row>
    <row r="36" spans="1:2">
      <c r="A36" t="s">
        <v>69</v>
      </c>
      <c r="B36" t="s">
        <v>70</v>
      </c>
    </row>
    <row r="37" spans="1:2">
      <c r="A37" t="s">
        <v>63</v>
      </c>
      <c r="B37" t="s">
        <v>70</v>
      </c>
    </row>
    <row r="38" spans="1:2">
      <c r="A38" t="s">
        <v>62</v>
      </c>
      <c r="B38" t="s">
        <v>70</v>
      </c>
    </row>
    <row r="39" spans="1:2">
      <c r="A39" t="s">
        <v>66</v>
      </c>
      <c r="B39" t="s">
        <v>70</v>
      </c>
    </row>
    <row r="40" spans="1:2">
      <c r="A40" t="s">
        <v>514</v>
      </c>
      <c r="B40" t="s">
        <v>70</v>
      </c>
    </row>
    <row r="41" spans="1:2">
      <c r="A41" t="s">
        <v>999</v>
      </c>
      <c r="B41" t="s">
        <v>1000</v>
      </c>
    </row>
    <row r="42" spans="1:2">
      <c r="A42" t="s">
        <v>37</v>
      </c>
      <c r="B42" t="s">
        <v>35</v>
      </c>
    </row>
    <row r="43" spans="1:2">
      <c r="A43" t="s">
        <v>39</v>
      </c>
      <c r="B43" t="s">
        <v>35</v>
      </c>
    </row>
    <row r="44" spans="1:2">
      <c r="A44" t="s">
        <v>34</v>
      </c>
      <c r="B44" t="s">
        <v>35</v>
      </c>
    </row>
    <row r="45" spans="1:2">
      <c r="A45" t="s">
        <v>36</v>
      </c>
      <c r="B45" t="s">
        <v>33</v>
      </c>
    </row>
    <row r="46" spans="1:2">
      <c r="A46" t="s">
        <v>38</v>
      </c>
      <c r="B46" t="s">
        <v>33</v>
      </c>
    </row>
    <row r="47" spans="1:2">
      <c r="A47" t="s">
        <v>27</v>
      </c>
      <c r="B47" t="s">
        <v>22</v>
      </c>
    </row>
    <row r="48" spans="1:2">
      <c r="A48" t="s">
        <v>21</v>
      </c>
      <c r="B48" t="s">
        <v>22</v>
      </c>
    </row>
    <row r="49" spans="1:2">
      <c r="A49" t="s">
        <v>25</v>
      </c>
      <c r="B49" t="s">
        <v>22</v>
      </c>
    </row>
    <row r="50" spans="1:2">
      <c r="A50" t="s">
        <v>1014</v>
      </c>
      <c r="B50" t="s">
        <v>1015</v>
      </c>
    </row>
    <row r="51" spans="1:2">
      <c r="A51" t="s">
        <v>30</v>
      </c>
      <c r="B51" t="s">
        <v>1015</v>
      </c>
    </row>
    <row r="52" spans="1:2">
      <c r="A52" t="s">
        <v>78</v>
      </c>
      <c r="B52" t="s">
        <v>487</v>
      </c>
    </row>
    <row r="53" spans="1:2">
      <c r="A53" t="s">
        <v>1019</v>
      </c>
      <c r="B53" t="s">
        <v>487</v>
      </c>
    </row>
    <row r="54" spans="1:2">
      <c r="A54" t="s">
        <v>1079</v>
      </c>
      <c r="B54" t="s">
        <v>487</v>
      </c>
    </row>
    <row r="55" spans="1:2">
      <c r="A55" t="s">
        <v>18</v>
      </c>
      <c r="B55" t="s">
        <v>15</v>
      </c>
    </row>
    <row r="56" spans="1:2">
      <c r="A56" t="s">
        <v>14</v>
      </c>
      <c r="B56" t="s">
        <v>15</v>
      </c>
    </row>
    <row r="57" spans="1:2">
      <c r="A57" t="s">
        <v>16</v>
      </c>
      <c r="B57" t="s">
        <v>15</v>
      </c>
    </row>
    <row r="58" spans="1:2">
      <c r="A58" t="s">
        <v>20</v>
      </c>
      <c r="B58" t="s">
        <v>15</v>
      </c>
    </row>
    <row r="59" spans="1:2">
      <c r="A59" t="s">
        <v>100</v>
      </c>
      <c r="B59" t="s">
        <v>15</v>
      </c>
    </row>
    <row r="60" spans="1:2">
      <c r="A60" t="s">
        <v>5</v>
      </c>
      <c r="B60" t="s">
        <v>654</v>
      </c>
    </row>
    <row r="61" spans="1:2">
      <c r="A61" t="s">
        <v>10</v>
      </c>
      <c r="B61" t="s">
        <v>654</v>
      </c>
    </row>
    <row r="62" spans="1:2">
      <c r="A62" t="s">
        <v>92</v>
      </c>
      <c r="B62" t="s">
        <v>654</v>
      </c>
    </row>
    <row r="63" spans="1:2">
      <c r="A63" t="s">
        <v>13</v>
      </c>
      <c r="B63" t="s">
        <v>654</v>
      </c>
    </row>
    <row r="64" spans="1:2">
      <c r="A64" t="s">
        <v>91</v>
      </c>
      <c r="B64" t="s">
        <v>91</v>
      </c>
    </row>
    <row r="65" spans="1:3">
      <c r="A65" t="s">
        <v>91</v>
      </c>
      <c r="B65" t="s">
        <v>91</v>
      </c>
    </row>
    <row r="66" spans="1:3">
      <c r="A66" t="s">
        <v>1056</v>
      </c>
      <c r="B66" t="s">
        <v>1015</v>
      </c>
    </row>
    <row r="67" spans="1:3">
      <c r="A67" t="s">
        <v>1057</v>
      </c>
      <c r="B67" t="s">
        <v>1015</v>
      </c>
    </row>
    <row r="68" spans="1:3">
      <c r="A68" t="s">
        <v>1058</v>
      </c>
      <c r="B68" t="s">
        <v>1015</v>
      </c>
    </row>
    <row r="69" spans="1:3">
      <c r="A69" t="s">
        <v>1010</v>
      </c>
      <c r="B69" t="s">
        <v>1015</v>
      </c>
      <c r="C69" t="s">
        <v>1009</v>
      </c>
    </row>
    <row r="70" spans="1:3">
      <c r="A70" t="s">
        <v>1064</v>
      </c>
      <c r="B70" t="s">
        <v>1015</v>
      </c>
    </row>
    <row r="71" spans="1:3">
      <c r="A71" t="s">
        <v>1096</v>
      </c>
      <c r="B71" t="s">
        <v>1015</v>
      </c>
    </row>
    <row r="72" spans="1:3">
      <c r="A72" t="s">
        <v>1097</v>
      </c>
      <c r="B72" t="s">
        <v>1015</v>
      </c>
    </row>
    <row r="73" spans="1:3">
      <c r="A73" t="s">
        <v>23</v>
      </c>
      <c r="B73" t="s">
        <v>24</v>
      </c>
    </row>
    <row r="74" spans="1:3">
      <c r="A74" t="s">
        <v>486</v>
      </c>
      <c r="B74" t="s">
        <v>24</v>
      </c>
    </row>
    <row r="75" spans="1:3">
      <c r="A75" t="s">
        <v>28</v>
      </c>
      <c r="B75" t="s">
        <v>24</v>
      </c>
    </row>
    <row r="76" spans="1:3">
      <c r="A76" t="s">
        <v>26</v>
      </c>
      <c r="B76" t="s">
        <v>24</v>
      </c>
    </row>
    <row r="77" spans="1:3">
      <c r="A77" t="s">
        <v>1094</v>
      </c>
      <c r="B77" t="s">
        <v>471</v>
      </c>
    </row>
    <row r="78" spans="1:3">
      <c r="A78" t="s">
        <v>1095</v>
      </c>
      <c r="B78" t="s">
        <v>471</v>
      </c>
    </row>
    <row r="79" spans="1:3">
      <c r="A79" t="s">
        <v>1110</v>
      </c>
      <c r="B79" t="s">
        <v>471</v>
      </c>
    </row>
    <row r="80" spans="1:3">
      <c r="A80" t="s">
        <v>98</v>
      </c>
      <c r="B80" t="s">
        <v>41</v>
      </c>
    </row>
    <row r="81" spans="1:2">
      <c r="A81" t="s">
        <v>40</v>
      </c>
      <c r="B81" t="s">
        <v>41</v>
      </c>
    </row>
    <row r="82" spans="1:2">
      <c r="A82" t="s">
        <v>97</v>
      </c>
      <c r="B82" t="s">
        <v>41</v>
      </c>
    </row>
    <row r="83" spans="1:2">
      <c r="A83" t="s">
        <v>501</v>
      </c>
      <c r="B83" t="s">
        <v>41</v>
      </c>
    </row>
    <row r="84" spans="1:2">
      <c r="A84" t="s">
        <v>106</v>
      </c>
      <c r="B84" t="s">
        <v>41</v>
      </c>
    </row>
    <row r="85" spans="1:2">
      <c r="A85" t="s">
        <v>96</v>
      </c>
      <c r="B85" t="s">
        <v>41</v>
      </c>
    </row>
    <row r="86" spans="1:2">
      <c r="A86" t="s">
        <v>498</v>
      </c>
      <c r="B86" t="s">
        <v>6</v>
      </c>
    </row>
    <row r="87" spans="1:2">
      <c r="A87" t="s">
        <v>1024</v>
      </c>
      <c r="B87" t="s">
        <v>6</v>
      </c>
    </row>
    <row r="88" spans="1:2">
      <c r="A88" t="s">
        <v>493</v>
      </c>
      <c r="B88" t="s">
        <v>6</v>
      </c>
    </row>
    <row r="89" spans="1:2">
      <c r="A89" t="s">
        <v>8</v>
      </c>
      <c r="B89" t="s">
        <v>6</v>
      </c>
    </row>
    <row r="90" spans="1:2">
      <c r="A90" t="s">
        <v>68</v>
      </c>
      <c r="B90" t="s">
        <v>68</v>
      </c>
    </row>
    <row r="91" spans="1:2">
      <c r="A91" t="s">
        <v>68</v>
      </c>
      <c r="B91" t="s">
        <v>68</v>
      </c>
    </row>
    <row r="92" spans="1:2">
      <c r="A92" t="s">
        <v>19</v>
      </c>
      <c r="B92" t="s">
        <v>11</v>
      </c>
    </row>
    <row r="93" spans="1:2">
      <c r="A93" t="s">
        <v>102</v>
      </c>
      <c r="B93" t="s">
        <v>11</v>
      </c>
    </row>
    <row r="94" spans="1:2">
      <c r="A94" t="s">
        <v>17</v>
      </c>
      <c r="B94" t="s">
        <v>11</v>
      </c>
    </row>
  </sheetData>
  <autoFilter ref="A1:B94"/>
  <sortState ref="A2:C86">
    <sortCondition ref="B2:B86"/>
    <sortCondition ref="A2:A86"/>
  </sortState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>
  <sheetPr codeName="Plan29"/>
  <dimension ref="A1:M39"/>
  <sheetViews>
    <sheetView view="pageBreakPreview" zoomScale="70" zoomScaleSheetLayoutView="70" workbookViewId="0">
      <selection activeCell="B7" sqref="B7:B18"/>
    </sheetView>
  </sheetViews>
  <sheetFormatPr defaultRowHeight="15"/>
  <cols>
    <col min="1" max="1" width="20.140625" style="89" customWidth="1"/>
    <col min="2" max="2" width="112.5703125" style="83" customWidth="1"/>
    <col min="3" max="3" width="18.5703125" style="90" bestFit="1" customWidth="1"/>
    <col min="4" max="4" width="17.5703125" style="83" customWidth="1"/>
    <col min="5" max="5" width="28.42578125" style="91" customWidth="1"/>
    <col min="6" max="6" width="25.5703125" style="83" customWidth="1"/>
    <col min="7" max="7" width="25.140625" style="89" bestFit="1" customWidth="1"/>
    <col min="8" max="8" width="23.85546875" style="83" bestFit="1" customWidth="1"/>
    <col min="9" max="9" width="24.85546875" style="83" bestFit="1" customWidth="1"/>
    <col min="10" max="10" width="18.5703125" style="83" customWidth="1"/>
    <col min="11" max="11" width="19.42578125" style="83" bestFit="1" customWidth="1"/>
    <col min="12" max="16384" width="9.140625" style="83"/>
  </cols>
  <sheetData>
    <row r="1" spans="1:13">
      <c r="A1" s="527" t="s">
        <v>687</v>
      </c>
      <c r="B1" s="528"/>
      <c r="C1" s="528"/>
      <c r="D1" s="528"/>
      <c r="E1" s="529"/>
      <c r="F1" s="536" t="s">
        <v>688</v>
      </c>
      <c r="G1" s="537"/>
      <c r="H1" s="537"/>
    </row>
    <row r="2" spans="1:13">
      <c r="A2" s="530"/>
      <c r="B2" s="531"/>
      <c r="C2" s="531"/>
      <c r="D2" s="531"/>
      <c r="E2" s="532"/>
      <c r="F2" s="84" t="str">
        <f>F5</f>
        <v>CUSTOS</v>
      </c>
      <c r="G2" s="85"/>
      <c r="H2" s="86">
        <f>I7</f>
        <v>20.5</v>
      </c>
      <c r="I2" s="87" t="s">
        <v>689</v>
      </c>
      <c r="J2" s="87" t="s">
        <v>690</v>
      </c>
      <c r="K2" s="87" t="s">
        <v>659</v>
      </c>
    </row>
    <row r="3" spans="1:13" ht="15.75" thickBot="1">
      <c r="A3" s="533"/>
      <c r="B3" s="534"/>
      <c r="C3" s="534"/>
      <c r="D3" s="534"/>
      <c r="E3" s="535"/>
      <c r="F3" s="84" t="str">
        <f>F9</f>
        <v>NF-E</v>
      </c>
      <c r="G3" s="85"/>
      <c r="H3" s="86">
        <f>H14</f>
        <v>166.05</v>
      </c>
      <c r="I3" s="88">
        <f>SUM(H2:H3)</f>
        <v>186.55</v>
      </c>
      <c r="J3" s="88">
        <f>E12</f>
        <v>2700</v>
      </c>
      <c r="K3" s="88">
        <f>J3-I3</f>
        <v>2513.4499999999998</v>
      </c>
    </row>
    <row r="4" spans="1:13" ht="15.75" thickBot="1"/>
    <row r="5" spans="1:13" ht="27.75" customHeight="1" thickBot="1">
      <c r="A5" s="538" t="s">
        <v>691</v>
      </c>
      <c r="B5" s="539"/>
      <c r="C5" s="539"/>
      <c r="D5" s="539"/>
      <c r="E5" s="540"/>
      <c r="F5" s="537" t="s">
        <v>692</v>
      </c>
      <c r="G5" s="537"/>
      <c r="H5" s="537"/>
    </row>
    <row r="6" spans="1:13" ht="15.75" thickBot="1">
      <c r="F6" s="92" t="s">
        <v>36</v>
      </c>
      <c r="G6" s="93">
        <v>14</v>
      </c>
      <c r="H6" s="93">
        <v>16</v>
      </c>
    </row>
    <row r="7" spans="1:13" ht="21" customHeight="1">
      <c r="A7" s="362" t="s">
        <v>693</v>
      </c>
      <c r="B7" s="369" t="s">
        <v>62</v>
      </c>
      <c r="C7" s="541" t="s">
        <v>694</v>
      </c>
      <c r="D7" s="542"/>
      <c r="E7" s="545" t="s">
        <v>1482</v>
      </c>
      <c r="F7" s="93" t="s">
        <v>695</v>
      </c>
      <c r="G7" s="93"/>
      <c r="H7" s="93">
        <v>4.5</v>
      </c>
      <c r="I7" s="94">
        <f>SUM(H6:H7)</f>
        <v>20.5</v>
      </c>
    </row>
    <row r="8" spans="1:13" ht="16.5" customHeight="1" thickBot="1">
      <c r="A8" s="95"/>
      <c r="B8" s="96"/>
      <c r="C8" s="543"/>
      <c r="D8" s="544"/>
      <c r="E8" s="546"/>
    </row>
    <row r="9" spans="1:13" ht="18.75" customHeight="1" thickBot="1">
      <c r="A9" s="362" t="s">
        <v>696</v>
      </c>
      <c r="B9" s="369" t="s">
        <v>1460</v>
      </c>
      <c r="C9" s="97"/>
      <c r="D9" s="97"/>
      <c r="E9" s="98"/>
      <c r="F9" s="511" t="s">
        <v>697</v>
      </c>
      <c r="G9" s="512"/>
      <c r="H9" s="513"/>
    </row>
    <row r="10" spans="1:13" ht="21.75" customHeight="1" thickBot="1">
      <c r="A10" s="95"/>
      <c r="B10" s="96"/>
      <c r="C10" s="514" t="s">
        <v>698</v>
      </c>
      <c r="D10" s="515"/>
      <c r="E10" s="99">
        <f ca="1">NOW()</f>
        <v>42202.922619560188</v>
      </c>
      <c r="F10" s="100" t="s">
        <v>699</v>
      </c>
      <c r="G10" s="101">
        <v>1.5</v>
      </c>
      <c r="H10" s="102">
        <f>$E$29/100*G10</f>
        <v>40.5</v>
      </c>
      <c r="K10" s="83" t="s">
        <v>700</v>
      </c>
    </row>
    <row r="11" spans="1:13" ht="21.75" customHeight="1" thickBot="1">
      <c r="A11" s="362" t="s">
        <v>701</v>
      </c>
      <c r="B11" s="103" t="s">
        <v>1465</v>
      </c>
      <c r="C11" s="104"/>
      <c r="D11" s="104"/>
      <c r="E11" s="105"/>
      <c r="F11" s="92" t="s">
        <v>702</v>
      </c>
      <c r="G11" s="106">
        <v>1</v>
      </c>
      <c r="H11" s="107">
        <f>$E$29/100*G11</f>
        <v>27</v>
      </c>
    </row>
    <row r="12" spans="1:13" ht="21" customHeight="1" thickBot="1">
      <c r="A12" s="95"/>
      <c r="B12" s="96"/>
      <c r="C12" s="516" t="s">
        <v>703</v>
      </c>
      <c r="D12" s="517"/>
      <c r="E12" s="108">
        <f>E33</f>
        <v>2700</v>
      </c>
      <c r="F12" s="92" t="s">
        <v>704</v>
      </c>
      <c r="G12" s="106">
        <v>3</v>
      </c>
      <c r="H12" s="107">
        <f>$E$29/100*G12</f>
        <v>81</v>
      </c>
    </row>
    <row r="13" spans="1:13" ht="21" customHeight="1" thickBot="1">
      <c r="A13" s="362" t="s">
        <v>705</v>
      </c>
      <c r="B13" s="370" t="s">
        <v>1459</v>
      </c>
      <c r="F13" s="92" t="s">
        <v>706</v>
      </c>
      <c r="G13" s="106">
        <v>0.65</v>
      </c>
      <c r="H13" s="107">
        <f>$E$29/100*G13</f>
        <v>17.55</v>
      </c>
    </row>
    <row r="14" spans="1:13" ht="16.5" customHeight="1">
      <c r="A14" s="95"/>
      <c r="B14" s="109"/>
      <c r="C14" s="518" t="s">
        <v>707</v>
      </c>
      <c r="D14" s="519"/>
      <c r="E14" s="520"/>
      <c r="F14" s="84"/>
      <c r="G14" s="92"/>
      <c r="H14" s="94">
        <f>SUM(H10:H13)</f>
        <v>166.05</v>
      </c>
    </row>
    <row r="15" spans="1:13" ht="16.5" customHeight="1">
      <c r="A15" s="561" t="s">
        <v>708</v>
      </c>
      <c r="B15" s="523" t="s">
        <v>1488</v>
      </c>
      <c r="C15" s="563" t="s">
        <v>709</v>
      </c>
      <c r="D15" s="564"/>
      <c r="E15" s="110">
        <f>E33</f>
        <v>2700</v>
      </c>
    </row>
    <row r="16" spans="1:13" ht="39" customHeight="1">
      <c r="A16" s="562"/>
      <c r="B16" s="524"/>
      <c r="C16" s="563" t="s">
        <v>710</v>
      </c>
      <c r="D16" s="564"/>
      <c r="E16" s="374" t="s">
        <v>1486</v>
      </c>
      <c r="F16" s="111" t="s">
        <v>712</v>
      </c>
      <c r="G16" s="111" t="s">
        <v>713</v>
      </c>
      <c r="H16" s="111" t="s">
        <v>714</v>
      </c>
      <c r="I16" s="111" t="s">
        <v>712</v>
      </c>
      <c r="J16" s="111" t="s">
        <v>715</v>
      </c>
      <c r="K16" s="111" t="s">
        <v>716</v>
      </c>
      <c r="L16" s="112" t="s">
        <v>711</v>
      </c>
      <c r="M16" s="359" t="s">
        <v>1458</v>
      </c>
    </row>
    <row r="17" spans="1:12" ht="16.5" customHeight="1">
      <c r="A17" s="361"/>
      <c r="B17" s="113"/>
      <c r="C17" s="557" t="s">
        <v>717</v>
      </c>
      <c r="D17" s="558"/>
      <c r="E17" s="114" t="s">
        <v>718</v>
      </c>
      <c r="F17" s="111" t="s">
        <v>719</v>
      </c>
      <c r="G17" s="111" t="s">
        <v>720</v>
      </c>
      <c r="H17" s="111" t="s">
        <v>695</v>
      </c>
      <c r="I17" s="111" t="s">
        <v>718</v>
      </c>
      <c r="J17" s="111"/>
      <c r="K17" s="112"/>
      <c r="L17" s="112"/>
    </row>
    <row r="18" spans="1:12" ht="21.75" customHeight="1" thickBot="1">
      <c r="A18" s="362" t="s">
        <v>721</v>
      </c>
      <c r="B18" s="113" t="s">
        <v>1484</v>
      </c>
      <c r="C18" s="559" t="s">
        <v>722</v>
      </c>
      <c r="D18" s="560"/>
      <c r="E18" s="115" t="s">
        <v>725</v>
      </c>
      <c r="F18" s="116" t="s">
        <v>724</v>
      </c>
      <c r="G18" s="116" t="s">
        <v>725</v>
      </c>
      <c r="H18" s="116" t="s">
        <v>723</v>
      </c>
      <c r="I18" s="111"/>
      <c r="J18" s="111"/>
    </row>
    <row r="20" spans="1:12" s="119" customFormat="1" ht="30">
      <c r="A20" s="117" t="s">
        <v>726</v>
      </c>
      <c r="B20" s="117" t="s">
        <v>727</v>
      </c>
      <c r="C20" s="117" t="s">
        <v>728</v>
      </c>
      <c r="D20" s="117" t="s">
        <v>729</v>
      </c>
      <c r="E20" s="118" t="s">
        <v>730</v>
      </c>
      <c r="F20" s="118" t="s">
        <v>22</v>
      </c>
      <c r="G20" s="118" t="s">
        <v>48</v>
      </c>
    </row>
    <row r="21" spans="1:12" s="357" customFormat="1" ht="78" customHeight="1">
      <c r="A21" s="113"/>
      <c r="B21" s="355" t="s">
        <v>1483</v>
      </c>
      <c r="C21" s="113">
        <v>3</v>
      </c>
      <c r="D21" s="356">
        <v>250</v>
      </c>
      <c r="E21" s="356">
        <f>D21*C21</f>
        <v>750</v>
      </c>
      <c r="F21" s="356">
        <f t="shared" ref="F21:F27" si="0">E21*0.175</f>
        <v>131.25</v>
      </c>
      <c r="G21" s="113"/>
    </row>
    <row r="22" spans="1:12" s="123" customFormat="1" ht="24" customHeight="1">
      <c r="A22" s="120"/>
      <c r="B22" s="121"/>
      <c r="C22" s="113"/>
      <c r="D22" s="356"/>
      <c r="E22" s="356"/>
      <c r="F22" s="122">
        <f t="shared" si="0"/>
        <v>0</v>
      </c>
      <c r="G22" s="120"/>
    </row>
    <row r="23" spans="1:12" s="357" customFormat="1" ht="138.75" customHeight="1">
      <c r="A23" s="113"/>
      <c r="B23" s="355" t="s">
        <v>1487</v>
      </c>
      <c r="C23" s="113">
        <v>8</v>
      </c>
      <c r="D23" s="356">
        <v>100</v>
      </c>
      <c r="E23" s="356">
        <f>D23*C23</f>
        <v>800</v>
      </c>
      <c r="F23" s="356">
        <f t="shared" si="0"/>
        <v>140</v>
      </c>
      <c r="G23" s="113"/>
    </row>
    <row r="24" spans="1:12" s="123" customFormat="1" ht="24" customHeight="1">
      <c r="A24" s="120"/>
      <c r="B24" s="121"/>
      <c r="C24" s="113"/>
      <c r="D24" s="356"/>
      <c r="E24" s="356"/>
      <c r="F24" s="122">
        <f t="shared" si="0"/>
        <v>0</v>
      </c>
      <c r="G24" s="120"/>
    </row>
    <row r="25" spans="1:12" s="123" customFormat="1" ht="393.75">
      <c r="A25" s="120"/>
      <c r="B25" s="355" t="s">
        <v>1485</v>
      </c>
      <c r="C25" s="113">
        <v>3</v>
      </c>
      <c r="D25" s="356">
        <v>250</v>
      </c>
      <c r="E25" s="356">
        <f>D25*C25</f>
        <v>750</v>
      </c>
      <c r="F25" s="122">
        <f t="shared" si="0"/>
        <v>131.25</v>
      </c>
      <c r="G25" s="124"/>
      <c r="H25" s="125"/>
    </row>
    <row r="26" spans="1:12" s="123" customFormat="1" ht="24" customHeight="1">
      <c r="A26" s="120"/>
      <c r="B26" s="121"/>
      <c r="C26" s="113"/>
      <c r="D26" s="356"/>
      <c r="E26" s="356"/>
      <c r="F26" s="122">
        <f t="shared" si="0"/>
        <v>0</v>
      </c>
      <c r="G26" s="120"/>
    </row>
    <row r="27" spans="1:12" s="123" customFormat="1" ht="66.75" customHeight="1">
      <c r="A27" s="129"/>
      <c r="B27" s="128" t="s">
        <v>1461</v>
      </c>
      <c r="C27" s="360">
        <v>4</v>
      </c>
      <c r="D27" s="356">
        <v>100</v>
      </c>
      <c r="E27" s="356">
        <f>D27*C27</f>
        <v>400</v>
      </c>
      <c r="F27" s="122">
        <f t="shared" si="0"/>
        <v>70</v>
      </c>
      <c r="G27" s="120"/>
    </row>
    <row r="28" spans="1:12" ht="66.75" customHeight="1" thickBot="1">
      <c r="A28" s="120"/>
      <c r="B28" s="128"/>
      <c r="C28" s="130">
        <f>SUM(C21:C27)</f>
        <v>18</v>
      </c>
      <c r="D28" s="131"/>
      <c r="E28" s="122"/>
      <c r="F28" s="122"/>
      <c r="G28" s="120"/>
    </row>
    <row r="29" spans="1:12" ht="48.75" customHeight="1" thickBot="1">
      <c r="B29" s="363" t="s">
        <v>703</v>
      </c>
      <c r="C29" s="364"/>
      <c r="D29" s="365"/>
      <c r="E29" s="132">
        <f>SUM(E21:E28)</f>
        <v>2700</v>
      </c>
      <c r="F29" s="132">
        <f>SUM(F21:F28)</f>
        <v>472.5</v>
      </c>
      <c r="G29" s="132">
        <f>E29-F29</f>
        <v>2227.5</v>
      </c>
      <c r="H29" s="133"/>
    </row>
    <row r="30" spans="1:12" ht="15.75" thickBot="1"/>
    <row r="31" spans="1:12" ht="48.75" customHeight="1" thickBot="1">
      <c r="B31" s="368" t="s">
        <v>1463</v>
      </c>
      <c r="C31" s="509">
        <v>0</v>
      </c>
      <c r="D31" s="510"/>
      <c r="E31" s="132">
        <f>E29*C31</f>
        <v>0</v>
      </c>
      <c r="F31" s="132">
        <f>SUM(F23:F30)</f>
        <v>813.75</v>
      </c>
      <c r="G31" s="132">
        <f>E31-F31</f>
        <v>-813.75</v>
      </c>
      <c r="H31" s="133"/>
    </row>
    <row r="32" spans="1:12" ht="15.75" thickBot="1"/>
    <row r="33" spans="1:8" ht="48.75" customHeight="1" thickBot="1">
      <c r="B33" s="363" t="s">
        <v>1464</v>
      </c>
      <c r="C33" s="366"/>
      <c r="D33" s="367"/>
      <c r="E33" s="132">
        <f>E29-E31</f>
        <v>2700</v>
      </c>
      <c r="F33" s="132">
        <f>SUM(F25:F32)</f>
        <v>1487.5</v>
      </c>
      <c r="G33" s="132">
        <f>E33-F33</f>
        <v>1212.5</v>
      </c>
      <c r="H33" s="133"/>
    </row>
    <row r="34" spans="1:8" s="139" customFormat="1" ht="48.75" customHeight="1">
      <c r="A34" s="134" t="s">
        <v>33</v>
      </c>
      <c r="B34" s="135" t="s">
        <v>731</v>
      </c>
      <c r="C34" s="136"/>
      <c r="D34" s="137"/>
      <c r="E34" s="138"/>
      <c r="G34" s="140"/>
    </row>
    <row r="35" spans="1:8" s="139" customFormat="1" ht="15.75">
      <c r="A35" s="136"/>
      <c r="B35" s="141"/>
      <c r="C35" s="142"/>
      <c r="E35" s="143"/>
      <c r="G35" s="140"/>
    </row>
    <row r="36" spans="1:8" s="139" customFormat="1" ht="48.75" customHeight="1">
      <c r="A36" s="134" t="s">
        <v>732</v>
      </c>
      <c r="B36" s="144"/>
      <c r="C36" s="136"/>
      <c r="D36" s="137"/>
      <c r="E36" s="138"/>
      <c r="G36" s="140"/>
    </row>
    <row r="39" spans="1:8">
      <c r="B39" s="145"/>
    </row>
  </sheetData>
  <mergeCells count="17">
    <mergeCell ref="A15:A16"/>
    <mergeCell ref="B15:B16"/>
    <mergeCell ref="C15:D15"/>
    <mergeCell ref="C16:D16"/>
    <mergeCell ref="A1:E3"/>
    <mergeCell ref="F1:H1"/>
    <mergeCell ref="A5:E5"/>
    <mergeCell ref="F5:H5"/>
    <mergeCell ref="C7:D8"/>
    <mergeCell ref="E7:E8"/>
    <mergeCell ref="F9:H9"/>
    <mergeCell ref="C10:D10"/>
    <mergeCell ref="C12:D12"/>
    <mergeCell ref="C14:E14"/>
    <mergeCell ref="C31:D31"/>
    <mergeCell ref="C17:D17"/>
    <mergeCell ref="C18:D18"/>
  </mergeCells>
  <dataValidations count="3">
    <dataValidation type="list" allowBlank="1" sqref="E17">
      <formula1>$F$17:$I$17</formula1>
    </dataValidation>
    <dataValidation type="list" allowBlank="1" sqref="E16">
      <formula1>$F$16:$M$16</formula1>
    </dataValidation>
    <dataValidation type="list" allowBlank="1" sqref="E18">
      <formula1>$F$18:$H$18</formula1>
    </dataValidation>
  </dataValidations>
  <hyperlinks>
    <hyperlink ref="B13" r:id="rId1"/>
  </hyperlinks>
  <printOptions horizontalCentered="1" verticalCentered="1"/>
  <pageMargins left="0.51181102362204722" right="0.51181102362204722" top="0.47244094488188981" bottom="0.78740157480314965" header="0.31496062992125984" footer="0.31496062992125984"/>
  <pageSetup paperSize="9" scale="46" orientation="portrait" r:id="rId2"/>
  <headerFooter alignWithMargins="0"/>
</worksheet>
</file>

<file path=xl/worksheets/sheet17.xml><?xml version="1.0" encoding="utf-8"?>
<worksheet xmlns="http://schemas.openxmlformats.org/spreadsheetml/2006/main" xmlns:r="http://schemas.openxmlformats.org/officeDocument/2006/relationships">
  <sheetPr codeName="Plan30"/>
  <dimension ref="A1:M54"/>
  <sheetViews>
    <sheetView view="pageBreakPreview" zoomScale="70" zoomScaleSheetLayoutView="70" workbookViewId="0">
      <selection sqref="A1:E3"/>
    </sheetView>
  </sheetViews>
  <sheetFormatPr defaultRowHeight="15"/>
  <cols>
    <col min="1" max="1" width="20.140625" style="89" customWidth="1"/>
    <col min="2" max="2" width="112.5703125" style="83" customWidth="1"/>
    <col min="3" max="3" width="18.5703125" style="90" bestFit="1" customWidth="1"/>
    <col min="4" max="4" width="17.5703125" style="83" customWidth="1"/>
    <col min="5" max="5" width="28.42578125" style="91" customWidth="1"/>
    <col min="6" max="6" width="25.5703125" style="83" customWidth="1"/>
    <col min="7" max="7" width="22.140625" style="89" customWidth="1"/>
    <col min="8" max="8" width="23.85546875" style="83" bestFit="1" customWidth="1"/>
    <col min="9" max="9" width="24.85546875" style="83" bestFit="1" customWidth="1"/>
    <col min="10" max="10" width="18.5703125" style="83" customWidth="1"/>
    <col min="11" max="11" width="19.42578125" style="83" bestFit="1" customWidth="1"/>
    <col min="12" max="16384" width="9.140625" style="83"/>
  </cols>
  <sheetData>
    <row r="1" spans="1:13">
      <c r="A1" s="527" t="s">
        <v>687</v>
      </c>
      <c r="B1" s="528"/>
      <c r="C1" s="528"/>
      <c r="D1" s="528"/>
      <c r="E1" s="529"/>
      <c r="F1" s="536" t="s">
        <v>688</v>
      </c>
      <c r="G1" s="537"/>
      <c r="H1" s="537"/>
    </row>
    <row r="2" spans="1:13">
      <c r="A2" s="530"/>
      <c r="B2" s="531"/>
      <c r="C2" s="531"/>
      <c r="D2" s="531"/>
      <c r="E2" s="532"/>
      <c r="F2" s="84" t="str">
        <f>F5</f>
        <v>CUSTOS</v>
      </c>
      <c r="G2" s="85"/>
      <c r="H2" s="86">
        <f>I7</f>
        <v>20.5</v>
      </c>
      <c r="I2" s="87" t="s">
        <v>689</v>
      </c>
      <c r="J2" s="87" t="s">
        <v>690</v>
      </c>
      <c r="K2" s="87" t="s">
        <v>659</v>
      </c>
    </row>
    <row r="3" spans="1:13" ht="15.75" thickBot="1">
      <c r="A3" s="533"/>
      <c r="B3" s="534"/>
      <c r="C3" s="534"/>
      <c r="D3" s="534"/>
      <c r="E3" s="535"/>
      <c r="F3" s="84" t="str">
        <f>F9</f>
        <v>NF-E</v>
      </c>
      <c r="G3" s="85"/>
      <c r="H3" s="86">
        <f>H14</f>
        <v>590.4</v>
      </c>
      <c r="I3" s="88">
        <f>SUM(H2:H3)</f>
        <v>610.9</v>
      </c>
      <c r="J3" s="88">
        <f>E12</f>
        <v>9600</v>
      </c>
      <c r="K3" s="88">
        <f>J3-I3</f>
        <v>8989.1</v>
      </c>
    </row>
    <row r="4" spans="1:13" ht="15.75" thickBot="1"/>
    <row r="5" spans="1:13" ht="27.75" customHeight="1" thickBot="1">
      <c r="A5" s="538" t="s">
        <v>691</v>
      </c>
      <c r="B5" s="539"/>
      <c r="C5" s="539"/>
      <c r="D5" s="539"/>
      <c r="E5" s="540"/>
      <c r="F5" s="537" t="s">
        <v>692</v>
      </c>
      <c r="G5" s="537"/>
      <c r="H5" s="537"/>
    </row>
    <row r="6" spans="1:13" ht="15.75" thickBot="1">
      <c r="F6" s="92" t="s">
        <v>36</v>
      </c>
      <c r="G6" s="93">
        <v>14</v>
      </c>
      <c r="H6" s="93">
        <v>16</v>
      </c>
    </row>
    <row r="7" spans="1:13" ht="21" customHeight="1">
      <c r="A7" s="372" t="s">
        <v>693</v>
      </c>
      <c r="B7" s="369" t="s">
        <v>62</v>
      </c>
      <c r="C7" s="541" t="s">
        <v>694</v>
      </c>
      <c r="D7" s="542"/>
      <c r="E7" s="545" t="s">
        <v>1466</v>
      </c>
      <c r="F7" s="93" t="s">
        <v>695</v>
      </c>
      <c r="G7" s="93"/>
      <c r="H7" s="93">
        <v>4.5</v>
      </c>
      <c r="I7" s="94">
        <f>SUM(H6:H7)</f>
        <v>20.5</v>
      </c>
    </row>
    <row r="8" spans="1:13" ht="16.5" customHeight="1" thickBot="1">
      <c r="A8" s="95"/>
      <c r="B8" s="96"/>
      <c r="C8" s="543"/>
      <c r="D8" s="544"/>
      <c r="E8" s="546"/>
    </row>
    <row r="9" spans="1:13" ht="18.75" customHeight="1" thickBot="1">
      <c r="A9" s="372" t="s">
        <v>696</v>
      </c>
      <c r="B9" s="369" t="s">
        <v>1460</v>
      </c>
      <c r="C9" s="97"/>
      <c r="D9" s="97"/>
      <c r="E9" s="98"/>
      <c r="F9" s="511" t="s">
        <v>697</v>
      </c>
      <c r="G9" s="512"/>
      <c r="H9" s="513"/>
    </row>
    <row r="10" spans="1:13" ht="21.75" customHeight="1" thickBot="1">
      <c r="A10" s="95"/>
      <c r="B10" s="96"/>
      <c r="C10" s="514" t="s">
        <v>698</v>
      </c>
      <c r="D10" s="515"/>
      <c r="E10" s="99">
        <f ca="1">NOW()</f>
        <v>42202.922619560188</v>
      </c>
      <c r="F10" s="100" t="s">
        <v>699</v>
      </c>
      <c r="G10" s="101">
        <v>1.5</v>
      </c>
      <c r="H10" s="102">
        <f>$E$44/100*G10</f>
        <v>144</v>
      </c>
      <c r="K10" s="83" t="s">
        <v>700</v>
      </c>
    </row>
    <row r="11" spans="1:13" ht="21.75" customHeight="1" thickBot="1">
      <c r="A11" s="372" t="s">
        <v>701</v>
      </c>
      <c r="B11" s="103" t="s">
        <v>1465</v>
      </c>
      <c r="C11" s="104"/>
      <c r="D11" s="104"/>
      <c r="E11" s="105"/>
      <c r="F11" s="92" t="s">
        <v>702</v>
      </c>
      <c r="G11" s="106">
        <v>1</v>
      </c>
      <c r="H11" s="107">
        <f>$E$44/100*G11</f>
        <v>96</v>
      </c>
    </row>
    <row r="12" spans="1:13" ht="21" customHeight="1" thickBot="1">
      <c r="A12" s="95"/>
      <c r="B12" s="96"/>
      <c r="C12" s="516" t="s">
        <v>703</v>
      </c>
      <c r="D12" s="517"/>
      <c r="E12" s="108">
        <f>E48</f>
        <v>9600</v>
      </c>
      <c r="F12" s="92" t="s">
        <v>704</v>
      </c>
      <c r="G12" s="106">
        <v>3</v>
      </c>
      <c r="H12" s="107">
        <f>$E$44/100*G12</f>
        <v>288</v>
      </c>
    </row>
    <row r="13" spans="1:13" ht="21" customHeight="1" thickBot="1">
      <c r="A13" s="372" t="s">
        <v>705</v>
      </c>
      <c r="B13" s="370" t="s">
        <v>1459</v>
      </c>
      <c r="F13" s="92" t="s">
        <v>706</v>
      </c>
      <c r="G13" s="106">
        <v>0.65</v>
      </c>
      <c r="H13" s="107">
        <f>$E$44/100*G13</f>
        <v>62.400000000000006</v>
      </c>
    </row>
    <row r="14" spans="1:13" ht="16.5" customHeight="1">
      <c r="A14" s="95"/>
      <c r="B14" s="109"/>
      <c r="C14" s="518" t="s">
        <v>707</v>
      </c>
      <c r="D14" s="519"/>
      <c r="E14" s="520"/>
      <c r="F14" s="84"/>
      <c r="G14" s="92"/>
      <c r="H14" s="94">
        <f>SUM(H10:H13)</f>
        <v>590.4</v>
      </c>
    </row>
    <row r="15" spans="1:13" ht="16.5" customHeight="1">
      <c r="A15" s="561" t="s">
        <v>708</v>
      </c>
      <c r="B15" s="523" t="s">
        <v>1479</v>
      </c>
      <c r="C15" s="563" t="s">
        <v>709</v>
      </c>
      <c r="D15" s="564"/>
      <c r="E15" s="110">
        <f>E48</f>
        <v>9600</v>
      </c>
    </row>
    <row r="16" spans="1:13" ht="39" customHeight="1">
      <c r="A16" s="562"/>
      <c r="B16" s="524"/>
      <c r="C16" s="563" t="s">
        <v>710</v>
      </c>
      <c r="D16" s="564"/>
      <c r="E16" s="374" t="s">
        <v>1467</v>
      </c>
      <c r="F16" s="111" t="s">
        <v>712</v>
      </c>
      <c r="G16" s="111" t="s">
        <v>713</v>
      </c>
      <c r="H16" s="111" t="s">
        <v>714</v>
      </c>
      <c r="I16" s="111" t="s">
        <v>712</v>
      </c>
      <c r="J16" s="111" t="s">
        <v>715</v>
      </c>
      <c r="K16" s="111" t="s">
        <v>716</v>
      </c>
      <c r="L16" s="112" t="s">
        <v>711</v>
      </c>
      <c r="M16" s="359" t="s">
        <v>1458</v>
      </c>
    </row>
    <row r="17" spans="1:12" ht="16.5" customHeight="1">
      <c r="A17" s="371"/>
      <c r="B17" s="113"/>
      <c r="C17" s="557" t="s">
        <v>717</v>
      </c>
      <c r="D17" s="558"/>
      <c r="E17" s="114" t="s">
        <v>718</v>
      </c>
      <c r="F17" s="111" t="s">
        <v>719</v>
      </c>
      <c r="G17" s="111" t="s">
        <v>720</v>
      </c>
      <c r="H17" s="111" t="s">
        <v>695</v>
      </c>
      <c r="I17" s="111" t="s">
        <v>718</v>
      </c>
      <c r="J17" s="111"/>
      <c r="K17" s="112"/>
      <c r="L17" s="112"/>
    </row>
    <row r="18" spans="1:12" ht="21.75" customHeight="1" thickBot="1">
      <c r="A18" s="372" t="s">
        <v>721</v>
      </c>
      <c r="B18" s="113" t="s">
        <v>1462</v>
      </c>
      <c r="C18" s="559" t="s">
        <v>722</v>
      </c>
      <c r="D18" s="560"/>
      <c r="E18" s="115" t="s">
        <v>725</v>
      </c>
      <c r="F18" s="116" t="s">
        <v>724</v>
      </c>
      <c r="G18" s="116" t="s">
        <v>725</v>
      </c>
      <c r="H18" s="116" t="s">
        <v>723</v>
      </c>
      <c r="I18" s="111"/>
      <c r="J18" s="111"/>
    </row>
    <row r="20" spans="1:12" s="119" customFormat="1" ht="30">
      <c r="A20" s="117" t="s">
        <v>726</v>
      </c>
      <c r="B20" s="117" t="s">
        <v>727</v>
      </c>
      <c r="C20" s="117" t="s">
        <v>728</v>
      </c>
      <c r="D20" s="117" t="s">
        <v>729</v>
      </c>
      <c r="E20" s="118" t="s">
        <v>730</v>
      </c>
      <c r="F20" s="118" t="s">
        <v>22</v>
      </c>
      <c r="G20" s="118" t="s">
        <v>48</v>
      </c>
    </row>
    <row r="21" spans="1:12" s="357" customFormat="1" ht="131.25">
      <c r="A21" s="113"/>
      <c r="B21" s="355" t="s">
        <v>1468</v>
      </c>
      <c r="C21" s="113">
        <v>4</v>
      </c>
      <c r="D21" s="356">
        <v>250</v>
      </c>
      <c r="E21" s="356">
        <f>D21*C21</f>
        <v>1000</v>
      </c>
      <c r="F21" s="356">
        <f t="shared" ref="F21:F34" si="0">E21*0.175</f>
        <v>175</v>
      </c>
      <c r="G21" s="113"/>
    </row>
    <row r="22" spans="1:12" s="123" customFormat="1" ht="24" customHeight="1">
      <c r="A22" s="120"/>
      <c r="B22" s="121"/>
      <c r="C22" s="113"/>
      <c r="D22" s="356"/>
      <c r="E22" s="356"/>
      <c r="F22" s="122">
        <f t="shared" si="0"/>
        <v>0</v>
      </c>
      <c r="G22" s="120"/>
    </row>
    <row r="23" spans="1:12" s="357" customFormat="1" ht="131.25">
      <c r="A23" s="113"/>
      <c r="B23" s="355" t="s">
        <v>1469</v>
      </c>
      <c r="C23" s="113">
        <v>4</v>
      </c>
      <c r="D23" s="356">
        <v>250</v>
      </c>
      <c r="E23" s="356">
        <f>D23*C23</f>
        <v>1000</v>
      </c>
      <c r="F23" s="356">
        <f>E23*0.175</f>
        <v>175</v>
      </c>
      <c r="G23" s="113"/>
    </row>
    <row r="24" spans="1:12" s="123" customFormat="1" ht="24" customHeight="1">
      <c r="A24" s="120"/>
      <c r="B24" s="121"/>
      <c r="C24" s="113"/>
      <c r="D24" s="356"/>
      <c r="E24" s="356"/>
      <c r="F24" s="122">
        <f t="shared" si="0"/>
        <v>0</v>
      </c>
      <c r="G24" s="120"/>
    </row>
    <row r="25" spans="1:12" s="123" customFormat="1" ht="131.25">
      <c r="A25" s="120"/>
      <c r="B25" s="355" t="s">
        <v>1470</v>
      </c>
      <c r="C25" s="113">
        <v>4</v>
      </c>
      <c r="D25" s="356">
        <v>250</v>
      </c>
      <c r="E25" s="356">
        <f>D25*C25</f>
        <v>1000</v>
      </c>
      <c r="F25" s="122">
        <f>E25*0.175</f>
        <v>175</v>
      </c>
      <c r="G25" s="124"/>
      <c r="H25" s="125"/>
    </row>
    <row r="26" spans="1:12" s="123" customFormat="1" ht="24" customHeight="1">
      <c r="A26" s="120"/>
      <c r="B26" s="121"/>
      <c r="C26" s="113"/>
      <c r="D26" s="356"/>
      <c r="E26" s="356"/>
      <c r="F26" s="122">
        <f t="shared" si="0"/>
        <v>0</v>
      </c>
      <c r="G26" s="120"/>
    </row>
    <row r="27" spans="1:12" s="123" customFormat="1" ht="131.25">
      <c r="A27" s="120"/>
      <c r="B27" s="355" t="s">
        <v>1471</v>
      </c>
      <c r="C27" s="113">
        <v>4</v>
      </c>
      <c r="D27" s="356">
        <v>250</v>
      </c>
      <c r="E27" s="356">
        <f>D27*C27</f>
        <v>1000</v>
      </c>
      <c r="F27" s="122">
        <f t="shared" si="0"/>
        <v>175</v>
      </c>
      <c r="G27" s="126"/>
      <c r="H27" s="127"/>
    </row>
    <row r="28" spans="1:12" s="123" customFormat="1" ht="24" customHeight="1">
      <c r="A28" s="120"/>
      <c r="B28" s="121"/>
      <c r="C28" s="113"/>
      <c r="D28" s="356"/>
      <c r="E28" s="356"/>
      <c r="F28" s="122">
        <f t="shared" si="0"/>
        <v>0</v>
      </c>
      <c r="G28" s="120"/>
    </row>
    <row r="29" spans="1:12" s="123" customFormat="1" ht="131.25">
      <c r="A29" s="120"/>
      <c r="B29" s="355" t="s">
        <v>1477</v>
      </c>
      <c r="C29" s="113">
        <v>3</v>
      </c>
      <c r="D29" s="356">
        <v>250</v>
      </c>
      <c r="E29" s="356">
        <f>D29*C29</f>
        <v>750</v>
      </c>
      <c r="F29" s="122">
        <f t="shared" si="0"/>
        <v>131.25</v>
      </c>
      <c r="G29" s="120"/>
    </row>
    <row r="30" spans="1:12" s="123" customFormat="1" ht="24" customHeight="1">
      <c r="A30" s="120"/>
      <c r="B30" s="121"/>
      <c r="C30" s="113"/>
      <c r="D30" s="356"/>
      <c r="E30" s="356"/>
      <c r="F30" s="122">
        <f t="shared" si="0"/>
        <v>0</v>
      </c>
      <c r="G30" s="120"/>
    </row>
    <row r="31" spans="1:12" s="123" customFormat="1" ht="131.25">
      <c r="A31" s="120"/>
      <c r="B31" s="355" t="s">
        <v>1473</v>
      </c>
      <c r="C31" s="113">
        <v>3</v>
      </c>
      <c r="D31" s="356">
        <v>250</v>
      </c>
      <c r="E31" s="356">
        <f>D31*C31</f>
        <v>750</v>
      </c>
      <c r="F31" s="122">
        <f t="shared" si="0"/>
        <v>131.25</v>
      </c>
      <c r="G31" s="120"/>
    </row>
    <row r="32" spans="1:12" s="123" customFormat="1" ht="24" customHeight="1">
      <c r="A32" s="120"/>
      <c r="B32" s="121"/>
      <c r="C32" s="113"/>
      <c r="D32" s="356"/>
      <c r="E32" s="356"/>
      <c r="F32" s="122">
        <f t="shared" si="0"/>
        <v>0</v>
      </c>
      <c r="G32" s="120"/>
    </row>
    <row r="33" spans="1:8" s="123" customFormat="1" ht="131.25">
      <c r="A33" s="120"/>
      <c r="B33" s="355" t="s">
        <v>1474</v>
      </c>
      <c r="C33" s="113">
        <v>4</v>
      </c>
      <c r="D33" s="356">
        <v>250</v>
      </c>
      <c r="E33" s="356">
        <f>D33*C33</f>
        <v>1000</v>
      </c>
      <c r="F33" s="122">
        <f t="shared" si="0"/>
        <v>175</v>
      </c>
      <c r="G33" s="120"/>
    </row>
    <row r="34" spans="1:8" s="123" customFormat="1" ht="24" customHeight="1">
      <c r="A34" s="120"/>
      <c r="B34" s="121"/>
      <c r="C34" s="113"/>
      <c r="D34" s="356"/>
      <c r="E34" s="356"/>
      <c r="F34" s="122">
        <f t="shared" si="0"/>
        <v>0</v>
      </c>
      <c r="G34" s="120"/>
    </row>
    <row r="35" spans="1:8" s="123" customFormat="1" ht="131.25">
      <c r="A35" s="120"/>
      <c r="B35" s="355" t="s">
        <v>1478</v>
      </c>
      <c r="C35" s="113">
        <v>4</v>
      </c>
      <c r="D35" s="356">
        <v>250</v>
      </c>
      <c r="E35" s="356">
        <f>D35*C35</f>
        <v>1000</v>
      </c>
      <c r="F35" s="122">
        <f t="shared" ref="F35:F42" si="1">E35*0.175</f>
        <v>175</v>
      </c>
      <c r="G35" s="120"/>
    </row>
    <row r="36" spans="1:8" s="123" customFormat="1" ht="24" customHeight="1">
      <c r="A36" s="120"/>
      <c r="B36" s="121"/>
      <c r="C36" s="113"/>
      <c r="D36" s="356"/>
      <c r="E36" s="356"/>
      <c r="F36" s="122">
        <f t="shared" si="1"/>
        <v>0</v>
      </c>
      <c r="G36" s="120"/>
    </row>
    <row r="37" spans="1:8" s="123" customFormat="1" ht="131.25">
      <c r="A37" s="120"/>
      <c r="B37" s="355" t="s">
        <v>1475</v>
      </c>
      <c r="C37" s="113">
        <v>3</v>
      </c>
      <c r="D37" s="356">
        <v>250</v>
      </c>
      <c r="E37" s="356">
        <f>D37*C37</f>
        <v>750</v>
      </c>
      <c r="F37" s="122">
        <f t="shared" si="1"/>
        <v>131.25</v>
      </c>
      <c r="G37" s="120"/>
    </row>
    <row r="38" spans="1:8" s="123" customFormat="1" ht="24" customHeight="1">
      <c r="A38" s="120"/>
      <c r="B38" s="121"/>
      <c r="C38" s="113"/>
      <c r="D38" s="356"/>
      <c r="E38" s="356"/>
      <c r="F38" s="122">
        <f t="shared" si="1"/>
        <v>0</v>
      </c>
      <c r="G38" s="120"/>
    </row>
    <row r="39" spans="1:8" s="123" customFormat="1" ht="131.25">
      <c r="A39" s="120"/>
      <c r="B39" s="355" t="s">
        <v>1472</v>
      </c>
      <c r="C39" s="113">
        <v>3</v>
      </c>
      <c r="D39" s="356">
        <v>250</v>
      </c>
      <c r="E39" s="356">
        <f>D39*C39</f>
        <v>750</v>
      </c>
      <c r="F39" s="122">
        <f t="shared" si="1"/>
        <v>131.25</v>
      </c>
      <c r="G39" s="120"/>
    </row>
    <row r="40" spans="1:8" s="123" customFormat="1" ht="24" customHeight="1">
      <c r="A40" s="120"/>
      <c r="B40" s="121"/>
      <c r="C40" s="113"/>
      <c r="D40" s="356"/>
      <c r="E40" s="356"/>
      <c r="F40" s="122">
        <f t="shared" si="1"/>
        <v>0</v>
      </c>
      <c r="G40" s="120"/>
    </row>
    <row r="41" spans="1:8" s="123" customFormat="1" ht="131.25">
      <c r="A41" s="120"/>
      <c r="B41" s="355" t="s">
        <v>1476</v>
      </c>
      <c r="C41" s="360">
        <v>6</v>
      </c>
      <c r="D41" s="356">
        <v>100</v>
      </c>
      <c r="E41" s="356">
        <f>D41*C41</f>
        <v>600</v>
      </c>
      <c r="F41" s="122">
        <f t="shared" si="1"/>
        <v>105</v>
      </c>
      <c r="G41" s="120"/>
    </row>
    <row r="42" spans="1:8" s="123" customFormat="1" ht="24" customHeight="1">
      <c r="A42" s="120"/>
      <c r="B42" s="121"/>
      <c r="C42" s="113"/>
      <c r="D42" s="356"/>
      <c r="E42" s="356"/>
      <c r="F42" s="122">
        <f t="shared" si="1"/>
        <v>0</v>
      </c>
      <c r="G42" s="120"/>
    </row>
    <row r="43" spans="1:8" ht="66.75" customHeight="1" thickBot="1">
      <c r="A43" s="120"/>
      <c r="B43" s="128"/>
      <c r="C43" s="130">
        <f>SUM(C21:C42)</f>
        <v>42</v>
      </c>
      <c r="D43" s="131"/>
      <c r="E43" s="122"/>
      <c r="F43" s="122"/>
      <c r="G43" s="120"/>
    </row>
    <row r="44" spans="1:8" ht="48.75" customHeight="1" thickBot="1">
      <c r="B44" s="363" t="s">
        <v>703</v>
      </c>
      <c r="C44" s="364"/>
      <c r="D44" s="365"/>
      <c r="E44" s="132">
        <f>SUM(E21:E43)</f>
        <v>9600</v>
      </c>
      <c r="F44" s="132">
        <f>E44*0.175</f>
        <v>1680</v>
      </c>
      <c r="G44" s="132">
        <f>E44-F44</f>
        <v>7920</v>
      </c>
      <c r="H44" s="133"/>
    </row>
    <row r="45" spans="1:8" ht="15.75" thickBot="1"/>
    <row r="46" spans="1:8" ht="48.75" customHeight="1" thickBot="1">
      <c r="B46" s="368" t="s">
        <v>1463</v>
      </c>
      <c r="C46" s="509">
        <v>0</v>
      </c>
      <c r="D46" s="510"/>
      <c r="E46" s="132">
        <f>E44*C46</f>
        <v>0</v>
      </c>
      <c r="F46" s="132"/>
      <c r="G46" s="132"/>
      <c r="H46" s="133"/>
    </row>
    <row r="47" spans="1:8" ht="15.75" thickBot="1"/>
    <row r="48" spans="1:8" ht="48.75" customHeight="1" thickBot="1">
      <c r="B48" s="363" t="s">
        <v>1464</v>
      </c>
      <c r="C48" s="366"/>
      <c r="D48" s="373"/>
      <c r="E48" s="132">
        <f>E44-E46</f>
        <v>9600</v>
      </c>
      <c r="F48" s="132">
        <f>E48*0.175</f>
        <v>1680</v>
      </c>
      <c r="G48" s="132">
        <f>E48-F48</f>
        <v>7920</v>
      </c>
      <c r="H48" s="133"/>
    </row>
    <row r="49" spans="1:7" s="139" customFormat="1" ht="48.75" customHeight="1">
      <c r="A49" s="134" t="s">
        <v>33</v>
      </c>
      <c r="B49" s="135" t="s">
        <v>731</v>
      </c>
      <c r="C49" s="136"/>
      <c r="D49" s="137"/>
      <c r="E49" s="138"/>
      <c r="G49" s="140"/>
    </row>
    <row r="50" spans="1:7" s="139" customFormat="1" ht="15.75">
      <c r="A50" s="136"/>
      <c r="B50" s="141"/>
      <c r="C50" s="142"/>
      <c r="E50" s="143"/>
      <c r="G50" s="140"/>
    </row>
    <row r="51" spans="1:7" s="139" customFormat="1" ht="48.75" customHeight="1">
      <c r="A51" s="134" t="s">
        <v>732</v>
      </c>
      <c r="B51" s="144"/>
      <c r="C51" s="136"/>
      <c r="D51" s="137"/>
      <c r="E51" s="138"/>
      <c r="G51" s="140"/>
    </row>
    <row r="54" spans="1:7">
      <c r="B54" s="145"/>
    </row>
  </sheetData>
  <mergeCells count="17">
    <mergeCell ref="F1:H1"/>
    <mergeCell ref="A5:E5"/>
    <mergeCell ref="F5:H5"/>
    <mergeCell ref="C7:D8"/>
    <mergeCell ref="E7:E8"/>
    <mergeCell ref="A15:A16"/>
    <mergeCell ref="B15:B16"/>
    <mergeCell ref="C15:D15"/>
    <mergeCell ref="C16:D16"/>
    <mergeCell ref="A1:E3"/>
    <mergeCell ref="C17:D17"/>
    <mergeCell ref="C18:D18"/>
    <mergeCell ref="C46:D46"/>
    <mergeCell ref="F9:H9"/>
    <mergeCell ref="C10:D10"/>
    <mergeCell ref="C12:D12"/>
    <mergeCell ref="C14:E14"/>
  </mergeCells>
  <dataValidations count="3">
    <dataValidation type="list" allowBlank="1" sqref="E18">
      <formula1>$F$18:$H$18</formula1>
    </dataValidation>
    <dataValidation type="list" allowBlank="1" sqref="E16">
      <formula1>$F$16:$M$16</formula1>
    </dataValidation>
    <dataValidation type="list" allowBlank="1" sqref="E17">
      <formula1>$F$17:$I$17</formula1>
    </dataValidation>
  </dataValidations>
  <hyperlinks>
    <hyperlink ref="B13" r:id="rId1"/>
  </hyperlinks>
  <printOptions horizontalCentered="1"/>
  <pageMargins left="0.28000000000000003" right="0.35" top="0.39370078740157483" bottom="0.39370078740157483" header="0.31496062992125984" footer="0.31496062992125984"/>
  <pageSetup paperSize="9" scale="50" fitToHeight="2" orientation="portrait" r:id="rId2"/>
  <headerFooter alignWithMargins="0">
    <oddFooter>&amp;R&amp;P - &amp;N</oddFooter>
  </headerFooter>
</worksheet>
</file>

<file path=xl/worksheets/sheet18.xml><?xml version="1.0" encoding="utf-8"?>
<worksheet xmlns="http://schemas.openxmlformats.org/spreadsheetml/2006/main" xmlns:r="http://schemas.openxmlformats.org/officeDocument/2006/relationships">
  <sheetPr codeName="Plan31"/>
  <dimension ref="A1:M53"/>
  <sheetViews>
    <sheetView view="pageBreakPreview" zoomScale="70" zoomScaleSheetLayoutView="70" workbookViewId="0">
      <selection activeCell="A20" activeCellId="8" sqref="A7 A9 A11 A13 A15:A16 A17 A18 C15:D18 A20:E21"/>
    </sheetView>
  </sheetViews>
  <sheetFormatPr defaultRowHeight="15"/>
  <cols>
    <col min="1" max="1" width="20.140625" style="89" customWidth="1"/>
    <col min="2" max="2" width="112.5703125" style="83" customWidth="1"/>
    <col min="3" max="3" width="18.5703125" style="90" bestFit="1" customWidth="1"/>
    <col min="4" max="4" width="17.5703125" style="83" customWidth="1"/>
    <col min="5" max="5" width="28.42578125" style="91" customWidth="1"/>
    <col min="6" max="6" width="25.5703125" style="83" customWidth="1"/>
    <col min="7" max="7" width="22.140625" style="89" customWidth="1"/>
    <col min="8" max="8" width="23.85546875" style="83" bestFit="1" customWidth="1"/>
    <col min="9" max="9" width="24.85546875" style="83" bestFit="1" customWidth="1"/>
    <col min="10" max="10" width="18.5703125" style="83" customWidth="1"/>
    <col min="11" max="11" width="19.42578125" style="83" bestFit="1" customWidth="1"/>
    <col min="12" max="16384" width="9.140625" style="83"/>
  </cols>
  <sheetData>
    <row r="1" spans="1:13">
      <c r="A1" s="527" t="s">
        <v>687</v>
      </c>
      <c r="B1" s="528"/>
      <c r="C1" s="528"/>
      <c r="D1" s="528"/>
      <c r="E1" s="529"/>
      <c r="F1" s="536" t="s">
        <v>688</v>
      </c>
      <c r="G1" s="537"/>
      <c r="H1" s="537"/>
    </row>
    <row r="2" spans="1:13">
      <c r="A2" s="530"/>
      <c r="B2" s="531"/>
      <c r="C2" s="531"/>
      <c r="D2" s="531"/>
      <c r="E2" s="532"/>
      <c r="F2" s="84" t="str">
        <f>F5</f>
        <v>CUSTOS</v>
      </c>
      <c r="G2" s="85"/>
      <c r="H2" s="86">
        <f>I7</f>
        <v>20.5</v>
      </c>
      <c r="I2" s="87" t="s">
        <v>689</v>
      </c>
      <c r="J2" s="87" t="s">
        <v>690</v>
      </c>
      <c r="K2" s="87" t="s">
        <v>659</v>
      </c>
    </row>
    <row r="3" spans="1:13" ht="15.75" thickBot="1">
      <c r="A3" s="533"/>
      <c r="B3" s="534"/>
      <c r="C3" s="534"/>
      <c r="D3" s="534"/>
      <c r="E3" s="535"/>
      <c r="F3" s="84" t="str">
        <f>F9</f>
        <v>NF-E</v>
      </c>
      <c r="G3" s="85"/>
      <c r="H3" s="86">
        <f>H14</f>
        <v>0</v>
      </c>
      <c r="I3" s="88">
        <f>SUM(H2:H3)</f>
        <v>20.5</v>
      </c>
      <c r="J3" s="88">
        <f>E12</f>
        <v>0</v>
      </c>
      <c r="K3" s="88">
        <f>J3-I3</f>
        <v>-20.5</v>
      </c>
    </row>
    <row r="4" spans="1:13" ht="15.75" thickBot="1"/>
    <row r="5" spans="1:13" ht="27.75" customHeight="1" thickBot="1">
      <c r="A5" s="538" t="s">
        <v>691</v>
      </c>
      <c r="B5" s="539"/>
      <c r="C5" s="539"/>
      <c r="D5" s="539"/>
      <c r="E5" s="540"/>
      <c r="F5" s="537" t="s">
        <v>692</v>
      </c>
      <c r="G5" s="537"/>
      <c r="H5" s="537"/>
    </row>
    <row r="6" spans="1:13" ht="15.75" thickBot="1">
      <c r="F6" s="92" t="s">
        <v>36</v>
      </c>
      <c r="G6" s="93">
        <v>14</v>
      </c>
      <c r="H6" s="93">
        <v>16</v>
      </c>
    </row>
    <row r="7" spans="1:13" ht="21" customHeight="1">
      <c r="A7" s="389" t="s">
        <v>693</v>
      </c>
      <c r="B7" s="369"/>
      <c r="C7" s="541" t="s">
        <v>694</v>
      </c>
      <c r="D7" s="542"/>
      <c r="E7" s="545" t="s">
        <v>1489</v>
      </c>
      <c r="F7" s="93" t="s">
        <v>695</v>
      </c>
      <c r="G7" s="93"/>
      <c r="H7" s="93">
        <v>4.5</v>
      </c>
      <c r="I7" s="94">
        <f>SUM(H6:H7)</f>
        <v>20.5</v>
      </c>
    </row>
    <row r="8" spans="1:13" ht="16.5" customHeight="1" thickBot="1">
      <c r="A8" s="95"/>
      <c r="B8" s="96"/>
      <c r="C8" s="543"/>
      <c r="D8" s="544"/>
      <c r="E8" s="546"/>
    </row>
    <row r="9" spans="1:13" ht="18.75" customHeight="1" thickBot="1">
      <c r="A9" s="389" t="s">
        <v>696</v>
      </c>
      <c r="B9" s="369"/>
      <c r="C9" s="97"/>
      <c r="D9" s="97"/>
      <c r="E9" s="98"/>
      <c r="F9" s="511" t="s">
        <v>697</v>
      </c>
      <c r="G9" s="512"/>
      <c r="H9" s="513"/>
    </row>
    <row r="10" spans="1:13" ht="21.75" customHeight="1" thickBot="1">
      <c r="A10" s="95"/>
      <c r="B10" s="96"/>
      <c r="C10" s="514" t="s">
        <v>698</v>
      </c>
      <c r="D10" s="515"/>
      <c r="E10" s="99"/>
      <c r="F10" s="100" t="s">
        <v>699</v>
      </c>
      <c r="G10" s="101">
        <v>1.5</v>
      </c>
      <c r="H10" s="102">
        <f>$E$43/100*G10</f>
        <v>0</v>
      </c>
      <c r="K10" s="83" t="s">
        <v>700</v>
      </c>
    </row>
    <row r="11" spans="1:13" ht="21.75" customHeight="1" thickBot="1">
      <c r="A11" s="389" t="s">
        <v>701</v>
      </c>
      <c r="B11" s="103"/>
      <c r="C11" s="104"/>
      <c r="D11" s="104"/>
      <c r="E11" s="105"/>
      <c r="F11" s="92" t="s">
        <v>702</v>
      </c>
      <c r="G11" s="106">
        <v>1</v>
      </c>
      <c r="H11" s="107">
        <f>$E$43/100*G11</f>
        <v>0</v>
      </c>
    </row>
    <row r="12" spans="1:13" ht="42.75" customHeight="1" thickBot="1">
      <c r="A12" s="95"/>
      <c r="B12" s="96"/>
      <c r="C12" s="516" t="s">
        <v>703</v>
      </c>
      <c r="D12" s="517"/>
      <c r="E12" s="108">
        <f>E47</f>
        <v>0</v>
      </c>
      <c r="F12" s="92" t="s">
        <v>704</v>
      </c>
      <c r="G12" s="106">
        <v>3</v>
      </c>
      <c r="H12" s="107">
        <f>$E$43/100*G12</f>
        <v>0</v>
      </c>
    </row>
    <row r="13" spans="1:13" ht="21" customHeight="1" thickBot="1">
      <c r="A13" s="389" t="s">
        <v>705</v>
      </c>
      <c r="B13" s="370"/>
      <c r="F13" s="92" t="s">
        <v>706</v>
      </c>
      <c r="G13" s="106">
        <v>0.65</v>
      </c>
      <c r="H13" s="107">
        <f>$E$43/100*G13</f>
        <v>0</v>
      </c>
    </row>
    <row r="14" spans="1:13" ht="16.5" customHeight="1">
      <c r="A14" s="95"/>
      <c r="B14" s="109"/>
      <c r="C14" s="518" t="s">
        <v>707</v>
      </c>
      <c r="D14" s="519"/>
      <c r="E14" s="520"/>
      <c r="F14" s="84"/>
      <c r="G14" s="92"/>
      <c r="H14" s="94">
        <f>SUM(H10:H13)</f>
        <v>0</v>
      </c>
    </row>
    <row r="15" spans="1:13" ht="16.5" customHeight="1">
      <c r="A15" s="521" t="s">
        <v>708</v>
      </c>
      <c r="B15" s="523"/>
      <c r="C15" s="525" t="s">
        <v>709</v>
      </c>
      <c r="D15" s="526"/>
      <c r="E15" s="110">
        <f>E47</f>
        <v>0</v>
      </c>
    </row>
    <row r="16" spans="1:13" ht="39" customHeight="1">
      <c r="A16" s="522"/>
      <c r="B16" s="524"/>
      <c r="C16" s="525" t="s">
        <v>710</v>
      </c>
      <c r="D16" s="526"/>
      <c r="E16" s="374" t="s">
        <v>1467</v>
      </c>
      <c r="F16" s="111" t="s">
        <v>712</v>
      </c>
      <c r="G16" s="111" t="s">
        <v>713</v>
      </c>
      <c r="H16" s="111" t="s">
        <v>714</v>
      </c>
      <c r="I16" s="111" t="s">
        <v>712</v>
      </c>
      <c r="J16" s="111" t="s">
        <v>715</v>
      </c>
      <c r="K16" s="111" t="s">
        <v>716</v>
      </c>
      <c r="L16" s="112" t="s">
        <v>711</v>
      </c>
      <c r="M16" s="359" t="s">
        <v>1458</v>
      </c>
    </row>
    <row r="17" spans="1:12" ht="16.5" customHeight="1">
      <c r="A17" s="390"/>
      <c r="B17" s="113"/>
      <c r="C17" s="505" t="s">
        <v>717</v>
      </c>
      <c r="D17" s="506"/>
      <c r="E17" s="114" t="s">
        <v>718</v>
      </c>
      <c r="F17" s="111" t="s">
        <v>719</v>
      </c>
      <c r="G17" s="111" t="s">
        <v>720</v>
      </c>
      <c r="H17" s="111" t="s">
        <v>695</v>
      </c>
      <c r="I17" s="111" t="s">
        <v>718</v>
      </c>
      <c r="J17" s="111"/>
      <c r="K17" s="112"/>
      <c r="L17" s="112"/>
    </row>
    <row r="18" spans="1:12" ht="21.75" customHeight="1" thickBot="1">
      <c r="A18" s="389" t="s">
        <v>721</v>
      </c>
      <c r="B18" s="113"/>
      <c r="C18" s="507" t="s">
        <v>722</v>
      </c>
      <c r="D18" s="508"/>
      <c r="E18" s="115" t="s">
        <v>725</v>
      </c>
      <c r="F18" s="116" t="s">
        <v>724</v>
      </c>
      <c r="G18" s="116" t="s">
        <v>725</v>
      </c>
      <c r="H18" s="116" t="s">
        <v>723</v>
      </c>
      <c r="I18" s="111"/>
      <c r="J18" s="111"/>
    </row>
    <row r="20" spans="1:12" s="119" customFormat="1" ht="30">
      <c r="A20" s="391" t="s">
        <v>726</v>
      </c>
      <c r="B20" s="391" t="s">
        <v>727</v>
      </c>
      <c r="C20" s="391" t="s">
        <v>728</v>
      </c>
      <c r="D20" s="391" t="s">
        <v>729</v>
      </c>
      <c r="E20" s="392" t="s">
        <v>730</v>
      </c>
      <c r="F20" s="118" t="s">
        <v>22</v>
      </c>
      <c r="G20" s="118" t="s">
        <v>48</v>
      </c>
    </row>
    <row r="21" spans="1:12" s="357" customFormat="1" ht="59.25" customHeight="1">
      <c r="A21" s="393"/>
      <c r="B21" s="394"/>
      <c r="C21" s="393"/>
      <c r="D21" s="395"/>
      <c r="E21" s="395">
        <f>D21*C21</f>
        <v>0</v>
      </c>
      <c r="F21" s="356">
        <f t="shared" ref="F21:F42" si="0">E21*0.175</f>
        <v>0</v>
      </c>
      <c r="G21" s="113"/>
    </row>
    <row r="22" spans="1:12" s="123" customFormat="1" ht="24" customHeight="1">
      <c r="A22" s="120"/>
      <c r="B22" s="121"/>
      <c r="C22" s="113"/>
      <c r="D22" s="356"/>
      <c r="E22" s="356"/>
      <c r="F22" s="122">
        <f t="shared" si="0"/>
        <v>0</v>
      </c>
      <c r="G22" s="120"/>
    </row>
    <row r="23" spans="1:12" s="357" customFormat="1" ht="59.25" customHeight="1">
      <c r="A23" s="113"/>
      <c r="B23" s="355"/>
      <c r="C23" s="113"/>
      <c r="D23" s="356"/>
      <c r="E23" s="356">
        <f>D23*C23</f>
        <v>0</v>
      </c>
      <c r="F23" s="356">
        <f>E23*0.175</f>
        <v>0</v>
      </c>
      <c r="G23" s="113"/>
    </row>
    <row r="24" spans="1:12" s="123" customFormat="1" ht="24" customHeight="1">
      <c r="A24" s="120"/>
      <c r="B24" s="121"/>
      <c r="C24" s="113"/>
      <c r="D24" s="356"/>
      <c r="E24" s="356"/>
      <c r="F24" s="122">
        <f t="shared" si="0"/>
        <v>0</v>
      </c>
      <c r="G24" s="120"/>
    </row>
    <row r="25" spans="1:12" s="123" customFormat="1" ht="59.25" customHeight="1">
      <c r="A25" s="120"/>
      <c r="B25" s="355"/>
      <c r="C25" s="113"/>
      <c r="D25" s="356"/>
      <c r="E25" s="356">
        <f>D25*C25</f>
        <v>0</v>
      </c>
      <c r="F25" s="122">
        <f>E25*0.175</f>
        <v>0</v>
      </c>
      <c r="G25" s="124"/>
      <c r="H25" s="125"/>
    </row>
    <row r="26" spans="1:12" s="123" customFormat="1" ht="24" customHeight="1">
      <c r="A26" s="120"/>
      <c r="B26" s="121"/>
      <c r="C26" s="113"/>
      <c r="D26" s="356"/>
      <c r="E26" s="356"/>
      <c r="F26" s="122">
        <f t="shared" si="0"/>
        <v>0</v>
      </c>
      <c r="G26" s="120"/>
    </row>
    <row r="27" spans="1:12" s="123" customFormat="1" ht="59.25" customHeight="1">
      <c r="A27" s="120"/>
      <c r="B27" s="355"/>
      <c r="C27" s="113"/>
      <c r="D27" s="356"/>
      <c r="E27" s="356">
        <f>D27*C27</f>
        <v>0</v>
      </c>
      <c r="F27" s="122">
        <f t="shared" si="0"/>
        <v>0</v>
      </c>
      <c r="G27" s="126"/>
      <c r="H27" s="127"/>
    </row>
    <row r="28" spans="1:12" s="123" customFormat="1" ht="24" customHeight="1">
      <c r="A28" s="120"/>
      <c r="B28" s="121"/>
      <c r="C28" s="113"/>
      <c r="D28" s="356"/>
      <c r="E28" s="356"/>
      <c r="F28" s="122">
        <f t="shared" si="0"/>
        <v>0</v>
      </c>
      <c r="G28" s="120"/>
    </row>
    <row r="29" spans="1:12" s="123" customFormat="1" ht="59.25" customHeight="1">
      <c r="A29" s="120"/>
      <c r="B29" s="355"/>
      <c r="C29" s="113"/>
      <c r="D29" s="356"/>
      <c r="E29" s="356">
        <f>D29*C29</f>
        <v>0</v>
      </c>
      <c r="F29" s="122">
        <f t="shared" si="0"/>
        <v>0</v>
      </c>
      <c r="G29" s="120"/>
    </row>
    <row r="30" spans="1:12" s="123" customFormat="1" ht="24" customHeight="1">
      <c r="A30" s="120"/>
      <c r="B30" s="121"/>
      <c r="C30" s="113"/>
      <c r="D30" s="356"/>
      <c r="E30" s="356"/>
      <c r="F30" s="122">
        <f t="shared" si="0"/>
        <v>0</v>
      </c>
      <c r="G30" s="120"/>
    </row>
    <row r="31" spans="1:12" s="123" customFormat="1" ht="59.25" customHeight="1">
      <c r="A31" s="120"/>
      <c r="B31" s="355"/>
      <c r="C31" s="113"/>
      <c r="D31" s="356"/>
      <c r="E31" s="356">
        <f>D31*C31</f>
        <v>0</v>
      </c>
      <c r="F31" s="122">
        <f t="shared" si="0"/>
        <v>0</v>
      </c>
      <c r="G31" s="120"/>
    </row>
    <row r="32" spans="1:12" s="123" customFormat="1" ht="24" customHeight="1">
      <c r="A32" s="120"/>
      <c r="B32" s="121"/>
      <c r="C32" s="113"/>
      <c r="D32" s="356"/>
      <c r="E32" s="356"/>
      <c r="F32" s="122">
        <f t="shared" si="0"/>
        <v>0</v>
      </c>
      <c r="G32" s="120"/>
    </row>
    <row r="33" spans="1:8" s="123" customFormat="1" ht="59.25" customHeight="1">
      <c r="A33" s="120"/>
      <c r="B33" s="355"/>
      <c r="C33" s="113"/>
      <c r="D33" s="356"/>
      <c r="E33" s="356">
        <f>D33*C33</f>
        <v>0</v>
      </c>
      <c r="F33" s="122">
        <f t="shared" si="0"/>
        <v>0</v>
      </c>
      <c r="G33" s="120"/>
    </row>
    <row r="34" spans="1:8" s="123" customFormat="1" ht="24" customHeight="1">
      <c r="A34" s="120"/>
      <c r="B34" s="121"/>
      <c r="C34" s="113"/>
      <c r="D34" s="356"/>
      <c r="E34" s="356"/>
      <c r="F34" s="122">
        <f t="shared" si="0"/>
        <v>0</v>
      </c>
      <c r="G34" s="120"/>
    </row>
    <row r="35" spans="1:8" s="123" customFormat="1" ht="59.25" customHeight="1">
      <c r="A35" s="120"/>
      <c r="B35" s="355"/>
      <c r="C35" s="113"/>
      <c r="D35" s="356"/>
      <c r="E35" s="356">
        <f>D35*C35</f>
        <v>0</v>
      </c>
      <c r="F35" s="122">
        <f t="shared" si="0"/>
        <v>0</v>
      </c>
      <c r="G35" s="120"/>
    </row>
    <row r="36" spans="1:8" s="123" customFormat="1" ht="24" customHeight="1">
      <c r="A36" s="120"/>
      <c r="B36" s="121"/>
      <c r="C36" s="113"/>
      <c r="D36" s="356"/>
      <c r="E36" s="356"/>
      <c r="F36" s="122">
        <f t="shared" si="0"/>
        <v>0</v>
      </c>
      <c r="G36" s="120"/>
    </row>
    <row r="37" spans="1:8" s="123" customFormat="1" ht="59.25" customHeight="1">
      <c r="A37" s="120"/>
      <c r="B37" s="355"/>
      <c r="C37" s="113"/>
      <c r="D37" s="356"/>
      <c r="E37" s="356">
        <f>D37*C37</f>
        <v>0</v>
      </c>
      <c r="F37" s="122">
        <f t="shared" si="0"/>
        <v>0</v>
      </c>
      <c r="G37" s="120"/>
    </row>
    <row r="38" spans="1:8" s="123" customFormat="1" ht="24" customHeight="1">
      <c r="A38" s="120"/>
      <c r="B38" s="121"/>
      <c r="C38" s="113"/>
      <c r="D38" s="356"/>
      <c r="E38" s="356"/>
      <c r="F38" s="122">
        <f t="shared" si="0"/>
        <v>0</v>
      </c>
      <c r="G38" s="120"/>
    </row>
    <row r="39" spans="1:8" s="123" customFormat="1" ht="59.25" customHeight="1">
      <c r="A39" s="120"/>
      <c r="B39" s="355"/>
      <c r="C39" s="113"/>
      <c r="D39" s="356"/>
      <c r="E39" s="356">
        <f>D39*C39</f>
        <v>0</v>
      </c>
      <c r="F39" s="122">
        <f t="shared" si="0"/>
        <v>0</v>
      </c>
      <c r="G39" s="120"/>
    </row>
    <row r="40" spans="1:8" s="123" customFormat="1" ht="24" customHeight="1">
      <c r="A40" s="120"/>
      <c r="B40" s="121"/>
      <c r="C40" s="113"/>
      <c r="D40" s="356"/>
      <c r="E40" s="356"/>
      <c r="F40" s="122">
        <f t="shared" si="0"/>
        <v>0</v>
      </c>
      <c r="G40" s="120"/>
    </row>
    <row r="41" spans="1:8" s="123" customFormat="1" ht="59.25" customHeight="1">
      <c r="A41" s="120"/>
      <c r="B41" s="355"/>
      <c r="C41" s="360"/>
      <c r="D41" s="356"/>
      <c r="E41" s="356">
        <f>D41*C41</f>
        <v>0</v>
      </c>
      <c r="F41" s="122">
        <f t="shared" si="0"/>
        <v>0</v>
      </c>
      <c r="G41" s="120"/>
    </row>
    <row r="42" spans="1:8" s="123" customFormat="1" ht="24" customHeight="1" thickBot="1">
      <c r="A42" s="120"/>
      <c r="B42" s="121"/>
      <c r="C42" s="113"/>
      <c r="D42" s="356"/>
      <c r="E42" s="356"/>
      <c r="F42" s="122">
        <f t="shared" si="0"/>
        <v>0</v>
      </c>
      <c r="G42" s="120"/>
    </row>
    <row r="43" spans="1:8" ht="48.75" customHeight="1" thickBot="1">
      <c r="B43" s="363" t="s">
        <v>703</v>
      </c>
      <c r="C43" s="364"/>
      <c r="D43" s="365"/>
      <c r="E43" s="132">
        <f>SUM(E21:E42)</f>
        <v>0</v>
      </c>
      <c r="F43" s="132">
        <f>E43*0.175</f>
        <v>0</v>
      </c>
      <c r="G43" s="132">
        <f>E43-F43</f>
        <v>0</v>
      </c>
      <c r="H43" s="133"/>
    </row>
    <row r="44" spans="1:8" ht="15.75" thickBot="1"/>
    <row r="45" spans="1:8" ht="48.75" customHeight="1" thickBot="1">
      <c r="B45" s="368" t="s">
        <v>1463</v>
      </c>
      <c r="C45" s="509">
        <v>0</v>
      </c>
      <c r="D45" s="510"/>
      <c r="E45" s="132">
        <f>E43*C45</f>
        <v>0</v>
      </c>
      <c r="F45" s="132"/>
      <c r="G45" s="132"/>
      <c r="H45" s="133"/>
    </row>
    <row r="46" spans="1:8" ht="15.75" thickBot="1"/>
    <row r="47" spans="1:8" ht="48.75" customHeight="1" thickBot="1">
      <c r="B47" s="363" t="s">
        <v>1464</v>
      </c>
      <c r="C47" s="366"/>
      <c r="D47" s="384"/>
      <c r="E47" s="132">
        <f>E43-E45</f>
        <v>0</v>
      </c>
      <c r="F47" s="132">
        <f>E47*0.175</f>
        <v>0</v>
      </c>
      <c r="G47" s="132">
        <f>E47-F47</f>
        <v>0</v>
      </c>
      <c r="H47" s="133"/>
    </row>
    <row r="48" spans="1:8" s="139" customFormat="1" ht="48.75" customHeight="1">
      <c r="A48" s="134" t="s">
        <v>33</v>
      </c>
      <c r="B48" s="135" t="s">
        <v>731</v>
      </c>
      <c r="C48" s="136"/>
      <c r="D48" s="137"/>
      <c r="E48" s="138"/>
      <c r="G48" s="140"/>
    </row>
    <row r="49" spans="1:7" s="139" customFormat="1" ht="15.75">
      <c r="A49" s="136"/>
      <c r="B49" s="141"/>
      <c r="C49" s="142"/>
      <c r="E49" s="143"/>
      <c r="G49" s="140"/>
    </row>
    <row r="50" spans="1:7" s="139" customFormat="1" ht="48.75" customHeight="1">
      <c r="A50" s="134" t="s">
        <v>732</v>
      </c>
      <c r="B50" s="144"/>
      <c r="C50" s="136"/>
      <c r="D50" s="137"/>
      <c r="E50" s="138"/>
      <c r="G50" s="140"/>
    </row>
    <row r="53" spans="1:7">
      <c r="B53" s="145"/>
    </row>
  </sheetData>
  <mergeCells count="17">
    <mergeCell ref="F1:H1"/>
    <mergeCell ref="A5:E5"/>
    <mergeCell ref="F5:H5"/>
    <mergeCell ref="C7:D8"/>
    <mergeCell ref="E7:E8"/>
    <mergeCell ref="A15:A16"/>
    <mergeCell ref="B15:B16"/>
    <mergeCell ref="C15:D15"/>
    <mergeCell ref="C16:D16"/>
    <mergeCell ref="A1:E3"/>
    <mergeCell ref="C17:D17"/>
    <mergeCell ref="C18:D18"/>
    <mergeCell ref="C45:D45"/>
    <mergeCell ref="F9:H9"/>
    <mergeCell ref="C10:D10"/>
    <mergeCell ref="C12:D12"/>
    <mergeCell ref="C14:E14"/>
  </mergeCells>
  <dataValidations count="3">
    <dataValidation type="list" allowBlank="1" sqref="E17">
      <formula1>$F$17:$I$17</formula1>
    </dataValidation>
    <dataValidation type="list" allowBlank="1" sqref="E16">
      <formula1>$F$16:$M$16</formula1>
    </dataValidation>
    <dataValidation type="list" allowBlank="1" sqref="E18">
      <formula1>$F$18:$H$18</formula1>
    </dataValidation>
  </dataValidations>
  <printOptions horizontalCentered="1"/>
  <pageMargins left="0.28000000000000003" right="0.35" top="0.39370078740157483" bottom="0.39370078740157483" header="0.31496062992125984" footer="0.31496062992125984"/>
  <pageSetup paperSize="9" scale="49" fitToHeight="2" orientation="portrait" r:id="rId1"/>
  <headerFooter alignWithMargins="0">
    <oddFooter>&amp;R&amp;P - &amp;N</oddFooter>
  </headerFooter>
</worksheet>
</file>

<file path=xl/worksheets/sheet19.xml><?xml version="1.0" encoding="utf-8"?>
<worksheet xmlns="http://schemas.openxmlformats.org/spreadsheetml/2006/main" xmlns:r="http://schemas.openxmlformats.org/officeDocument/2006/relationships">
  <sheetPr codeName="Plan1"/>
  <dimension ref="A1:L14"/>
  <sheetViews>
    <sheetView workbookViewId="0">
      <pane ySplit="7" topLeftCell="A8" activePane="bottomLeft" state="frozen"/>
      <selection pane="bottomLeft" activeCell="F10" sqref="F10"/>
    </sheetView>
  </sheetViews>
  <sheetFormatPr defaultRowHeight="15"/>
  <cols>
    <col min="1" max="1" width="33.28515625" style="56" customWidth="1"/>
    <col min="2" max="2" width="23.28515625" bestFit="1" customWidth="1"/>
    <col min="3" max="3" width="11" style="76" bestFit="1" customWidth="1"/>
    <col min="4" max="4" width="10.5703125" style="76" customWidth="1"/>
    <col min="5" max="5" width="10.5703125" style="76" bestFit="1" customWidth="1"/>
    <col min="6" max="6" width="10.5703125" style="71" customWidth="1"/>
    <col min="7" max="9" width="9.5703125" style="78" bestFit="1" customWidth="1"/>
    <col min="11" max="11" width="50.5703125" bestFit="1" customWidth="1"/>
    <col min="12" max="12" width="23.28515625" bestFit="1" customWidth="1"/>
    <col min="13" max="13" width="11" bestFit="1" customWidth="1"/>
  </cols>
  <sheetData>
    <row r="1" spans="1:12" s="82" customFormat="1">
      <c r="A1" s="56"/>
      <c r="B1" s="334" t="s">
        <v>666</v>
      </c>
      <c r="C1" s="379" t="s">
        <v>667</v>
      </c>
      <c r="D1" s="567" t="s">
        <v>665</v>
      </c>
      <c r="E1" s="567"/>
      <c r="F1" s="567"/>
      <c r="G1" s="377"/>
      <c r="H1" s="377"/>
      <c r="I1" s="377"/>
    </row>
    <row r="2" spans="1:12">
      <c r="B2" s="380" t="s">
        <v>669</v>
      </c>
      <c r="C2" s="57" t="s">
        <v>670</v>
      </c>
      <c r="D2" s="386" t="s">
        <v>668</v>
      </c>
      <c r="E2" s="387"/>
      <c r="F2" s="388"/>
      <c r="G2" s="377"/>
      <c r="H2" s="377"/>
      <c r="I2" s="377"/>
    </row>
    <row r="3" spans="1:12">
      <c r="B3" s="381" t="s">
        <v>673</v>
      </c>
      <c r="C3" s="57" t="s">
        <v>674</v>
      </c>
      <c r="D3" s="386" t="s">
        <v>672</v>
      </c>
      <c r="E3" s="387"/>
      <c r="F3" s="388"/>
      <c r="G3" s="377"/>
      <c r="H3" s="377"/>
      <c r="I3" s="377"/>
    </row>
    <row r="4" spans="1:12">
      <c r="C4" s="377"/>
      <c r="D4" s="377"/>
      <c r="E4" s="377"/>
      <c r="F4" s="378"/>
      <c r="G4" s="377"/>
      <c r="H4" s="377"/>
      <c r="I4" s="377"/>
    </row>
    <row r="5" spans="1:12" s="1" customFormat="1">
      <c r="A5" s="376"/>
      <c r="C5" s="566" t="s">
        <v>656</v>
      </c>
      <c r="D5" s="566"/>
      <c r="E5" s="566"/>
      <c r="F5" s="298"/>
      <c r="G5" s="565" t="s">
        <v>657</v>
      </c>
      <c r="H5" s="565"/>
      <c r="I5" s="565"/>
    </row>
    <row r="6" spans="1:12" s="1" customFormat="1">
      <c r="A6" s="376"/>
      <c r="C6" s="566" t="s">
        <v>658</v>
      </c>
      <c r="D6" s="566"/>
      <c r="E6" s="566"/>
      <c r="F6" s="298"/>
      <c r="G6" s="565" t="s">
        <v>659</v>
      </c>
      <c r="H6" s="565"/>
      <c r="I6" s="565"/>
    </row>
    <row r="7" spans="1:12" s="2" customFormat="1">
      <c r="A7" s="2" t="s">
        <v>660</v>
      </c>
      <c r="B7" s="2" t="s">
        <v>661</v>
      </c>
      <c r="C7" s="72" t="s">
        <v>662</v>
      </c>
      <c r="D7" s="72" t="s">
        <v>663</v>
      </c>
      <c r="E7" s="72" t="s">
        <v>664</v>
      </c>
      <c r="F7" s="73"/>
      <c r="G7" s="74" t="s">
        <v>662</v>
      </c>
      <c r="H7" s="74" t="s">
        <v>663</v>
      </c>
      <c r="I7" s="74" t="s">
        <v>664</v>
      </c>
    </row>
    <row r="8" spans="1:12">
      <c r="B8" s="56"/>
      <c r="C8" s="75"/>
      <c r="D8" s="75"/>
      <c r="F8" s="77"/>
    </row>
    <row r="9" spans="1:12">
      <c r="A9" s="56" t="s">
        <v>671</v>
      </c>
      <c r="B9" s="56">
        <v>1</v>
      </c>
      <c r="C9" s="75"/>
      <c r="D9" s="75"/>
      <c r="F9" s="77"/>
    </row>
    <row r="10" spans="1:12" s="383" customFormat="1">
      <c r="A10" s="382" t="s">
        <v>671</v>
      </c>
      <c r="B10" s="382">
        <v>2</v>
      </c>
      <c r="C10" s="74">
        <v>90.49</v>
      </c>
      <c r="D10" s="74">
        <v>135.74</v>
      </c>
      <c r="E10" s="304">
        <v>180.98</v>
      </c>
      <c r="F10" s="74"/>
      <c r="G10" s="304">
        <v>18.100000000000001</v>
      </c>
      <c r="H10" s="304">
        <v>27.15</v>
      </c>
      <c r="I10" s="304">
        <v>36.200000000000003</v>
      </c>
      <c r="K10" s="385"/>
    </row>
    <row r="11" spans="1:12">
      <c r="A11" s="56" t="s">
        <v>671</v>
      </c>
      <c r="B11" s="56">
        <v>3</v>
      </c>
      <c r="C11" s="75"/>
      <c r="D11" s="75"/>
      <c r="F11" s="77"/>
    </row>
    <row r="12" spans="1:12">
      <c r="B12" s="56"/>
      <c r="C12" s="75"/>
      <c r="D12" s="75"/>
      <c r="F12" s="77"/>
    </row>
    <row r="13" spans="1:12">
      <c r="B13" s="56"/>
      <c r="C13" s="75"/>
      <c r="D13" s="75"/>
      <c r="F13" s="77"/>
    </row>
    <row r="14" spans="1:12">
      <c r="B14" s="56"/>
      <c r="C14" s="75"/>
      <c r="D14" s="75"/>
      <c r="F14" s="77"/>
      <c r="G14" s="80"/>
      <c r="H14" s="80"/>
      <c r="K14" s="79"/>
      <c r="L14" s="81"/>
    </row>
  </sheetData>
  <mergeCells count="5">
    <mergeCell ref="G5:I5"/>
    <mergeCell ref="C6:E6"/>
    <mergeCell ref="G6:I6"/>
    <mergeCell ref="D1:F1"/>
    <mergeCell ref="C5:E5"/>
  </mergeCells>
  <hyperlinks>
    <hyperlink ref="D3" r:id="rId1"/>
    <hyperlink ref="D2" r:id="rId2"/>
    <hyperlink ref="B2" r:id="rId3"/>
  </hyperlinks>
  <pageMargins left="0.511811024" right="0.511811024" top="0.78740157499999996" bottom="0.78740157499999996" header="0.31496062000000002" footer="0.31496062000000002"/>
  <pageSetup paperSize="9" orientation="portrait" r:id="rId4"/>
  <ignoredErrors>
    <ignoredError sqref="B3" numberStoredAsText="1"/>
  </ignoredErrors>
</worksheet>
</file>

<file path=xl/worksheets/sheet20.xml><?xml version="1.0" encoding="utf-8"?>
<worksheet xmlns="http://schemas.openxmlformats.org/spreadsheetml/2006/main" xmlns:r="http://schemas.openxmlformats.org/officeDocument/2006/relationships">
  <sheetPr codeName="Plan16">
    <pageSetUpPr fitToPage="1"/>
  </sheetPr>
  <dimension ref="A1:J110"/>
  <sheetViews>
    <sheetView tabSelected="1" workbookViewId="0">
      <pane ySplit="9" topLeftCell="A10" activePane="bottomLeft" state="frozen"/>
      <selection activeCell="A10" sqref="A10"/>
      <selection pane="bottomLeft" activeCell="A10" sqref="A10"/>
    </sheetView>
  </sheetViews>
  <sheetFormatPr defaultColWidth="10.85546875" defaultRowHeight="12.75"/>
  <cols>
    <col min="1" max="1" width="9.7109375" style="13" bestFit="1" customWidth="1"/>
    <col min="2" max="2" width="22.140625" style="12" bestFit="1" customWidth="1"/>
    <col min="3" max="3" width="10.42578125" style="17" bestFit="1" customWidth="1"/>
    <col min="4" max="4" width="22.28515625" style="7" bestFit="1" customWidth="1"/>
    <col min="5" max="5" width="27.28515625" style="7" bestFit="1" customWidth="1"/>
    <col min="6" max="6" width="10.85546875" style="7" customWidth="1"/>
    <col min="7" max="7" width="32.140625" style="17" bestFit="1" customWidth="1"/>
    <col min="8" max="8" width="10.5703125" style="18" bestFit="1" customWidth="1"/>
    <col min="9" max="9" width="11.7109375" style="7" bestFit="1" customWidth="1"/>
    <col min="10" max="16384" width="10.85546875" style="7"/>
  </cols>
  <sheetData>
    <row r="1" spans="1:9">
      <c r="B1" s="14"/>
      <c r="C1" s="15" t="s">
        <v>107</v>
      </c>
      <c r="D1" s="16" t="s">
        <v>435</v>
      </c>
      <c r="E1" s="16" t="s">
        <v>436</v>
      </c>
    </row>
    <row r="2" spans="1:9">
      <c r="B2" s="19" t="s">
        <v>111</v>
      </c>
      <c r="C2" s="20">
        <f>SUMIF(D9:D110,B2,C9:C110)</f>
        <v>0</v>
      </c>
      <c r="D2" s="21">
        <f>$J$21</f>
        <v>178.69</v>
      </c>
      <c r="E2" s="22">
        <f>SUM(C2:D2)</f>
        <v>178.69</v>
      </c>
      <c r="F2" s="17"/>
      <c r="H2" s="23"/>
      <c r="I2" s="24"/>
    </row>
    <row r="3" spans="1:9">
      <c r="B3" s="25" t="s">
        <v>142</v>
      </c>
      <c r="C3" s="26">
        <f>SUMIF(D10:D110,B3,C10:C110)</f>
        <v>0</v>
      </c>
      <c r="D3" s="27">
        <v>0</v>
      </c>
      <c r="E3" s="28">
        <f>SUM(C3:D3)</f>
        <v>0</v>
      </c>
      <c r="F3" s="17"/>
      <c r="H3" s="23"/>
      <c r="I3" s="24"/>
    </row>
    <row r="4" spans="1:9">
      <c r="B4" s="25" t="s">
        <v>414</v>
      </c>
      <c r="C4" s="26">
        <f>SUMIF(D10:D110,B4,C10:C110)</f>
        <v>0</v>
      </c>
      <c r="D4" s="27">
        <v>0</v>
      </c>
      <c r="E4" s="28">
        <f>SUM(C4:D4)</f>
        <v>0</v>
      </c>
      <c r="F4" s="17"/>
      <c r="H4" s="23"/>
      <c r="I4" s="24"/>
    </row>
    <row r="5" spans="1:9">
      <c r="B5" s="25"/>
      <c r="C5" s="26">
        <f>SUMIF(D9:D69,B5,C9:C69)</f>
        <v>0</v>
      </c>
      <c r="D5" s="27">
        <v>0</v>
      </c>
      <c r="E5" s="28">
        <f>SUM(C5:D5)</f>
        <v>0</v>
      </c>
      <c r="H5" s="23"/>
      <c r="I5" s="24"/>
    </row>
    <row r="6" spans="1:9">
      <c r="B6" s="29" t="s">
        <v>437</v>
      </c>
      <c r="C6" s="26">
        <f>SUMIF(D10:D110,B6,C10:C110)</f>
        <v>0</v>
      </c>
      <c r="D6" s="27">
        <v>0</v>
      </c>
      <c r="E6" s="28">
        <f>SUM(C6:D6)</f>
        <v>0</v>
      </c>
      <c r="H6" s="23"/>
      <c r="I6" s="24"/>
    </row>
    <row r="7" spans="1:9">
      <c r="B7" s="14"/>
      <c r="C7" s="30"/>
      <c r="D7" s="31"/>
      <c r="E7" s="32"/>
      <c r="H7" s="23"/>
    </row>
    <row r="9" spans="1:9" s="4" customFormat="1">
      <c r="A9" s="33" t="s">
        <v>438</v>
      </c>
      <c r="B9" s="34" t="s">
        <v>107</v>
      </c>
      <c r="C9" s="34" t="s">
        <v>439</v>
      </c>
      <c r="D9" s="67" t="s">
        <v>108</v>
      </c>
      <c r="E9" s="67" t="s">
        <v>109</v>
      </c>
      <c r="G9" s="35"/>
      <c r="H9" s="36"/>
    </row>
    <row r="10" spans="1:9">
      <c r="A10" s="37"/>
      <c r="B10" s="25"/>
      <c r="C10" s="38"/>
      <c r="D10" s="39" t="str">
        <f>IF(B10&lt;&gt;"",IF(ISNA(VLOOKUP(B10,Numeros!$A:$C,2,FALSE))=TRUE," - NÃO CADASTRADO - ",VLOOKUP(B10,Numeros!$A:$C,2,FALSE)),"")</f>
        <v/>
      </c>
      <c r="E10" s="39" t="str">
        <f>IF(B10&lt;&gt;"",IF(ISNA(VLOOKUP(B10,Numeros!$A:$C,2,FALSE))=TRUE," - NÃO CADASTRADO - ",VLOOKUP(B10,Numeros!$A:$C,3,FALSE)),"")</f>
        <v/>
      </c>
      <c r="G10" s="16" t="s">
        <v>435</v>
      </c>
      <c r="H10" s="16" t="s">
        <v>440</v>
      </c>
    </row>
    <row r="11" spans="1:9">
      <c r="A11" s="37"/>
      <c r="B11" s="25"/>
      <c r="C11" s="38"/>
      <c r="D11" s="39" t="str">
        <f>IF(B11&lt;&gt;"",IF(ISNA(VLOOKUP(B11,Numeros!$A:$C,2,FALSE))=TRUE," - NÃO CADASTRADO - ",VLOOKUP(B11,Numeros!$A:$C,2,FALSE)),"")</f>
        <v/>
      </c>
      <c r="E11" s="39" t="str">
        <f>IF(B11&lt;&gt;"",IF(ISNA(VLOOKUP(B11,Numeros!$A:$C,2,FALSE))=TRUE," - NÃO CADASTRADO - ",VLOOKUP(B11,Numeros!$A:$C,3,FALSE)),"")</f>
        <v/>
      </c>
      <c r="G11" s="41" t="s">
        <v>441</v>
      </c>
      <c r="H11" s="42">
        <v>64.900000000000006</v>
      </c>
    </row>
    <row r="12" spans="1:9">
      <c r="A12" s="37"/>
      <c r="B12" s="25"/>
      <c r="C12" s="38"/>
      <c r="D12" s="39" t="str">
        <f>IF(B12&lt;&gt;"",IF(ISNA(VLOOKUP(B12,Numeros!$A:$C,2,FALSE))=TRUE," - NÃO CADASTRADO - ",VLOOKUP(B12,Numeros!$A:$C,2,FALSE)),"")</f>
        <v/>
      </c>
      <c r="E12" s="39" t="str">
        <f>IF(B12&lt;&gt;"",IF(ISNA(VLOOKUP(B12,Numeros!$A:$C,2,FALSE))=TRUE," - NÃO CADASTRADO - ",VLOOKUP(B12,Numeros!$A:$C,3,FALSE)),"")</f>
        <v/>
      </c>
      <c r="G12" s="41" t="s">
        <v>442</v>
      </c>
      <c r="H12" s="42">
        <v>0</v>
      </c>
    </row>
    <row r="13" spans="1:9">
      <c r="A13" s="37"/>
      <c r="B13" s="25"/>
      <c r="C13" s="38"/>
      <c r="D13" s="39" t="str">
        <f>IF(B13&lt;&gt;"",IF(ISNA(VLOOKUP(B13,Numeros!$A:$C,2,FALSE))=TRUE," - NÃO CADASTRADO - ",VLOOKUP(B13,Numeros!$A:$C,2,FALSE)),"")</f>
        <v/>
      </c>
      <c r="E13" s="39" t="str">
        <f>IF(B13&lt;&gt;"",IF(ISNA(VLOOKUP(B13,Numeros!$A:$C,2,FALSE))=TRUE," - NÃO CADASTRADO - ",VLOOKUP(B13,Numeros!$A:$C,3,FALSE)),"")</f>
        <v/>
      </c>
      <c r="G13" s="41" t="s">
        <v>443</v>
      </c>
      <c r="H13" s="42">
        <v>0</v>
      </c>
      <c r="I13" s="8"/>
    </row>
    <row r="14" spans="1:9">
      <c r="A14" s="37"/>
      <c r="B14" s="25"/>
      <c r="C14" s="38"/>
      <c r="D14" s="39" t="str">
        <f>IF(B14&lt;&gt;"",IF(ISNA(VLOOKUP(B14,Numeros!$A:$C,2,FALSE))=TRUE," - NÃO CADASTRADO - ",VLOOKUP(B14,Numeros!$A:$C,2,FALSE)),"")</f>
        <v/>
      </c>
      <c r="E14" s="39" t="str">
        <f>IF(B14&lt;&gt;"",IF(ISNA(VLOOKUP(B14,Numeros!$A:$C,2,FALSE))=TRUE," - NÃO CADASTRADO - ",VLOOKUP(B14,Numeros!$A:$C,3,FALSE)),"")</f>
        <v/>
      </c>
      <c r="G14" s="41" t="s">
        <v>444</v>
      </c>
      <c r="H14" s="42">
        <v>63.9</v>
      </c>
      <c r="I14" s="8"/>
    </row>
    <row r="15" spans="1:9">
      <c r="A15" s="37"/>
      <c r="B15" s="25"/>
      <c r="C15" s="38"/>
      <c r="D15" s="39" t="str">
        <f>IF(B15&lt;&gt;"",IF(ISNA(VLOOKUP(B15,Numeros!$A:$C,2,FALSE))=TRUE," - NÃO CADASTRADO - ",VLOOKUP(B15,Numeros!$A:$C,2,FALSE)),"")</f>
        <v/>
      </c>
      <c r="E15" s="39" t="str">
        <f>IF(B15&lt;&gt;"",IF(ISNA(VLOOKUP(B15,Numeros!$A:$C,2,FALSE))=TRUE," - NÃO CADASTRADO - ",VLOOKUP(B15,Numeros!$A:$C,3,FALSE)),"")</f>
        <v/>
      </c>
      <c r="G15" s="43" t="s">
        <v>451</v>
      </c>
      <c r="H15" s="42">
        <v>49.89</v>
      </c>
      <c r="I15" s="8"/>
    </row>
    <row r="16" spans="1:9">
      <c r="A16" s="37"/>
      <c r="B16" s="25"/>
      <c r="C16" s="38"/>
      <c r="D16" s="39" t="str">
        <f>IF(B16&lt;&gt;"",IF(ISNA(VLOOKUP(B16,Numeros!$A:$C,2,FALSE))=TRUE," - NÃO CADASTRADO - ",VLOOKUP(B16,Numeros!$A:$C,2,FALSE)),"")</f>
        <v/>
      </c>
      <c r="E16" s="39" t="str">
        <f>IF(B16&lt;&gt;"",IF(ISNA(VLOOKUP(B16,Numeros!$A:$C,2,FALSE))=TRUE," - NÃO CADASTRADO - ",VLOOKUP(B16,Numeros!$A:$C,3,FALSE)),"")</f>
        <v/>
      </c>
      <c r="G16" s="43"/>
      <c r="H16" s="42">
        <v>0</v>
      </c>
      <c r="I16" s="8"/>
    </row>
    <row r="17" spans="1:10">
      <c r="A17" s="37"/>
      <c r="B17" s="25"/>
      <c r="C17" s="38"/>
      <c r="D17" s="39" t="str">
        <f>IF(B17&lt;&gt;"",IF(ISNA(VLOOKUP(B17,Numeros!$A:$C,2,FALSE))=TRUE," - NÃO CADASTRADO - ",VLOOKUP(B17,Numeros!$A:$C,2,FALSE)),"")</f>
        <v/>
      </c>
      <c r="E17" s="39" t="str">
        <f>IF(B17&lt;&gt;"",IF(ISNA(VLOOKUP(B17,Numeros!$A:$C,2,FALSE))=TRUE," - NÃO CADASTRADO - ",VLOOKUP(B17,Numeros!$A:$C,3,FALSE)),"")</f>
        <v/>
      </c>
      <c r="G17" s="41"/>
      <c r="H17" s="42">
        <v>0</v>
      </c>
      <c r="I17" s="8"/>
    </row>
    <row r="18" spans="1:10">
      <c r="A18" s="37"/>
      <c r="B18" s="25"/>
      <c r="C18" s="38"/>
      <c r="D18" s="39" t="str">
        <f>IF(B18&lt;&gt;"",IF(ISNA(VLOOKUP(B18,Numeros!$A:$C,2,FALSE))=TRUE," - NÃO CADASTRADO - ",VLOOKUP(B18,Numeros!$A:$C,2,FALSE)),"")</f>
        <v/>
      </c>
      <c r="E18" s="39" t="str">
        <f>IF(B18&lt;&gt;"",IF(ISNA(VLOOKUP(B18,Numeros!$A:$C,2,FALSE))=TRUE," - NÃO CADASTRADO - ",VLOOKUP(B18,Numeros!$A:$C,3,FALSE)),"")</f>
        <v/>
      </c>
      <c r="G18" s="44" t="s">
        <v>445</v>
      </c>
      <c r="H18" s="45">
        <v>0</v>
      </c>
    </row>
    <row r="19" spans="1:10">
      <c r="A19" s="37"/>
      <c r="B19" s="25"/>
      <c r="C19" s="38"/>
      <c r="D19" s="39" t="str">
        <f>IF(B19&lt;&gt;"",IF(ISNA(VLOOKUP(B19,Numeros!$A:$C,2,FALSE))=TRUE," - NÃO CADASTRADO - ",VLOOKUP(B19,Numeros!$A:$C,2,FALSE)),"")</f>
        <v/>
      </c>
      <c r="E19" s="39" t="str">
        <f>IF(B19&lt;&gt;"",IF(ISNA(VLOOKUP(B19,Numeros!$A:$C,2,FALSE))=TRUE," - NÃO CADASTRADO - ",VLOOKUP(B19,Numeros!$A:$C,3,FALSE)),"")</f>
        <v/>
      </c>
    </row>
    <row r="20" spans="1:10">
      <c r="A20" s="37"/>
      <c r="B20" s="25"/>
      <c r="C20" s="38"/>
      <c r="D20" s="39" t="str">
        <f>IF(B20&lt;&gt;"",IF(ISNA(VLOOKUP(B20,Numeros!$A:$C,2,FALSE))=TRUE," - NÃO CADASTRADO - ",VLOOKUP(B20,Numeros!$A:$C,2,FALSE)),"")</f>
        <v/>
      </c>
      <c r="E20" s="39" t="str">
        <f>IF(B20&lt;&gt;"",IF(ISNA(VLOOKUP(B20,Numeros!$A:$C,2,FALSE))=TRUE," - NÃO CADASTRADO - ",VLOOKUP(B20,Numeros!$A:$C,3,FALSE)),"")</f>
        <v/>
      </c>
      <c r="G20" s="46"/>
      <c r="H20" s="47"/>
      <c r="I20" s="48" t="s">
        <v>446</v>
      </c>
      <c r="J20" s="8"/>
    </row>
    <row r="21" spans="1:10">
      <c r="A21" s="37"/>
      <c r="B21" s="25"/>
      <c r="C21" s="38"/>
      <c r="D21" s="39" t="str">
        <f>IF(B21&lt;&gt;"",IF(ISNA(VLOOKUP(B21,Numeros!$A:$C,2,FALSE))=TRUE," - NÃO CADASTRADO - ",VLOOKUP(B21,Numeros!$A:$C,2,FALSE)),"")</f>
        <v/>
      </c>
      <c r="E21" s="39" t="str">
        <f>IF(B21&lt;&gt;"",IF(ISNA(VLOOKUP(B21,Numeros!$A:$C,2,FALSE))=TRUE," - NÃO CADASTRADO - ",VLOOKUP(B21,Numeros!$A:$C,3,FALSE)),"")</f>
        <v/>
      </c>
      <c r="G21" s="48" t="s">
        <v>447</v>
      </c>
      <c r="H21" s="49">
        <f>SUM(H11:H17)-H18</f>
        <v>178.69</v>
      </c>
      <c r="I21" s="50">
        <v>1</v>
      </c>
      <c r="J21" s="51">
        <f>H21/I21</f>
        <v>178.69</v>
      </c>
    </row>
    <row r="22" spans="1:10">
      <c r="A22" s="37"/>
      <c r="B22" s="25"/>
      <c r="C22" s="38"/>
      <c r="D22" s="39" t="str">
        <f>IF(B22&lt;&gt;"",IF(ISNA(VLOOKUP(B22,Numeros!$A:$C,2,FALSE))=TRUE," - NÃO CADASTRADO - ",VLOOKUP(B22,Numeros!$A:$C,2,FALSE)),"")</f>
        <v/>
      </c>
      <c r="E22" s="39" t="str">
        <f>IF(B22&lt;&gt;"",IF(ISNA(VLOOKUP(B22,Numeros!$A:$C,2,FALSE))=TRUE," - NÃO CADASTRADO - ",VLOOKUP(B22,Numeros!$A:$C,3,FALSE)),"")</f>
        <v/>
      </c>
      <c r="G22" s="46"/>
      <c r="H22" s="47"/>
      <c r="I22" s="8"/>
      <c r="J22" s="8"/>
    </row>
    <row r="23" spans="1:10">
      <c r="A23" s="37"/>
      <c r="B23" s="25"/>
      <c r="C23" s="38"/>
      <c r="D23" s="39" t="str">
        <f>IF(B23&lt;&gt;"",IF(ISNA(VLOOKUP(B23,Numeros!$A:$C,2,FALSE))=TRUE," - NÃO CADASTRADO - ",VLOOKUP(B23,Numeros!$A:$C,2,FALSE)),"")</f>
        <v/>
      </c>
      <c r="E23" s="39" t="str">
        <f>IF(B23&lt;&gt;"",IF(ISNA(VLOOKUP(B23,Numeros!$A:$C,2,FALSE))=TRUE," - NÃO CADASTRADO - ",VLOOKUP(B23,Numeros!$A:$C,3,FALSE)),"")</f>
        <v/>
      </c>
      <c r="G23" s="25" t="s">
        <v>448</v>
      </c>
      <c r="H23" s="52">
        <f>SUM(C10:C110)</f>
        <v>0</v>
      </c>
      <c r="I23" s="8"/>
      <c r="J23" s="8"/>
    </row>
    <row r="24" spans="1:10">
      <c r="A24" s="37"/>
      <c r="B24" s="25"/>
      <c r="C24" s="38"/>
      <c r="D24" s="39" t="str">
        <f>IF(B24&lt;&gt;"",IF(ISNA(VLOOKUP(B24,Numeros!$A:$C,2,FALSE))=TRUE," - NÃO CADASTRADO - ",VLOOKUP(B24,Numeros!$A:$C,2,FALSE)),"")</f>
        <v/>
      </c>
      <c r="E24" s="39" t="str">
        <f>IF(B24&lt;&gt;"",IF(ISNA(VLOOKUP(B24,Numeros!$A:$C,2,FALSE))=TRUE," - NÃO CADASTRADO - ",VLOOKUP(B24,Numeros!$A:$C,3,FALSE)),"")</f>
        <v/>
      </c>
      <c r="G24" s="46"/>
      <c r="H24" s="47"/>
      <c r="I24" s="8"/>
      <c r="J24" s="8"/>
    </row>
    <row r="25" spans="1:10">
      <c r="A25" s="37"/>
      <c r="B25" s="25"/>
      <c r="C25" s="38"/>
      <c r="D25" s="39" t="str">
        <f>IF(B25&lt;&gt;"",IF(ISNA(VLOOKUP(B25,Numeros!$A:$C,2,FALSE))=TRUE," - NÃO CADASTRADO - ",VLOOKUP(B25,Numeros!$A:$C,2,FALSE)),"")</f>
        <v/>
      </c>
      <c r="E25" s="39" t="str">
        <f>IF(B25&lt;&gt;"",IF(ISNA(VLOOKUP(B25,Numeros!$A:$C,2,FALSE))=TRUE," - NÃO CADASTRADO - ",VLOOKUP(B25,Numeros!$A:$C,3,FALSE)),"")</f>
        <v/>
      </c>
      <c r="G25" s="53" t="s">
        <v>449</v>
      </c>
      <c r="H25" s="54">
        <f>SUM(H23,H21)</f>
        <v>178.69</v>
      </c>
      <c r="I25" s="8"/>
      <c r="J25" s="8"/>
    </row>
    <row r="26" spans="1:10">
      <c r="A26" s="37"/>
      <c r="B26" s="25"/>
      <c r="C26" s="38"/>
      <c r="D26" s="39" t="str">
        <f>IF(B26&lt;&gt;"",IF(ISNA(VLOOKUP(B26,Numeros!$A:$C,2,FALSE))=TRUE," - NÃO CADASTRADO - ",VLOOKUP(B26,Numeros!$A:$C,2,FALSE)),"")</f>
        <v/>
      </c>
      <c r="E26" s="39" t="str">
        <f>IF(B26&lt;&gt;"",IF(ISNA(VLOOKUP(B26,Numeros!$A:$C,2,FALSE))=TRUE," - NÃO CADASTRADO - ",VLOOKUP(B26,Numeros!$A:$C,3,FALSE)),"")</f>
        <v/>
      </c>
    </row>
    <row r="27" spans="1:10">
      <c r="A27" s="37"/>
      <c r="B27" s="25"/>
      <c r="C27" s="38"/>
      <c r="D27" s="39" t="str">
        <f>IF(B27&lt;&gt;"",IF(ISNA(VLOOKUP(B27,Numeros!$A:$C,2,FALSE))=TRUE," - NÃO CADASTRADO - ",VLOOKUP(B27,Numeros!$A:$C,2,FALSE)),"")</f>
        <v/>
      </c>
      <c r="E27" s="39" t="str">
        <f>IF(B27&lt;&gt;"",IF(ISNA(VLOOKUP(B27,Numeros!$A:$C,2,FALSE))=TRUE," - NÃO CADASTRADO - ",VLOOKUP(B27,Numeros!$A:$C,3,FALSE)),"")</f>
        <v/>
      </c>
      <c r="H27" s="55"/>
    </row>
    <row r="28" spans="1:10" ht="13.5" thickBot="1">
      <c r="A28" s="37"/>
      <c r="B28" s="25"/>
      <c r="C28" s="38"/>
      <c r="D28" s="39" t="str">
        <f>IF(B28&lt;&gt;"",IF(ISNA(VLOOKUP(B28,Numeros!$A:$C,2,FALSE))=TRUE," - NÃO CADASTRADO - ",VLOOKUP(B28,Numeros!$A:$C,2,FALSE)),"")</f>
        <v/>
      </c>
      <c r="E28" s="39" t="str">
        <f>IF(B28&lt;&gt;"",IF(ISNA(VLOOKUP(B28,Numeros!$A:$C,2,FALSE))=TRUE," - NÃO CADASTRADO - ",VLOOKUP(B28,Numeros!$A:$C,3,FALSE)),"")</f>
        <v/>
      </c>
    </row>
    <row r="29" spans="1:10" ht="15" customHeight="1">
      <c r="A29" s="37"/>
      <c r="B29" s="25"/>
      <c r="C29" s="38"/>
      <c r="D29" s="39" t="str">
        <f>IF(B29&lt;&gt;"",IF(ISNA(VLOOKUP(B29,Numeros!$A:$C,2,FALSE))=TRUE," - NÃO CADASTRADO - ",VLOOKUP(B29,Numeros!$A:$C,2,FALSE)),"")</f>
        <v/>
      </c>
      <c r="E29" s="39" t="str">
        <f>IF(B29&lt;&gt;"",IF(ISNA(VLOOKUP(B29,Numeros!$A:$C,2,FALSE))=TRUE," - NÃO CADASTRADO - ",VLOOKUP(B29,Numeros!$A:$C,3,FALSE)),"")</f>
        <v/>
      </c>
      <c r="G29" s="568" t="s">
        <v>463</v>
      </c>
      <c r="H29" s="569"/>
    </row>
    <row r="30" spans="1:10">
      <c r="A30" s="37"/>
      <c r="B30" s="25"/>
      <c r="C30" s="38"/>
      <c r="D30" s="39" t="str">
        <f>IF(B30&lt;&gt;"",IF(ISNA(VLOOKUP(B30,Numeros!$A:$C,2,FALSE))=TRUE," - NÃO CADASTRADO - ",VLOOKUP(B30,Numeros!$A:$C,2,FALSE)),"")</f>
        <v/>
      </c>
      <c r="E30" s="39" t="str">
        <f>IF(B30&lt;&gt;"",IF(ISNA(VLOOKUP(B30,Numeros!$A:$C,2,FALSE))=TRUE," - NÃO CADASTRADO - ",VLOOKUP(B30,Numeros!$A:$C,3,FALSE)),"")</f>
        <v/>
      </c>
      <c r="G30" s="63" t="s">
        <v>461</v>
      </c>
      <c r="H30" s="64">
        <v>1.46</v>
      </c>
    </row>
    <row r="31" spans="1:10" ht="13.5" thickBot="1">
      <c r="A31" s="37"/>
      <c r="B31" s="25"/>
      <c r="C31" s="38"/>
      <c r="D31" s="39" t="str">
        <f>IF(B31&lt;&gt;"",IF(ISNA(VLOOKUP(B31,Numeros!$A:$C,2,FALSE))=TRUE," - NÃO CADASTRADO - ",VLOOKUP(B31,Numeros!$A:$C,2,FALSE)),"")</f>
        <v/>
      </c>
      <c r="E31" s="39" t="str">
        <f>IF(B31&lt;&gt;"",IF(ISNA(VLOOKUP(B31,Numeros!$A:$C,2,FALSE))=TRUE," - NÃO CADASTRADO - ",VLOOKUP(B31,Numeros!$A:$C,3,FALSE)),"")</f>
        <v/>
      </c>
      <c r="G31" s="65" t="s">
        <v>462</v>
      </c>
      <c r="H31" s="66">
        <v>0.16</v>
      </c>
    </row>
    <row r="32" spans="1:10">
      <c r="A32" s="37"/>
      <c r="B32" s="25"/>
      <c r="C32" s="38"/>
      <c r="D32" s="39" t="str">
        <f>IF(B32&lt;&gt;"",IF(ISNA(VLOOKUP(B32,Numeros!$A:$C,2,FALSE))=TRUE," - NÃO CADASTRADO - ",VLOOKUP(B32,Numeros!$A:$C,2,FALSE)),"")</f>
        <v/>
      </c>
      <c r="E32" s="39" t="str">
        <f>IF(B32&lt;&gt;"",IF(ISNA(VLOOKUP(B32,Numeros!$A:$C,2,FALSE))=TRUE," - NÃO CADASTRADO - ",VLOOKUP(B32,Numeros!$A:$C,3,FALSE)),"")</f>
        <v/>
      </c>
    </row>
    <row r="33" spans="1:8">
      <c r="A33" s="40"/>
      <c r="B33" s="25"/>
      <c r="C33" s="38"/>
      <c r="D33" s="39" t="str">
        <f>IF(B33&lt;&gt;"",IF(ISNA(VLOOKUP(B33,Numeros!$A:$C,2,FALSE))=TRUE," - NÃO CADASTRADO - ",VLOOKUP(B33,Numeros!$A:$C,2,FALSE)),"")</f>
        <v/>
      </c>
      <c r="E33" s="39" t="str">
        <f>IF(B33&lt;&gt;"",IF(ISNA(VLOOKUP(B33,Numeros!$A:$C,2,FALSE))=TRUE," - NÃO CADASTRADO - ",VLOOKUP(B33,Numeros!$A:$C,3,FALSE)),"")</f>
        <v/>
      </c>
      <c r="G33" s="7"/>
      <c r="H33" s="7"/>
    </row>
    <row r="34" spans="1:8">
      <c r="A34" s="37"/>
      <c r="B34" s="25"/>
      <c r="C34" s="38"/>
      <c r="D34" s="39" t="str">
        <f>IF(B34&lt;&gt;"",IF(ISNA(VLOOKUP(B34,Numeros!$A:$C,2,FALSE))=TRUE," - NÃO CADASTRADO - ",VLOOKUP(B34,Numeros!$A:$C,2,FALSE)),"")</f>
        <v/>
      </c>
      <c r="E34" s="39" t="str">
        <f>IF(B34&lt;&gt;"",IF(ISNA(VLOOKUP(B34,Numeros!$A:$C,2,FALSE))=TRUE," - NÃO CADASTRADO - ",VLOOKUP(B34,Numeros!$A:$C,3,FALSE)),"")</f>
        <v/>
      </c>
      <c r="G34" s="7"/>
      <c r="H34" s="7">
        <v>519.38</v>
      </c>
    </row>
    <row r="35" spans="1:8">
      <c r="A35" s="37"/>
      <c r="B35" s="25"/>
      <c r="C35" s="38"/>
      <c r="D35" s="39" t="str">
        <f>IF(B35&lt;&gt;"",IF(ISNA(VLOOKUP(B35,Numeros!$A:$C,2,FALSE))=TRUE," - NÃO CADASTRADO - ",VLOOKUP(B35,Numeros!$A:$C,2,FALSE)),"")</f>
        <v/>
      </c>
      <c r="E35" s="39" t="str">
        <f>IF(B35&lt;&gt;"",IF(ISNA(VLOOKUP(B35,Numeros!$A:$C,2,FALSE))=TRUE," - NÃO CADASTRADO - ",VLOOKUP(B35,Numeros!$A:$C,3,FALSE)),"")</f>
        <v/>
      </c>
      <c r="G35" s="7"/>
      <c r="H35" s="7">
        <v>-145.75</v>
      </c>
    </row>
    <row r="36" spans="1:8">
      <c r="A36" s="37"/>
      <c r="B36" s="25"/>
      <c r="C36" s="38"/>
      <c r="D36" s="39" t="str">
        <f>IF(B36&lt;&gt;"",IF(ISNA(VLOOKUP(B36,Numeros!$A:$C,2,FALSE))=TRUE," - NÃO CADASTRADO - ",VLOOKUP(B36,Numeros!$A:$C,2,FALSE)),"")</f>
        <v/>
      </c>
      <c r="E36" s="39" t="str">
        <f>IF(B36&lt;&gt;"",IF(ISNA(VLOOKUP(B36,Numeros!$A:$C,2,FALSE))=TRUE," - NÃO CADASTRADO - ",VLOOKUP(B36,Numeros!$A:$C,3,FALSE)),"")</f>
        <v/>
      </c>
      <c r="G36" s="7"/>
      <c r="H36" s="7">
        <v>-114.14</v>
      </c>
    </row>
    <row r="37" spans="1:8">
      <c r="A37" s="37"/>
      <c r="B37" s="25"/>
      <c r="C37" s="38"/>
      <c r="D37" s="39" t="str">
        <f>IF(B37&lt;&gt;"",IF(ISNA(VLOOKUP(B37,Numeros!$A:$C,2,FALSE))=TRUE," - NÃO CADASTRADO - ",VLOOKUP(B37,Numeros!$A:$C,2,FALSE)),"")</f>
        <v/>
      </c>
      <c r="E37" s="39" t="str">
        <f>IF(B37&lt;&gt;"",IF(ISNA(VLOOKUP(B37,Numeros!$A:$C,2,FALSE))=TRUE," - NÃO CADASTRADO - ",VLOOKUP(B37,Numeros!$A:$C,3,FALSE)),"")</f>
        <v/>
      </c>
      <c r="G37" s="7"/>
      <c r="H37" s="69">
        <f>SUM(H34:H36)</f>
        <v>259.49</v>
      </c>
    </row>
    <row r="38" spans="1:8">
      <c r="A38" s="37"/>
      <c r="B38" s="25"/>
      <c r="C38" s="38"/>
      <c r="D38" s="39" t="str">
        <f>IF(B38&lt;&gt;"",IF(ISNA(VLOOKUP(B38,Numeros!$A:$C,2,FALSE))=TRUE," - NÃO CADASTRADO - ",VLOOKUP(B38,Numeros!$A:$C,2,FALSE)),"")</f>
        <v/>
      </c>
      <c r="E38" s="39" t="str">
        <f>IF(B38&lt;&gt;"",IF(ISNA(VLOOKUP(B38,Numeros!$A:$C,2,FALSE))=TRUE," - NÃO CADASTRADO - ",VLOOKUP(B38,Numeros!$A:$C,3,FALSE)),"")</f>
        <v/>
      </c>
      <c r="G38" s="7"/>
      <c r="H38" s="7"/>
    </row>
    <row r="39" spans="1:8">
      <c r="A39" s="37"/>
      <c r="B39" s="25"/>
      <c r="C39" s="38"/>
      <c r="D39" s="39" t="str">
        <f>IF(B39&lt;&gt;"",IF(ISNA(VLOOKUP(B39,Numeros!$A:$C,2,FALSE))=TRUE," - NÃO CADASTRADO - ",VLOOKUP(B39,Numeros!$A:$C,2,FALSE)),"")</f>
        <v/>
      </c>
      <c r="E39" s="39" t="str">
        <f>IF(B39&lt;&gt;"",IF(ISNA(VLOOKUP(B39,Numeros!$A:$C,2,FALSE))=TRUE," - NÃO CADASTRADO - ",VLOOKUP(B39,Numeros!$A:$C,3,FALSE)),"")</f>
        <v/>
      </c>
      <c r="G39" s="7"/>
      <c r="H39" s="7"/>
    </row>
    <row r="40" spans="1:8">
      <c r="A40" s="37"/>
      <c r="B40" s="25"/>
      <c r="C40" s="38"/>
      <c r="D40" s="39" t="str">
        <f>IF(B40&lt;&gt;"",IF(ISNA(VLOOKUP(B40,Numeros!$A:$C,2,FALSE))=TRUE," - NÃO CADASTRADO - ",VLOOKUP(B40,Numeros!$A:$C,2,FALSE)),"")</f>
        <v/>
      </c>
      <c r="E40" s="39" t="str">
        <f>IF(B40&lt;&gt;"",IF(ISNA(VLOOKUP(B40,Numeros!$A:$C,2,FALSE))=TRUE," - NÃO CADASTRADO - ",VLOOKUP(B40,Numeros!$A:$C,3,FALSE)),"")</f>
        <v/>
      </c>
      <c r="G40" s="7"/>
      <c r="H40" s="7"/>
    </row>
    <row r="41" spans="1:8">
      <c r="A41" s="37"/>
      <c r="B41" s="25"/>
      <c r="C41" s="38"/>
      <c r="D41" s="39" t="str">
        <f>IF(B41&lt;&gt;"",IF(ISNA(VLOOKUP(B41,Numeros!$A:$C,2,FALSE))=TRUE," - NÃO CADASTRADO - ",VLOOKUP(B41,Numeros!$A:$C,2,FALSE)),"")</f>
        <v/>
      </c>
      <c r="E41" s="39" t="str">
        <f>IF(B41&lt;&gt;"",IF(ISNA(VLOOKUP(B41,Numeros!$A:$C,2,FALSE))=TRUE," - NÃO CADASTRADO - ",VLOOKUP(B41,Numeros!$A:$C,3,FALSE)),"")</f>
        <v/>
      </c>
      <c r="G41" s="7"/>
      <c r="H41" s="7"/>
    </row>
    <row r="42" spans="1:8">
      <c r="A42" s="37"/>
      <c r="B42" s="25"/>
      <c r="C42" s="38"/>
      <c r="D42" s="39" t="str">
        <f>IF(B42&lt;&gt;"",IF(ISNA(VLOOKUP(B42,Numeros!$A:$C,2,FALSE))=TRUE," - NÃO CADASTRADO - ",VLOOKUP(B42,Numeros!$A:$C,2,FALSE)),"")</f>
        <v/>
      </c>
      <c r="E42" s="39" t="str">
        <f>IF(B42&lt;&gt;"",IF(ISNA(VLOOKUP(B42,Numeros!$A:$C,2,FALSE))=TRUE," - NÃO CADASTRADO - ",VLOOKUP(B42,Numeros!$A:$C,3,FALSE)),"")</f>
        <v/>
      </c>
      <c r="G42" s="7"/>
      <c r="H42" s="7"/>
    </row>
    <row r="43" spans="1:8">
      <c r="A43" s="40"/>
      <c r="B43" s="25"/>
      <c r="C43" s="38"/>
      <c r="D43" s="39" t="str">
        <f>IF(B43&lt;&gt;"",IF(ISNA(VLOOKUP(B43,Numeros!$A:$C,2,FALSE))=TRUE," - NÃO CADASTRADO - ",VLOOKUP(B43,Numeros!$A:$C,2,FALSE)),"")</f>
        <v/>
      </c>
      <c r="E43" s="39" t="str">
        <f>IF(B43&lt;&gt;"",IF(ISNA(VLOOKUP(B43,Numeros!$A:$C,2,FALSE))=TRUE," - NÃO CADASTRADO - ",VLOOKUP(B43,Numeros!$A:$C,3,FALSE)),"")</f>
        <v/>
      </c>
      <c r="G43" s="7"/>
      <c r="H43" s="7"/>
    </row>
    <row r="44" spans="1:8">
      <c r="A44" s="40"/>
      <c r="B44" s="25"/>
      <c r="C44" s="38"/>
      <c r="D44" s="39" t="str">
        <f>IF(B44&lt;&gt;"",IF(ISNA(VLOOKUP(B44,Numeros!$A:$C,2,FALSE))=TRUE," - NÃO CADASTRADO - ",VLOOKUP(B44,Numeros!$A:$C,2,FALSE)),"")</f>
        <v/>
      </c>
      <c r="E44" s="39" t="str">
        <f>IF(B44&lt;&gt;"",IF(ISNA(VLOOKUP(B44,Numeros!$A:$C,2,FALSE))=TRUE," - NÃO CADASTRADO - ",VLOOKUP(B44,Numeros!$A:$C,3,FALSE)),"")</f>
        <v/>
      </c>
      <c r="G44" s="7"/>
      <c r="H44" s="7"/>
    </row>
    <row r="45" spans="1:8">
      <c r="A45" s="37"/>
      <c r="B45" s="25"/>
      <c r="C45" s="38"/>
      <c r="D45" s="39" t="str">
        <f>IF(B45&lt;&gt;"",IF(ISNA(VLOOKUP(B45,Numeros!$A:$C,2,FALSE))=TRUE," - NÃO CADASTRADO - ",VLOOKUP(B45,Numeros!$A:$C,2,FALSE)),"")</f>
        <v/>
      </c>
      <c r="E45" s="39" t="str">
        <f>IF(B45&lt;&gt;"",IF(ISNA(VLOOKUP(B45,Numeros!$A:$C,2,FALSE))=TRUE," - NÃO CADASTRADO - ",VLOOKUP(B45,Numeros!$A:$C,3,FALSE)),"")</f>
        <v/>
      </c>
      <c r="G45" s="7"/>
      <c r="H45" s="7"/>
    </row>
    <row r="46" spans="1:8">
      <c r="A46" s="37"/>
      <c r="B46" s="25"/>
      <c r="C46" s="38"/>
      <c r="D46" s="39" t="str">
        <f>IF(B46&lt;&gt;"",IF(ISNA(VLOOKUP(B46,Numeros!$A:$C,2,FALSE))=TRUE," - NÃO CADASTRADO - ",VLOOKUP(B46,Numeros!$A:$C,2,FALSE)),"")</f>
        <v/>
      </c>
      <c r="E46" s="39" t="str">
        <f>IF(B46&lt;&gt;"",IF(ISNA(VLOOKUP(B46,Numeros!$A:$C,2,FALSE))=TRUE," - NÃO CADASTRADO - ",VLOOKUP(B46,Numeros!$A:$C,3,FALSE)),"")</f>
        <v/>
      </c>
      <c r="G46" s="7"/>
      <c r="H46" s="7"/>
    </row>
    <row r="47" spans="1:8">
      <c r="A47" s="37"/>
      <c r="B47" s="25"/>
      <c r="C47" s="38"/>
      <c r="D47" s="39" t="str">
        <f>IF(B47&lt;&gt;"",IF(ISNA(VLOOKUP(B47,Numeros!$A:$C,2,FALSE))=TRUE," - NÃO CADASTRADO - ",VLOOKUP(B47,Numeros!$A:$C,2,FALSE)),"")</f>
        <v/>
      </c>
      <c r="E47" s="39" t="str">
        <f>IF(B47&lt;&gt;"",IF(ISNA(VLOOKUP(B47,Numeros!$A:$C,2,FALSE))=TRUE," - NÃO CADASTRADO - ",VLOOKUP(B47,Numeros!$A:$C,3,FALSE)),"")</f>
        <v/>
      </c>
      <c r="G47" s="7"/>
      <c r="H47" s="7"/>
    </row>
    <row r="48" spans="1:8">
      <c r="A48" s="37"/>
      <c r="B48" s="25"/>
      <c r="C48" s="38"/>
      <c r="D48" s="39" t="str">
        <f>IF(B48&lt;&gt;"",IF(ISNA(VLOOKUP(B48,Numeros!$A:$C,2,FALSE))=TRUE," - NÃO CADASTRADO - ",VLOOKUP(B48,Numeros!$A:$C,2,FALSE)),"")</f>
        <v/>
      </c>
      <c r="E48" s="39" t="str">
        <f>IF(B48&lt;&gt;"",IF(ISNA(VLOOKUP(B48,Numeros!$A:$C,2,FALSE))=TRUE," - NÃO CADASTRADO - ",VLOOKUP(B48,Numeros!$A:$C,3,FALSE)),"")</f>
        <v/>
      </c>
      <c r="G48" s="7"/>
      <c r="H48" s="7"/>
    </row>
    <row r="49" spans="1:8">
      <c r="A49" s="37"/>
      <c r="B49" s="25"/>
      <c r="C49" s="38"/>
      <c r="D49" s="39" t="str">
        <f>IF(B49&lt;&gt;"",IF(ISNA(VLOOKUP(B49,Numeros!$A:$C,2,FALSE))=TRUE," - NÃO CADASTRADO - ",VLOOKUP(B49,Numeros!$A:$C,2,FALSE)),"")</f>
        <v/>
      </c>
      <c r="E49" s="39" t="str">
        <f>IF(B49&lt;&gt;"",IF(ISNA(VLOOKUP(B49,Numeros!$A:$C,2,FALSE))=TRUE," - NÃO CADASTRADO - ",VLOOKUP(B49,Numeros!$A:$C,3,FALSE)),"")</f>
        <v/>
      </c>
      <c r="G49" s="7"/>
      <c r="H49" s="7"/>
    </row>
    <row r="50" spans="1:8">
      <c r="A50" s="37"/>
      <c r="B50" s="25"/>
      <c r="C50" s="38"/>
      <c r="D50" s="39" t="str">
        <f>IF(B50&lt;&gt;"",IF(ISNA(VLOOKUP(B50,Numeros!$A:$C,2,FALSE))=TRUE," - NÃO CADASTRADO - ",VLOOKUP(B50,Numeros!$A:$C,2,FALSE)),"")</f>
        <v/>
      </c>
      <c r="E50" s="39" t="str">
        <f>IF(B50&lt;&gt;"",IF(ISNA(VLOOKUP(B50,Numeros!$A:$C,2,FALSE))=TRUE," - NÃO CADASTRADO - ",VLOOKUP(B50,Numeros!$A:$C,3,FALSE)),"")</f>
        <v/>
      </c>
      <c r="G50" s="7"/>
      <c r="H50" s="7"/>
    </row>
    <row r="51" spans="1:8">
      <c r="A51" s="37"/>
      <c r="B51" s="25"/>
      <c r="C51" s="38"/>
      <c r="D51" s="39" t="str">
        <f>IF(B51&lt;&gt;"",IF(ISNA(VLOOKUP(B51,Numeros!$A:$C,2,FALSE))=TRUE," - NÃO CADASTRADO - ",VLOOKUP(B51,Numeros!$A:$C,2,FALSE)),"")</f>
        <v/>
      </c>
      <c r="E51" s="39" t="str">
        <f>IF(B51&lt;&gt;"",IF(ISNA(VLOOKUP(B51,Numeros!$A:$C,2,FALSE))=TRUE," - NÃO CADASTRADO - ",VLOOKUP(B51,Numeros!$A:$C,3,FALSE)),"")</f>
        <v/>
      </c>
      <c r="G51" s="7"/>
      <c r="H51" s="7"/>
    </row>
    <row r="52" spans="1:8">
      <c r="A52" s="37"/>
      <c r="B52" s="25"/>
      <c r="C52" s="38"/>
      <c r="D52" s="39" t="str">
        <f>IF(B52&lt;&gt;"",IF(ISNA(VLOOKUP(B52,Numeros!$A:$C,2,FALSE))=TRUE," - NÃO CADASTRADO - ",VLOOKUP(B52,Numeros!$A:$C,2,FALSE)),"")</f>
        <v/>
      </c>
      <c r="E52" s="39" t="str">
        <f>IF(B52&lt;&gt;"",IF(ISNA(VLOOKUP(B52,Numeros!$A:$C,2,FALSE))=TRUE," - NÃO CADASTRADO - ",VLOOKUP(B52,Numeros!$A:$C,3,FALSE)),"")</f>
        <v/>
      </c>
      <c r="G52" s="7"/>
      <c r="H52" s="7"/>
    </row>
    <row r="53" spans="1:8">
      <c r="A53" s="37"/>
      <c r="B53" s="25"/>
      <c r="C53" s="38"/>
      <c r="D53" s="39" t="str">
        <f>IF(B53&lt;&gt;"",IF(ISNA(VLOOKUP(B53,Numeros!$A:$C,2,FALSE))=TRUE," - NÃO CADASTRADO - ",VLOOKUP(B53,Numeros!$A:$C,2,FALSE)),"")</f>
        <v/>
      </c>
      <c r="E53" s="39" t="str">
        <f>IF(B53&lt;&gt;"",IF(ISNA(VLOOKUP(B53,Numeros!$A:$C,2,FALSE))=TRUE," - NÃO CADASTRADO - ",VLOOKUP(B53,Numeros!$A:$C,3,FALSE)),"")</f>
        <v/>
      </c>
      <c r="G53" s="7"/>
      <c r="H53" s="7"/>
    </row>
    <row r="54" spans="1:8">
      <c r="A54" s="37"/>
      <c r="B54" s="25"/>
      <c r="C54" s="38"/>
      <c r="D54" s="39" t="str">
        <f>IF(B54&lt;&gt;"",IF(ISNA(VLOOKUP(B54,Numeros!$A:$C,2,FALSE))=TRUE," - NÃO CADASTRADO - ",VLOOKUP(B54,Numeros!$A:$C,2,FALSE)),"")</f>
        <v/>
      </c>
      <c r="E54" s="39" t="str">
        <f>IF(B54&lt;&gt;"",IF(ISNA(VLOOKUP(B54,Numeros!$A:$C,2,FALSE))=TRUE," - NÃO CADASTRADO - ",VLOOKUP(B54,Numeros!$A:$C,3,FALSE)),"")</f>
        <v/>
      </c>
      <c r="G54" s="7"/>
      <c r="H54" s="7"/>
    </row>
    <row r="55" spans="1:8">
      <c r="A55" s="37"/>
      <c r="B55" s="25"/>
      <c r="C55" s="38"/>
      <c r="D55" s="39" t="str">
        <f>IF(B55&lt;&gt;"",IF(ISNA(VLOOKUP(B55,Numeros!$A:$C,2,FALSE))=TRUE," - NÃO CADASTRADO - ",VLOOKUP(B55,Numeros!$A:$C,2,FALSE)),"")</f>
        <v/>
      </c>
      <c r="E55" s="39" t="str">
        <f>IF(B55&lt;&gt;"",IF(ISNA(VLOOKUP(B55,Numeros!$A:$C,2,FALSE))=TRUE," - NÃO CADASTRADO - ",VLOOKUP(B55,Numeros!$A:$C,3,FALSE)),"")</f>
        <v/>
      </c>
      <c r="G55" s="7"/>
      <c r="H55" s="7"/>
    </row>
    <row r="56" spans="1:8">
      <c r="A56" s="37"/>
      <c r="B56" s="25"/>
      <c r="C56" s="38"/>
      <c r="D56" s="39" t="str">
        <f>IF(B56&lt;&gt;"",IF(ISNA(VLOOKUP(B56,Numeros!$A:$C,2,FALSE))=TRUE," - NÃO CADASTRADO - ",VLOOKUP(B56,Numeros!$A:$C,2,FALSE)),"")</f>
        <v/>
      </c>
      <c r="E56" s="39" t="str">
        <f>IF(B56&lt;&gt;"",IF(ISNA(VLOOKUP(B56,Numeros!$A:$C,2,FALSE))=TRUE," - NÃO CADASTRADO - ",VLOOKUP(B56,Numeros!$A:$C,3,FALSE)),"")</f>
        <v/>
      </c>
      <c r="G56" s="7"/>
      <c r="H56" s="7"/>
    </row>
    <row r="57" spans="1:8">
      <c r="A57" s="37"/>
      <c r="B57" s="25"/>
      <c r="C57" s="38"/>
      <c r="D57" s="39" t="str">
        <f>IF(B57&lt;&gt;"",IF(ISNA(VLOOKUP(B57,Numeros!$A:$C,2,FALSE))=TRUE," - NÃO CADASTRADO - ",VLOOKUP(B57,Numeros!$A:$C,2,FALSE)),"")</f>
        <v/>
      </c>
      <c r="E57" s="39" t="str">
        <f>IF(B57&lt;&gt;"",IF(ISNA(VLOOKUP(B57,Numeros!$A:$C,2,FALSE))=TRUE," - NÃO CADASTRADO - ",VLOOKUP(B57,Numeros!$A:$C,3,FALSE)),"")</f>
        <v/>
      </c>
      <c r="G57" s="7"/>
      <c r="H57" s="7"/>
    </row>
    <row r="58" spans="1:8">
      <c r="A58" s="37"/>
      <c r="B58" s="25"/>
      <c r="C58" s="38"/>
      <c r="D58" s="39" t="str">
        <f>IF(B58&lt;&gt;"",IF(ISNA(VLOOKUP(B58,Numeros!$A:$C,2,FALSE))=TRUE," - NÃO CADASTRADO - ",VLOOKUP(B58,Numeros!$A:$C,2,FALSE)),"")</f>
        <v/>
      </c>
      <c r="E58" s="39" t="str">
        <f>IF(B58&lt;&gt;"",IF(ISNA(VLOOKUP(B58,Numeros!$A:$C,2,FALSE))=TRUE," - NÃO CADASTRADO - ",VLOOKUP(B58,Numeros!$A:$C,3,FALSE)),"")</f>
        <v/>
      </c>
      <c r="G58" s="7"/>
      <c r="H58" s="7"/>
    </row>
    <row r="59" spans="1:8">
      <c r="A59" s="37"/>
      <c r="B59" s="25"/>
      <c r="C59" s="38"/>
      <c r="D59" s="39" t="str">
        <f>IF(B59&lt;&gt;"",IF(ISNA(VLOOKUP(B59,Numeros!$A:$C,2,FALSE))=TRUE," - NÃO CADASTRADO - ",VLOOKUP(B59,Numeros!$A:$C,2,FALSE)),"")</f>
        <v/>
      </c>
      <c r="E59" s="39" t="str">
        <f>IF(B59&lt;&gt;"",IF(ISNA(VLOOKUP(B59,Numeros!$A:$C,2,FALSE))=TRUE," - NÃO CADASTRADO - ",VLOOKUP(B59,Numeros!$A:$C,3,FALSE)),"")</f>
        <v/>
      </c>
      <c r="G59" s="7"/>
      <c r="H59" s="7"/>
    </row>
    <row r="60" spans="1:8">
      <c r="A60" s="37"/>
      <c r="B60" s="25"/>
      <c r="C60" s="38"/>
      <c r="D60" s="39" t="str">
        <f>IF(B60&lt;&gt;"",IF(ISNA(VLOOKUP(B60,Numeros!$A:$C,2,FALSE))=TRUE," - NÃO CADASTRADO - ",VLOOKUP(B60,Numeros!$A:$C,2,FALSE)),"")</f>
        <v/>
      </c>
      <c r="E60" s="39" t="str">
        <f>IF(B60&lt;&gt;"",IF(ISNA(VLOOKUP(B60,Numeros!$A:$C,2,FALSE))=TRUE," - NÃO CADASTRADO - ",VLOOKUP(B60,Numeros!$A:$C,3,FALSE)),"")</f>
        <v/>
      </c>
      <c r="G60" s="7"/>
      <c r="H60" s="7"/>
    </row>
    <row r="61" spans="1:8">
      <c r="A61" s="37"/>
      <c r="B61" s="25"/>
      <c r="C61" s="38"/>
      <c r="D61" s="39" t="str">
        <f>IF(B61&lt;&gt;"",IF(ISNA(VLOOKUP(B61,Numeros!$A:$C,2,FALSE))=TRUE," - NÃO CADASTRADO - ",VLOOKUP(B61,Numeros!$A:$C,2,FALSE)),"")</f>
        <v/>
      </c>
      <c r="E61" s="39" t="str">
        <f>IF(B61&lt;&gt;"",IF(ISNA(VLOOKUP(B61,Numeros!$A:$C,2,FALSE))=TRUE," - NÃO CADASTRADO - ",VLOOKUP(B61,Numeros!$A:$C,3,FALSE)),"")</f>
        <v/>
      </c>
      <c r="G61" s="7"/>
      <c r="H61" s="7"/>
    </row>
    <row r="62" spans="1:8">
      <c r="A62" s="37"/>
      <c r="B62" s="25"/>
      <c r="C62" s="38"/>
      <c r="D62" s="39" t="str">
        <f>IF(B62&lt;&gt;"",IF(ISNA(VLOOKUP(B62,Numeros!$A:$C,2,FALSE))=TRUE," - NÃO CADASTRADO - ",VLOOKUP(B62,Numeros!$A:$C,2,FALSE)),"")</f>
        <v/>
      </c>
      <c r="E62" s="39" t="str">
        <f>IF(B62&lt;&gt;"",IF(ISNA(VLOOKUP(B62,Numeros!$A:$C,2,FALSE))=TRUE," - NÃO CADASTRADO - ",VLOOKUP(B62,Numeros!$A:$C,3,FALSE)),"")</f>
        <v/>
      </c>
      <c r="G62" s="7"/>
      <c r="H62" s="7"/>
    </row>
    <row r="63" spans="1:8">
      <c r="A63" s="37"/>
      <c r="B63" s="25"/>
      <c r="C63" s="38"/>
      <c r="D63" s="39" t="str">
        <f>IF(B63&lt;&gt;"",IF(ISNA(VLOOKUP(B63,Numeros!$A:$C,2,FALSE))=TRUE," - NÃO CADASTRADO - ",VLOOKUP(B63,Numeros!$A:$C,2,FALSE)),"")</f>
        <v/>
      </c>
      <c r="E63" s="39" t="str">
        <f>IF(B63&lt;&gt;"",IF(ISNA(VLOOKUP(B63,Numeros!$A:$C,2,FALSE))=TRUE," - NÃO CADASTRADO - ",VLOOKUP(B63,Numeros!$A:$C,3,FALSE)),"")</f>
        <v/>
      </c>
      <c r="G63" s="7"/>
      <c r="H63" s="7"/>
    </row>
    <row r="64" spans="1:8">
      <c r="A64" s="37"/>
      <c r="B64" s="25"/>
      <c r="C64" s="38"/>
      <c r="D64" s="39" t="str">
        <f>IF(B64&lt;&gt;"",IF(ISNA(VLOOKUP(B64,Numeros!$A:$C,2,FALSE))=TRUE," - NÃO CADASTRADO - ",VLOOKUP(B64,Numeros!$A:$C,2,FALSE)),"")</f>
        <v/>
      </c>
      <c r="E64" s="39" t="str">
        <f>IF(B64&lt;&gt;"",IF(ISNA(VLOOKUP(B64,Numeros!$A:$C,2,FALSE))=TRUE," - NÃO CADASTRADO - ",VLOOKUP(B64,Numeros!$A:$C,3,FALSE)),"")</f>
        <v/>
      </c>
      <c r="G64" s="7"/>
      <c r="H64" s="7"/>
    </row>
    <row r="65" spans="1:8">
      <c r="A65" s="37"/>
      <c r="B65" s="25"/>
      <c r="C65" s="38"/>
      <c r="D65" s="39" t="str">
        <f>IF(B65&lt;&gt;"",IF(ISNA(VLOOKUP(B65,Numeros!$A:$C,2,FALSE))=TRUE," - NÃO CADASTRADO - ",VLOOKUP(B65,Numeros!$A:$C,2,FALSE)),"")</f>
        <v/>
      </c>
      <c r="E65" s="39" t="str">
        <f>IF(B65&lt;&gt;"",IF(ISNA(VLOOKUP(B65,Numeros!$A:$C,2,FALSE))=TRUE," - NÃO CADASTRADO - ",VLOOKUP(B65,Numeros!$A:$C,3,FALSE)),"")</f>
        <v/>
      </c>
      <c r="G65" s="7"/>
      <c r="H65" s="7"/>
    </row>
    <row r="66" spans="1:8">
      <c r="A66" s="37"/>
      <c r="B66" s="25"/>
      <c r="C66" s="38"/>
      <c r="D66" s="39" t="str">
        <f>IF(B66&lt;&gt;"",IF(ISNA(VLOOKUP(B66,Numeros!$A:$C,2,FALSE))=TRUE," - NÃO CADASTRADO - ",VLOOKUP(B66,Numeros!$A:$C,2,FALSE)),"")</f>
        <v/>
      </c>
      <c r="E66" s="39" t="str">
        <f>IF(B66&lt;&gt;"",IF(ISNA(VLOOKUP(B66,Numeros!$A:$C,2,FALSE))=TRUE," - NÃO CADASTRADO - ",VLOOKUP(B66,Numeros!$A:$C,3,FALSE)),"")</f>
        <v/>
      </c>
      <c r="G66" s="7"/>
      <c r="H66" s="7"/>
    </row>
    <row r="67" spans="1:8">
      <c r="A67" s="37"/>
      <c r="B67" s="25"/>
      <c r="C67" s="38"/>
      <c r="D67" s="39" t="str">
        <f>IF(B67&lt;&gt;"",IF(ISNA(VLOOKUP(B67,Numeros!$A:$C,2,FALSE))=TRUE," - NÃO CADASTRADO - ",VLOOKUP(B67,Numeros!$A:$C,2,FALSE)),"")</f>
        <v/>
      </c>
      <c r="E67" s="39" t="str">
        <f>IF(B67&lt;&gt;"",IF(ISNA(VLOOKUP(B67,Numeros!$A:$C,2,FALSE))=TRUE," - NÃO CADASTRADO - ",VLOOKUP(B67,Numeros!$A:$C,3,FALSE)),"")</f>
        <v/>
      </c>
      <c r="G67" s="7"/>
      <c r="H67" s="7"/>
    </row>
    <row r="68" spans="1:8">
      <c r="A68" s="37"/>
      <c r="B68" s="25"/>
      <c r="C68" s="38"/>
      <c r="D68" s="39" t="str">
        <f>IF(B68&lt;&gt;"",IF(ISNA(VLOOKUP(B68,Numeros!$A:$C,2,FALSE))=TRUE," - NÃO CADASTRADO - ",VLOOKUP(B68,Numeros!$A:$C,2,FALSE)),"")</f>
        <v/>
      </c>
      <c r="E68" s="39" t="str">
        <f>IF(B68&lt;&gt;"",IF(ISNA(VLOOKUP(B68,Numeros!$A:$C,2,FALSE))=TRUE," - NÃO CADASTRADO - ",VLOOKUP(B68,Numeros!$A:$C,3,FALSE)),"")</f>
        <v/>
      </c>
      <c r="G68" s="7"/>
      <c r="H68" s="7"/>
    </row>
    <row r="69" spans="1:8">
      <c r="A69" s="37"/>
      <c r="B69" s="25"/>
      <c r="C69" s="38"/>
      <c r="D69" s="39" t="str">
        <f>IF(B69&lt;&gt;"",IF(ISNA(VLOOKUP(B69,Numeros!$A:$C,2,FALSE))=TRUE," - NÃO CADASTRADO - ",VLOOKUP(B69,Numeros!$A:$C,2,FALSE)),"")</f>
        <v/>
      </c>
      <c r="E69" s="39" t="str">
        <f>IF(B69&lt;&gt;"",IF(ISNA(VLOOKUP(B69,Numeros!$A:$C,2,FALSE))=TRUE," - NÃO CADASTRADO - ",VLOOKUP(B69,Numeros!$A:$C,3,FALSE)),"")</f>
        <v/>
      </c>
      <c r="G69" s="7"/>
      <c r="H69" s="7"/>
    </row>
    <row r="70" spans="1:8">
      <c r="A70" s="37"/>
      <c r="B70" s="25"/>
      <c r="C70" s="38"/>
      <c r="D70" s="39" t="str">
        <f>IF(B70&lt;&gt;"",IF(ISNA(VLOOKUP(B70,Numeros!$A:$C,2,FALSE))=TRUE," - NÃO CADASTRADO - ",VLOOKUP(B70,Numeros!$A:$C,2,FALSE)),"")</f>
        <v/>
      </c>
      <c r="E70" s="39" t="str">
        <f>IF(B70&lt;&gt;"",IF(ISNA(VLOOKUP(B70,Numeros!$A:$C,2,FALSE))=TRUE," - NÃO CADASTRADO - ",VLOOKUP(B70,Numeros!$A:$C,3,FALSE)),"")</f>
        <v/>
      </c>
      <c r="G70" s="7"/>
      <c r="H70" s="7"/>
    </row>
    <row r="71" spans="1:8">
      <c r="A71" s="37"/>
      <c r="B71" s="25"/>
      <c r="C71" s="38"/>
      <c r="D71" s="39" t="str">
        <f>IF(B71&lt;&gt;"",IF(ISNA(VLOOKUP(B71,Numeros!$A:$C,2,FALSE))=TRUE," - NÃO CADASTRADO - ",VLOOKUP(B71,Numeros!$A:$C,2,FALSE)),"")</f>
        <v/>
      </c>
      <c r="E71" s="39" t="str">
        <f>IF(B71&lt;&gt;"",IF(ISNA(VLOOKUP(B71,Numeros!$A:$C,2,FALSE))=TRUE," - NÃO CADASTRADO - ",VLOOKUP(B71,Numeros!$A:$C,3,FALSE)),"")</f>
        <v/>
      </c>
      <c r="G71" s="7"/>
      <c r="H71" s="7"/>
    </row>
    <row r="72" spans="1:8">
      <c r="A72" s="37"/>
      <c r="B72" s="25"/>
      <c r="C72" s="38"/>
      <c r="D72" s="39" t="str">
        <f>IF(B72&lt;&gt;"",IF(ISNA(VLOOKUP(B72,Numeros!$A:$C,2,FALSE))=TRUE," - NÃO CADASTRADO - ",VLOOKUP(B72,Numeros!$A:$C,2,FALSE)),"")</f>
        <v/>
      </c>
      <c r="E72" s="39" t="str">
        <f>IF(B72&lt;&gt;"",IF(ISNA(VLOOKUP(B72,Numeros!$A:$C,2,FALSE))=TRUE," - NÃO CADASTRADO - ",VLOOKUP(B72,Numeros!$A:$C,3,FALSE)),"")</f>
        <v/>
      </c>
      <c r="G72" s="7"/>
      <c r="H72" s="7"/>
    </row>
    <row r="73" spans="1:8">
      <c r="A73" s="37"/>
      <c r="B73" s="25"/>
      <c r="C73" s="38"/>
      <c r="D73" s="39" t="str">
        <f>IF(B73&lt;&gt;"",IF(ISNA(VLOOKUP(B73,Numeros!$A:$C,2,FALSE))=TRUE," - NÃO CADASTRADO - ",VLOOKUP(B73,Numeros!$A:$C,2,FALSE)),"")</f>
        <v/>
      </c>
      <c r="E73" s="39" t="str">
        <f>IF(B73&lt;&gt;"",IF(ISNA(VLOOKUP(B73,Numeros!$A:$C,2,FALSE))=TRUE," - NÃO CADASTRADO - ",VLOOKUP(B73,Numeros!$A:$C,3,FALSE)),"")</f>
        <v/>
      </c>
      <c r="G73" s="7"/>
      <c r="H73" s="7"/>
    </row>
    <row r="74" spans="1:8">
      <c r="A74" s="37"/>
      <c r="B74" s="25"/>
      <c r="C74" s="38"/>
      <c r="D74" s="39" t="str">
        <f>IF(B74&lt;&gt;"",IF(ISNA(VLOOKUP(B74,Numeros!$A:$C,2,FALSE))=TRUE," - NÃO CADASTRADO - ",VLOOKUP(B74,Numeros!$A:$C,2,FALSE)),"")</f>
        <v/>
      </c>
      <c r="E74" s="39" t="str">
        <f>IF(B74&lt;&gt;"",IF(ISNA(VLOOKUP(B74,Numeros!$A:$C,2,FALSE))=TRUE," - NÃO CADASTRADO - ",VLOOKUP(B74,Numeros!$A:$C,3,FALSE)),"")</f>
        <v/>
      </c>
      <c r="G74" s="7"/>
      <c r="H74" s="7"/>
    </row>
    <row r="75" spans="1:8">
      <c r="A75" s="37"/>
      <c r="B75" s="25"/>
      <c r="C75" s="38"/>
      <c r="D75" s="39" t="str">
        <f>IF(B75&lt;&gt;"",IF(ISNA(VLOOKUP(B75,Numeros!$A:$C,2,FALSE))=TRUE," - NÃO CADASTRADO - ",VLOOKUP(B75,Numeros!$A:$C,2,FALSE)),"")</f>
        <v/>
      </c>
      <c r="E75" s="39" t="str">
        <f>IF(B75&lt;&gt;"",IF(ISNA(VLOOKUP(B75,Numeros!$A:$C,2,FALSE))=TRUE," - NÃO CADASTRADO - ",VLOOKUP(B75,Numeros!$A:$C,3,FALSE)),"")</f>
        <v/>
      </c>
      <c r="G75" s="7"/>
      <c r="H75" s="7"/>
    </row>
    <row r="76" spans="1:8">
      <c r="A76" s="37"/>
      <c r="B76" s="25"/>
      <c r="C76" s="38"/>
      <c r="D76" s="39" t="str">
        <f>IF(B76&lt;&gt;"",IF(ISNA(VLOOKUP(B76,Numeros!$A:$C,2,FALSE))=TRUE," - NÃO CADASTRADO - ",VLOOKUP(B76,Numeros!$A:$C,2,FALSE)),"")</f>
        <v/>
      </c>
      <c r="E76" s="39" t="str">
        <f>IF(B76&lt;&gt;"",IF(ISNA(VLOOKUP(B76,Numeros!$A:$C,2,FALSE))=TRUE," - NÃO CADASTRADO - ",VLOOKUP(B76,Numeros!$A:$C,3,FALSE)),"")</f>
        <v/>
      </c>
      <c r="G76" s="7"/>
      <c r="H76" s="7"/>
    </row>
    <row r="77" spans="1:8">
      <c r="A77" s="37"/>
      <c r="B77" s="25"/>
      <c r="C77" s="38"/>
      <c r="D77" s="39" t="str">
        <f>IF(B77&lt;&gt;"",IF(ISNA(VLOOKUP(B77,Numeros!$A:$C,2,FALSE))=TRUE," - NÃO CADASTRADO - ",VLOOKUP(B77,Numeros!$A:$C,2,FALSE)),"")</f>
        <v/>
      </c>
      <c r="E77" s="39" t="str">
        <f>IF(B77&lt;&gt;"",IF(ISNA(VLOOKUP(B77,Numeros!$A:$C,2,FALSE))=TRUE," - NÃO CADASTRADO - ",VLOOKUP(B77,Numeros!$A:$C,3,FALSE)),"")</f>
        <v/>
      </c>
      <c r="G77" s="7"/>
      <c r="H77" s="7"/>
    </row>
    <row r="78" spans="1:8">
      <c r="A78" s="37"/>
      <c r="B78" s="25"/>
      <c r="C78" s="38"/>
      <c r="D78" s="39" t="str">
        <f>IF(B78&lt;&gt;"",IF(ISNA(VLOOKUP(B78,Numeros!$A:$C,2,FALSE))=TRUE," - NÃO CADASTRADO - ",VLOOKUP(B78,Numeros!$A:$C,2,FALSE)),"")</f>
        <v/>
      </c>
      <c r="E78" s="39" t="str">
        <f>IF(B78&lt;&gt;"",IF(ISNA(VLOOKUP(B78,Numeros!$A:$C,2,FALSE))=TRUE," - NÃO CADASTRADO - ",VLOOKUP(B78,Numeros!$A:$C,3,FALSE)),"")</f>
        <v/>
      </c>
      <c r="G78" s="7"/>
      <c r="H78" s="7"/>
    </row>
    <row r="79" spans="1:8">
      <c r="A79" s="37"/>
      <c r="B79" s="25"/>
      <c r="C79" s="38"/>
      <c r="D79" s="39" t="str">
        <f>IF(B79&lt;&gt;"",IF(ISNA(VLOOKUP(B79,Numeros!$A:$C,2,FALSE))=TRUE," - NÃO CADASTRADO - ",VLOOKUP(B79,Numeros!$A:$C,2,FALSE)),"")</f>
        <v/>
      </c>
      <c r="E79" s="39" t="str">
        <f>IF(B79&lt;&gt;"",IF(ISNA(VLOOKUP(B79,Numeros!$A:$C,2,FALSE))=TRUE," - NÃO CADASTRADO - ",VLOOKUP(B79,Numeros!$A:$C,3,FALSE)),"")</f>
        <v/>
      </c>
      <c r="G79" s="7"/>
      <c r="H79" s="7"/>
    </row>
    <row r="80" spans="1:8">
      <c r="A80" s="37"/>
      <c r="B80" s="25"/>
      <c r="C80" s="38"/>
      <c r="D80" s="39" t="str">
        <f>IF(B80&lt;&gt;"",IF(ISNA(VLOOKUP(B80,Numeros!$A:$C,2,FALSE))=TRUE," - NÃO CADASTRADO - ",VLOOKUP(B80,Numeros!$A:$C,2,FALSE)),"")</f>
        <v/>
      </c>
      <c r="E80" s="39" t="str">
        <f>IF(B80&lt;&gt;"",IF(ISNA(VLOOKUP(B80,Numeros!$A:$C,2,FALSE))=TRUE," - NÃO CADASTRADO - ",VLOOKUP(B80,Numeros!$A:$C,3,FALSE)),"")</f>
        <v/>
      </c>
      <c r="G80" s="7"/>
      <c r="H80" s="7"/>
    </row>
    <row r="81" spans="1:8">
      <c r="A81" s="37"/>
      <c r="B81" s="25"/>
      <c r="C81" s="38"/>
      <c r="D81" s="39" t="str">
        <f>IF(B81&lt;&gt;"",IF(ISNA(VLOOKUP(B81,Numeros!$A:$C,2,FALSE))=TRUE," - NÃO CADASTRADO - ",VLOOKUP(B81,Numeros!$A:$C,2,FALSE)),"")</f>
        <v/>
      </c>
      <c r="E81" s="39" t="str">
        <f>IF(B81&lt;&gt;"",IF(ISNA(VLOOKUP(B81,Numeros!$A:$C,2,FALSE))=TRUE," - NÃO CADASTRADO - ",VLOOKUP(B81,Numeros!$A:$C,3,FALSE)),"")</f>
        <v/>
      </c>
      <c r="G81" s="7"/>
      <c r="H81" s="7"/>
    </row>
    <row r="82" spans="1:8">
      <c r="A82" s="37"/>
      <c r="B82" s="25"/>
      <c r="C82" s="38"/>
      <c r="D82" s="39" t="str">
        <f>IF(B82&lt;&gt;"",IF(ISNA(VLOOKUP(B82,Numeros!$A:$C,2,FALSE))=TRUE," - NÃO CADASTRADO - ",VLOOKUP(B82,Numeros!$A:$C,2,FALSE)),"")</f>
        <v/>
      </c>
      <c r="E82" s="39" t="str">
        <f>IF(B82&lt;&gt;"",IF(ISNA(VLOOKUP(B82,Numeros!$A:$C,2,FALSE))=TRUE," - NÃO CADASTRADO - ",VLOOKUP(B82,Numeros!$A:$C,3,FALSE)),"")</f>
        <v/>
      </c>
      <c r="G82" s="7"/>
      <c r="H82" s="7"/>
    </row>
    <row r="83" spans="1:8">
      <c r="A83" s="37"/>
      <c r="B83" s="25"/>
      <c r="C83" s="38"/>
      <c r="D83" s="39" t="str">
        <f>IF(B83&lt;&gt;"",IF(ISNA(VLOOKUP(B83,Numeros!$A:$C,2,FALSE))=TRUE," - NÃO CADASTRADO - ",VLOOKUP(B83,Numeros!$A:$C,2,FALSE)),"")</f>
        <v/>
      </c>
      <c r="E83" s="39" t="str">
        <f>IF(B83&lt;&gt;"",IF(ISNA(VLOOKUP(B83,Numeros!$A:$C,2,FALSE))=TRUE," - NÃO CADASTRADO - ",VLOOKUP(B83,Numeros!$A:$C,3,FALSE)),"")</f>
        <v/>
      </c>
      <c r="G83" s="7"/>
      <c r="H83" s="7"/>
    </row>
    <row r="84" spans="1:8">
      <c r="A84" s="37"/>
      <c r="B84" s="25"/>
      <c r="C84" s="38"/>
      <c r="D84" s="39" t="str">
        <f>IF(B84&lt;&gt;"",IF(ISNA(VLOOKUP(B84,Numeros!$A:$C,2,FALSE))=TRUE," - NÃO CADASTRADO - ",VLOOKUP(B84,Numeros!$A:$C,2,FALSE)),"")</f>
        <v/>
      </c>
      <c r="E84" s="39" t="str">
        <f>IF(B84&lt;&gt;"",IF(ISNA(VLOOKUP(B84,Numeros!$A:$C,2,FALSE))=TRUE," - NÃO CADASTRADO - ",VLOOKUP(B84,Numeros!$A:$C,3,FALSE)),"")</f>
        <v/>
      </c>
      <c r="G84" s="7"/>
      <c r="H84" s="7"/>
    </row>
    <row r="85" spans="1:8">
      <c r="A85" s="37"/>
      <c r="B85" s="25"/>
      <c r="C85" s="38"/>
      <c r="D85" s="39" t="str">
        <f>IF(B85&lt;&gt;"",IF(ISNA(VLOOKUP(B85,Numeros!$A:$C,2,FALSE))=TRUE," - NÃO CADASTRADO - ",VLOOKUP(B85,Numeros!$A:$C,2,FALSE)),"")</f>
        <v/>
      </c>
      <c r="E85" s="39" t="str">
        <f>IF(B85&lt;&gt;"",IF(ISNA(VLOOKUP(B85,Numeros!$A:$C,2,FALSE))=TRUE," - NÃO CADASTRADO - ",VLOOKUP(B85,Numeros!$A:$C,3,FALSE)),"")</f>
        <v/>
      </c>
      <c r="G85" s="7"/>
      <c r="H85" s="7"/>
    </row>
    <row r="86" spans="1:8">
      <c r="A86" s="37"/>
      <c r="B86" s="25"/>
      <c r="C86" s="38"/>
      <c r="D86" s="39" t="str">
        <f>IF(B86&lt;&gt;"",IF(ISNA(VLOOKUP(B86,Numeros!$A:$C,2,FALSE))=TRUE," - NÃO CADASTRADO - ",VLOOKUP(B86,Numeros!$A:$C,2,FALSE)),"")</f>
        <v/>
      </c>
      <c r="E86" s="39" t="str">
        <f>IF(B86&lt;&gt;"",IF(ISNA(VLOOKUP(B86,Numeros!$A:$C,2,FALSE))=TRUE," - NÃO CADASTRADO - ",VLOOKUP(B86,Numeros!$A:$C,3,FALSE)),"")</f>
        <v/>
      </c>
      <c r="G86" s="7"/>
      <c r="H86" s="7"/>
    </row>
    <row r="87" spans="1:8">
      <c r="A87" s="37"/>
      <c r="B87" s="25"/>
      <c r="C87" s="38"/>
      <c r="D87" s="39" t="str">
        <f>IF(B87&lt;&gt;"",IF(ISNA(VLOOKUP(B87,Numeros!$A:$C,2,FALSE))=TRUE," - NÃO CADASTRADO - ",VLOOKUP(B87,Numeros!$A:$C,2,FALSE)),"")</f>
        <v/>
      </c>
      <c r="E87" s="39" t="str">
        <f>IF(B87&lt;&gt;"",IF(ISNA(VLOOKUP(B87,Numeros!$A:$C,2,FALSE))=TRUE," - NÃO CADASTRADO - ",VLOOKUP(B87,Numeros!$A:$C,3,FALSE)),"")</f>
        <v/>
      </c>
      <c r="G87" s="7"/>
      <c r="H87" s="7"/>
    </row>
    <row r="88" spans="1:8">
      <c r="A88" s="37"/>
      <c r="B88" s="25"/>
      <c r="C88" s="38"/>
      <c r="D88" s="39" t="str">
        <f>IF(B88&lt;&gt;"",IF(ISNA(VLOOKUP(B88,Numeros!$A:$C,2,FALSE))=TRUE," - NÃO CADASTRADO - ",VLOOKUP(B88,Numeros!$A:$C,2,FALSE)),"")</f>
        <v/>
      </c>
      <c r="E88" s="39" t="str">
        <f>IF(B88&lt;&gt;"",IF(ISNA(VLOOKUP(B88,Numeros!$A:$C,2,FALSE))=TRUE," - NÃO CADASTRADO - ",VLOOKUP(B88,Numeros!$A:$C,3,FALSE)),"")</f>
        <v/>
      </c>
      <c r="G88" s="7"/>
      <c r="H88" s="7"/>
    </row>
    <row r="89" spans="1:8">
      <c r="A89" s="37"/>
      <c r="B89" s="25"/>
      <c r="C89" s="38"/>
      <c r="D89" s="39" t="str">
        <f>IF(B89&lt;&gt;"",IF(ISNA(VLOOKUP(B89,Numeros!$A:$C,2,FALSE))=TRUE," - NÃO CADASTRADO - ",VLOOKUP(B89,Numeros!$A:$C,2,FALSE)),"")</f>
        <v/>
      </c>
      <c r="E89" s="39" t="str">
        <f>IF(B89&lt;&gt;"",IF(ISNA(VLOOKUP(B89,Numeros!$A:$C,2,FALSE))=TRUE," - NÃO CADASTRADO - ",VLOOKUP(B89,Numeros!$A:$C,3,FALSE)),"")</f>
        <v/>
      </c>
      <c r="G89" s="7"/>
      <c r="H89" s="7"/>
    </row>
    <row r="90" spans="1:8">
      <c r="A90" s="37"/>
      <c r="B90" s="25"/>
      <c r="C90" s="38"/>
      <c r="D90" s="39" t="str">
        <f>IF(B90&lt;&gt;"",IF(ISNA(VLOOKUP(B90,Numeros!$A:$C,2,FALSE))=TRUE," - NÃO CADASTRADO - ",VLOOKUP(B90,Numeros!$A:$C,2,FALSE)),"")</f>
        <v/>
      </c>
      <c r="E90" s="39" t="str">
        <f>IF(B90&lt;&gt;"",IF(ISNA(VLOOKUP(B90,Numeros!$A:$C,2,FALSE))=TRUE," - NÃO CADASTRADO - ",VLOOKUP(B90,Numeros!$A:$C,3,FALSE)),"")</f>
        <v/>
      </c>
      <c r="G90" s="7"/>
      <c r="H90" s="7"/>
    </row>
    <row r="91" spans="1:8">
      <c r="A91" s="37"/>
      <c r="B91" s="25"/>
      <c r="C91" s="38"/>
      <c r="D91" s="39" t="str">
        <f>IF(B91&lt;&gt;"",IF(ISNA(VLOOKUP(B91,Numeros!$A:$C,2,FALSE))=TRUE," - NÃO CADASTRADO - ",VLOOKUP(B91,Numeros!$A:$C,2,FALSE)),"")</f>
        <v/>
      </c>
      <c r="E91" s="39" t="str">
        <f>IF(B91&lt;&gt;"",IF(ISNA(VLOOKUP(B91,Numeros!$A:$C,2,FALSE))=TRUE," - NÃO CADASTRADO - ",VLOOKUP(B91,Numeros!$A:$C,3,FALSE)),"")</f>
        <v/>
      </c>
      <c r="G91" s="7"/>
      <c r="H91" s="7"/>
    </row>
    <row r="92" spans="1:8">
      <c r="A92" s="37"/>
      <c r="B92" s="25"/>
      <c r="C92" s="38"/>
      <c r="D92" s="39" t="str">
        <f>IF(B92&lt;&gt;"",IF(ISNA(VLOOKUP(B92,Numeros!$A:$C,2,FALSE))=TRUE," - NÃO CADASTRADO - ",VLOOKUP(B92,Numeros!$A:$C,2,FALSE)),"")</f>
        <v/>
      </c>
      <c r="E92" s="39" t="str">
        <f>IF(B92&lt;&gt;"",IF(ISNA(VLOOKUP(B92,Numeros!$A:$C,2,FALSE))=TRUE," - NÃO CADASTRADO - ",VLOOKUP(B92,Numeros!$A:$C,3,FALSE)),"")</f>
        <v/>
      </c>
      <c r="G92" s="7"/>
      <c r="H92" s="7"/>
    </row>
    <row r="93" spans="1:8">
      <c r="A93" s="37"/>
      <c r="B93" s="25"/>
      <c r="C93" s="38"/>
      <c r="D93" s="39" t="str">
        <f>IF(B93&lt;&gt;"",IF(ISNA(VLOOKUP(B93,Numeros!$A:$C,2,FALSE))=TRUE," - NÃO CADASTRADO - ",VLOOKUP(B93,Numeros!$A:$C,2,FALSE)),"")</f>
        <v/>
      </c>
      <c r="E93" s="39" t="str">
        <f>IF(B93&lt;&gt;"",IF(ISNA(VLOOKUP(B93,Numeros!$A:$C,2,FALSE))=TRUE," - NÃO CADASTRADO - ",VLOOKUP(B93,Numeros!$A:$C,3,FALSE)),"")</f>
        <v/>
      </c>
      <c r="G93" s="7"/>
      <c r="H93" s="7"/>
    </row>
    <row r="94" spans="1:8">
      <c r="A94" s="37"/>
      <c r="B94" s="25"/>
      <c r="C94" s="38"/>
      <c r="D94" s="39" t="str">
        <f>IF(B94&lt;&gt;"",IF(ISNA(VLOOKUP(B94,Numeros!$A:$C,2,FALSE))=TRUE," - NÃO CADASTRADO - ",VLOOKUP(B94,Numeros!$A:$C,2,FALSE)),"")</f>
        <v/>
      </c>
      <c r="E94" s="39" t="str">
        <f>IF(B94&lt;&gt;"",IF(ISNA(VLOOKUP(B94,Numeros!$A:$C,2,FALSE))=TRUE," - NÃO CADASTRADO - ",VLOOKUP(B94,Numeros!$A:$C,3,FALSE)),"")</f>
        <v/>
      </c>
      <c r="G94" s="7"/>
      <c r="H94" s="7"/>
    </row>
    <row r="95" spans="1:8">
      <c r="A95" s="37"/>
      <c r="B95" s="25"/>
      <c r="C95" s="38"/>
      <c r="D95" s="39" t="str">
        <f>IF(B95&lt;&gt;"",IF(ISNA(VLOOKUP(B95,Numeros!$A:$C,2,FALSE))=TRUE," - NÃO CADASTRADO - ",VLOOKUP(B95,Numeros!$A:$C,2,FALSE)),"")</f>
        <v/>
      </c>
      <c r="E95" s="39" t="str">
        <f>IF(B95&lt;&gt;"",IF(ISNA(VLOOKUP(B95,Numeros!$A:$C,2,FALSE))=TRUE," - NÃO CADASTRADO - ",VLOOKUP(B95,Numeros!$A:$C,3,FALSE)),"")</f>
        <v/>
      </c>
      <c r="G95" s="7"/>
      <c r="H95" s="7"/>
    </row>
    <row r="96" spans="1:8">
      <c r="A96" s="37"/>
      <c r="B96" s="25"/>
      <c r="C96" s="38"/>
      <c r="D96" s="39" t="str">
        <f>IF(B96&lt;&gt;"",IF(ISNA(VLOOKUP(B96,Numeros!$A:$C,2,FALSE))=TRUE," - NÃO CADASTRADO - ",VLOOKUP(B96,Numeros!$A:$C,2,FALSE)),"")</f>
        <v/>
      </c>
      <c r="E96" s="39" t="str">
        <f>IF(B96&lt;&gt;"",IF(ISNA(VLOOKUP(B96,Numeros!$A:$C,2,FALSE))=TRUE," - NÃO CADASTRADO - ",VLOOKUP(B96,Numeros!$A:$C,3,FALSE)),"")</f>
        <v/>
      </c>
      <c r="G96" s="7"/>
      <c r="H96" s="7"/>
    </row>
    <row r="97" spans="1:8">
      <c r="A97" s="37"/>
      <c r="B97" s="25"/>
      <c r="C97" s="38"/>
      <c r="D97" s="39" t="str">
        <f>IF(B97&lt;&gt;"",IF(ISNA(VLOOKUP(B97,Numeros!$A:$C,2,FALSE))=TRUE," - NÃO CADASTRADO - ",VLOOKUP(B97,Numeros!$A:$C,2,FALSE)),"")</f>
        <v/>
      </c>
      <c r="E97" s="39" t="str">
        <f>IF(B97&lt;&gt;"",IF(ISNA(VLOOKUP(B97,Numeros!$A:$C,2,FALSE))=TRUE," - NÃO CADASTRADO - ",VLOOKUP(B97,Numeros!$A:$C,3,FALSE)),"")</f>
        <v/>
      </c>
      <c r="G97" s="7"/>
      <c r="H97" s="7"/>
    </row>
    <row r="98" spans="1:8">
      <c r="A98" s="37"/>
      <c r="B98" s="25"/>
      <c r="C98" s="38"/>
      <c r="D98" s="39" t="str">
        <f>IF(B98&lt;&gt;"",IF(ISNA(VLOOKUP(B98,Numeros!$A:$C,2,FALSE))=TRUE," - NÃO CADASTRADO - ",VLOOKUP(B98,Numeros!$A:$C,2,FALSE)),"")</f>
        <v/>
      </c>
      <c r="E98" s="39" t="str">
        <f>IF(B98&lt;&gt;"",IF(ISNA(VLOOKUP(B98,Numeros!$A:$C,2,FALSE))=TRUE," - NÃO CADASTRADO - ",VLOOKUP(B98,Numeros!$A:$C,3,FALSE)),"")</f>
        <v/>
      </c>
      <c r="G98" s="7"/>
      <c r="H98" s="7"/>
    </row>
    <row r="99" spans="1:8">
      <c r="A99" s="37"/>
      <c r="B99" s="25"/>
      <c r="C99" s="38"/>
      <c r="D99" s="39" t="str">
        <f>IF(B99&lt;&gt;"",IF(ISNA(VLOOKUP(B99,Numeros!$A:$C,2,FALSE))=TRUE," - NÃO CADASTRADO - ",VLOOKUP(B99,Numeros!$A:$C,2,FALSE)),"")</f>
        <v/>
      </c>
      <c r="E99" s="39" t="str">
        <f>IF(B99&lt;&gt;"",IF(ISNA(VLOOKUP(B99,Numeros!$A:$C,2,FALSE))=TRUE," - NÃO CADASTRADO - ",VLOOKUP(B99,Numeros!$A:$C,3,FALSE)),"")</f>
        <v/>
      </c>
      <c r="G99" s="7"/>
      <c r="H99" s="7"/>
    </row>
    <row r="100" spans="1:8">
      <c r="A100" s="37"/>
      <c r="B100" s="25"/>
      <c r="C100" s="38"/>
      <c r="D100" s="39" t="str">
        <f>IF(B100&lt;&gt;"",IF(ISNA(VLOOKUP(B100,Numeros!$A:$C,2,FALSE))=TRUE," - NÃO CADASTRADO - ",VLOOKUP(B100,Numeros!$A:$C,2,FALSE)),"")</f>
        <v/>
      </c>
      <c r="E100" s="39" t="str">
        <f>IF(B100&lt;&gt;"",IF(ISNA(VLOOKUP(B100,Numeros!$A:$C,2,FALSE))=TRUE," - NÃO CADASTRADO - ",VLOOKUP(B100,Numeros!$A:$C,3,FALSE)),"")</f>
        <v/>
      </c>
      <c r="G100" s="7"/>
      <c r="H100" s="7"/>
    </row>
    <row r="101" spans="1:8">
      <c r="A101" s="37"/>
      <c r="B101" s="25"/>
      <c r="C101" s="38"/>
      <c r="D101" s="39" t="str">
        <f>IF(B101&lt;&gt;"",IF(ISNA(VLOOKUP(B101,Numeros!$A:$C,2,FALSE))=TRUE," - NÃO CADASTRADO - ",VLOOKUP(B101,Numeros!$A:$C,2,FALSE)),"")</f>
        <v/>
      </c>
      <c r="E101" s="39" t="str">
        <f>IF(B101&lt;&gt;"",IF(ISNA(VLOOKUP(B101,Numeros!$A:$C,2,FALSE))=TRUE," - NÃO CADASTRADO - ",VLOOKUP(B101,Numeros!$A:$C,3,FALSE)),"")</f>
        <v/>
      </c>
      <c r="G101" s="7"/>
      <c r="H101" s="7"/>
    </row>
    <row r="102" spans="1:8">
      <c r="A102" s="37"/>
      <c r="B102" s="25"/>
      <c r="C102" s="38"/>
      <c r="D102" s="39" t="str">
        <f>IF(B102&lt;&gt;"",IF(ISNA(VLOOKUP(B102,Numeros!$A:$C,2,FALSE))=TRUE," - NÃO CADASTRADO - ",VLOOKUP(B102,Numeros!$A:$C,2,FALSE)),"")</f>
        <v/>
      </c>
      <c r="E102" s="39" t="str">
        <f>IF(B102&lt;&gt;"",IF(ISNA(VLOOKUP(B102,Numeros!$A:$C,2,FALSE))=TRUE," - NÃO CADASTRADO - ",VLOOKUP(B102,Numeros!$A:$C,3,FALSE)),"")</f>
        <v/>
      </c>
      <c r="G102" s="7"/>
      <c r="H102" s="7"/>
    </row>
    <row r="103" spans="1:8">
      <c r="A103" s="37"/>
      <c r="B103" s="25"/>
      <c r="C103" s="38"/>
      <c r="D103" s="39" t="str">
        <f>IF(B103&lt;&gt;"",IF(ISNA(VLOOKUP(B103,Numeros!$A:$C,2,FALSE))=TRUE," - NÃO CADASTRADO - ",VLOOKUP(B103,Numeros!$A:$C,2,FALSE)),"")</f>
        <v/>
      </c>
      <c r="E103" s="39" t="str">
        <f>IF(B103&lt;&gt;"",IF(ISNA(VLOOKUP(B103,Numeros!$A:$C,2,FALSE))=TRUE," - NÃO CADASTRADO - ",VLOOKUP(B103,Numeros!$A:$C,3,FALSE)),"")</f>
        <v/>
      </c>
      <c r="G103" s="7"/>
      <c r="H103" s="7"/>
    </row>
    <row r="104" spans="1:8">
      <c r="A104" s="37"/>
      <c r="B104" s="25"/>
      <c r="C104" s="38"/>
      <c r="D104" s="39" t="str">
        <f>IF(B104&lt;&gt;"",IF(ISNA(VLOOKUP(B104,Numeros!$A:$C,2,FALSE))=TRUE," - NÃO CADASTRADO - ",VLOOKUP(B104,Numeros!$A:$C,2,FALSE)),"")</f>
        <v/>
      </c>
      <c r="E104" s="39" t="str">
        <f>IF(B104&lt;&gt;"",IF(ISNA(VLOOKUP(B104,Numeros!$A:$C,2,FALSE))=TRUE," - NÃO CADASTRADO - ",VLOOKUP(B104,Numeros!$A:$C,3,FALSE)),"")</f>
        <v/>
      </c>
      <c r="G104" s="7"/>
      <c r="H104" s="7"/>
    </row>
    <row r="105" spans="1:8">
      <c r="A105" s="37"/>
      <c r="B105" s="25"/>
      <c r="C105" s="38"/>
      <c r="D105" s="39" t="str">
        <f>IF(B105&lt;&gt;"",IF(ISNA(VLOOKUP(B105,Numeros!$A:$C,2,FALSE))=TRUE," - NÃO CADASTRADO - ",VLOOKUP(B105,Numeros!$A:$C,2,FALSE)),"")</f>
        <v/>
      </c>
      <c r="E105" s="39" t="str">
        <f>IF(B105&lt;&gt;"",IF(ISNA(VLOOKUP(B105,Numeros!$A:$C,2,FALSE))=TRUE," - NÃO CADASTRADO - ",VLOOKUP(B105,Numeros!$A:$C,3,FALSE)),"")</f>
        <v/>
      </c>
      <c r="G105" s="7"/>
      <c r="H105" s="7"/>
    </row>
    <row r="106" spans="1:8">
      <c r="A106" s="37"/>
      <c r="B106" s="25"/>
      <c r="C106" s="38"/>
      <c r="D106" s="39" t="str">
        <f>IF(B106&lt;&gt;"",IF(ISNA(VLOOKUP(B106,Numeros!$A:$C,2,FALSE))=TRUE," - NÃO CADASTRADO - ",VLOOKUP(B106,Numeros!$A:$C,2,FALSE)),"")</f>
        <v/>
      </c>
      <c r="E106" s="39" t="str">
        <f>IF(B106&lt;&gt;"",IF(ISNA(VLOOKUP(B106,Numeros!$A:$C,2,FALSE))=TRUE," - NÃO CADASTRADO - ",VLOOKUP(B106,Numeros!$A:$C,3,FALSE)),"")</f>
        <v/>
      </c>
      <c r="G106" s="7"/>
      <c r="H106" s="7"/>
    </row>
    <row r="107" spans="1:8">
      <c r="A107" s="37"/>
      <c r="B107" s="25"/>
      <c r="C107" s="38"/>
      <c r="D107" s="39" t="str">
        <f>IF(B107&lt;&gt;"",IF(ISNA(VLOOKUP(B107,Numeros!$A:$C,2,FALSE))=TRUE," - NÃO CADASTRADO - ",VLOOKUP(B107,Numeros!$A:$C,2,FALSE)),"")</f>
        <v/>
      </c>
      <c r="E107" s="39" t="str">
        <f>IF(B107&lt;&gt;"",IF(ISNA(VLOOKUP(B107,Numeros!$A:$C,2,FALSE))=TRUE," - NÃO CADASTRADO - ",VLOOKUP(B107,Numeros!$A:$C,3,FALSE)),"")</f>
        <v/>
      </c>
      <c r="G107" s="7"/>
      <c r="H107" s="7"/>
    </row>
    <row r="108" spans="1:8">
      <c r="A108" s="37"/>
      <c r="B108" s="25"/>
      <c r="C108" s="38"/>
      <c r="D108" s="39" t="str">
        <f>IF(B108&lt;&gt;"",IF(ISNA(VLOOKUP(B108,Numeros!$A:$C,2,FALSE))=TRUE," - NÃO CADASTRADO - ",VLOOKUP(B108,Numeros!$A:$C,2,FALSE)),"")</f>
        <v/>
      </c>
      <c r="E108" s="39" t="str">
        <f>IF(B108&lt;&gt;"",IF(ISNA(VLOOKUP(B108,Numeros!$A:$C,2,FALSE))=TRUE," - NÃO CADASTRADO - ",VLOOKUP(B108,Numeros!$A:$C,3,FALSE)),"")</f>
        <v/>
      </c>
      <c r="G108" s="7"/>
      <c r="H108" s="7"/>
    </row>
    <row r="109" spans="1:8">
      <c r="A109" s="37"/>
      <c r="B109" s="25"/>
      <c r="C109" s="38"/>
      <c r="D109" s="39" t="str">
        <f>IF(B109&lt;&gt;"",IF(ISNA(VLOOKUP(B109,Numeros!$A:$C,2,FALSE))=TRUE," - NÃO CADASTRADO - ",VLOOKUP(B109,Numeros!$A:$C,2,FALSE)),"")</f>
        <v/>
      </c>
      <c r="E109" s="39" t="str">
        <f>IF(B109&lt;&gt;"",IF(ISNA(VLOOKUP(B109,Numeros!$A:$C,2,FALSE))=TRUE," - NÃO CADASTRADO - ",VLOOKUP(B109,Numeros!$A:$C,3,FALSE)),"")</f>
        <v/>
      </c>
      <c r="G109" s="7"/>
      <c r="H109" s="7"/>
    </row>
    <row r="110" spans="1:8">
      <c r="A110" s="37"/>
      <c r="B110" s="25"/>
      <c r="C110" s="38"/>
      <c r="D110" s="39" t="str">
        <f>IF(B110&lt;&gt;"",IF(ISNA(VLOOKUP(B110,Numeros!$A:$C,2,FALSE))=TRUE," - NÃO CADASTRADO - ",VLOOKUP(B110,Numeros!$A:$C,2,FALSE)),"")</f>
        <v/>
      </c>
      <c r="E110" s="39" t="str">
        <f>IF(B110&lt;&gt;"",IF(ISNA(VLOOKUP(B110,Numeros!$A:$C,2,FALSE))=TRUE," - NÃO CADASTRADO - ",VLOOKUP(B110,Numeros!$A:$C,3,FALSE)),"")</f>
        <v/>
      </c>
      <c r="G110" s="7"/>
      <c r="H110" s="7"/>
    </row>
  </sheetData>
  <autoFilter ref="A9:D110">
    <sortState ref="A10:D71">
      <sortCondition ref="B10"/>
    </sortState>
  </autoFilter>
  <sortState ref="A10:E35">
    <sortCondition ref="B10:B35"/>
  </sortState>
  <mergeCells count="1">
    <mergeCell ref="G29:H29"/>
  </mergeCells>
  <conditionalFormatting sqref="D10:E110">
    <cfRule type="containsText" dxfId="0" priority="1" stopIfTrue="1" operator="containsText" text=" - NÃO CADASTRADO - ">
      <formula>NOT(ISERROR(SEARCH(" - NÃO CADASTRADO - ",D10)))</formula>
    </cfRule>
  </conditionalFormatting>
  <pageMargins left="0.78740157480314965" right="0.78740157480314965" top="0.98425196850393704" bottom="0.98425196850393704" header="0.51181102362204722" footer="0.51181102362204722"/>
  <pageSetup paperSize="9" scale="50" orientation="portrait" r:id="rId1"/>
  <headerFooter alignWithMargins="0">
    <oddHeader>&amp;L&amp;A</oddHeader>
    <oddFooter>&amp;R&amp;P - &amp;N</oddFooter>
  </headerFooter>
  <drawing r:id="rId2"/>
</worksheet>
</file>

<file path=xl/worksheets/sheet21.xml><?xml version="1.0" encoding="utf-8"?>
<worksheet xmlns="http://schemas.openxmlformats.org/spreadsheetml/2006/main" xmlns:r="http://schemas.openxmlformats.org/officeDocument/2006/relationships">
  <sheetPr codeName="Plan4">
    <pageSetUpPr fitToPage="1"/>
  </sheetPr>
  <dimension ref="A1:O9"/>
  <sheetViews>
    <sheetView zoomScale="85" zoomScaleNormal="85" workbookViewId="0">
      <pane ySplit="1" topLeftCell="A2" activePane="bottomLeft" state="frozen"/>
      <selection pane="bottomLeft" activeCell="J2" sqref="J2"/>
    </sheetView>
  </sheetViews>
  <sheetFormatPr defaultRowHeight="15"/>
  <cols>
    <col min="1" max="1" width="12.140625" bestFit="1" customWidth="1"/>
    <col min="2" max="2" width="19.28515625" style="56" bestFit="1" customWidth="1"/>
    <col min="3" max="3" width="9.28515625" style="56" bestFit="1" customWidth="1"/>
    <col min="4" max="4" width="13.140625" style="245" bestFit="1" customWidth="1"/>
    <col min="5" max="5" width="12.42578125" style="245" bestFit="1" customWidth="1"/>
    <col min="6" max="6" width="15.7109375" style="245" bestFit="1" customWidth="1"/>
    <col min="7" max="7" width="15.5703125" style="246" bestFit="1" customWidth="1"/>
    <col min="8" max="8" width="15.85546875" style="246" bestFit="1" customWidth="1"/>
    <col min="9" max="9" width="14.140625" style="246" bestFit="1" customWidth="1"/>
    <col min="10" max="10" width="16.28515625" style="248" bestFit="1" customWidth="1"/>
    <col min="11" max="11" width="17.28515625" style="78" bestFit="1" customWidth="1"/>
    <col min="12" max="12" width="9.28515625" style="256" bestFit="1" customWidth="1"/>
    <col min="13" max="14" width="9" style="256" bestFit="1" customWidth="1"/>
    <col min="15" max="15" width="13.42578125" bestFit="1" customWidth="1"/>
  </cols>
  <sheetData>
    <row r="1" spans="1:15" s="2" customFormat="1">
      <c r="A1" s="2" t="s">
        <v>1036</v>
      </c>
      <c r="B1" s="570" t="s">
        <v>1042</v>
      </c>
      <c r="C1" s="570"/>
      <c r="D1" s="249" t="s">
        <v>1037</v>
      </c>
      <c r="E1" s="249" t="s">
        <v>1045</v>
      </c>
      <c r="F1" s="249" t="s">
        <v>1055</v>
      </c>
      <c r="G1" s="250" t="s">
        <v>1038</v>
      </c>
      <c r="H1" s="250" t="s">
        <v>36</v>
      </c>
      <c r="I1" s="250" t="s">
        <v>9</v>
      </c>
      <c r="J1" s="247" t="s">
        <v>1046</v>
      </c>
      <c r="K1" s="74" t="s">
        <v>1047</v>
      </c>
      <c r="L1" s="255" t="s">
        <v>1039</v>
      </c>
      <c r="M1" s="255" t="s">
        <v>993</v>
      </c>
      <c r="N1" s="255" t="s">
        <v>1040</v>
      </c>
      <c r="O1" s="2" t="s">
        <v>1054</v>
      </c>
    </row>
    <row r="2" spans="1:15" s="261" customFormat="1">
      <c r="A2" s="261" t="s">
        <v>1041</v>
      </c>
      <c r="B2" s="262" t="s">
        <v>1050</v>
      </c>
      <c r="C2" s="262" t="s">
        <v>1052</v>
      </c>
      <c r="D2" s="263">
        <v>323</v>
      </c>
      <c r="E2" s="263">
        <f>44+37+44+30+15</f>
        <v>170</v>
      </c>
      <c r="F2" s="263">
        <v>310</v>
      </c>
      <c r="G2" s="263">
        <v>649</v>
      </c>
      <c r="H2" s="263"/>
      <c r="I2" s="263">
        <v>250</v>
      </c>
      <c r="J2" s="264">
        <f>SUM(D2:I2)</f>
        <v>1702</v>
      </c>
      <c r="K2" s="264">
        <f>SUM(G2:H2,I2)</f>
        <v>899</v>
      </c>
      <c r="L2" s="265" t="s">
        <v>1004</v>
      </c>
      <c r="M2" s="265" t="s">
        <v>1004</v>
      </c>
      <c r="N2" s="265" t="s">
        <v>1004</v>
      </c>
      <c r="O2" s="266">
        <f>J2+(K2*11)</f>
        <v>11591</v>
      </c>
    </row>
    <row r="3" spans="1:15" s="251" customFormat="1">
      <c r="A3" s="251" t="s">
        <v>1041</v>
      </c>
      <c r="B3" s="252" t="s">
        <v>1050</v>
      </c>
      <c r="C3" s="252" t="s">
        <v>1043</v>
      </c>
      <c r="D3" s="253">
        <v>323</v>
      </c>
      <c r="E3" s="253">
        <f>44+37+44+30+15</f>
        <v>170</v>
      </c>
      <c r="F3" s="253">
        <v>310</v>
      </c>
      <c r="G3" s="253">
        <v>649</v>
      </c>
      <c r="H3" s="253"/>
      <c r="I3" s="253">
        <v>250</v>
      </c>
      <c r="J3" s="254">
        <f>SUM(D3:I3)</f>
        <v>1702</v>
      </c>
      <c r="K3" s="254">
        <f>SUM(G3:H3,I3)</f>
        <v>899</v>
      </c>
      <c r="L3" s="257" t="s">
        <v>1004</v>
      </c>
      <c r="M3" s="257" t="s">
        <v>1004</v>
      </c>
      <c r="N3" s="257" t="s">
        <v>1004</v>
      </c>
      <c r="O3" s="259">
        <f t="shared" ref="O3:O9" si="0">J3+(K3*11)</f>
        <v>11591</v>
      </c>
    </row>
    <row r="4" spans="1:15">
      <c r="A4" t="s">
        <v>1041</v>
      </c>
      <c r="B4" s="56" t="s">
        <v>1051</v>
      </c>
      <c r="C4" s="56" t="s">
        <v>1044</v>
      </c>
      <c r="D4" s="245">
        <v>323</v>
      </c>
      <c r="E4" s="245">
        <f>44+37+44+30+15</f>
        <v>170</v>
      </c>
      <c r="F4" s="245">
        <v>310</v>
      </c>
      <c r="G4" s="246">
        <v>352</v>
      </c>
      <c r="I4" s="246">
        <v>250</v>
      </c>
      <c r="J4" s="248">
        <f>SUM(D4:I4)</f>
        <v>1405</v>
      </c>
      <c r="K4" s="78">
        <f>SUM(G4:H4,I4)</f>
        <v>602</v>
      </c>
      <c r="M4" s="256" t="s">
        <v>1004</v>
      </c>
      <c r="O4" s="260">
        <f t="shared" si="0"/>
        <v>8027</v>
      </c>
    </row>
    <row r="6" spans="1:15">
      <c r="A6" t="s">
        <v>1048</v>
      </c>
      <c r="B6" s="56" t="s">
        <v>1051</v>
      </c>
      <c r="C6" s="56" t="s">
        <v>1049</v>
      </c>
      <c r="D6" s="245">
        <f>250*2</f>
        <v>500</v>
      </c>
      <c r="F6" s="245">
        <f>140*4</f>
        <v>560</v>
      </c>
      <c r="G6" s="246">
        <v>1031.8499999999999</v>
      </c>
      <c r="I6" s="246">
        <v>150</v>
      </c>
      <c r="J6" s="248">
        <f>SUM(D6:I6)</f>
        <v>2241.85</v>
      </c>
      <c r="K6" s="78">
        <f>SUM(G6:H6,I6)</f>
        <v>1181.8499999999999</v>
      </c>
      <c r="O6" s="71">
        <f t="shared" si="0"/>
        <v>15242.199999999999</v>
      </c>
    </row>
    <row r="7" spans="1:15">
      <c r="A7" t="s">
        <v>1048</v>
      </c>
      <c r="B7" s="56" t="s">
        <v>1050</v>
      </c>
      <c r="C7" s="56" t="s">
        <v>1043</v>
      </c>
      <c r="D7" s="245">
        <f>250*2</f>
        <v>500</v>
      </c>
      <c r="F7" s="245">
        <f>140*4</f>
        <v>560</v>
      </c>
      <c r="G7" s="246">
        <v>1236.3800000000001</v>
      </c>
      <c r="H7" s="246">
        <v>380</v>
      </c>
      <c r="I7" s="246">
        <v>150</v>
      </c>
      <c r="J7" s="248">
        <f>SUM(D7:I7)</f>
        <v>2826.38</v>
      </c>
      <c r="K7" s="78">
        <f>SUM(G7:H7,I7)</f>
        <v>1766.38</v>
      </c>
      <c r="O7" s="71">
        <f t="shared" si="0"/>
        <v>22256.560000000001</v>
      </c>
    </row>
    <row r="9" spans="1:15">
      <c r="A9" t="s">
        <v>1115</v>
      </c>
      <c r="B9" s="56" t="s">
        <v>1116</v>
      </c>
      <c r="C9" s="56" t="s">
        <v>1117</v>
      </c>
      <c r="F9" s="245">
        <f>530+150</f>
        <v>680</v>
      </c>
      <c r="G9" s="246">
        <v>769.71</v>
      </c>
      <c r="I9" s="246">
        <v>150</v>
      </c>
      <c r="J9" s="248">
        <f>SUM(D9:I9)</f>
        <v>1599.71</v>
      </c>
      <c r="K9" s="78">
        <f>SUM(G9:H9,I9)</f>
        <v>919.71</v>
      </c>
      <c r="O9" s="71">
        <f t="shared" si="0"/>
        <v>11716.52</v>
      </c>
    </row>
  </sheetData>
  <mergeCells count="1">
    <mergeCell ref="B1:C1"/>
  </mergeCells>
  <pageMargins left="0.51181102362204722" right="0.51181102362204722" top="0.78740157480314965" bottom="0.78740157480314965" header="0.31496062992125984" footer="0.31496062992125984"/>
  <pageSetup paperSize="9" scale="67" orientation="landscape" r:id="rId1"/>
</worksheet>
</file>

<file path=xl/worksheets/sheet22.xml><?xml version="1.0" encoding="utf-8"?>
<worksheet xmlns="http://schemas.openxmlformats.org/spreadsheetml/2006/main" xmlns:r="http://schemas.openxmlformats.org/officeDocument/2006/relationships">
  <sheetPr codeName="Plan14"/>
  <dimension ref="A1:J29"/>
  <sheetViews>
    <sheetView workbookViewId="0">
      <selection activeCell="J18" sqref="J18"/>
    </sheetView>
  </sheetViews>
  <sheetFormatPr defaultColWidth="10.28515625" defaultRowHeight="15"/>
  <cols>
    <col min="1" max="1" width="19" style="183" bestFit="1" customWidth="1"/>
    <col min="2" max="2" width="27.5703125" style="183" bestFit="1" customWidth="1"/>
    <col min="3" max="3" width="12.5703125" style="183" customWidth="1"/>
    <col min="4" max="4" width="17.85546875" style="183" bestFit="1" customWidth="1"/>
    <col min="5" max="5" width="7.28515625" style="183" bestFit="1" customWidth="1"/>
    <col min="6" max="16384" width="10.28515625" style="183"/>
  </cols>
  <sheetData>
    <row r="1" spans="1:10">
      <c r="B1" s="184" t="s">
        <v>880</v>
      </c>
      <c r="C1" s="184" t="s">
        <v>881</v>
      </c>
      <c r="D1" s="184"/>
    </row>
    <row r="2" spans="1:10" s="185" customFormat="1">
      <c r="A2" s="571" t="s">
        <v>882</v>
      </c>
      <c r="B2" s="185" t="s">
        <v>883</v>
      </c>
      <c r="C2" s="186">
        <v>16</v>
      </c>
      <c r="D2" s="185" t="s">
        <v>51</v>
      </c>
    </row>
    <row r="3" spans="1:10" s="185" customFormat="1">
      <c r="A3" s="571"/>
      <c r="B3" s="185" t="s">
        <v>884</v>
      </c>
      <c r="C3" s="186">
        <v>10</v>
      </c>
      <c r="D3" s="185" t="s">
        <v>51</v>
      </c>
    </row>
    <row r="4" spans="1:10" s="185" customFormat="1">
      <c r="A4" s="571"/>
      <c r="B4" s="185" t="s">
        <v>885</v>
      </c>
      <c r="C4" s="186">
        <v>10</v>
      </c>
      <c r="D4" s="185" t="s">
        <v>51</v>
      </c>
    </row>
    <row r="5" spans="1:10" s="187" customFormat="1">
      <c r="A5" s="572" t="s">
        <v>886</v>
      </c>
      <c r="B5" s="187" t="s">
        <v>887</v>
      </c>
      <c r="C5" s="188">
        <v>6</v>
      </c>
      <c r="D5" s="187" t="s">
        <v>51</v>
      </c>
    </row>
    <row r="6" spans="1:10" s="187" customFormat="1">
      <c r="A6" s="572"/>
      <c r="B6" s="187" t="s">
        <v>888</v>
      </c>
      <c r="C6" s="188">
        <v>12</v>
      </c>
      <c r="D6" s="187" t="s">
        <v>51</v>
      </c>
      <c r="I6" s="187" t="s">
        <v>889</v>
      </c>
    </row>
    <row r="7" spans="1:10" s="185" customFormat="1">
      <c r="A7" s="571" t="s">
        <v>890</v>
      </c>
      <c r="B7" s="185" t="s">
        <v>892</v>
      </c>
      <c r="C7" s="186">
        <v>5</v>
      </c>
      <c r="D7" s="185" t="s">
        <v>51</v>
      </c>
      <c r="I7" s="185">
        <f>(8*5)*4</f>
        <v>160</v>
      </c>
    </row>
    <row r="8" spans="1:10" s="185" customFormat="1">
      <c r="A8" s="571"/>
      <c r="B8" s="185" t="s">
        <v>891</v>
      </c>
      <c r="C8" s="186">
        <v>5</v>
      </c>
      <c r="D8" s="185" t="s">
        <v>51</v>
      </c>
      <c r="E8" s="185" t="s">
        <v>892</v>
      </c>
    </row>
    <row r="9" spans="1:10" s="189" customFormat="1">
      <c r="A9" s="573" t="s">
        <v>893</v>
      </c>
      <c r="B9" s="189" t="s">
        <v>894</v>
      </c>
      <c r="C9" s="190">
        <v>2</v>
      </c>
      <c r="D9" s="189" t="s">
        <v>51</v>
      </c>
      <c r="E9" s="189">
        <v>3</v>
      </c>
      <c r="F9" s="189" t="s">
        <v>895</v>
      </c>
    </row>
    <row r="10" spans="1:10" s="189" customFormat="1">
      <c r="A10" s="573"/>
      <c r="B10" s="189" t="s">
        <v>896</v>
      </c>
      <c r="C10" s="190">
        <v>2</v>
      </c>
      <c r="D10" s="189" t="s">
        <v>51</v>
      </c>
    </row>
    <row r="11" spans="1:10" s="189" customFormat="1">
      <c r="A11" s="573"/>
      <c r="B11" s="189" t="s">
        <v>897</v>
      </c>
      <c r="C11" s="190">
        <v>2</v>
      </c>
      <c r="D11" s="189" t="s">
        <v>51</v>
      </c>
    </row>
    <row r="12" spans="1:10" s="189" customFormat="1">
      <c r="A12" s="573" t="s">
        <v>898</v>
      </c>
      <c r="B12" s="189" t="s">
        <v>899</v>
      </c>
      <c r="C12" s="190">
        <v>8</v>
      </c>
      <c r="D12" s="189" t="s">
        <v>51</v>
      </c>
      <c r="E12" s="189" t="s">
        <v>900</v>
      </c>
      <c r="F12" s="189" t="s">
        <v>901</v>
      </c>
    </row>
    <row r="13" spans="1:10" s="189" customFormat="1">
      <c r="A13" s="573"/>
      <c r="B13" s="189" t="s">
        <v>902</v>
      </c>
      <c r="C13" s="190">
        <v>2</v>
      </c>
      <c r="D13" s="189" t="s">
        <v>51</v>
      </c>
      <c r="E13" s="189">
        <v>2</v>
      </c>
      <c r="F13" s="189">
        <v>4</v>
      </c>
    </row>
    <row r="14" spans="1:10">
      <c r="C14" s="191"/>
    </row>
    <row r="15" spans="1:10">
      <c r="B15" s="184" t="s">
        <v>903</v>
      </c>
      <c r="C15" s="192">
        <f>SUM(C2:C13)</f>
        <v>80</v>
      </c>
      <c r="D15" s="184"/>
      <c r="H15" s="183">
        <v>28</v>
      </c>
      <c r="I15" s="183">
        <v>150</v>
      </c>
      <c r="J15" s="183">
        <f>I15*H15</f>
        <v>4200</v>
      </c>
    </row>
    <row r="16" spans="1:10">
      <c r="B16" s="184"/>
      <c r="C16" s="192"/>
      <c r="D16" s="184"/>
      <c r="H16" s="183">
        <v>36</v>
      </c>
      <c r="I16" s="183">
        <v>150</v>
      </c>
      <c r="J16" s="183">
        <f>I16*H16</f>
        <v>5400</v>
      </c>
    </row>
    <row r="17" spans="2:10">
      <c r="B17" s="184" t="s">
        <v>904</v>
      </c>
      <c r="C17" s="193">
        <f>Preço!B2</f>
        <v>1</v>
      </c>
      <c r="D17" s="184"/>
      <c r="H17" s="183">
        <v>16</v>
      </c>
      <c r="I17" s="183">
        <v>150</v>
      </c>
      <c r="J17" s="183">
        <f>I17*H17</f>
        <v>2400</v>
      </c>
    </row>
    <row r="18" spans="2:10">
      <c r="B18" s="184"/>
      <c r="C18" s="192"/>
      <c r="D18" s="184"/>
    </row>
    <row r="19" spans="2:10">
      <c r="B19" s="184" t="s">
        <v>905</v>
      </c>
      <c r="C19" s="192">
        <f>C15/C17</f>
        <v>80</v>
      </c>
      <c r="D19" s="184"/>
    </row>
    <row r="20" spans="2:10">
      <c r="B20" s="184"/>
      <c r="C20" s="192"/>
      <c r="D20" s="184"/>
    </row>
    <row r="21" spans="2:10">
      <c r="B21" s="184" t="s">
        <v>906</v>
      </c>
      <c r="C21" s="192">
        <v>8</v>
      </c>
      <c r="D21" s="184"/>
    </row>
    <row r="22" spans="2:10">
      <c r="B22" s="184" t="s">
        <v>907</v>
      </c>
      <c r="C22" s="192">
        <f>C19/C21</f>
        <v>10</v>
      </c>
      <c r="D22" s="184"/>
    </row>
    <row r="24" spans="2:10">
      <c r="B24" s="194" t="s">
        <v>908</v>
      </c>
      <c r="C24" s="194" t="s">
        <v>909</v>
      </c>
      <c r="D24" s="194" t="s">
        <v>910</v>
      </c>
      <c r="E24" s="194" t="s">
        <v>436</v>
      </c>
    </row>
    <row r="25" spans="2:10">
      <c r="B25" s="184" t="s">
        <v>911</v>
      </c>
      <c r="C25" s="195">
        <v>15</v>
      </c>
      <c r="D25" s="195">
        <v>10</v>
      </c>
      <c r="E25" s="196">
        <f>C25*D25</f>
        <v>150</v>
      </c>
    </row>
    <row r="26" spans="2:10">
      <c r="B26" s="184" t="s">
        <v>912</v>
      </c>
      <c r="C26" s="195">
        <v>10</v>
      </c>
      <c r="D26" s="195">
        <v>10</v>
      </c>
      <c r="E26" s="196">
        <f>C26*D26</f>
        <v>100</v>
      </c>
    </row>
    <row r="27" spans="2:10">
      <c r="B27" s="184" t="s">
        <v>913</v>
      </c>
      <c r="C27" s="195">
        <v>0</v>
      </c>
      <c r="D27" s="195">
        <v>0</v>
      </c>
      <c r="E27" s="196">
        <f>C27*D27</f>
        <v>0</v>
      </c>
    </row>
    <row r="28" spans="2:10">
      <c r="C28" s="195"/>
      <c r="D28" s="195"/>
      <c r="E28" s="196"/>
    </row>
    <row r="29" spans="2:10">
      <c r="B29" s="184" t="s">
        <v>905</v>
      </c>
      <c r="C29" s="195"/>
      <c r="D29" s="195"/>
      <c r="E29" s="196">
        <f>SUM(E25:E28)</f>
        <v>250</v>
      </c>
    </row>
  </sheetData>
  <mergeCells count="5">
    <mergeCell ref="A2:A4"/>
    <mergeCell ref="A5:A6"/>
    <mergeCell ref="A7:A8"/>
    <mergeCell ref="A9:A11"/>
    <mergeCell ref="A12:A13"/>
  </mergeCells>
  <pageMargins left="0.511811024" right="0.511811024" top="0.78740157499999996" bottom="0.78740157499999996" header="0.31496062000000002" footer="0.31496062000000002"/>
  <pageSetup paperSize="9" orientation="portrait" r:id="rId1"/>
  <headerFooter alignWithMargins="0"/>
</worksheet>
</file>

<file path=xl/worksheets/sheet23.xml><?xml version="1.0" encoding="utf-8"?>
<worksheet xmlns="http://schemas.openxmlformats.org/spreadsheetml/2006/main" xmlns:r="http://schemas.openxmlformats.org/officeDocument/2006/relationships">
  <sheetPr codeName="Plan17"/>
  <dimension ref="A1:D14"/>
  <sheetViews>
    <sheetView workbookViewId="0"/>
  </sheetViews>
  <sheetFormatPr defaultColWidth="10.28515625" defaultRowHeight="15"/>
  <cols>
    <col min="1" max="1" width="24.85546875" style="183" bestFit="1" customWidth="1"/>
    <col min="2" max="2" width="10.28515625" style="183" customWidth="1"/>
    <col min="3" max="3" width="9" style="197" bestFit="1" customWidth="1"/>
    <col min="4" max="4" width="7.85546875" style="183" bestFit="1" customWidth="1"/>
    <col min="5" max="16384" width="10.28515625" style="183"/>
  </cols>
  <sheetData>
    <row r="1" spans="1:4">
      <c r="A1" s="184" t="s">
        <v>914</v>
      </c>
    </row>
    <row r="2" spans="1:4">
      <c r="A2" s="183" t="s">
        <v>915</v>
      </c>
      <c r="C2" s="197">
        <v>650</v>
      </c>
      <c r="D2" s="183" t="s">
        <v>1508</v>
      </c>
    </row>
    <row r="3" spans="1:4">
      <c r="A3" s="183" t="s">
        <v>916</v>
      </c>
      <c r="C3" s="197">
        <v>300</v>
      </c>
      <c r="D3" s="183" t="s">
        <v>14</v>
      </c>
    </row>
    <row r="4" spans="1:4">
      <c r="A4" s="183" t="s">
        <v>917</v>
      </c>
      <c r="C4" s="197">
        <v>350</v>
      </c>
      <c r="D4" s="183" t="s">
        <v>26</v>
      </c>
    </row>
    <row r="5" spans="1:4">
      <c r="A5" s="183" t="s">
        <v>918</v>
      </c>
      <c r="C5" s="197">
        <v>300</v>
      </c>
      <c r="D5" s="183" t="s">
        <v>654</v>
      </c>
    </row>
    <row r="6" spans="1:4">
      <c r="A6" s="183" t="s">
        <v>919</v>
      </c>
      <c r="C6" s="197">
        <v>0</v>
      </c>
    </row>
    <row r="7" spans="1:4">
      <c r="A7" s="183" t="s">
        <v>920</v>
      </c>
      <c r="C7" s="197">
        <v>0</v>
      </c>
    </row>
    <row r="8" spans="1:4">
      <c r="C8" s="197">
        <f>SUM(C2:C7)</f>
        <v>1600</v>
      </c>
      <c r="D8" s="183">
        <f>(C8/4)*3</f>
        <v>1200</v>
      </c>
    </row>
    <row r="9" spans="1:4">
      <c r="A9" s="184" t="s">
        <v>921</v>
      </c>
    </row>
    <row r="10" spans="1:4">
      <c r="A10" s="183" t="s">
        <v>922</v>
      </c>
      <c r="C10" s="197">
        <f>Calculos!C19*45</f>
        <v>3600</v>
      </c>
    </row>
    <row r="11" spans="1:4">
      <c r="A11" s="183" t="s">
        <v>923</v>
      </c>
      <c r="C11" s="197">
        <f>Calculos!E26</f>
        <v>100</v>
      </c>
    </row>
    <row r="12" spans="1:4">
      <c r="A12" s="183" t="s">
        <v>924</v>
      </c>
      <c r="C12" s="197">
        <f>Calculos!E25</f>
        <v>150</v>
      </c>
    </row>
    <row r="13" spans="1:4">
      <c r="A13" s="183" t="s">
        <v>925</v>
      </c>
      <c r="C13" s="197">
        <f>Calculos!E27</f>
        <v>0</v>
      </c>
    </row>
    <row r="14" spans="1:4">
      <c r="C14" s="197">
        <f>SUM(C10:C13)</f>
        <v>3850</v>
      </c>
    </row>
  </sheetData>
  <pageMargins left="0.511811024" right="0.511811024" top="0.78740157499999996" bottom="0.78740157499999996" header="0.31496062000000002" footer="0.31496062000000002"/>
  <headerFooter alignWithMargins="0"/>
</worksheet>
</file>

<file path=xl/worksheets/sheet24.xml><?xml version="1.0" encoding="utf-8"?>
<worksheet xmlns="http://schemas.openxmlformats.org/spreadsheetml/2006/main" xmlns:r="http://schemas.openxmlformats.org/officeDocument/2006/relationships">
  <sheetPr codeName="Plan18"/>
  <dimension ref="A1:C21"/>
  <sheetViews>
    <sheetView workbookViewId="0"/>
  </sheetViews>
  <sheetFormatPr defaultColWidth="10.28515625" defaultRowHeight="15"/>
  <cols>
    <col min="1" max="1" width="30.85546875" style="183" bestFit="1" customWidth="1"/>
    <col min="2" max="2" width="12.140625" style="183" bestFit="1" customWidth="1"/>
    <col min="3" max="3" width="5.140625" style="183" bestFit="1" customWidth="1"/>
    <col min="4" max="16384" width="10.28515625" style="183"/>
  </cols>
  <sheetData>
    <row r="1" spans="1:3">
      <c r="A1" s="183" t="s">
        <v>926</v>
      </c>
      <c r="B1" s="198">
        <v>0.5</v>
      </c>
    </row>
    <row r="2" spans="1:3">
      <c r="A2" s="183" t="s">
        <v>927</v>
      </c>
      <c r="B2" s="199">
        <v>1</v>
      </c>
    </row>
    <row r="3" spans="1:3">
      <c r="A3" s="183" t="s">
        <v>928</v>
      </c>
      <c r="B3" s="198">
        <v>0.15</v>
      </c>
    </row>
    <row r="4" spans="1:3">
      <c r="A4" s="183" t="s">
        <v>929</v>
      </c>
      <c r="B4" s="195">
        <f>Custos!C10</f>
        <v>3600</v>
      </c>
    </row>
    <row r="5" spans="1:3">
      <c r="A5" s="183" t="s">
        <v>930</v>
      </c>
      <c r="B5" s="195">
        <f>Custos!D8+Custos!C11+Custos!C12</f>
        <v>1450</v>
      </c>
    </row>
    <row r="6" spans="1:3">
      <c r="A6" s="200" t="s">
        <v>445</v>
      </c>
      <c r="B6" s="201">
        <v>1</v>
      </c>
      <c r="C6" s="200"/>
    </row>
    <row r="7" spans="1:3">
      <c r="A7" s="200" t="s">
        <v>931</v>
      </c>
      <c r="B7" s="202">
        <f>(((B4*B1)+(B4*B3)+(B5*B3)+B5+B4)*C7*B6)*(1+B3)</f>
        <v>1312.2937499999998</v>
      </c>
      <c r="C7" s="201">
        <v>0.15</v>
      </c>
    </row>
    <row r="9" spans="1:3">
      <c r="A9" s="203" t="s">
        <v>932</v>
      </c>
      <c r="B9" s="204">
        <f>((B4*B1)+(B4*B3)+(B5*B3)+B5+B4)</f>
        <v>7607.5</v>
      </c>
    </row>
    <row r="10" spans="1:3">
      <c r="A10" s="203" t="s">
        <v>933</v>
      </c>
      <c r="B10" s="204">
        <f>B9+B7</f>
        <v>8919.7937500000007</v>
      </c>
    </row>
    <row r="11" spans="1:3">
      <c r="A11" s="203" t="s">
        <v>934</v>
      </c>
      <c r="B11" s="204">
        <f>B13/Calculos!C15</f>
        <v>111.49742187500001</v>
      </c>
    </row>
    <row r="12" spans="1:3">
      <c r="A12" s="203" t="s">
        <v>935</v>
      </c>
      <c r="B12" s="204">
        <f>B13/Calculos!C19</f>
        <v>111.49742187500001</v>
      </c>
    </row>
    <row r="13" spans="1:3">
      <c r="A13" s="203" t="s">
        <v>936</v>
      </c>
      <c r="B13" s="204">
        <f>B10*B6</f>
        <v>8919.7937500000007</v>
      </c>
    </row>
    <row r="15" spans="1:3">
      <c r="A15" s="574" t="s">
        <v>937</v>
      </c>
      <c r="B15" s="574"/>
    </row>
    <row r="16" spans="1:3">
      <c r="A16" s="205" t="s">
        <v>436</v>
      </c>
      <c r="B16" s="206">
        <f>B13*0.85</f>
        <v>7581.8246875000004</v>
      </c>
    </row>
    <row r="17" spans="1:2">
      <c r="A17" s="205" t="s">
        <v>928</v>
      </c>
      <c r="B17" s="207">
        <f>B13*0.15</f>
        <v>1337.9690625000001</v>
      </c>
    </row>
    <row r="18" spans="1:2">
      <c r="A18" s="205" t="s">
        <v>445</v>
      </c>
      <c r="B18" s="208">
        <v>0.9</v>
      </c>
    </row>
    <row r="19" spans="1:2">
      <c r="A19" s="205" t="s">
        <v>905</v>
      </c>
      <c r="B19" s="209">
        <f>(B16+B17)*B18</f>
        <v>8027.8143750000008</v>
      </c>
    </row>
    <row r="21" spans="1:2">
      <c r="A21" s="210" t="s">
        <v>938</v>
      </c>
      <c r="B21" s="211">
        <f>B19-B17-B5-B7</f>
        <v>3927.5515625000007</v>
      </c>
    </row>
  </sheetData>
  <mergeCells count="1">
    <mergeCell ref="A15:B15"/>
  </mergeCells>
  <pageMargins left="0.511811024" right="0.511811024" top="0.78740157499999996" bottom="0.78740157499999996" header="0.31496062000000002" footer="0.31496062000000002"/>
  <pageSetup paperSize="9" orientation="portrait" horizontalDpi="300" verticalDpi="300" r:id="rId1"/>
  <headerFooter alignWithMargins="0"/>
</worksheet>
</file>

<file path=xl/worksheets/sheet25.xml><?xml version="1.0" encoding="utf-8"?>
<worksheet xmlns="http://schemas.openxmlformats.org/spreadsheetml/2006/main" xmlns:r="http://schemas.openxmlformats.org/officeDocument/2006/relationships">
  <sheetPr codeName="Plan11">
    <pageSetUpPr fitToPage="1"/>
  </sheetPr>
  <dimension ref="A1:J93"/>
  <sheetViews>
    <sheetView zoomScale="70" zoomScaleNormal="70" workbookViewId="0">
      <pane ySplit="1" topLeftCell="A2" activePane="bottomLeft" state="frozen"/>
      <selection activeCell="A4" sqref="A4"/>
      <selection pane="bottomLeft" activeCell="A2" sqref="A2"/>
    </sheetView>
  </sheetViews>
  <sheetFormatPr defaultRowHeight="12.75"/>
  <cols>
    <col min="1" max="1" width="16.42578125" style="164" bestFit="1" customWidth="1"/>
    <col min="2" max="2" width="37.28515625" style="164" bestFit="1" customWidth="1"/>
    <col min="3" max="3" width="28.28515625" style="164" bestFit="1" customWidth="1"/>
    <col min="4" max="4" width="35.7109375" style="164" bestFit="1" customWidth="1"/>
    <col min="5" max="5" width="48.28515625" style="164" bestFit="1" customWidth="1"/>
    <col min="6" max="6" width="27.42578125" style="164" bestFit="1" customWidth="1"/>
    <col min="7" max="7" width="16.7109375" style="164" bestFit="1" customWidth="1"/>
    <col min="8" max="8" width="20.140625" style="164" bestFit="1" customWidth="1"/>
    <col min="9" max="9" width="12.5703125" style="164" bestFit="1" customWidth="1"/>
    <col min="10" max="10" width="8.140625" style="164" bestFit="1" customWidth="1"/>
    <col min="11" max="16384" width="9.140625" style="164"/>
  </cols>
  <sheetData>
    <row r="1" spans="1:10" s="159" customFormat="1" ht="30">
      <c r="A1" s="158" t="s">
        <v>656</v>
      </c>
      <c r="B1" s="158" t="s">
        <v>774</v>
      </c>
      <c r="C1" s="158" t="s">
        <v>775</v>
      </c>
      <c r="D1" s="158" t="s">
        <v>776</v>
      </c>
      <c r="E1" s="158" t="s">
        <v>777</v>
      </c>
      <c r="F1" s="158" t="s">
        <v>778</v>
      </c>
      <c r="G1" s="158" t="s">
        <v>779</v>
      </c>
      <c r="H1" s="158" t="s">
        <v>780</v>
      </c>
      <c r="I1" s="158" t="s">
        <v>733</v>
      </c>
      <c r="J1" s="158" t="s">
        <v>781</v>
      </c>
    </row>
    <row r="2" spans="1:10" ht="15">
      <c r="A2" s="160" t="s">
        <v>63</v>
      </c>
      <c r="B2" s="161" t="s">
        <v>782</v>
      </c>
      <c r="C2" s="160" t="s">
        <v>783</v>
      </c>
      <c r="D2" s="162" t="s">
        <v>784</v>
      </c>
      <c r="E2" s="160" t="s">
        <v>785</v>
      </c>
      <c r="F2" s="160">
        <v>3552</v>
      </c>
      <c r="G2" s="160">
        <v>923045</v>
      </c>
      <c r="H2" s="160">
        <v>30718</v>
      </c>
      <c r="I2" s="160" t="s">
        <v>786</v>
      </c>
      <c r="J2" s="163">
        <f>(G2+H2)/1024</f>
        <v>931.4091796875</v>
      </c>
    </row>
    <row r="3" spans="1:10" ht="15">
      <c r="A3" s="160" t="s">
        <v>63</v>
      </c>
      <c r="B3" s="161" t="s">
        <v>787</v>
      </c>
      <c r="C3" s="160" t="s">
        <v>788</v>
      </c>
      <c r="D3" s="160" t="s">
        <v>784</v>
      </c>
      <c r="E3" s="160" t="s">
        <v>785</v>
      </c>
      <c r="F3" s="160">
        <v>3552</v>
      </c>
      <c r="G3" s="160">
        <v>923045</v>
      </c>
      <c r="H3" s="160">
        <v>30719</v>
      </c>
      <c r="I3" s="160" t="s">
        <v>786</v>
      </c>
      <c r="J3" s="163">
        <f>(G3+H3)/1024</f>
        <v>931.41015625</v>
      </c>
    </row>
    <row r="4" spans="1:10" ht="15">
      <c r="A4" s="160" t="s">
        <v>63</v>
      </c>
      <c r="B4" s="161" t="s">
        <v>789</v>
      </c>
      <c r="C4" s="160" t="s">
        <v>790</v>
      </c>
      <c r="D4" s="162" t="s">
        <v>791</v>
      </c>
      <c r="E4" s="160" t="s">
        <v>792</v>
      </c>
      <c r="F4" s="160">
        <v>3574</v>
      </c>
      <c r="G4" s="160">
        <v>99998</v>
      </c>
      <c r="H4" s="160">
        <v>615396</v>
      </c>
      <c r="I4" s="160" t="s">
        <v>793</v>
      </c>
      <c r="J4" s="163">
        <f>(G4+H4)/1024</f>
        <v>698.626953125</v>
      </c>
    </row>
    <row r="5" spans="1:10">
      <c r="A5" s="160" t="s">
        <v>63</v>
      </c>
      <c r="B5" s="162" t="s">
        <v>99</v>
      </c>
      <c r="C5" s="160" t="s">
        <v>794</v>
      </c>
      <c r="D5" s="160" t="s">
        <v>795</v>
      </c>
      <c r="E5" s="162" t="s">
        <v>796</v>
      </c>
      <c r="F5" s="160">
        <v>448</v>
      </c>
      <c r="G5" s="160">
        <v>0</v>
      </c>
      <c r="H5" s="160">
        <v>0</v>
      </c>
      <c r="I5" s="160" t="s">
        <v>793</v>
      </c>
      <c r="J5" s="163">
        <f>(G5+H5)/1024</f>
        <v>0</v>
      </c>
    </row>
    <row r="6" spans="1:10">
      <c r="A6" s="160" t="s">
        <v>63</v>
      </c>
      <c r="B6" s="162" t="s">
        <v>797</v>
      </c>
      <c r="C6" s="160" t="s">
        <v>798</v>
      </c>
      <c r="D6" s="162" t="s">
        <v>799</v>
      </c>
      <c r="E6" s="160" t="s">
        <v>792</v>
      </c>
      <c r="F6" s="160">
        <v>3072</v>
      </c>
      <c r="G6" s="160">
        <v>99998</v>
      </c>
      <c r="H6" s="160">
        <v>615396</v>
      </c>
      <c r="I6" s="160" t="s">
        <v>793</v>
      </c>
      <c r="J6" s="163">
        <f>(G6+H6)/1024</f>
        <v>698.626953125</v>
      </c>
    </row>
    <row r="7" spans="1:10">
      <c r="A7" s="160" t="s">
        <v>800</v>
      </c>
      <c r="B7" s="165" t="s">
        <v>801</v>
      </c>
      <c r="C7" s="166" t="s">
        <v>802</v>
      </c>
      <c r="D7" s="165" t="s">
        <v>803</v>
      </c>
      <c r="E7" s="166" t="s">
        <v>804</v>
      </c>
      <c r="F7" s="167"/>
      <c r="G7" s="167"/>
      <c r="H7" s="167"/>
      <c r="I7" s="167"/>
      <c r="J7" s="167"/>
    </row>
    <row r="8" spans="1:10">
      <c r="A8" s="167"/>
      <c r="B8" s="166"/>
      <c r="C8" s="167"/>
      <c r="D8" s="167"/>
      <c r="E8" s="167"/>
      <c r="F8" s="167"/>
      <c r="G8" s="167"/>
      <c r="H8" s="167"/>
      <c r="I8" s="167"/>
      <c r="J8" s="167"/>
    </row>
    <row r="9" spans="1:10">
      <c r="A9" s="160" t="s">
        <v>63</v>
      </c>
      <c r="B9" s="162" t="s">
        <v>805</v>
      </c>
      <c r="C9" s="168" t="s">
        <v>806</v>
      </c>
      <c r="D9" s="160"/>
      <c r="E9" s="160"/>
      <c r="F9" s="160"/>
      <c r="G9" s="160"/>
      <c r="H9" s="160"/>
      <c r="I9" s="160"/>
      <c r="J9" s="160"/>
    </row>
    <row r="10" spans="1:10">
      <c r="A10" s="160" t="s">
        <v>63</v>
      </c>
      <c r="B10" s="162" t="s">
        <v>807</v>
      </c>
      <c r="C10" s="168" t="s">
        <v>808</v>
      </c>
      <c r="D10" s="160"/>
      <c r="E10" s="160">
        <f>LEN(E7)</f>
        <v>52</v>
      </c>
      <c r="F10" s="160"/>
      <c r="G10" s="160"/>
      <c r="H10" s="160"/>
      <c r="I10" s="160"/>
      <c r="J10" s="160"/>
    </row>
    <row r="11" spans="1:10">
      <c r="A11" s="160" t="s">
        <v>63</v>
      </c>
      <c r="B11" s="160" t="s">
        <v>809</v>
      </c>
      <c r="C11" s="160" t="s">
        <v>810</v>
      </c>
      <c r="D11" s="160"/>
      <c r="E11" s="160"/>
      <c r="F11" s="160"/>
      <c r="G11" s="160"/>
      <c r="H11" s="160"/>
      <c r="I11" s="160"/>
      <c r="J11" s="160"/>
    </row>
    <row r="12" spans="1:10">
      <c r="A12" s="160" t="s">
        <v>63</v>
      </c>
      <c r="B12" s="169" t="s">
        <v>811</v>
      </c>
      <c r="C12" s="160" t="s">
        <v>812</v>
      </c>
      <c r="D12" s="160"/>
      <c r="E12" s="160"/>
      <c r="F12" s="160"/>
      <c r="G12" s="160"/>
      <c r="H12" s="160"/>
      <c r="I12" s="160"/>
      <c r="J12" s="160"/>
    </row>
    <row r="14" spans="1:10">
      <c r="B14" s="170" t="s">
        <v>813</v>
      </c>
    </row>
    <row r="15" spans="1:10">
      <c r="B15" s="170" t="s">
        <v>814</v>
      </c>
      <c r="C15" s="170" t="s">
        <v>666</v>
      </c>
      <c r="D15" s="170" t="s">
        <v>667</v>
      </c>
      <c r="E15" s="170" t="s">
        <v>815</v>
      </c>
    </row>
    <row r="16" spans="1:10">
      <c r="B16" s="160" t="s">
        <v>816</v>
      </c>
      <c r="C16" s="160" t="s">
        <v>817</v>
      </c>
      <c r="D16" s="160" t="s">
        <v>817</v>
      </c>
      <c r="E16" s="160" t="s">
        <v>818</v>
      </c>
    </row>
    <row r="17" spans="2:6">
      <c r="B17" s="160" t="s">
        <v>819</v>
      </c>
      <c r="C17" s="160" t="s">
        <v>820</v>
      </c>
      <c r="D17" s="160"/>
      <c r="E17" s="160" t="s">
        <v>818</v>
      </c>
    </row>
    <row r="18" spans="2:6">
      <c r="B18" s="160" t="s">
        <v>821</v>
      </c>
      <c r="C18" s="160" t="s">
        <v>817</v>
      </c>
      <c r="D18" s="160"/>
      <c r="E18" s="166" t="s">
        <v>822</v>
      </c>
    </row>
    <row r="19" spans="2:6">
      <c r="B19" s="169" t="s">
        <v>823</v>
      </c>
      <c r="C19" s="160" t="s">
        <v>817</v>
      </c>
      <c r="D19" s="160"/>
      <c r="E19" s="160" t="s">
        <v>824</v>
      </c>
    </row>
    <row r="20" spans="2:6">
      <c r="B20" s="169" t="s">
        <v>825</v>
      </c>
      <c r="C20" s="160" t="s">
        <v>817</v>
      </c>
      <c r="D20" s="160"/>
      <c r="E20" s="160"/>
    </row>
    <row r="21" spans="2:6">
      <c r="B21" s="166"/>
    </row>
    <row r="23" spans="2:6">
      <c r="B23" s="170" t="s">
        <v>826</v>
      </c>
    </row>
    <row r="24" spans="2:6">
      <c r="B24" s="170" t="s">
        <v>774</v>
      </c>
      <c r="C24" s="170" t="s">
        <v>827</v>
      </c>
      <c r="D24" s="170" t="s">
        <v>828</v>
      </c>
      <c r="E24" s="170" t="s">
        <v>44</v>
      </c>
      <c r="F24" s="170" t="s">
        <v>667</v>
      </c>
    </row>
    <row r="25" spans="2:6">
      <c r="B25" s="160" t="s">
        <v>797</v>
      </c>
      <c r="C25" s="160" t="s">
        <v>829</v>
      </c>
      <c r="D25" s="160" t="s">
        <v>830</v>
      </c>
      <c r="E25" s="171">
        <v>41768</v>
      </c>
      <c r="F25" s="162" t="s">
        <v>674</v>
      </c>
    </row>
    <row r="26" spans="2:6">
      <c r="B26" s="160" t="s">
        <v>789</v>
      </c>
      <c r="C26" s="160" t="s">
        <v>829</v>
      </c>
      <c r="D26" s="160" t="s">
        <v>830</v>
      </c>
      <c r="E26" s="171">
        <v>41768</v>
      </c>
      <c r="F26" s="172" t="s">
        <v>831</v>
      </c>
    </row>
    <row r="27" spans="2:6">
      <c r="B27" s="162" t="s">
        <v>99</v>
      </c>
      <c r="C27" s="160" t="s">
        <v>829</v>
      </c>
      <c r="D27" s="160" t="s">
        <v>830</v>
      </c>
      <c r="E27" s="171">
        <v>41768</v>
      </c>
      <c r="F27" s="162" t="s">
        <v>674</v>
      </c>
    </row>
    <row r="28" spans="2:6">
      <c r="B28" s="160" t="s">
        <v>787</v>
      </c>
      <c r="C28" s="160" t="s">
        <v>829</v>
      </c>
      <c r="D28" s="160" t="s">
        <v>832</v>
      </c>
      <c r="E28" s="171">
        <v>41199</v>
      </c>
      <c r="F28" s="162" t="s">
        <v>674</v>
      </c>
    </row>
    <row r="29" spans="2:6">
      <c r="B29" s="160" t="s">
        <v>782</v>
      </c>
      <c r="C29" s="160" t="s">
        <v>829</v>
      </c>
      <c r="D29" s="160" t="s">
        <v>832</v>
      </c>
      <c r="E29" s="171">
        <v>41199</v>
      </c>
      <c r="F29" s="162" t="s">
        <v>674</v>
      </c>
    </row>
    <row r="30" spans="2:6">
      <c r="B30" s="167" t="s">
        <v>833</v>
      </c>
      <c r="C30" s="160" t="s">
        <v>829</v>
      </c>
      <c r="D30" s="167" t="s">
        <v>834</v>
      </c>
      <c r="E30" s="173"/>
      <c r="F30" s="162" t="s">
        <v>674</v>
      </c>
    </row>
    <row r="31" spans="2:6">
      <c r="B31" s="167" t="s">
        <v>835</v>
      </c>
      <c r="C31" s="160" t="s">
        <v>829</v>
      </c>
      <c r="D31" s="167" t="s">
        <v>834</v>
      </c>
      <c r="E31" s="173"/>
      <c r="F31" s="162" t="s">
        <v>674</v>
      </c>
    </row>
    <row r="32" spans="2:6">
      <c r="B32" s="167" t="s">
        <v>836</v>
      </c>
      <c r="C32" s="160" t="s">
        <v>829</v>
      </c>
      <c r="D32" s="167" t="s">
        <v>834</v>
      </c>
      <c r="E32" s="173"/>
      <c r="F32" s="162" t="s">
        <v>674</v>
      </c>
    </row>
    <row r="33" spans="2:7">
      <c r="B33" s="167"/>
      <c r="C33" s="167"/>
      <c r="D33" s="167"/>
      <c r="E33" s="173"/>
      <c r="F33" s="174"/>
    </row>
    <row r="34" spans="2:7">
      <c r="B34" s="167"/>
      <c r="C34" s="167"/>
      <c r="D34" s="167">
        <f>LEN(D32)</f>
        <v>29</v>
      </c>
      <c r="E34" s="173"/>
      <c r="F34" s="174"/>
    </row>
    <row r="35" spans="2:7">
      <c r="B35" s="167"/>
      <c r="C35" s="167"/>
      <c r="D35" s="167"/>
      <c r="E35" s="173"/>
      <c r="F35" s="174"/>
    </row>
    <row r="36" spans="2:7">
      <c r="B36" s="167"/>
      <c r="C36" s="167"/>
      <c r="D36" s="167"/>
      <c r="E36" s="173"/>
      <c r="F36" s="174"/>
    </row>
    <row r="39" spans="2:7">
      <c r="B39" s="170" t="s">
        <v>837</v>
      </c>
    </row>
    <row r="40" spans="2:7" s="175" customFormat="1">
      <c r="B40" s="170" t="s">
        <v>838</v>
      </c>
      <c r="C40" s="170" t="s">
        <v>839</v>
      </c>
      <c r="D40" s="170" t="s">
        <v>840</v>
      </c>
      <c r="E40" s="170" t="s">
        <v>841</v>
      </c>
      <c r="F40" s="170" t="s">
        <v>666</v>
      </c>
      <c r="G40" s="170" t="s">
        <v>667</v>
      </c>
    </row>
    <row r="41" spans="2:7">
      <c r="B41" s="160" t="s">
        <v>842</v>
      </c>
      <c r="C41" s="176" t="s">
        <v>843</v>
      </c>
      <c r="D41" s="160" t="s">
        <v>844</v>
      </c>
      <c r="E41" s="160" t="s">
        <v>845</v>
      </c>
      <c r="F41" s="160" t="s">
        <v>843</v>
      </c>
      <c r="G41" s="160" t="s">
        <v>846</v>
      </c>
    </row>
    <row r="42" spans="2:7">
      <c r="B42" s="160" t="s">
        <v>847</v>
      </c>
      <c r="C42" s="160" t="s">
        <v>847</v>
      </c>
      <c r="D42" s="160" t="s">
        <v>844</v>
      </c>
      <c r="E42" s="160" t="s">
        <v>845</v>
      </c>
      <c r="F42" s="160" t="s">
        <v>847</v>
      </c>
      <c r="G42" s="160" t="s">
        <v>848</v>
      </c>
    </row>
    <row r="45" spans="2:7" s="177" customFormat="1">
      <c r="B45" s="170" t="s">
        <v>849</v>
      </c>
    </row>
    <row r="46" spans="2:7" s="175" customFormat="1">
      <c r="B46" s="170" t="s">
        <v>774</v>
      </c>
      <c r="C46" s="170" t="s">
        <v>666</v>
      </c>
      <c r="D46" s="170" t="s">
        <v>667</v>
      </c>
      <c r="E46" s="170" t="s">
        <v>850</v>
      </c>
    </row>
    <row r="47" spans="2:7">
      <c r="B47" s="162" t="s">
        <v>797</v>
      </c>
      <c r="C47" s="162" t="s">
        <v>851</v>
      </c>
      <c r="D47" s="162" t="s">
        <v>852</v>
      </c>
      <c r="E47" s="162" t="s">
        <v>853</v>
      </c>
    </row>
    <row r="48" spans="2:7">
      <c r="B48" s="162" t="s">
        <v>797</v>
      </c>
      <c r="C48" s="168" t="s">
        <v>854</v>
      </c>
      <c r="D48" s="162" t="s">
        <v>674</v>
      </c>
      <c r="E48" s="162" t="s">
        <v>855</v>
      </c>
    </row>
    <row r="49" spans="2:7">
      <c r="B49" s="162" t="s">
        <v>789</v>
      </c>
      <c r="C49" s="162" t="s">
        <v>851</v>
      </c>
      <c r="D49" s="162"/>
      <c r="E49" s="162" t="s">
        <v>853</v>
      </c>
    </row>
    <row r="50" spans="2:7">
      <c r="B50" s="162" t="s">
        <v>789</v>
      </c>
      <c r="C50" s="168" t="s">
        <v>854</v>
      </c>
      <c r="D50" s="162" t="s">
        <v>674</v>
      </c>
      <c r="E50" s="162" t="s">
        <v>855</v>
      </c>
    </row>
    <row r="51" spans="2:7">
      <c r="B51" s="162" t="s">
        <v>787</v>
      </c>
      <c r="C51" s="168" t="s">
        <v>856</v>
      </c>
      <c r="D51" s="168" t="s">
        <v>63</v>
      </c>
      <c r="E51" s="162" t="s">
        <v>853</v>
      </c>
    </row>
    <row r="52" spans="2:7">
      <c r="B52" s="162" t="s">
        <v>787</v>
      </c>
      <c r="C52" s="168" t="s">
        <v>854</v>
      </c>
      <c r="D52" s="162" t="s">
        <v>674</v>
      </c>
      <c r="E52" s="162" t="s">
        <v>855</v>
      </c>
    </row>
    <row r="53" spans="2:7">
      <c r="B53" s="162" t="s">
        <v>782</v>
      </c>
      <c r="C53" s="168" t="s">
        <v>856</v>
      </c>
      <c r="D53" s="168" t="s">
        <v>63</v>
      </c>
      <c r="E53" s="162" t="s">
        <v>853</v>
      </c>
      <c r="F53" s="164">
        <v>24797483830</v>
      </c>
      <c r="G53" s="164">
        <f>LEN(F53)</f>
        <v>11</v>
      </c>
    </row>
    <row r="54" spans="2:7">
      <c r="B54" s="162" t="s">
        <v>782</v>
      </c>
      <c r="C54" s="168" t="s">
        <v>854</v>
      </c>
      <c r="D54" s="162" t="s">
        <v>674</v>
      </c>
      <c r="E54" s="162" t="s">
        <v>855</v>
      </c>
      <c r="F54" s="178" t="s">
        <v>673</v>
      </c>
      <c r="G54" s="164">
        <f>LEN(F54)</f>
        <v>14</v>
      </c>
    </row>
    <row r="57" spans="2:7" s="177" customFormat="1">
      <c r="B57" s="170" t="s">
        <v>857</v>
      </c>
    </row>
    <row r="58" spans="2:7" s="175" customFormat="1">
      <c r="B58" s="170" t="s">
        <v>838</v>
      </c>
      <c r="C58" s="170" t="s">
        <v>858</v>
      </c>
      <c r="D58" s="170" t="s">
        <v>859</v>
      </c>
      <c r="E58" s="170" t="s">
        <v>99</v>
      </c>
    </row>
    <row r="59" spans="2:7">
      <c r="B59" s="164" t="s">
        <v>809</v>
      </c>
      <c r="C59" s="179" t="s">
        <v>860</v>
      </c>
      <c r="D59" s="180" t="s">
        <v>861</v>
      </c>
      <c r="E59" s="179"/>
    </row>
    <row r="60" spans="2:7">
      <c r="B60" s="164" t="s">
        <v>862</v>
      </c>
      <c r="C60" s="164" t="s">
        <v>863</v>
      </c>
      <c r="D60" s="180" t="s">
        <v>864</v>
      </c>
      <c r="E60" s="164" t="s">
        <v>865</v>
      </c>
    </row>
    <row r="61" spans="2:7">
      <c r="B61" s="179" t="s">
        <v>866</v>
      </c>
      <c r="E61" s="179" t="s">
        <v>867</v>
      </c>
    </row>
    <row r="64" spans="2:7" s="177" customFormat="1">
      <c r="B64" s="170" t="s">
        <v>868</v>
      </c>
    </row>
    <row r="65" spans="2:7" s="175" customFormat="1">
      <c r="B65" s="170" t="s">
        <v>774</v>
      </c>
      <c r="C65" s="170" t="s">
        <v>868</v>
      </c>
      <c r="D65" s="170" t="s">
        <v>99</v>
      </c>
      <c r="E65" s="170" t="s">
        <v>828</v>
      </c>
      <c r="F65" s="170" t="s">
        <v>44</v>
      </c>
      <c r="G65" s="170" t="s">
        <v>667</v>
      </c>
    </row>
    <row r="66" spans="2:7">
      <c r="B66" s="164" t="s">
        <v>797</v>
      </c>
      <c r="C66" s="164" t="s">
        <v>829</v>
      </c>
      <c r="D66" s="164" t="s">
        <v>869</v>
      </c>
      <c r="E66" s="164" t="s">
        <v>830</v>
      </c>
      <c r="F66" s="181">
        <v>41768</v>
      </c>
      <c r="G66" s="179" t="s">
        <v>674</v>
      </c>
    </row>
    <row r="67" spans="2:7">
      <c r="B67" s="164" t="s">
        <v>797</v>
      </c>
      <c r="C67" s="164" t="s">
        <v>870</v>
      </c>
    </row>
    <row r="68" spans="2:7">
      <c r="B68" s="164" t="s">
        <v>797</v>
      </c>
      <c r="C68" s="179" t="s">
        <v>871</v>
      </c>
      <c r="D68" s="179" t="s">
        <v>872</v>
      </c>
    </row>
    <row r="69" spans="2:7">
      <c r="B69" s="164" t="s">
        <v>797</v>
      </c>
      <c r="C69" s="165" t="s">
        <v>873</v>
      </c>
      <c r="D69" s="179" t="s">
        <v>872</v>
      </c>
    </row>
    <row r="70" spans="2:7">
      <c r="B70" s="164" t="s">
        <v>797</v>
      </c>
      <c r="C70" s="179" t="s">
        <v>874</v>
      </c>
      <c r="D70" s="165" t="s">
        <v>875</v>
      </c>
    </row>
    <row r="71" spans="2:7">
      <c r="B71" s="164" t="s">
        <v>797</v>
      </c>
      <c r="C71" s="165" t="s">
        <v>876</v>
      </c>
      <c r="D71" s="165" t="s">
        <v>877</v>
      </c>
    </row>
    <row r="72" spans="2:7">
      <c r="B72" s="164" t="s">
        <v>797</v>
      </c>
      <c r="C72" s="165" t="s">
        <v>878</v>
      </c>
      <c r="D72" s="165" t="s">
        <v>877</v>
      </c>
    </row>
    <row r="73" spans="2:7">
      <c r="C73" s="165"/>
      <c r="D73" s="165"/>
    </row>
    <row r="74" spans="2:7">
      <c r="B74" s="164" t="s">
        <v>789</v>
      </c>
      <c r="C74" s="164" t="s">
        <v>829</v>
      </c>
      <c r="D74" s="164" t="s">
        <v>869</v>
      </c>
      <c r="E74" s="164" t="s">
        <v>830</v>
      </c>
      <c r="F74" s="181">
        <v>41768</v>
      </c>
      <c r="G74" s="182" t="s">
        <v>831</v>
      </c>
    </row>
    <row r="75" spans="2:7">
      <c r="B75" s="164" t="s">
        <v>789</v>
      </c>
      <c r="C75" s="164" t="s">
        <v>870</v>
      </c>
    </row>
    <row r="76" spans="2:7">
      <c r="B76" s="164" t="s">
        <v>789</v>
      </c>
      <c r="C76" s="179" t="s">
        <v>871</v>
      </c>
      <c r="D76" s="179" t="s">
        <v>872</v>
      </c>
    </row>
    <row r="77" spans="2:7">
      <c r="B77" s="164" t="s">
        <v>789</v>
      </c>
      <c r="C77" s="165" t="s">
        <v>873</v>
      </c>
      <c r="D77" s="179" t="s">
        <v>872</v>
      </c>
    </row>
    <row r="78" spans="2:7">
      <c r="B78" s="164" t="s">
        <v>789</v>
      </c>
      <c r="C78" s="179" t="s">
        <v>874</v>
      </c>
      <c r="D78" s="165" t="s">
        <v>875</v>
      </c>
    </row>
    <row r="79" spans="2:7">
      <c r="B79" s="164" t="s">
        <v>789</v>
      </c>
      <c r="C79" s="165" t="s">
        <v>876</v>
      </c>
      <c r="D79" s="165" t="s">
        <v>877</v>
      </c>
    </row>
    <row r="80" spans="2:7">
      <c r="B80" s="164" t="s">
        <v>789</v>
      </c>
      <c r="C80" s="165" t="s">
        <v>878</v>
      </c>
      <c r="D80" s="165" t="s">
        <v>877</v>
      </c>
    </row>
    <row r="82" spans="2:7">
      <c r="B82" s="164" t="s">
        <v>787</v>
      </c>
      <c r="C82" s="164" t="s">
        <v>829</v>
      </c>
      <c r="D82" s="164" t="s">
        <v>869</v>
      </c>
      <c r="E82" s="164" t="s">
        <v>832</v>
      </c>
      <c r="F82" s="181">
        <v>41199</v>
      </c>
      <c r="G82" s="179" t="s">
        <v>674</v>
      </c>
    </row>
    <row r="83" spans="2:7">
      <c r="B83" s="164" t="s">
        <v>787</v>
      </c>
      <c r="C83" s="164" t="s">
        <v>870</v>
      </c>
    </row>
    <row r="84" spans="2:7">
      <c r="B84" s="164" t="s">
        <v>787</v>
      </c>
      <c r="C84" s="165" t="s">
        <v>876</v>
      </c>
      <c r="D84" s="165" t="s">
        <v>877</v>
      </c>
    </row>
    <row r="85" spans="2:7">
      <c r="B85" s="164" t="s">
        <v>787</v>
      </c>
      <c r="C85" s="165" t="s">
        <v>878</v>
      </c>
      <c r="D85" s="165" t="s">
        <v>877</v>
      </c>
    </row>
    <row r="87" spans="2:7">
      <c r="B87" s="164" t="s">
        <v>782</v>
      </c>
      <c r="C87" s="164" t="s">
        <v>829</v>
      </c>
      <c r="D87" s="164" t="s">
        <v>869</v>
      </c>
      <c r="E87" s="164" t="s">
        <v>832</v>
      </c>
      <c r="F87" s="181">
        <v>41199</v>
      </c>
      <c r="G87" s="179" t="s">
        <v>674</v>
      </c>
    </row>
    <row r="88" spans="2:7">
      <c r="B88" s="164" t="s">
        <v>782</v>
      </c>
      <c r="C88" s="164" t="s">
        <v>870</v>
      </c>
    </row>
    <row r="89" spans="2:7">
      <c r="B89" s="164" t="s">
        <v>782</v>
      </c>
      <c r="C89" s="165" t="s">
        <v>876</v>
      </c>
      <c r="D89" s="165" t="s">
        <v>877</v>
      </c>
    </row>
    <row r="90" spans="2:7">
      <c r="B90" s="164" t="s">
        <v>782</v>
      </c>
      <c r="C90" s="165" t="s">
        <v>878</v>
      </c>
      <c r="D90" s="165" t="s">
        <v>877</v>
      </c>
    </row>
    <row r="92" spans="2:7">
      <c r="B92" s="179" t="s">
        <v>99</v>
      </c>
      <c r="C92" s="164" t="s">
        <v>829</v>
      </c>
      <c r="D92" s="164" t="s">
        <v>869</v>
      </c>
      <c r="E92" s="164" t="s">
        <v>830</v>
      </c>
      <c r="F92" s="181">
        <v>41768</v>
      </c>
      <c r="G92" s="179" t="s">
        <v>674</v>
      </c>
    </row>
    <row r="93" spans="2:7">
      <c r="B93" s="179" t="s">
        <v>99</v>
      </c>
      <c r="C93" s="164" t="s">
        <v>870</v>
      </c>
    </row>
  </sheetData>
  <hyperlinks>
    <hyperlink ref="G74" r:id="rId1"/>
    <hyperlink ref="F26" r:id="rId2"/>
    <hyperlink ref="C41" r:id="rId3"/>
  </hyperlinks>
  <pageMargins left="0.78740157480314965" right="0.78740157480314965" top="0.56000000000000005" bottom="0.61" header="0.51181102362204722" footer="0.51181102362204722"/>
  <pageSetup paperSize="9" scale="54" orientation="landscape" r:id="rId4"/>
  <headerFooter alignWithMargins="0"/>
</worksheet>
</file>

<file path=xl/worksheets/sheet26.xml><?xml version="1.0" encoding="utf-8"?>
<worksheet xmlns="http://schemas.openxmlformats.org/spreadsheetml/2006/main" xmlns:r="http://schemas.openxmlformats.org/officeDocument/2006/relationships">
  <sheetPr codeName="Plan8"/>
  <dimension ref="A1:D292"/>
  <sheetViews>
    <sheetView workbookViewId="0">
      <pane ySplit="1" topLeftCell="A2" activePane="bottomLeft" state="frozen"/>
      <selection activeCell="A10" sqref="A10"/>
      <selection pane="bottomLeft" activeCell="A2" sqref="A2"/>
    </sheetView>
  </sheetViews>
  <sheetFormatPr defaultColWidth="29.140625" defaultRowHeight="12.75"/>
  <cols>
    <col min="1" max="1" width="25" style="12" customWidth="1"/>
    <col min="2" max="2" width="12.5703125" style="12" customWidth="1"/>
    <col min="3" max="3" width="27.28515625" style="7" bestFit="1" customWidth="1"/>
    <col min="4" max="4" width="32.28515625" style="7" bestFit="1" customWidth="1"/>
    <col min="5" max="16384" width="29.140625" style="7"/>
  </cols>
  <sheetData>
    <row r="1" spans="1:4" s="5" customFormat="1">
      <c r="A1" s="4" t="s">
        <v>107</v>
      </c>
      <c r="B1" s="5" t="s">
        <v>108</v>
      </c>
      <c r="C1" s="5" t="s">
        <v>109</v>
      </c>
      <c r="D1" s="5" t="s">
        <v>110</v>
      </c>
    </row>
    <row r="2" spans="1:4" s="8" customFormat="1">
      <c r="A2" s="12">
        <v>32622585</v>
      </c>
      <c r="B2" s="12" t="s">
        <v>111</v>
      </c>
      <c r="C2" s="7" t="s">
        <v>458</v>
      </c>
      <c r="D2" s="7"/>
    </row>
    <row r="3" spans="1:4" s="8" customFormat="1">
      <c r="A3" s="6">
        <v>33283396</v>
      </c>
      <c r="B3" s="6" t="s">
        <v>111</v>
      </c>
      <c r="C3" s="7" t="s">
        <v>112</v>
      </c>
      <c r="D3" s="7"/>
    </row>
    <row r="4" spans="1:4" s="8" customFormat="1">
      <c r="A4" s="6">
        <v>3001007575</v>
      </c>
      <c r="B4" s="6" t="s">
        <v>111</v>
      </c>
      <c r="C4" s="7" t="s">
        <v>422</v>
      </c>
      <c r="D4" s="7"/>
    </row>
    <row r="5" spans="1:4" s="8" customFormat="1">
      <c r="A5" s="61" t="s">
        <v>455</v>
      </c>
      <c r="B5" s="12" t="s">
        <v>111</v>
      </c>
      <c r="C5" s="7" t="s">
        <v>456</v>
      </c>
      <c r="D5" s="7"/>
    </row>
    <row r="6" spans="1:4" s="8" customFormat="1">
      <c r="A6" s="62" t="s">
        <v>457</v>
      </c>
      <c r="B6" s="12" t="s">
        <v>111</v>
      </c>
      <c r="C6" s="7" t="s">
        <v>458</v>
      </c>
      <c r="D6" s="7"/>
    </row>
    <row r="7" spans="1:4" s="8" customFormat="1">
      <c r="A7" s="62" t="s">
        <v>459</v>
      </c>
      <c r="B7" s="12" t="s">
        <v>111</v>
      </c>
      <c r="C7" s="7" t="s">
        <v>458</v>
      </c>
      <c r="D7" s="7"/>
    </row>
    <row r="8" spans="1:4" s="8" customFormat="1">
      <c r="A8" s="6" t="s">
        <v>159</v>
      </c>
      <c r="B8" s="6" t="s">
        <v>111</v>
      </c>
      <c r="C8" s="7" t="s">
        <v>160</v>
      </c>
      <c r="D8" s="7"/>
    </row>
    <row r="9" spans="1:4" s="8" customFormat="1">
      <c r="A9" s="6" t="s">
        <v>161</v>
      </c>
      <c r="B9" s="6" t="s">
        <v>111</v>
      </c>
      <c r="C9" s="7" t="s">
        <v>162</v>
      </c>
      <c r="D9" s="7"/>
    </row>
    <row r="10" spans="1:4" s="8" customFormat="1">
      <c r="A10" s="6" t="s">
        <v>163</v>
      </c>
      <c r="B10" s="6" t="s">
        <v>111</v>
      </c>
      <c r="C10" s="7" t="s">
        <v>112</v>
      </c>
      <c r="D10" s="7"/>
    </row>
    <row r="11" spans="1:4" s="8" customFormat="1">
      <c r="A11" s="6" t="s">
        <v>164</v>
      </c>
      <c r="B11" s="6" t="s">
        <v>111</v>
      </c>
      <c r="C11" s="7" t="s">
        <v>165</v>
      </c>
      <c r="D11" s="7"/>
    </row>
    <row r="12" spans="1:4" s="8" customFormat="1">
      <c r="A12" s="6" t="s">
        <v>166</v>
      </c>
      <c r="B12" s="6" t="s">
        <v>111</v>
      </c>
      <c r="C12" s="7" t="s">
        <v>167</v>
      </c>
      <c r="D12" s="7"/>
    </row>
    <row r="13" spans="1:4" s="8" customFormat="1">
      <c r="A13" s="6" t="s">
        <v>168</v>
      </c>
      <c r="B13" s="6" t="s">
        <v>111</v>
      </c>
      <c r="C13" s="7" t="s">
        <v>112</v>
      </c>
      <c r="D13" s="7"/>
    </row>
    <row r="14" spans="1:4" s="8" customFormat="1">
      <c r="A14" s="6" t="s">
        <v>173</v>
      </c>
      <c r="B14" s="6" t="s">
        <v>111</v>
      </c>
      <c r="C14" s="7" t="s">
        <v>165</v>
      </c>
      <c r="D14" s="7"/>
    </row>
    <row r="15" spans="1:4" s="8" customFormat="1">
      <c r="A15" s="6" t="s">
        <v>174</v>
      </c>
      <c r="B15" s="6" t="s">
        <v>111</v>
      </c>
      <c r="C15" s="7" t="s">
        <v>175</v>
      </c>
      <c r="D15" s="7"/>
    </row>
    <row r="16" spans="1:4" s="8" customFormat="1">
      <c r="A16" s="6" t="s">
        <v>176</v>
      </c>
      <c r="B16" s="6" t="s">
        <v>111</v>
      </c>
      <c r="C16" s="7" t="s">
        <v>177</v>
      </c>
      <c r="D16" s="7"/>
    </row>
    <row r="17" spans="1:4" s="8" customFormat="1">
      <c r="A17" s="9" t="s">
        <v>178</v>
      </c>
      <c r="B17" s="6" t="s">
        <v>111</v>
      </c>
      <c r="C17" s="8" t="s">
        <v>179</v>
      </c>
      <c r="D17" s="7"/>
    </row>
    <row r="18" spans="1:4" s="8" customFormat="1">
      <c r="A18" s="6" t="s">
        <v>180</v>
      </c>
      <c r="B18" s="6" t="s">
        <v>111</v>
      </c>
      <c r="C18" s="7" t="s">
        <v>181</v>
      </c>
      <c r="D18" s="7"/>
    </row>
    <row r="19" spans="1:4" s="8" customFormat="1">
      <c r="A19" s="6" t="s">
        <v>182</v>
      </c>
      <c r="B19" s="6" t="s">
        <v>111</v>
      </c>
      <c r="C19" s="7" t="s">
        <v>183</v>
      </c>
      <c r="D19" s="7"/>
    </row>
    <row r="20" spans="1:4" s="8" customFormat="1">
      <c r="A20" s="6" t="s">
        <v>184</v>
      </c>
      <c r="B20" s="6" t="s">
        <v>111</v>
      </c>
      <c r="C20" s="7" t="s">
        <v>183</v>
      </c>
      <c r="D20" s="7"/>
    </row>
    <row r="21" spans="1:4" s="8" customFormat="1">
      <c r="A21" s="6" t="s">
        <v>128</v>
      </c>
      <c r="B21" s="6" t="s">
        <v>414</v>
      </c>
      <c r="C21" s="7" t="s">
        <v>127</v>
      </c>
      <c r="D21" s="7"/>
    </row>
    <row r="22" spans="1:4" s="8" customFormat="1">
      <c r="A22" s="6" t="s">
        <v>185</v>
      </c>
      <c r="B22" s="6" t="s">
        <v>111</v>
      </c>
      <c r="C22" s="7" t="s">
        <v>186</v>
      </c>
      <c r="D22" s="7"/>
    </row>
    <row r="23" spans="1:4" s="8" customFormat="1">
      <c r="A23" s="12" t="s">
        <v>426</v>
      </c>
      <c r="B23" s="6" t="s">
        <v>414</v>
      </c>
      <c r="C23" s="7" t="s">
        <v>427</v>
      </c>
      <c r="D23" s="7"/>
    </row>
    <row r="24" spans="1:4" s="8" customFormat="1">
      <c r="A24" s="6" t="s">
        <v>187</v>
      </c>
      <c r="B24" s="6" t="s">
        <v>111</v>
      </c>
      <c r="C24" s="7" t="s">
        <v>188</v>
      </c>
      <c r="D24" s="7"/>
    </row>
    <row r="25" spans="1:4" s="8" customFormat="1">
      <c r="A25" s="6" t="s">
        <v>189</v>
      </c>
      <c r="B25" s="6" t="s">
        <v>111</v>
      </c>
      <c r="C25" s="7" t="s">
        <v>190</v>
      </c>
      <c r="D25" s="7"/>
    </row>
    <row r="26" spans="1:4" s="8" customFormat="1">
      <c r="A26" s="6" t="s">
        <v>191</v>
      </c>
      <c r="B26" s="6" t="s">
        <v>111</v>
      </c>
      <c r="C26" s="7" t="s">
        <v>192</v>
      </c>
      <c r="D26" s="7"/>
    </row>
    <row r="27" spans="1:4" s="8" customFormat="1">
      <c r="A27" s="6" t="s">
        <v>193</v>
      </c>
      <c r="B27" s="6" t="s">
        <v>111</v>
      </c>
      <c r="C27" s="7" t="s">
        <v>194</v>
      </c>
      <c r="D27" s="7"/>
    </row>
    <row r="28" spans="1:4" s="8" customFormat="1">
      <c r="A28" s="10" t="s">
        <v>195</v>
      </c>
      <c r="B28" s="6" t="s">
        <v>111</v>
      </c>
      <c r="C28" s="7" t="s">
        <v>196</v>
      </c>
      <c r="D28" s="7"/>
    </row>
    <row r="29" spans="1:4" s="8" customFormat="1">
      <c r="A29" s="6" t="s">
        <v>197</v>
      </c>
      <c r="B29" s="6" t="s">
        <v>111</v>
      </c>
      <c r="C29" s="7" t="s">
        <v>198</v>
      </c>
    </row>
    <row r="30" spans="1:4" s="8" customFormat="1">
      <c r="A30" s="6" t="s">
        <v>199</v>
      </c>
      <c r="B30" s="6" t="s">
        <v>111</v>
      </c>
      <c r="C30" s="7" t="s">
        <v>198</v>
      </c>
    </row>
    <row r="31" spans="1:4" s="8" customFormat="1">
      <c r="A31" s="6" t="s">
        <v>200</v>
      </c>
      <c r="B31" s="6" t="s">
        <v>111</v>
      </c>
      <c r="C31" s="7" t="s">
        <v>198</v>
      </c>
      <c r="D31" s="8" t="s">
        <v>201</v>
      </c>
    </row>
    <row r="32" spans="1:4" s="8" customFormat="1">
      <c r="A32" s="6" t="s">
        <v>202</v>
      </c>
      <c r="B32" s="6" t="s">
        <v>111</v>
      </c>
      <c r="C32" s="7" t="s">
        <v>203</v>
      </c>
      <c r="D32" s="7"/>
    </row>
    <row r="33" spans="1:4" s="8" customFormat="1">
      <c r="A33" s="6" t="s">
        <v>202</v>
      </c>
      <c r="B33" s="6" t="s">
        <v>111</v>
      </c>
      <c r="C33" s="7" t="s">
        <v>204</v>
      </c>
      <c r="D33" s="7"/>
    </row>
    <row r="34" spans="1:4" s="8" customFormat="1">
      <c r="A34" s="6" t="s">
        <v>205</v>
      </c>
      <c r="B34" s="6" t="s">
        <v>111</v>
      </c>
      <c r="C34" s="7" t="s">
        <v>206</v>
      </c>
      <c r="D34" s="7"/>
    </row>
    <row r="35" spans="1:4" s="8" customFormat="1">
      <c r="A35" s="6" t="s">
        <v>135</v>
      </c>
      <c r="B35" s="6" t="s">
        <v>414</v>
      </c>
      <c r="C35" s="7" t="s">
        <v>127</v>
      </c>
      <c r="D35" s="7"/>
    </row>
    <row r="36" spans="1:4" s="8" customFormat="1">
      <c r="A36" s="6" t="s">
        <v>115</v>
      </c>
      <c r="B36" s="6" t="s">
        <v>111</v>
      </c>
      <c r="C36" s="7" t="s">
        <v>116</v>
      </c>
      <c r="D36" s="7"/>
    </row>
    <row r="37" spans="1:4" s="8" customFormat="1">
      <c r="A37" s="6" t="s">
        <v>117</v>
      </c>
      <c r="B37" s="6" t="s">
        <v>414</v>
      </c>
      <c r="C37" s="7" t="s">
        <v>414</v>
      </c>
      <c r="D37" s="7"/>
    </row>
    <row r="38" spans="1:4" s="8" customFormat="1">
      <c r="A38" s="6" t="s">
        <v>207</v>
      </c>
      <c r="B38" s="6" t="s">
        <v>111</v>
      </c>
      <c r="C38" s="7" t="s">
        <v>208</v>
      </c>
      <c r="D38" s="7"/>
    </row>
    <row r="39" spans="1:4" s="8" customFormat="1">
      <c r="A39" s="6" t="s">
        <v>126</v>
      </c>
      <c r="B39" s="6" t="s">
        <v>414</v>
      </c>
      <c r="C39" s="7" t="s">
        <v>127</v>
      </c>
      <c r="D39" s="7"/>
    </row>
    <row r="40" spans="1:4" s="8" customFormat="1">
      <c r="A40" s="12" t="s">
        <v>126</v>
      </c>
      <c r="B40" s="6" t="s">
        <v>414</v>
      </c>
      <c r="C40" s="7" t="s">
        <v>428</v>
      </c>
      <c r="D40" s="7"/>
    </row>
    <row r="41" spans="1:4" s="8" customFormat="1">
      <c r="A41" s="6" t="s">
        <v>209</v>
      </c>
      <c r="B41" s="6" t="s">
        <v>111</v>
      </c>
      <c r="C41" s="7" t="s">
        <v>210</v>
      </c>
      <c r="D41" s="7"/>
    </row>
    <row r="42" spans="1:4" s="8" customFormat="1">
      <c r="A42" s="6" t="s">
        <v>211</v>
      </c>
      <c r="B42" s="6" t="s">
        <v>111</v>
      </c>
      <c r="C42" s="8" t="s">
        <v>212</v>
      </c>
      <c r="D42" s="7"/>
    </row>
    <row r="43" spans="1:4" s="8" customFormat="1">
      <c r="A43" s="6" t="s">
        <v>213</v>
      </c>
      <c r="B43" s="6" t="s">
        <v>111</v>
      </c>
      <c r="C43" s="7" t="s">
        <v>203</v>
      </c>
      <c r="D43" s="7"/>
    </row>
    <row r="44" spans="1:4" s="8" customFormat="1">
      <c r="A44" s="6" t="s">
        <v>214</v>
      </c>
      <c r="B44" s="6" t="s">
        <v>111</v>
      </c>
      <c r="C44" s="7" t="s">
        <v>203</v>
      </c>
      <c r="D44" s="7"/>
    </row>
    <row r="45" spans="1:4" s="8" customFormat="1">
      <c r="A45" s="6" t="s">
        <v>215</v>
      </c>
      <c r="B45" s="6" t="s">
        <v>111</v>
      </c>
      <c r="C45" s="7" t="s">
        <v>203</v>
      </c>
      <c r="D45" s="7"/>
    </row>
    <row r="46" spans="1:4" s="8" customFormat="1">
      <c r="A46" s="6" t="s">
        <v>216</v>
      </c>
      <c r="B46" s="6" t="s">
        <v>111</v>
      </c>
      <c r="C46" s="7" t="s">
        <v>217</v>
      </c>
      <c r="D46" s="7"/>
    </row>
    <row r="47" spans="1:4" s="8" customFormat="1">
      <c r="A47" s="6" t="s">
        <v>218</v>
      </c>
      <c r="B47" s="6" t="s">
        <v>111</v>
      </c>
      <c r="C47" s="7" t="s">
        <v>219</v>
      </c>
      <c r="D47" s="7"/>
    </row>
    <row r="48" spans="1:4" s="8" customFormat="1">
      <c r="A48" s="6" t="s">
        <v>121</v>
      </c>
      <c r="B48" s="6" t="s">
        <v>142</v>
      </c>
      <c r="C48" s="7" t="s">
        <v>143</v>
      </c>
      <c r="D48" s="7"/>
    </row>
    <row r="49" spans="1:4" s="8" customFormat="1">
      <c r="A49" s="6" t="s">
        <v>220</v>
      </c>
      <c r="B49" s="6" t="s">
        <v>111</v>
      </c>
      <c r="C49" s="7" t="s">
        <v>221</v>
      </c>
      <c r="D49" s="7"/>
    </row>
    <row r="50" spans="1:4" s="8" customFormat="1">
      <c r="A50" s="6" t="s">
        <v>222</v>
      </c>
      <c r="B50" s="6" t="s">
        <v>111</v>
      </c>
      <c r="C50" s="7" t="s">
        <v>223</v>
      </c>
      <c r="D50" s="7"/>
    </row>
    <row r="51" spans="1:4" s="8" customFormat="1">
      <c r="A51" s="6" t="s">
        <v>224</v>
      </c>
      <c r="B51" s="6" t="s">
        <v>111</v>
      </c>
      <c r="C51" s="7" t="s">
        <v>225</v>
      </c>
      <c r="D51" s="7"/>
    </row>
    <row r="52" spans="1:4" s="8" customFormat="1">
      <c r="A52" s="6" t="s">
        <v>130</v>
      </c>
      <c r="B52" s="6" t="s">
        <v>414</v>
      </c>
      <c r="C52" s="7" t="s">
        <v>127</v>
      </c>
      <c r="D52" s="7"/>
    </row>
    <row r="53" spans="1:4" s="8" customFormat="1">
      <c r="A53" s="6" t="s">
        <v>123</v>
      </c>
      <c r="B53" s="7" t="s">
        <v>142</v>
      </c>
      <c r="C53" s="7" t="s">
        <v>226</v>
      </c>
      <c r="D53" s="7" t="s">
        <v>227</v>
      </c>
    </row>
    <row r="54" spans="1:4" s="8" customFormat="1">
      <c r="A54" s="6" t="s">
        <v>228</v>
      </c>
      <c r="B54" s="6" t="s">
        <v>111</v>
      </c>
      <c r="C54" s="7" t="s">
        <v>229</v>
      </c>
      <c r="D54" s="7"/>
    </row>
    <row r="55" spans="1:4" s="8" customFormat="1">
      <c r="A55" s="6" t="s">
        <v>230</v>
      </c>
      <c r="B55" s="6" t="s">
        <v>111</v>
      </c>
      <c r="C55" s="7" t="s">
        <v>231</v>
      </c>
      <c r="D55" s="7"/>
    </row>
    <row r="56" spans="1:4" s="8" customFormat="1">
      <c r="A56" s="6" t="s">
        <v>232</v>
      </c>
      <c r="B56" s="6" t="s">
        <v>111</v>
      </c>
      <c r="C56" s="7" t="s">
        <v>233</v>
      </c>
      <c r="D56" s="7"/>
    </row>
    <row r="57" spans="1:4">
      <c r="A57" s="6" t="s">
        <v>234</v>
      </c>
      <c r="B57" s="6" t="s">
        <v>111</v>
      </c>
      <c r="C57" s="7" t="s">
        <v>175</v>
      </c>
    </row>
    <row r="58" spans="1:4">
      <c r="A58" s="6" t="s">
        <v>235</v>
      </c>
      <c r="B58" s="6" t="s">
        <v>111</v>
      </c>
      <c r="C58" s="7" t="s">
        <v>223</v>
      </c>
    </row>
    <row r="59" spans="1:4">
      <c r="A59" s="6" t="s">
        <v>144</v>
      </c>
      <c r="B59" s="6" t="s">
        <v>142</v>
      </c>
      <c r="C59" s="7" t="s">
        <v>145</v>
      </c>
    </row>
    <row r="60" spans="1:4">
      <c r="A60" s="6" t="s">
        <v>125</v>
      </c>
      <c r="B60" s="6" t="s">
        <v>111</v>
      </c>
      <c r="C60" s="7" t="s">
        <v>236</v>
      </c>
    </row>
    <row r="61" spans="1:4">
      <c r="A61" s="6" t="s">
        <v>237</v>
      </c>
      <c r="B61" s="6" t="s">
        <v>111</v>
      </c>
      <c r="C61" s="7" t="s">
        <v>238</v>
      </c>
      <c r="D61" s="8"/>
    </row>
    <row r="62" spans="1:4">
      <c r="A62" s="6" t="s">
        <v>146</v>
      </c>
      <c r="B62" s="6" t="s">
        <v>142</v>
      </c>
      <c r="C62" s="7" t="s">
        <v>147</v>
      </c>
    </row>
    <row r="63" spans="1:4">
      <c r="A63" s="6" t="s">
        <v>148</v>
      </c>
      <c r="B63" s="6" t="s">
        <v>111</v>
      </c>
      <c r="C63" s="7" t="s">
        <v>149</v>
      </c>
    </row>
    <row r="64" spans="1:4">
      <c r="A64" s="6" t="s">
        <v>239</v>
      </c>
      <c r="B64" s="6" t="s">
        <v>111</v>
      </c>
      <c r="C64" s="7" t="s">
        <v>240</v>
      </c>
    </row>
    <row r="65" spans="1:4">
      <c r="A65" s="6" t="s">
        <v>241</v>
      </c>
      <c r="B65" s="6" t="s">
        <v>111</v>
      </c>
      <c r="C65" s="7" t="s">
        <v>242</v>
      </c>
    </row>
    <row r="66" spans="1:4">
      <c r="A66" s="6" t="s">
        <v>243</v>
      </c>
      <c r="B66" s="6" t="s">
        <v>111</v>
      </c>
      <c r="C66" s="7" t="s">
        <v>170</v>
      </c>
    </row>
    <row r="67" spans="1:4">
      <c r="A67" s="6" t="s">
        <v>244</v>
      </c>
      <c r="B67" s="6" t="s">
        <v>111</v>
      </c>
      <c r="C67" s="7" t="s">
        <v>245</v>
      </c>
    </row>
    <row r="68" spans="1:4">
      <c r="A68" s="6" t="s">
        <v>246</v>
      </c>
      <c r="B68" s="6" t="s">
        <v>111</v>
      </c>
      <c r="C68" s="7" t="s">
        <v>208</v>
      </c>
    </row>
    <row r="69" spans="1:4">
      <c r="A69" s="6" t="s">
        <v>132</v>
      </c>
      <c r="B69" s="6" t="s">
        <v>414</v>
      </c>
      <c r="C69" s="7" t="s">
        <v>133</v>
      </c>
    </row>
    <row r="70" spans="1:4">
      <c r="A70" s="6" t="s">
        <v>247</v>
      </c>
      <c r="B70" s="6" t="s">
        <v>111</v>
      </c>
      <c r="C70" s="7" t="s">
        <v>248</v>
      </c>
    </row>
    <row r="71" spans="1:4">
      <c r="A71" s="6" t="s">
        <v>249</v>
      </c>
      <c r="B71" s="6" t="s">
        <v>111</v>
      </c>
      <c r="C71" s="7" t="s">
        <v>250</v>
      </c>
      <c r="D71" s="7" t="s">
        <v>251</v>
      </c>
    </row>
    <row r="72" spans="1:4">
      <c r="A72" s="6" t="s">
        <v>252</v>
      </c>
      <c r="B72" s="6" t="s">
        <v>111</v>
      </c>
      <c r="C72" s="7" t="s">
        <v>167</v>
      </c>
    </row>
    <row r="73" spans="1:4">
      <c r="A73" s="6" t="s">
        <v>129</v>
      </c>
      <c r="B73" s="6" t="s">
        <v>142</v>
      </c>
      <c r="C73" s="7" t="s">
        <v>413</v>
      </c>
    </row>
    <row r="74" spans="1:4">
      <c r="A74" s="6" t="s">
        <v>253</v>
      </c>
      <c r="B74" s="6" t="s">
        <v>111</v>
      </c>
      <c r="C74" s="7" t="s">
        <v>254</v>
      </c>
    </row>
    <row r="75" spans="1:4">
      <c r="A75" s="6" t="s">
        <v>134</v>
      </c>
      <c r="B75" s="6" t="s">
        <v>414</v>
      </c>
      <c r="C75" s="7" t="s">
        <v>127</v>
      </c>
    </row>
    <row r="76" spans="1:4">
      <c r="A76" s="12" t="s">
        <v>429</v>
      </c>
      <c r="B76" s="6" t="s">
        <v>414</v>
      </c>
      <c r="C76" s="7" t="s">
        <v>430</v>
      </c>
    </row>
    <row r="77" spans="1:4">
      <c r="A77" s="6" t="s">
        <v>255</v>
      </c>
      <c r="B77" s="6" t="s">
        <v>111</v>
      </c>
      <c r="C77" s="7" t="s">
        <v>256</v>
      </c>
    </row>
    <row r="78" spans="1:4">
      <c r="A78" s="6" t="s">
        <v>169</v>
      </c>
      <c r="B78" s="6" t="s">
        <v>111</v>
      </c>
      <c r="C78" s="7" t="s">
        <v>170</v>
      </c>
    </row>
    <row r="79" spans="1:4">
      <c r="A79" s="6" t="s">
        <v>137</v>
      </c>
      <c r="B79" s="6" t="s">
        <v>414</v>
      </c>
      <c r="C79" s="7" t="s">
        <v>127</v>
      </c>
    </row>
    <row r="80" spans="1:4">
      <c r="A80" s="6" t="s">
        <v>257</v>
      </c>
      <c r="B80" s="6" t="s">
        <v>111</v>
      </c>
      <c r="C80" s="7" t="s">
        <v>258</v>
      </c>
    </row>
    <row r="81" spans="1:4">
      <c r="A81" s="6" t="s">
        <v>139</v>
      </c>
      <c r="B81" s="6" t="s">
        <v>111</v>
      </c>
      <c r="C81" s="7" t="s">
        <v>140</v>
      </c>
    </row>
    <row r="82" spans="1:4">
      <c r="A82" s="6" t="s">
        <v>259</v>
      </c>
      <c r="B82" s="6" t="s">
        <v>111</v>
      </c>
      <c r="C82" s="7" t="s">
        <v>260</v>
      </c>
    </row>
    <row r="83" spans="1:4">
      <c r="A83" s="12" t="s">
        <v>431</v>
      </c>
      <c r="B83" s="6" t="s">
        <v>414</v>
      </c>
      <c r="C83" s="7" t="s">
        <v>432</v>
      </c>
    </row>
    <row r="84" spans="1:4">
      <c r="A84" s="6" t="s">
        <v>261</v>
      </c>
      <c r="B84" s="6" t="s">
        <v>111</v>
      </c>
      <c r="C84" s="7" t="s">
        <v>262</v>
      </c>
    </row>
    <row r="85" spans="1:4">
      <c r="A85" s="6" t="s">
        <v>263</v>
      </c>
      <c r="B85" s="6" t="s">
        <v>111</v>
      </c>
      <c r="C85" s="7" t="s">
        <v>262</v>
      </c>
    </row>
    <row r="86" spans="1:4">
      <c r="A86" s="6" t="s">
        <v>264</v>
      </c>
      <c r="B86" s="6" t="s">
        <v>111</v>
      </c>
      <c r="C86" s="7" t="s">
        <v>265</v>
      </c>
    </row>
    <row r="87" spans="1:4">
      <c r="A87" s="6" t="s">
        <v>266</v>
      </c>
      <c r="B87" s="6" t="s">
        <v>111</v>
      </c>
      <c r="C87" s="7" t="s">
        <v>265</v>
      </c>
    </row>
    <row r="88" spans="1:4">
      <c r="A88" s="6" t="s">
        <v>267</v>
      </c>
      <c r="B88" s="6" t="s">
        <v>111</v>
      </c>
      <c r="C88" s="7" t="s">
        <v>192</v>
      </c>
    </row>
    <row r="89" spans="1:4">
      <c r="A89" s="6" t="s">
        <v>267</v>
      </c>
      <c r="B89" s="6" t="s">
        <v>111</v>
      </c>
      <c r="C89" s="7" t="s">
        <v>240</v>
      </c>
    </row>
    <row r="90" spans="1:4">
      <c r="A90" s="6" t="s">
        <v>131</v>
      </c>
      <c r="B90" s="6" t="s">
        <v>142</v>
      </c>
      <c r="C90" s="7" t="s">
        <v>415</v>
      </c>
    </row>
    <row r="91" spans="1:4">
      <c r="A91" s="6" t="s">
        <v>268</v>
      </c>
      <c r="B91" s="6" t="s">
        <v>111</v>
      </c>
      <c r="C91" s="7" t="s">
        <v>203</v>
      </c>
    </row>
    <row r="92" spans="1:4">
      <c r="A92" s="6" t="s">
        <v>171</v>
      </c>
      <c r="B92" s="6" t="s">
        <v>111</v>
      </c>
      <c r="C92" s="7" t="s">
        <v>172</v>
      </c>
    </row>
    <row r="93" spans="1:4">
      <c r="A93" s="6" t="s">
        <v>269</v>
      </c>
      <c r="B93" s="6" t="s">
        <v>111</v>
      </c>
      <c r="C93" s="7" t="s">
        <v>270</v>
      </c>
    </row>
    <row r="94" spans="1:4">
      <c r="A94" s="6" t="s">
        <v>271</v>
      </c>
      <c r="B94" s="6" t="s">
        <v>111</v>
      </c>
      <c r="C94" s="7" t="s">
        <v>270</v>
      </c>
    </row>
    <row r="95" spans="1:4">
      <c r="A95" s="6" t="s">
        <v>272</v>
      </c>
      <c r="B95" s="6" t="s">
        <v>111</v>
      </c>
      <c r="C95" s="7" t="s">
        <v>273</v>
      </c>
    </row>
    <row r="96" spans="1:4">
      <c r="A96" s="6" t="s">
        <v>272</v>
      </c>
      <c r="B96" s="6" t="s">
        <v>111</v>
      </c>
      <c r="C96" s="7" t="s">
        <v>274</v>
      </c>
      <c r="D96" s="8" t="s">
        <v>275</v>
      </c>
    </row>
    <row r="97" spans="1:4">
      <c r="A97" s="6" t="s">
        <v>276</v>
      </c>
      <c r="B97" s="6" t="s">
        <v>111</v>
      </c>
      <c r="C97" s="7" t="s">
        <v>270</v>
      </c>
    </row>
    <row r="98" spans="1:4">
      <c r="A98" s="6" t="s">
        <v>277</v>
      </c>
      <c r="B98" s="6" t="s">
        <v>111</v>
      </c>
      <c r="C98" s="7" t="s">
        <v>278</v>
      </c>
    </row>
    <row r="99" spans="1:4">
      <c r="A99" s="6" t="s">
        <v>279</v>
      </c>
      <c r="B99" s="6" t="s">
        <v>111</v>
      </c>
      <c r="C99" s="7" t="s">
        <v>278</v>
      </c>
    </row>
    <row r="100" spans="1:4">
      <c r="A100" s="6" t="s">
        <v>280</v>
      </c>
      <c r="B100" s="6" t="s">
        <v>111</v>
      </c>
      <c r="C100" s="7" t="s">
        <v>281</v>
      </c>
    </row>
    <row r="101" spans="1:4">
      <c r="A101" s="6" t="s">
        <v>136</v>
      </c>
      <c r="B101" s="6" t="s">
        <v>111</v>
      </c>
      <c r="C101" s="7" t="s">
        <v>416</v>
      </c>
    </row>
    <row r="102" spans="1:4">
      <c r="A102" s="6" t="s">
        <v>282</v>
      </c>
      <c r="B102" s="6" t="s">
        <v>111</v>
      </c>
      <c r="C102" s="7" t="s">
        <v>283</v>
      </c>
      <c r="D102" s="7" t="s">
        <v>284</v>
      </c>
    </row>
    <row r="103" spans="1:4">
      <c r="A103" s="6" t="s">
        <v>285</v>
      </c>
      <c r="B103" s="6" t="s">
        <v>111</v>
      </c>
      <c r="C103" s="7" t="s">
        <v>286</v>
      </c>
    </row>
    <row r="104" spans="1:4">
      <c r="A104" s="6" t="s">
        <v>287</v>
      </c>
      <c r="B104" s="6" t="s">
        <v>111</v>
      </c>
      <c r="C104" s="7" t="s">
        <v>286</v>
      </c>
    </row>
    <row r="105" spans="1:4">
      <c r="A105" s="10" t="s">
        <v>138</v>
      </c>
      <c r="B105" s="6" t="s">
        <v>111</v>
      </c>
      <c r="C105" s="7" t="s">
        <v>288</v>
      </c>
    </row>
    <row r="106" spans="1:4">
      <c r="A106" s="11" t="s">
        <v>289</v>
      </c>
      <c r="B106" s="6" t="s">
        <v>111</v>
      </c>
      <c r="C106" s="8" t="s">
        <v>290</v>
      </c>
    </row>
    <row r="107" spans="1:4">
      <c r="A107" s="6" t="s">
        <v>291</v>
      </c>
      <c r="B107" s="6" t="s">
        <v>111</v>
      </c>
      <c r="C107" s="7" t="s">
        <v>292</v>
      </c>
    </row>
    <row r="108" spans="1:4">
      <c r="A108" s="6" t="s">
        <v>293</v>
      </c>
      <c r="B108" s="6" t="s">
        <v>111</v>
      </c>
      <c r="C108" s="7" t="s">
        <v>292</v>
      </c>
    </row>
    <row r="109" spans="1:4">
      <c r="A109" s="6" t="s">
        <v>294</v>
      </c>
      <c r="B109" s="6" t="s">
        <v>111</v>
      </c>
      <c r="C109" s="7" t="s">
        <v>295</v>
      </c>
    </row>
    <row r="110" spans="1:4">
      <c r="A110" s="6" t="s">
        <v>296</v>
      </c>
      <c r="B110" s="6" t="s">
        <v>111</v>
      </c>
      <c r="C110" s="7" t="s">
        <v>297</v>
      </c>
    </row>
    <row r="111" spans="1:4">
      <c r="A111" s="6" t="s">
        <v>298</v>
      </c>
      <c r="B111" s="6" t="s">
        <v>111</v>
      </c>
      <c r="C111" s="7" t="s">
        <v>177</v>
      </c>
    </row>
    <row r="112" spans="1:4">
      <c r="A112" s="6" t="s">
        <v>299</v>
      </c>
      <c r="B112" s="6" t="s">
        <v>111</v>
      </c>
      <c r="C112" s="7" t="s">
        <v>281</v>
      </c>
    </row>
    <row r="113" spans="1:4">
      <c r="A113" s="6" t="s">
        <v>300</v>
      </c>
      <c r="B113" s="6" t="s">
        <v>111</v>
      </c>
      <c r="C113" s="7" t="s">
        <v>301</v>
      </c>
    </row>
    <row r="114" spans="1:4">
      <c r="A114" s="6" t="s">
        <v>302</v>
      </c>
      <c r="B114" s="6" t="s">
        <v>111</v>
      </c>
      <c r="C114" s="7" t="s">
        <v>303</v>
      </c>
    </row>
    <row r="115" spans="1:4">
      <c r="A115" s="12" t="s">
        <v>425</v>
      </c>
      <c r="B115" s="6" t="s">
        <v>414</v>
      </c>
      <c r="C115" s="7" t="s">
        <v>423</v>
      </c>
      <c r="D115" s="7" t="s">
        <v>424</v>
      </c>
    </row>
    <row r="116" spans="1:4">
      <c r="A116" s="6" t="s">
        <v>304</v>
      </c>
      <c r="B116" s="6" t="s">
        <v>111</v>
      </c>
      <c r="C116" s="7" t="s">
        <v>305</v>
      </c>
    </row>
    <row r="117" spans="1:4">
      <c r="A117" s="6" t="s">
        <v>306</v>
      </c>
      <c r="B117" s="6" t="s">
        <v>111</v>
      </c>
      <c r="C117" s="7" t="s">
        <v>305</v>
      </c>
    </row>
    <row r="118" spans="1:4">
      <c r="A118" s="6" t="s">
        <v>307</v>
      </c>
      <c r="B118" s="6" t="s">
        <v>111</v>
      </c>
      <c r="C118" s="7" t="s">
        <v>305</v>
      </c>
    </row>
    <row r="119" spans="1:4">
      <c r="A119" s="6" t="s">
        <v>308</v>
      </c>
      <c r="B119" s="6" t="s">
        <v>111</v>
      </c>
      <c r="C119" s="7" t="s">
        <v>309</v>
      </c>
    </row>
    <row r="120" spans="1:4">
      <c r="A120" s="6" t="s">
        <v>156</v>
      </c>
      <c r="B120" s="6" t="s">
        <v>111</v>
      </c>
      <c r="C120" s="7" t="s">
        <v>157</v>
      </c>
      <c r="D120" s="7" t="s">
        <v>158</v>
      </c>
    </row>
    <row r="121" spans="1:4">
      <c r="A121" s="6" t="s">
        <v>310</v>
      </c>
      <c r="B121" s="6" t="s">
        <v>111</v>
      </c>
      <c r="C121" s="7" t="s">
        <v>311</v>
      </c>
    </row>
    <row r="122" spans="1:4">
      <c r="A122" s="6" t="s">
        <v>312</v>
      </c>
      <c r="B122" s="6" t="s">
        <v>111</v>
      </c>
      <c r="C122" s="7" t="s">
        <v>190</v>
      </c>
    </row>
    <row r="123" spans="1:4">
      <c r="A123" s="6" t="s">
        <v>313</v>
      </c>
      <c r="B123" s="6" t="s">
        <v>111</v>
      </c>
      <c r="C123" s="7" t="s">
        <v>309</v>
      </c>
    </row>
    <row r="124" spans="1:4">
      <c r="A124" s="6" t="s">
        <v>314</v>
      </c>
      <c r="B124" s="6" t="s">
        <v>111</v>
      </c>
      <c r="C124" s="7" t="s">
        <v>309</v>
      </c>
    </row>
    <row r="125" spans="1:4">
      <c r="A125" s="6" t="s">
        <v>315</v>
      </c>
      <c r="B125" s="6" t="s">
        <v>111</v>
      </c>
      <c r="C125" s="7" t="s">
        <v>309</v>
      </c>
    </row>
    <row r="126" spans="1:4">
      <c r="A126" s="6" t="s">
        <v>316</v>
      </c>
      <c r="B126" s="6" t="s">
        <v>111</v>
      </c>
      <c r="C126" s="7" t="s">
        <v>317</v>
      </c>
    </row>
    <row r="127" spans="1:4">
      <c r="A127" s="9" t="s">
        <v>141</v>
      </c>
      <c r="B127" s="6" t="s">
        <v>111</v>
      </c>
      <c r="C127" s="8" t="s">
        <v>150</v>
      </c>
    </row>
    <row r="128" spans="1:4">
      <c r="A128" s="6" t="s">
        <v>318</v>
      </c>
      <c r="B128" s="6" t="s">
        <v>111</v>
      </c>
      <c r="C128" s="7" t="s">
        <v>319</v>
      </c>
    </row>
    <row r="129" spans="1:3">
      <c r="A129" s="6" t="s">
        <v>320</v>
      </c>
      <c r="B129" s="6" t="s">
        <v>111</v>
      </c>
      <c r="C129" s="7" t="s">
        <v>321</v>
      </c>
    </row>
    <row r="130" spans="1:3">
      <c r="A130" s="6" t="s">
        <v>322</v>
      </c>
      <c r="B130" s="6" t="s">
        <v>111</v>
      </c>
      <c r="C130" s="7" t="s">
        <v>321</v>
      </c>
    </row>
    <row r="131" spans="1:3">
      <c r="A131" s="6" t="s">
        <v>323</v>
      </c>
      <c r="B131" s="6" t="s">
        <v>111</v>
      </c>
      <c r="C131" s="7" t="s">
        <v>321</v>
      </c>
    </row>
    <row r="132" spans="1:3">
      <c r="A132" s="6" t="s">
        <v>324</v>
      </c>
      <c r="B132" s="6" t="s">
        <v>111</v>
      </c>
      <c r="C132" s="7" t="s">
        <v>325</v>
      </c>
    </row>
    <row r="133" spans="1:3">
      <c r="A133" s="6" t="s">
        <v>326</v>
      </c>
      <c r="B133" s="6" t="s">
        <v>111</v>
      </c>
      <c r="C133" s="7" t="s">
        <v>325</v>
      </c>
    </row>
    <row r="134" spans="1:3">
      <c r="A134" s="6" t="s">
        <v>327</v>
      </c>
      <c r="B134" s="6" t="s">
        <v>111</v>
      </c>
      <c r="C134" s="7" t="s">
        <v>325</v>
      </c>
    </row>
    <row r="135" spans="1:3">
      <c r="A135" s="6" t="s">
        <v>328</v>
      </c>
      <c r="B135" s="6" t="s">
        <v>111</v>
      </c>
      <c r="C135" s="7" t="s">
        <v>329</v>
      </c>
    </row>
    <row r="136" spans="1:3">
      <c r="A136" s="6" t="s">
        <v>330</v>
      </c>
      <c r="B136" s="6" t="s">
        <v>111</v>
      </c>
      <c r="C136" s="7" t="s">
        <v>331</v>
      </c>
    </row>
    <row r="137" spans="1:3">
      <c r="A137" s="12" t="s">
        <v>433</v>
      </c>
      <c r="B137" s="6" t="s">
        <v>414</v>
      </c>
      <c r="C137" s="7" t="s">
        <v>434</v>
      </c>
    </row>
    <row r="138" spans="1:3">
      <c r="A138" s="6" t="s">
        <v>332</v>
      </c>
      <c r="B138" s="6" t="s">
        <v>111</v>
      </c>
      <c r="C138" s="7" t="s">
        <v>333</v>
      </c>
    </row>
    <row r="139" spans="1:3">
      <c r="A139" s="6" t="s">
        <v>334</v>
      </c>
      <c r="B139" s="6" t="s">
        <v>111</v>
      </c>
      <c r="C139" s="7" t="s">
        <v>335</v>
      </c>
    </row>
    <row r="140" spans="1:3">
      <c r="A140" s="6" t="s">
        <v>336</v>
      </c>
      <c r="B140" s="6" t="s">
        <v>111</v>
      </c>
      <c r="C140" s="7" t="s">
        <v>337</v>
      </c>
    </row>
    <row r="141" spans="1:3">
      <c r="A141" s="6" t="s">
        <v>338</v>
      </c>
      <c r="B141" s="6" t="s">
        <v>111</v>
      </c>
      <c r="C141" s="7" t="s">
        <v>339</v>
      </c>
    </row>
    <row r="142" spans="1:3">
      <c r="A142" s="6" t="s">
        <v>340</v>
      </c>
      <c r="B142" s="6" t="s">
        <v>111</v>
      </c>
      <c r="C142" s="7" t="s">
        <v>341</v>
      </c>
    </row>
    <row r="143" spans="1:3">
      <c r="A143" s="6" t="s">
        <v>342</v>
      </c>
      <c r="B143" s="6" t="s">
        <v>111</v>
      </c>
      <c r="C143" s="7" t="s">
        <v>343</v>
      </c>
    </row>
    <row r="144" spans="1:3">
      <c r="A144" s="6" t="s">
        <v>344</v>
      </c>
      <c r="B144" s="6" t="s">
        <v>111</v>
      </c>
      <c r="C144" s="7" t="s">
        <v>162</v>
      </c>
    </row>
    <row r="145" spans="1:4">
      <c r="A145" s="6" t="s">
        <v>345</v>
      </c>
      <c r="B145" s="6" t="s">
        <v>111</v>
      </c>
      <c r="C145" s="7" t="s">
        <v>346</v>
      </c>
    </row>
    <row r="146" spans="1:4">
      <c r="A146" s="6" t="s">
        <v>347</v>
      </c>
      <c r="B146" s="6" t="s">
        <v>111</v>
      </c>
      <c r="C146" s="7" t="s">
        <v>348</v>
      </c>
    </row>
    <row r="147" spans="1:4">
      <c r="A147" s="6" t="s">
        <v>349</v>
      </c>
      <c r="B147" s="6" t="s">
        <v>111</v>
      </c>
      <c r="C147" s="7" t="s">
        <v>346</v>
      </c>
    </row>
    <row r="148" spans="1:4">
      <c r="A148" s="6" t="s">
        <v>350</v>
      </c>
      <c r="B148" s="6" t="s">
        <v>111</v>
      </c>
      <c r="C148" s="7" t="s">
        <v>346</v>
      </c>
    </row>
    <row r="149" spans="1:4">
      <c r="A149" s="6" t="s">
        <v>351</v>
      </c>
      <c r="B149" s="6" t="s">
        <v>111</v>
      </c>
      <c r="C149" s="7" t="s">
        <v>352</v>
      </c>
    </row>
    <row r="150" spans="1:4">
      <c r="A150" s="6" t="s">
        <v>353</v>
      </c>
      <c r="B150" s="6" t="s">
        <v>111</v>
      </c>
      <c r="C150" s="7" t="s">
        <v>177</v>
      </c>
    </row>
    <row r="151" spans="1:4">
      <c r="A151" s="6" t="s">
        <v>354</v>
      </c>
      <c r="B151" s="6" t="s">
        <v>111</v>
      </c>
      <c r="C151" s="7" t="s">
        <v>151</v>
      </c>
    </row>
    <row r="152" spans="1:4">
      <c r="A152" s="6" t="s">
        <v>355</v>
      </c>
      <c r="B152" s="6" t="s">
        <v>111</v>
      </c>
      <c r="C152" s="7" t="s">
        <v>356</v>
      </c>
    </row>
    <row r="153" spans="1:4">
      <c r="A153" s="6" t="s">
        <v>118</v>
      </c>
      <c r="B153" s="6" t="s">
        <v>111</v>
      </c>
      <c r="C153" s="7" t="s">
        <v>119</v>
      </c>
    </row>
    <row r="154" spans="1:4">
      <c r="A154" s="6" t="s">
        <v>357</v>
      </c>
      <c r="B154" s="6" t="s">
        <v>111</v>
      </c>
      <c r="C154" s="7" t="s">
        <v>153</v>
      </c>
    </row>
    <row r="155" spans="1:4">
      <c r="A155" s="6" t="s">
        <v>358</v>
      </c>
      <c r="B155" s="6" t="s">
        <v>111</v>
      </c>
      <c r="C155" s="7" t="s">
        <v>359</v>
      </c>
      <c r="D155" s="7" t="s">
        <v>360</v>
      </c>
    </row>
    <row r="156" spans="1:4">
      <c r="A156" s="6" t="s">
        <v>361</v>
      </c>
      <c r="B156" s="6" t="s">
        <v>111</v>
      </c>
      <c r="C156" s="7" t="s">
        <v>362</v>
      </c>
    </row>
    <row r="157" spans="1:4">
      <c r="A157" s="6" t="s">
        <v>363</v>
      </c>
      <c r="B157" s="6" t="s">
        <v>111</v>
      </c>
      <c r="C157" s="7" t="s">
        <v>242</v>
      </c>
    </row>
    <row r="158" spans="1:4">
      <c r="A158" s="12" t="s">
        <v>450</v>
      </c>
      <c r="B158" s="12" t="s">
        <v>111</v>
      </c>
      <c r="C158" s="7" t="s">
        <v>158</v>
      </c>
    </row>
    <row r="159" spans="1:4">
      <c r="A159" s="6" t="s">
        <v>113</v>
      </c>
      <c r="B159" s="6" t="s">
        <v>111</v>
      </c>
      <c r="C159" s="7" t="s">
        <v>114</v>
      </c>
    </row>
    <row r="160" spans="1:4">
      <c r="A160" s="6" t="s">
        <v>524</v>
      </c>
      <c r="B160" s="6" t="s">
        <v>111</v>
      </c>
      <c r="C160" s="7" t="s">
        <v>111</v>
      </c>
    </row>
    <row r="161" spans="1:4">
      <c r="A161" s="6" t="s">
        <v>518</v>
      </c>
      <c r="B161" s="6" t="s">
        <v>142</v>
      </c>
      <c r="C161" s="7" t="s">
        <v>408</v>
      </c>
    </row>
    <row r="162" spans="1:4">
      <c r="A162" s="12" t="s">
        <v>518</v>
      </c>
      <c r="B162" s="12" t="s">
        <v>142</v>
      </c>
      <c r="C162" s="12" t="s">
        <v>142</v>
      </c>
    </row>
    <row r="163" spans="1:4">
      <c r="A163" s="12" t="s">
        <v>522</v>
      </c>
      <c r="B163" s="12" t="s">
        <v>142</v>
      </c>
      <c r="C163" s="7" t="s">
        <v>473</v>
      </c>
    </row>
    <row r="164" spans="1:4">
      <c r="A164" s="12" t="s">
        <v>523</v>
      </c>
      <c r="B164" s="12" t="s">
        <v>111</v>
      </c>
      <c r="C164" s="7" t="s">
        <v>406</v>
      </c>
    </row>
    <row r="165" spans="1:4">
      <c r="A165" s="6" t="s">
        <v>525</v>
      </c>
      <c r="B165" s="6" t="s">
        <v>142</v>
      </c>
      <c r="C165" s="7" t="s">
        <v>409</v>
      </c>
    </row>
    <row r="166" spans="1:4">
      <c r="A166" s="12" t="s">
        <v>521</v>
      </c>
      <c r="B166" s="12" t="s">
        <v>111</v>
      </c>
      <c r="C166" s="7" t="s">
        <v>472</v>
      </c>
    </row>
    <row r="167" spans="1:4">
      <c r="A167" s="12" t="s">
        <v>526</v>
      </c>
      <c r="B167" s="12" t="s">
        <v>142</v>
      </c>
      <c r="C167" s="7" t="s">
        <v>460</v>
      </c>
    </row>
    <row r="168" spans="1:4">
      <c r="A168" s="12" t="s">
        <v>527</v>
      </c>
      <c r="B168" s="12" t="s">
        <v>111</v>
      </c>
      <c r="C168" s="7" t="s">
        <v>495</v>
      </c>
      <c r="D168" s="7" t="s">
        <v>496</v>
      </c>
    </row>
    <row r="169" spans="1:4">
      <c r="A169" s="6" t="s">
        <v>528</v>
      </c>
      <c r="B169" s="6" t="s">
        <v>111</v>
      </c>
      <c r="C169" s="7" t="s">
        <v>406</v>
      </c>
    </row>
    <row r="170" spans="1:4">
      <c r="A170" s="6" t="s">
        <v>529</v>
      </c>
      <c r="B170" s="6" t="s">
        <v>404</v>
      </c>
      <c r="C170" s="7" t="s">
        <v>405</v>
      </c>
    </row>
    <row r="171" spans="1:4">
      <c r="A171" s="6" t="s">
        <v>530</v>
      </c>
      <c r="B171" s="6" t="s">
        <v>111</v>
      </c>
      <c r="C171" s="7" t="s">
        <v>364</v>
      </c>
    </row>
    <row r="172" spans="1:4">
      <c r="A172" s="6" t="s">
        <v>531</v>
      </c>
      <c r="B172" s="6" t="s">
        <v>111</v>
      </c>
      <c r="C172" s="7" t="s">
        <v>335</v>
      </c>
    </row>
    <row r="173" spans="1:4">
      <c r="A173" s="6" t="s">
        <v>532</v>
      </c>
      <c r="B173" s="6" t="s">
        <v>414</v>
      </c>
      <c r="C173" s="7" t="s">
        <v>122</v>
      </c>
    </row>
    <row r="174" spans="1:4">
      <c r="A174" s="6" t="s">
        <v>533</v>
      </c>
      <c r="B174" s="6" t="s">
        <v>142</v>
      </c>
      <c r="C174" s="7" t="s">
        <v>411</v>
      </c>
    </row>
    <row r="175" spans="1:4">
      <c r="A175" s="6" t="s">
        <v>534</v>
      </c>
      <c r="B175" s="6" t="s">
        <v>111</v>
      </c>
      <c r="C175" s="7" t="s">
        <v>238</v>
      </c>
      <c r="D175" s="8"/>
    </row>
    <row r="176" spans="1:4">
      <c r="A176" s="6" t="s">
        <v>535</v>
      </c>
      <c r="B176" s="6" t="s">
        <v>111</v>
      </c>
      <c r="C176" s="7" t="s">
        <v>265</v>
      </c>
    </row>
    <row r="177" spans="1:3">
      <c r="A177" s="6" t="s">
        <v>536</v>
      </c>
      <c r="B177" s="6" t="s">
        <v>111</v>
      </c>
      <c r="C177" s="7" t="s">
        <v>365</v>
      </c>
    </row>
    <row r="178" spans="1:3">
      <c r="A178" s="6" t="s">
        <v>537</v>
      </c>
      <c r="B178" s="6" t="s">
        <v>111</v>
      </c>
      <c r="C178" s="7" t="s">
        <v>319</v>
      </c>
    </row>
    <row r="179" spans="1:3">
      <c r="A179" s="6" t="s">
        <v>538</v>
      </c>
      <c r="B179" s="6" t="s">
        <v>111</v>
      </c>
      <c r="C179" s="7" t="s">
        <v>231</v>
      </c>
    </row>
    <row r="180" spans="1:3">
      <c r="A180" s="6" t="s">
        <v>539</v>
      </c>
      <c r="B180" s="6" t="s">
        <v>111</v>
      </c>
      <c r="C180" s="7" t="s">
        <v>153</v>
      </c>
    </row>
    <row r="181" spans="1:3">
      <c r="A181" s="6" t="s">
        <v>539</v>
      </c>
      <c r="B181" s="6" t="s">
        <v>111</v>
      </c>
      <c r="C181" s="7" t="s">
        <v>153</v>
      </c>
    </row>
    <row r="182" spans="1:3">
      <c r="A182" s="6" t="s">
        <v>540</v>
      </c>
      <c r="B182" s="9" t="s">
        <v>403</v>
      </c>
      <c r="C182" s="8" t="s">
        <v>378</v>
      </c>
    </row>
    <row r="183" spans="1:3">
      <c r="A183" s="6" t="s">
        <v>541</v>
      </c>
      <c r="B183" s="6" t="s">
        <v>111</v>
      </c>
      <c r="C183" s="7" t="s">
        <v>281</v>
      </c>
    </row>
    <row r="184" spans="1:3">
      <c r="A184" s="6" t="s">
        <v>542</v>
      </c>
      <c r="B184" s="6" t="s">
        <v>142</v>
      </c>
      <c r="C184" s="7" t="s">
        <v>421</v>
      </c>
    </row>
    <row r="185" spans="1:3">
      <c r="A185" s="6" t="s">
        <v>543</v>
      </c>
      <c r="B185" s="6" t="s">
        <v>111</v>
      </c>
      <c r="C185" s="7" t="s">
        <v>366</v>
      </c>
    </row>
    <row r="186" spans="1:3">
      <c r="A186" s="6" t="s">
        <v>544</v>
      </c>
      <c r="B186" s="6" t="s">
        <v>111</v>
      </c>
      <c r="C186" s="7" t="s">
        <v>341</v>
      </c>
    </row>
    <row r="187" spans="1:3">
      <c r="A187" s="6" t="s">
        <v>545</v>
      </c>
      <c r="B187" s="6" t="s">
        <v>111</v>
      </c>
      <c r="C187" s="7" t="s">
        <v>153</v>
      </c>
    </row>
    <row r="188" spans="1:3">
      <c r="A188" s="6" t="s">
        <v>546</v>
      </c>
      <c r="B188" s="6" t="s">
        <v>111</v>
      </c>
      <c r="C188" s="7" t="s">
        <v>367</v>
      </c>
    </row>
    <row r="189" spans="1:3">
      <c r="A189" s="6" t="s">
        <v>547</v>
      </c>
      <c r="B189" s="9" t="s">
        <v>403</v>
      </c>
      <c r="C189" s="8" t="s">
        <v>378</v>
      </c>
    </row>
    <row r="190" spans="1:3">
      <c r="A190" s="6" t="s">
        <v>548</v>
      </c>
      <c r="B190" s="6" t="s">
        <v>111</v>
      </c>
      <c r="C190" s="7" t="s">
        <v>170</v>
      </c>
    </row>
    <row r="191" spans="1:3">
      <c r="A191" s="6" t="s">
        <v>549</v>
      </c>
      <c r="B191" s="6" t="s">
        <v>111</v>
      </c>
      <c r="C191" s="7" t="s">
        <v>236</v>
      </c>
    </row>
    <row r="192" spans="1:3">
      <c r="A192" s="6" t="s">
        <v>549</v>
      </c>
      <c r="B192" s="6" t="s">
        <v>111</v>
      </c>
      <c r="C192" s="7" t="s">
        <v>236</v>
      </c>
    </row>
    <row r="193" spans="1:4">
      <c r="A193" s="6" t="s">
        <v>550</v>
      </c>
      <c r="B193" s="6" t="s">
        <v>111</v>
      </c>
      <c r="C193" s="7" t="s">
        <v>368</v>
      </c>
    </row>
    <row r="194" spans="1:4">
      <c r="A194" s="6" t="s">
        <v>551</v>
      </c>
      <c r="B194" s="6" t="s">
        <v>111</v>
      </c>
      <c r="C194" s="7" t="s">
        <v>262</v>
      </c>
    </row>
    <row r="195" spans="1:4">
      <c r="A195" s="6" t="s">
        <v>552</v>
      </c>
      <c r="B195" s="6" t="s">
        <v>111</v>
      </c>
      <c r="C195" s="7" t="s">
        <v>154</v>
      </c>
      <c r="D195" s="7" t="s">
        <v>155</v>
      </c>
    </row>
    <row r="196" spans="1:4">
      <c r="A196" s="6" t="s">
        <v>553</v>
      </c>
      <c r="B196" s="6" t="s">
        <v>111</v>
      </c>
      <c r="C196" s="7" t="s">
        <v>369</v>
      </c>
    </row>
    <row r="197" spans="1:4">
      <c r="A197" s="6" t="s">
        <v>553</v>
      </c>
      <c r="B197" s="6" t="s">
        <v>111</v>
      </c>
      <c r="C197" s="7" t="s">
        <v>370</v>
      </c>
      <c r="D197" s="7" t="s">
        <v>369</v>
      </c>
    </row>
    <row r="198" spans="1:4">
      <c r="A198" s="10" t="s">
        <v>554</v>
      </c>
      <c r="B198" s="6" t="s">
        <v>111</v>
      </c>
      <c r="C198" s="7" t="s">
        <v>371</v>
      </c>
      <c r="D198" s="7" t="s">
        <v>372</v>
      </c>
    </row>
    <row r="199" spans="1:4">
      <c r="A199" s="6" t="s">
        <v>555</v>
      </c>
      <c r="B199" s="6" t="s">
        <v>111</v>
      </c>
      <c r="C199" s="7" t="s">
        <v>236</v>
      </c>
    </row>
    <row r="200" spans="1:4">
      <c r="A200" s="6" t="s">
        <v>556</v>
      </c>
      <c r="B200" s="6" t="s">
        <v>111</v>
      </c>
      <c r="C200" s="7" t="s">
        <v>373</v>
      </c>
    </row>
    <row r="201" spans="1:4">
      <c r="A201" s="6" t="s">
        <v>557</v>
      </c>
      <c r="B201" s="6" t="s">
        <v>111</v>
      </c>
      <c r="C201" s="7" t="s">
        <v>223</v>
      </c>
    </row>
    <row r="202" spans="1:4">
      <c r="A202" s="6" t="s">
        <v>558</v>
      </c>
      <c r="B202" s="6" t="s">
        <v>111</v>
      </c>
      <c r="C202" s="7" t="s">
        <v>162</v>
      </c>
    </row>
    <row r="203" spans="1:4">
      <c r="A203" s="6" t="s">
        <v>559</v>
      </c>
      <c r="B203" s="6" t="s">
        <v>111</v>
      </c>
      <c r="C203" s="7" t="s">
        <v>374</v>
      </c>
    </row>
    <row r="204" spans="1:4">
      <c r="A204" s="6" t="s">
        <v>560</v>
      </c>
      <c r="B204" s="6" t="s">
        <v>111</v>
      </c>
      <c r="C204" s="7" t="s">
        <v>375</v>
      </c>
    </row>
    <row r="205" spans="1:4">
      <c r="A205" s="6" t="s">
        <v>561</v>
      </c>
      <c r="B205" s="6" t="s">
        <v>111</v>
      </c>
      <c r="C205" s="7" t="s">
        <v>376</v>
      </c>
    </row>
    <row r="206" spans="1:4">
      <c r="A206" s="6" t="s">
        <v>562</v>
      </c>
      <c r="B206" s="6" t="s">
        <v>111</v>
      </c>
      <c r="C206" s="7" t="s">
        <v>377</v>
      </c>
    </row>
    <row r="207" spans="1:4">
      <c r="A207" s="6" t="s">
        <v>563</v>
      </c>
      <c r="B207" s="6" t="s">
        <v>111</v>
      </c>
      <c r="C207" s="7" t="s">
        <v>175</v>
      </c>
    </row>
    <row r="208" spans="1:4">
      <c r="A208" s="6" t="s">
        <v>564</v>
      </c>
      <c r="B208" s="6" t="s">
        <v>111</v>
      </c>
      <c r="C208" s="7" t="s">
        <v>254</v>
      </c>
    </row>
    <row r="209" spans="1:4">
      <c r="A209" s="6" t="s">
        <v>565</v>
      </c>
      <c r="B209" s="7" t="s">
        <v>142</v>
      </c>
      <c r="C209" s="7" t="s">
        <v>142</v>
      </c>
      <c r="D209" s="7" t="s">
        <v>378</v>
      </c>
    </row>
    <row r="210" spans="1:4">
      <c r="A210" s="6" t="s">
        <v>566</v>
      </c>
      <c r="B210" s="6" t="s">
        <v>111</v>
      </c>
      <c r="C210" s="7" t="s">
        <v>412</v>
      </c>
    </row>
    <row r="211" spans="1:4">
      <c r="A211" s="11" t="s">
        <v>567</v>
      </c>
      <c r="B211" s="6" t="s">
        <v>111</v>
      </c>
      <c r="C211" s="8" t="s">
        <v>379</v>
      </c>
    </row>
    <row r="212" spans="1:4">
      <c r="A212" s="6" t="s">
        <v>568</v>
      </c>
      <c r="B212" s="6" t="s">
        <v>111</v>
      </c>
      <c r="C212" s="7" t="s">
        <v>362</v>
      </c>
    </row>
    <row r="213" spans="1:4">
      <c r="A213" s="6" t="s">
        <v>569</v>
      </c>
      <c r="B213" s="6" t="s">
        <v>111</v>
      </c>
      <c r="C213" s="7" t="s">
        <v>374</v>
      </c>
    </row>
    <row r="214" spans="1:4">
      <c r="A214" s="6" t="s">
        <v>570</v>
      </c>
      <c r="B214" s="6" t="s">
        <v>111</v>
      </c>
      <c r="C214" s="7" t="s">
        <v>175</v>
      </c>
    </row>
    <row r="215" spans="1:4">
      <c r="A215" s="6" t="s">
        <v>571</v>
      </c>
      <c r="B215" s="6" t="s">
        <v>111</v>
      </c>
      <c r="C215" s="7" t="s">
        <v>380</v>
      </c>
    </row>
    <row r="216" spans="1:4">
      <c r="A216" s="6" t="s">
        <v>572</v>
      </c>
      <c r="B216" s="6" t="s">
        <v>111</v>
      </c>
      <c r="C216" s="7" t="s">
        <v>381</v>
      </c>
    </row>
    <row r="217" spans="1:4">
      <c r="A217" s="6" t="s">
        <v>573</v>
      </c>
      <c r="B217" s="6" t="s">
        <v>111</v>
      </c>
      <c r="C217" s="7" t="s">
        <v>382</v>
      </c>
    </row>
    <row r="218" spans="1:4">
      <c r="A218" s="6" t="s">
        <v>574</v>
      </c>
      <c r="B218" s="6" t="s">
        <v>111</v>
      </c>
      <c r="C218" s="7" t="s">
        <v>177</v>
      </c>
    </row>
    <row r="219" spans="1:4">
      <c r="A219" s="6" t="s">
        <v>575</v>
      </c>
      <c r="B219" s="6" t="s">
        <v>111</v>
      </c>
      <c r="C219" s="7" t="s">
        <v>194</v>
      </c>
    </row>
    <row r="220" spans="1:4">
      <c r="A220" s="6" t="s">
        <v>576</v>
      </c>
      <c r="B220" s="6" t="s">
        <v>111</v>
      </c>
      <c r="C220" s="7" t="s">
        <v>383</v>
      </c>
      <c r="D220" s="7" t="s">
        <v>217</v>
      </c>
    </row>
    <row r="221" spans="1:4">
      <c r="A221" s="6" t="s">
        <v>577</v>
      </c>
      <c r="B221" s="6" t="s">
        <v>111</v>
      </c>
      <c r="C221" s="7" t="s">
        <v>384</v>
      </c>
    </row>
    <row r="222" spans="1:4">
      <c r="A222" s="6" t="s">
        <v>578</v>
      </c>
      <c r="B222" s="6" t="s">
        <v>414</v>
      </c>
      <c r="C222" s="7" t="s">
        <v>120</v>
      </c>
    </row>
    <row r="223" spans="1:4">
      <c r="A223" s="6" t="s">
        <v>579</v>
      </c>
      <c r="B223" s="6" t="s">
        <v>111</v>
      </c>
      <c r="C223" s="7" t="s">
        <v>385</v>
      </c>
    </row>
    <row r="224" spans="1:4">
      <c r="A224" s="6" t="s">
        <v>580</v>
      </c>
      <c r="B224" s="6" t="s">
        <v>111</v>
      </c>
      <c r="C224" s="7" t="s">
        <v>238</v>
      </c>
      <c r="D224" s="8"/>
    </row>
    <row r="225" spans="1:4">
      <c r="A225" s="6" t="s">
        <v>581</v>
      </c>
      <c r="B225" s="6" t="s">
        <v>111</v>
      </c>
      <c r="C225" s="7" t="s">
        <v>410</v>
      </c>
    </row>
    <row r="226" spans="1:4">
      <c r="A226" s="6" t="s">
        <v>582</v>
      </c>
      <c r="B226" s="6" t="s">
        <v>111</v>
      </c>
      <c r="C226" s="7" t="s">
        <v>386</v>
      </c>
    </row>
    <row r="227" spans="1:4">
      <c r="A227" s="6" t="s">
        <v>583</v>
      </c>
      <c r="B227" s="6" t="s">
        <v>111</v>
      </c>
      <c r="C227" s="7" t="s">
        <v>151</v>
      </c>
    </row>
    <row r="228" spans="1:4">
      <c r="A228" s="12" t="s">
        <v>584</v>
      </c>
      <c r="B228" s="12" t="s">
        <v>111</v>
      </c>
      <c r="C228" s="7" t="s">
        <v>495</v>
      </c>
      <c r="D228" s="7" t="s">
        <v>496</v>
      </c>
    </row>
    <row r="229" spans="1:4">
      <c r="A229" s="6" t="s">
        <v>585</v>
      </c>
      <c r="B229" s="6" t="s">
        <v>414</v>
      </c>
      <c r="C229" s="7" t="s">
        <v>124</v>
      </c>
    </row>
    <row r="230" spans="1:4">
      <c r="A230" s="6" t="s">
        <v>586</v>
      </c>
      <c r="B230" s="6" t="s">
        <v>111</v>
      </c>
      <c r="C230" s="7" t="s">
        <v>194</v>
      </c>
    </row>
    <row r="231" spans="1:4">
      <c r="A231" s="6" t="s">
        <v>587</v>
      </c>
      <c r="B231" s="6" t="s">
        <v>111</v>
      </c>
      <c r="C231" s="7" t="s">
        <v>387</v>
      </c>
      <c r="D231" s="7" t="s">
        <v>388</v>
      </c>
    </row>
    <row r="232" spans="1:4">
      <c r="A232" s="11" t="s">
        <v>588</v>
      </c>
      <c r="B232" s="6" t="s">
        <v>111</v>
      </c>
      <c r="C232" s="8" t="s">
        <v>111</v>
      </c>
    </row>
    <row r="233" spans="1:4">
      <c r="A233" s="11" t="s">
        <v>589</v>
      </c>
      <c r="B233" s="6" t="s">
        <v>111</v>
      </c>
      <c r="C233" s="8" t="s">
        <v>389</v>
      </c>
    </row>
    <row r="234" spans="1:4">
      <c r="A234" s="6" t="s">
        <v>590</v>
      </c>
      <c r="B234" s="6" t="s">
        <v>111</v>
      </c>
      <c r="C234" s="7" t="s">
        <v>240</v>
      </c>
    </row>
    <row r="235" spans="1:4">
      <c r="A235" s="6" t="s">
        <v>591</v>
      </c>
      <c r="B235" s="6" t="s">
        <v>111</v>
      </c>
      <c r="C235" s="7" t="s">
        <v>198</v>
      </c>
      <c r="D235" s="8"/>
    </row>
    <row r="236" spans="1:4">
      <c r="A236" s="6" t="s">
        <v>592</v>
      </c>
      <c r="B236" s="6" t="s">
        <v>111</v>
      </c>
      <c r="C236" s="7" t="s">
        <v>242</v>
      </c>
    </row>
    <row r="237" spans="1:4">
      <c r="A237" s="6" t="s">
        <v>593</v>
      </c>
      <c r="B237" s="6" t="s">
        <v>111</v>
      </c>
      <c r="C237" s="7" t="s">
        <v>254</v>
      </c>
    </row>
    <row r="238" spans="1:4">
      <c r="A238" s="6" t="s">
        <v>594</v>
      </c>
      <c r="B238" s="6" t="s">
        <v>111</v>
      </c>
      <c r="C238" s="7" t="s">
        <v>356</v>
      </c>
    </row>
    <row r="239" spans="1:4">
      <c r="A239" s="6" t="s">
        <v>595</v>
      </c>
      <c r="B239" s="6" t="s">
        <v>111</v>
      </c>
      <c r="C239" s="7" t="s">
        <v>390</v>
      </c>
    </row>
    <row r="240" spans="1:4">
      <c r="A240" s="6" t="s">
        <v>596</v>
      </c>
      <c r="B240" s="6" t="s">
        <v>111</v>
      </c>
      <c r="C240" s="7" t="s">
        <v>331</v>
      </c>
    </row>
    <row r="241" spans="1:4">
      <c r="A241" s="6" t="s">
        <v>597</v>
      </c>
      <c r="B241" s="6" t="s">
        <v>111</v>
      </c>
      <c r="C241" s="7" t="s">
        <v>359</v>
      </c>
      <c r="D241" s="7" t="s">
        <v>360</v>
      </c>
    </row>
    <row r="242" spans="1:4">
      <c r="A242" s="6" t="s">
        <v>598</v>
      </c>
      <c r="B242" s="6" t="s">
        <v>111</v>
      </c>
      <c r="C242" s="7" t="s">
        <v>192</v>
      </c>
    </row>
    <row r="243" spans="1:4">
      <c r="A243" s="6" t="s">
        <v>599</v>
      </c>
      <c r="B243" s="6" t="s">
        <v>111</v>
      </c>
      <c r="C243" s="7" t="s">
        <v>233</v>
      </c>
    </row>
    <row r="244" spans="1:4">
      <c r="A244" s="6" t="s">
        <v>600</v>
      </c>
      <c r="B244" s="6" t="s">
        <v>406</v>
      </c>
    </row>
    <row r="245" spans="1:4">
      <c r="A245" s="6" t="s">
        <v>601</v>
      </c>
      <c r="B245" s="6" t="s">
        <v>111</v>
      </c>
      <c r="C245" s="7" t="s">
        <v>380</v>
      </c>
    </row>
    <row r="246" spans="1:4">
      <c r="A246" s="6" t="s">
        <v>602</v>
      </c>
      <c r="B246" s="6" t="s">
        <v>142</v>
      </c>
      <c r="C246" s="7" t="s">
        <v>420</v>
      </c>
    </row>
    <row r="247" spans="1:4">
      <c r="A247" s="6" t="s">
        <v>603</v>
      </c>
      <c r="B247" s="6" t="s">
        <v>111</v>
      </c>
      <c r="C247" s="7" t="s">
        <v>391</v>
      </c>
    </row>
    <row r="248" spans="1:4">
      <c r="A248" s="12" t="s">
        <v>604</v>
      </c>
      <c r="B248" s="6" t="s">
        <v>414</v>
      </c>
      <c r="C248" s="7" t="s">
        <v>423</v>
      </c>
      <c r="D248" s="7" t="s">
        <v>424</v>
      </c>
    </row>
    <row r="249" spans="1:4">
      <c r="A249" s="6" t="s">
        <v>605</v>
      </c>
      <c r="B249" s="6" t="s">
        <v>111</v>
      </c>
      <c r="C249" s="7" t="s">
        <v>392</v>
      </c>
    </row>
    <row r="250" spans="1:4">
      <c r="A250" s="6" t="s">
        <v>606</v>
      </c>
      <c r="B250" s="6" t="s">
        <v>111</v>
      </c>
      <c r="C250" s="7" t="s">
        <v>286</v>
      </c>
    </row>
    <row r="251" spans="1:4">
      <c r="A251" s="10" t="s">
        <v>607</v>
      </c>
      <c r="B251" s="6" t="s">
        <v>111</v>
      </c>
      <c r="C251" s="7" t="s">
        <v>196</v>
      </c>
      <c r="D251" s="7" t="s">
        <v>393</v>
      </c>
    </row>
    <row r="252" spans="1:4">
      <c r="A252" s="6" t="s">
        <v>608</v>
      </c>
      <c r="B252" s="6" t="s">
        <v>111</v>
      </c>
      <c r="C252" s="7" t="s">
        <v>394</v>
      </c>
    </row>
    <row r="253" spans="1:4">
      <c r="A253" s="6" t="s">
        <v>609</v>
      </c>
      <c r="B253" s="6" t="s">
        <v>111</v>
      </c>
      <c r="C253" s="7" t="s">
        <v>395</v>
      </c>
    </row>
    <row r="254" spans="1:4">
      <c r="A254" s="6" t="s">
        <v>610</v>
      </c>
      <c r="B254" s="6" t="s">
        <v>111</v>
      </c>
      <c r="C254" s="7" t="s">
        <v>396</v>
      </c>
    </row>
    <row r="255" spans="1:4">
      <c r="A255" s="6" t="s">
        <v>611</v>
      </c>
      <c r="B255" s="6" t="s">
        <v>111</v>
      </c>
      <c r="C255" s="7" t="s">
        <v>325</v>
      </c>
    </row>
    <row r="256" spans="1:4">
      <c r="A256" s="6" t="s">
        <v>611</v>
      </c>
      <c r="B256" s="6" t="s">
        <v>111</v>
      </c>
      <c r="C256" s="7" t="s">
        <v>325</v>
      </c>
    </row>
    <row r="257" spans="1:4">
      <c r="A257" s="6" t="s">
        <v>612</v>
      </c>
      <c r="B257" s="6" t="s">
        <v>111</v>
      </c>
      <c r="C257" s="7" t="s">
        <v>348</v>
      </c>
      <c r="D257" s="7" t="s">
        <v>396</v>
      </c>
    </row>
    <row r="258" spans="1:4">
      <c r="A258" s="6" t="s">
        <v>613</v>
      </c>
      <c r="B258" s="6" t="s">
        <v>111</v>
      </c>
      <c r="C258" s="7" t="s">
        <v>397</v>
      </c>
    </row>
    <row r="259" spans="1:4">
      <c r="A259" s="6" t="s">
        <v>614</v>
      </c>
      <c r="B259" s="6" t="s">
        <v>111</v>
      </c>
      <c r="C259" s="7" t="s">
        <v>368</v>
      </c>
    </row>
    <row r="260" spans="1:4">
      <c r="A260" s="6" t="s">
        <v>615</v>
      </c>
      <c r="B260" s="6" t="s">
        <v>111</v>
      </c>
      <c r="C260" s="7" t="s">
        <v>398</v>
      </c>
    </row>
    <row r="261" spans="1:4">
      <c r="A261" s="6" t="s">
        <v>616</v>
      </c>
      <c r="B261" s="6" t="s">
        <v>111</v>
      </c>
      <c r="C261" s="7" t="s">
        <v>399</v>
      </c>
    </row>
    <row r="262" spans="1:4">
      <c r="A262" s="6" t="s">
        <v>617</v>
      </c>
      <c r="B262" s="6" t="s">
        <v>111</v>
      </c>
      <c r="C262" s="7" t="s">
        <v>167</v>
      </c>
    </row>
    <row r="263" spans="1:4">
      <c r="A263" s="6" t="s">
        <v>618</v>
      </c>
      <c r="B263" s="6" t="s">
        <v>111</v>
      </c>
      <c r="C263" s="7" t="s">
        <v>219</v>
      </c>
    </row>
    <row r="264" spans="1:4">
      <c r="A264" s="6" t="s">
        <v>619</v>
      </c>
      <c r="B264" s="6" t="s">
        <v>111</v>
      </c>
      <c r="C264" s="7" t="s">
        <v>190</v>
      </c>
    </row>
    <row r="265" spans="1:4">
      <c r="A265" s="6" t="s">
        <v>620</v>
      </c>
      <c r="B265" s="6" t="s">
        <v>111</v>
      </c>
      <c r="C265" s="7" t="s">
        <v>186</v>
      </c>
    </row>
    <row r="266" spans="1:4">
      <c r="A266" s="6" t="s">
        <v>621</v>
      </c>
      <c r="B266" s="6" t="s">
        <v>111</v>
      </c>
      <c r="C266" s="7" t="s">
        <v>317</v>
      </c>
    </row>
    <row r="267" spans="1:4">
      <c r="A267" s="6" t="s">
        <v>622</v>
      </c>
      <c r="B267" s="6" t="s">
        <v>111</v>
      </c>
      <c r="C267" s="7" t="s">
        <v>151</v>
      </c>
    </row>
    <row r="268" spans="1:4">
      <c r="A268" s="6" t="s">
        <v>623</v>
      </c>
      <c r="B268" s="6" t="s">
        <v>111</v>
      </c>
      <c r="C268" s="7" t="s">
        <v>339</v>
      </c>
    </row>
    <row r="269" spans="1:4">
      <c r="A269" s="6" t="s">
        <v>624</v>
      </c>
      <c r="B269" s="6" t="s">
        <v>111</v>
      </c>
      <c r="C269" s="7" t="s">
        <v>260</v>
      </c>
    </row>
    <row r="270" spans="1:4">
      <c r="A270" s="6" t="s">
        <v>625</v>
      </c>
      <c r="B270" s="6" t="s">
        <v>111</v>
      </c>
      <c r="C270" s="7" t="s">
        <v>339</v>
      </c>
      <c r="D270" s="7" t="s">
        <v>400</v>
      </c>
    </row>
    <row r="271" spans="1:4">
      <c r="A271" s="6" t="s">
        <v>626</v>
      </c>
      <c r="B271" s="6" t="s">
        <v>111</v>
      </c>
      <c r="C271" s="7" t="s">
        <v>333</v>
      </c>
    </row>
    <row r="272" spans="1:4">
      <c r="A272" s="6" t="s">
        <v>627</v>
      </c>
      <c r="B272" s="6" t="s">
        <v>142</v>
      </c>
      <c r="C272" s="7" t="s">
        <v>419</v>
      </c>
    </row>
    <row r="273" spans="1:4">
      <c r="A273" s="6" t="s">
        <v>628</v>
      </c>
      <c r="B273" s="6" t="s">
        <v>142</v>
      </c>
      <c r="C273" s="7" t="s">
        <v>418</v>
      </c>
    </row>
    <row r="274" spans="1:4">
      <c r="A274" s="6" t="s">
        <v>629</v>
      </c>
      <c r="B274" s="6" t="s">
        <v>111</v>
      </c>
      <c r="C274" s="7" t="s">
        <v>181</v>
      </c>
    </row>
    <row r="275" spans="1:4">
      <c r="A275" s="6" t="s">
        <v>630</v>
      </c>
      <c r="B275" s="6" t="s">
        <v>111</v>
      </c>
      <c r="C275" s="7" t="s">
        <v>319</v>
      </c>
    </row>
    <row r="276" spans="1:4">
      <c r="A276" s="6" t="s">
        <v>630</v>
      </c>
      <c r="B276" s="6" t="s">
        <v>111</v>
      </c>
      <c r="C276" s="7" t="s">
        <v>319</v>
      </c>
    </row>
    <row r="277" spans="1:4">
      <c r="A277" s="6" t="s">
        <v>631</v>
      </c>
      <c r="B277" s="6" t="s">
        <v>111</v>
      </c>
      <c r="C277" s="7" t="s">
        <v>278</v>
      </c>
    </row>
    <row r="278" spans="1:4">
      <c r="A278" s="6" t="s">
        <v>632</v>
      </c>
      <c r="B278" s="6" t="s">
        <v>111</v>
      </c>
      <c r="C278" s="7" t="s">
        <v>401</v>
      </c>
    </row>
    <row r="279" spans="1:4">
      <c r="A279" s="6" t="s">
        <v>633</v>
      </c>
      <c r="B279" s="6" t="s">
        <v>111</v>
      </c>
      <c r="C279" s="7" t="s">
        <v>186</v>
      </c>
    </row>
    <row r="280" spans="1:4">
      <c r="A280" s="6" t="s">
        <v>634</v>
      </c>
      <c r="B280" s="6" t="s">
        <v>111</v>
      </c>
      <c r="C280" s="7" t="s">
        <v>188</v>
      </c>
    </row>
    <row r="281" spans="1:4">
      <c r="A281" s="6" t="s">
        <v>635</v>
      </c>
      <c r="B281" s="6" t="s">
        <v>111</v>
      </c>
      <c r="C281" s="7" t="s">
        <v>192</v>
      </c>
    </row>
    <row r="282" spans="1:4">
      <c r="A282" s="6" t="s">
        <v>636</v>
      </c>
      <c r="B282" s="6" t="s">
        <v>111</v>
      </c>
      <c r="C282" s="7" t="s">
        <v>238</v>
      </c>
      <c r="D282" s="8"/>
    </row>
    <row r="283" spans="1:4">
      <c r="A283" s="6" t="s">
        <v>637</v>
      </c>
      <c r="B283" s="6" t="s">
        <v>111</v>
      </c>
      <c r="C283" s="7" t="s">
        <v>238</v>
      </c>
      <c r="D283" s="8"/>
    </row>
    <row r="284" spans="1:4">
      <c r="A284" s="6" t="s">
        <v>638</v>
      </c>
      <c r="B284" s="6" t="s">
        <v>111</v>
      </c>
      <c r="C284" s="7" t="s">
        <v>417</v>
      </c>
    </row>
    <row r="285" spans="1:4">
      <c r="A285" s="6" t="s">
        <v>639</v>
      </c>
      <c r="B285" s="6" t="s">
        <v>142</v>
      </c>
      <c r="C285" s="7" t="s">
        <v>152</v>
      </c>
    </row>
    <row r="286" spans="1:4">
      <c r="A286" s="12" t="s">
        <v>519</v>
      </c>
      <c r="B286" s="12" t="s">
        <v>111</v>
      </c>
      <c r="C286" s="7" t="s">
        <v>520</v>
      </c>
    </row>
    <row r="287" spans="1:4">
      <c r="A287" s="6" t="s">
        <v>640</v>
      </c>
      <c r="B287" s="6" t="s">
        <v>111</v>
      </c>
      <c r="C287" s="7" t="s">
        <v>402</v>
      </c>
    </row>
    <row r="288" spans="1:4">
      <c r="A288" s="6" t="s">
        <v>641</v>
      </c>
      <c r="B288" s="6" t="s">
        <v>111</v>
      </c>
      <c r="C288" s="7" t="s">
        <v>217</v>
      </c>
    </row>
    <row r="289" spans="1:3">
      <c r="A289" s="6" t="s">
        <v>642</v>
      </c>
      <c r="B289" s="6" t="s">
        <v>111</v>
      </c>
      <c r="C289" s="7" t="s">
        <v>407</v>
      </c>
    </row>
    <row r="290" spans="1:3">
      <c r="A290" s="12" t="s">
        <v>643</v>
      </c>
      <c r="B290" s="6" t="s">
        <v>111</v>
      </c>
      <c r="C290" s="7" t="s">
        <v>644</v>
      </c>
    </row>
    <row r="291" spans="1:3">
      <c r="A291" s="12" t="s">
        <v>645</v>
      </c>
      <c r="B291" s="6" t="s">
        <v>111</v>
      </c>
      <c r="C291" s="7" t="s">
        <v>646</v>
      </c>
    </row>
    <row r="292" spans="1:3">
      <c r="A292" s="12" t="s">
        <v>647</v>
      </c>
      <c r="B292" s="6" t="s">
        <v>111</v>
      </c>
      <c r="C292" s="7" t="s">
        <v>648</v>
      </c>
    </row>
  </sheetData>
  <autoFilter ref="A1:D281"/>
  <sortState ref="A2:D289">
    <sortCondition ref="A2:A289"/>
  </sortState>
  <pageMargins left="0.78740157499999996" right="0.78740157499999996" top="0.984251969" bottom="0.984251969" header="0.49212598499999999" footer="0.49212598499999999"/>
  <pageSetup paperSize="9" orientation="portrait" r:id="rId1"/>
  <headerFooter alignWithMargins="0"/>
</worksheet>
</file>

<file path=xl/worksheets/sheet27.xml><?xml version="1.0" encoding="utf-8"?>
<worksheet xmlns="http://schemas.openxmlformats.org/spreadsheetml/2006/main" xmlns:r="http://schemas.openxmlformats.org/officeDocument/2006/relationships">
  <sheetPr codeName="Plan10"/>
  <dimension ref="A1:X50"/>
  <sheetViews>
    <sheetView workbookViewId="0">
      <pane ySplit="2" topLeftCell="A3" activePane="bottomLeft" state="frozen"/>
      <selection pane="bottomLeft" activeCell="F4" sqref="F4"/>
    </sheetView>
  </sheetViews>
  <sheetFormatPr defaultRowHeight="15"/>
  <cols>
    <col min="1" max="1" width="11.7109375" bestFit="1" customWidth="1"/>
    <col min="2" max="2" width="14" style="215" bestFit="1" customWidth="1"/>
    <col min="3" max="3" width="16.28515625" style="157" bestFit="1" customWidth="1"/>
    <col min="4" max="4" width="11.42578125" style="157" bestFit="1" customWidth="1"/>
    <col min="5" max="6" width="10.7109375" style="157" customWidth="1"/>
    <col min="7" max="7" width="16" style="157" bestFit="1" customWidth="1"/>
    <col min="8" max="8" width="12.5703125" style="157" bestFit="1" customWidth="1"/>
    <col min="9" max="9" width="14" style="153" customWidth="1"/>
    <col min="10" max="10" width="12" style="56" bestFit="1" customWidth="1"/>
    <col min="12" max="12" width="10.5703125" bestFit="1" customWidth="1"/>
    <col min="20" max="20" width="12.140625" bestFit="1" customWidth="1"/>
    <col min="24" max="24" width="12.140625" bestFit="1" customWidth="1"/>
  </cols>
  <sheetData>
    <row r="1" spans="1:24" s="146" customFormat="1">
      <c r="B1" s="212"/>
      <c r="C1" s="147">
        <f>SUM(C3:C1048576)</f>
        <v>31179.300000000003</v>
      </c>
      <c r="D1" s="147">
        <f>-SUM(D3:D1048576)</f>
        <v>-2567.5</v>
      </c>
      <c r="E1" s="147">
        <f>-SUM(E3:E1048576)</f>
        <v>-88.61999999999999</v>
      </c>
      <c r="F1" s="147">
        <f>-SUM(F3:F1048576)</f>
        <v>-141.79999999999998</v>
      </c>
      <c r="G1" s="147">
        <f>-SUM(G3:G1048576)</f>
        <v>-2682.9575</v>
      </c>
      <c r="H1" s="147">
        <f>SUM(H3:H1048576)</f>
        <v>28158.253250000002</v>
      </c>
      <c r="I1" s="147">
        <f>SUMIF(I3:I1048576,"OK",G3:G1048576)</f>
        <v>3393.5507499999999</v>
      </c>
      <c r="J1" s="146">
        <f>SUM(G1:I1)</f>
        <v>28868.8465</v>
      </c>
    </row>
    <row r="2" spans="1:24" s="2" customFormat="1">
      <c r="A2" s="2" t="s">
        <v>733</v>
      </c>
      <c r="B2" s="148" t="s">
        <v>734</v>
      </c>
      <c r="C2" s="148" t="s">
        <v>45</v>
      </c>
      <c r="D2" s="149" t="s">
        <v>692</v>
      </c>
      <c r="E2" s="149" t="s">
        <v>695</v>
      </c>
      <c r="F2" s="149" t="s">
        <v>21</v>
      </c>
      <c r="G2" s="149" t="s">
        <v>735</v>
      </c>
      <c r="H2" s="148" t="s">
        <v>47</v>
      </c>
      <c r="I2" s="148" t="s">
        <v>736</v>
      </c>
      <c r="J2" s="2" t="s">
        <v>737</v>
      </c>
      <c r="O2" s="504"/>
    </row>
    <row r="3" spans="1:24" s="150" customFormat="1">
      <c r="B3" s="213"/>
      <c r="C3" s="151"/>
      <c r="D3" s="152"/>
      <c r="E3" s="152"/>
      <c r="F3" s="152"/>
      <c r="G3" s="152"/>
      <c r="H3" s="151"/>
      <c r="I3" s="151"/>
    </row>
    <row r="4" spans="1:24" s="155" customFormat="1">
      <c r="B4" s="214" t="s">
        <v>939</v>
      </c>
      <c r="C4" s="154">
        <v>67.849999999999994</v>
      </c>
      <c r="D4" s="154">
        <v>0</v>
      </c>
      <c r="E4" s="154">
        <v>0</v>
      </c>
      <c r="F4" s="154">
        <v>0</v>
      </c>
      <c r="G4" s="154">
        <f>(C4*0.175)-SUM(D4:F4)</f>
        <v>11.873749999999998</v>
      </c>
      <c r="H4" s="154">
        <f>C4-SUM(D4:G4)</f>
        <v>55.976249999999993</v>
      </c>
      <c r="I4" s="156"/>
    </row>
    <row r="5" spans="1:24" s="150" customFormat="1">
      <c r="B5" s="215"/>
      <c r="C5" s="157"/>
      <c r="D5" s="157"/>
      <c r="E5" s="157"/>
      <c r="F5" s="157"/>
      <c r="G5" s="157"/>
      <c r="H5" s="157"/>
      <c r="I5" s="153"/>
      <c r="O5" s="56"/>
    </row>
    <row r="6" spans="1:24" s="150" customFormat="1">
      <c r="A6" s="56" t="s">
        <v>1693</v>
      </c>
      <c r="B6" s="215" t="s">
        <v>62</v>
      </c>
      <c r="C6" s="157">
        <v>700</v>
      </c>
      <c r="D6" s="157">
        <v>0</v>
      </c>
      <c r="E6" s="157">
        <v>3.5</v>
      </c>
      <c r="F6" s="157">
        <v>14</v>
      </c>
      <c r="G6" s="157">
        <f>(C6*0.175)</f>
        <v>122.49999999999999</v>
      </c>
      <c r="H6" s="157">
        <f>C6-SUM(D6:G6)</f>
        <v>560</v>
      </c>
      <c r="I6" s="153"/>
      <c r="L6" s="56" t="s">
        <v>654</v>
      </c>
      <c r="O6" s="56"/>
    </row>
    <row r="7" spans="1:24" s="150" customFormat="1">
      <c r="A7" s="56" t="s">
        <v>1689</v>
      </c>
      <c r="B7" s="215" t="s">
        <v>1678</v>
      </c>
      <c r="C7" s="157">
        <v>100</v>
      </c>
      <c r="D7" s="157">
        <v>0</v>
      </c>
      <c r="E7" s="157">
        <v>0</v>
      </c>
      <c r="F7" s="157">
        <v>0</v>
      </c>
      <c r="G7" s="157">
        <f>(C7*0.175)</f>
        <v>17.5</v>
      </c>
      <c r="H7" s="157">
        <f>C7-SUM(D7:G7)</f>
        <v>82.5</v>
      </c>
      <c r="I7" s="153"/>
      <c r="M7" s="56" t="s">
        <v>1698</v>
      </c>
      <c r="N7" s="56" t="s">
        <v>1696</v>
      </c>
      <c r="O7" s="56" t="s">
        <v>1697</v>
      </c>
      <c r="P7" s="56"/>
      <c r="Q7" s="56"/>
      <c r="R7" s="56"/>
      <c r="S7" s="56"/>
      <c r="T7" s="56"/>
      <c r="U7" s="56"/>
      <c r="V7" s="56"/>
      <c r="W7" s="56"/>
    </row>
    <row r="8" spans="1:24" s="150" customFormat="1">
      <c r="A8" s="56" t="s">
        <v>1690</v>
      </c>
      <c r="B8" s="215" t="s">
        <v>1691</v>
      </c>
      <c r="C8" s="157">
        <v>70.02</v>
      </c>
      <c r="D8" s="157">
        <v>0</v>
      </c>
      <c r="E8" s="157">
        <v>3.5</v>
      </c>
      <c r="F8" s="157">
        <v>0</v>
      </c>
      <c r="G8" s="157">
        <f t="shared" ref="G8:G9" si="0">(C8*0.175)</f>
        <v>12.253499999999999</v>
      </c>
      <c r="H8" s="157">
        <f t="shared" ref="H8:H9" si="1">C8-SUM(D8:G8)</f>
        <v>54.266499999999994</v>
      </c>
      <c r="I8" s="153"/>
      <c r="L8" s="77">
        <f>SUM(M8:O8)</f>
        <v>598.29</v>
      </c>
      <c r="M8" s="150">
        <v>368.03</v>
      </c>
      <c r="N8" s="150">
        <v>230.26</v>
      </c>
      <c r="O8" s="150">
        <v>0</v>
      </c>
    </row>
    <row r="9" spans="1:24" s="150" customFormat="1">
      <c r="A9" s="56" t="s">
        <v>1692</v>
      </c>
      <c r="B9" s="215" t="s">
        <v>1679</v>
      </c>
      <c r="C9" s="157">
        <v>87.14</v>
      </c>
      <c r="D9" s="157">
        <v>0</v>
      </c>
      <c r="E9" s="157">
        <v>3.5</v>
      </c>
      <c r="F9" s="157">
        <v>0</v>
      </c>
      <c r="G9" s="157">
        <f t="shared" si="0"/>
        <v>15.249499999999999</v>
      </c>
      <c r="H9" s="157">
        <f t="shared" si="1"/>
        <v>68.390500000000003</v>
      </c>
      <c r="I9" s="153"/>
      <c r="L9"/>
    </row>
    <row r="10" spans="1:24" s="150" customFormat="1">
      <c r="A10" s="56"/>
      <c r="B10" s="215" t="s">
        <v>1694</v>
      </c>
      <c r="C10" s="157">
        <v>150</v>
      </c>
      <c r="D10" s="157">
        <v>0</v>
      </c>
      <c r="E10" s="157">
        <v>0</v>
      </c>
      <c r="F10" s="157">
        <v>0</v>
      </c>
      <c r="G10" s="157">
        <f t="shared" ref="G10" si="2">(C10*0.175)</f>
        <v>26.25</v>
      </c>
      <c r="H10" s="157">
        <f t="shared" ref="H10" si="3">C10-SUM(D10:G10)</f>
        <v>123.75</v>
      </c>
      <c r="I10" s="153"/>
      <c r="L10"/>
      <c r="M10" s="150">
        <v>93.8</v>
      </c>
    </row>
    <row r="11" spans="1:24" s="150" customFormat="1">
      <c r="A11" s="56"/>
      <c r="B11" s="215" t="s">
        <v>1695</v>
      </c>
      <c r="C11" s="157">
        <v>100</v>
      </c>
      <c r="D11" s="157">
        <v>0</v>
      </c>
      <c r="E11" s="157">
        <v>0</v>
      </c>
      <c r="F11" s="157">
        <v>0</v>
      </c>
      <c r="G11" s="157">
        <f t="shared" ref="G11" si="4">(C11*0.175)</f>
        <v>17.5</v>
      </c>
      <c r="H11" s="157">
        <f t="shared" ref="H11" si="5">C11-SUM(D11:G11)</f>
        <v>82.5</v>
      </c>
      <c r="I11" s="153"/>
    </row>
    <row r="12" spans="1:24" s="150" customFormat="1">
      <c r="A12" s="56"/>
      <c r="B12" s="215"/>
      <c r="C12" s="157"/>
      <c r="D12" s="157"/>
      <c r="E12" s="157"/>
      <c r="F12" s="157"/>
      <c r="G12" s="157"/>
      <c r="H12" s="157"/>
      <c r="I12" s="153"/>
      <c r="O12" s="56"/>
    </row>
    <row r="13" spans="1:24" s="150" customFormat="1">
      <c r="B13" s="215"/>
      <c r="C13" s="157"/>
      <c r="D13" s="157"/>
      <c r="E13" s="157"/>
      <c r="F13" s="157"/>
      <c r="G13" s="157"/>
      <c r="H13" s="157"/>
      <c r="I13" s="153"/>
      <c r="O13" s="56"/>
    </row>
    <row r="14" spans="1:24" s="150" customFormat="1">
      <c r="A14" s="150" t="s">
        <v>79</v>
      </c>
      <c r="B14" s="215" t="s">
        <v>60</v>
      </c>
      <c r="C14" s="157">
        <v>2000</v>
      </c>
      <c r="D14" s="157">
        <v>660</v>
      </c>
      <c r="E14" s="157">
        <v>0</v>
      </c>
      <c r="F14" s="157">
        <v>0</v>
      </c>
      <c r="G14" s="157">
        <f t="shared" ref="G14:G50" si="6">(C14*0.175)-SUM(D14:F14)</f>
        <v>-310</v>
      </c>
      <c r="H14" s="157">
        <f t="shared" ref="H14:H50" si="7">C14-SUM(D14:F14)</f>
        <v>1340</v>
      </c>
      <c r="I14" s="153"/>
      <c r="N14" s="504"/>
      <c r="P14" s="504"/>
      <c r="Q14" s="504"/>
      <c r="R14" s="504"/>
      <c r="S14" s="504"/>
      <c r="T14" s="504"/>
      <c r="U14" s="504"/>
      <c r="V14" s="504"/>
      <c r="W14" s="504"/>
      <c r="X14" s="73"/>
    </row>
    <row r="15" spans="1:24" s="150" customFormat="1">
      <c r="A15" s="150" t="s">
        <v>79</v>
      </c>
      <c r="B15" s="215" t="s">
        <v>60</v>
      </c>
      <c r="C15" s="157">
        <v>2000</v>
      </c>
      <c r="D15" s="157">
        <f>670+370</f>
        <v>1040</v>
      </c>
      <c r="E15" s="157">
        <v>0</v>
      </c>
      <c r="F15" s="157">
        <v>0</v>
      </c>
      <c r="G15" s="157">
        <f t="shared" si="6"/>
        <v>-690</v>
      </c>
      <c r="H15" s="157">
        <f t="shared" si="7"/>
        <v>960</v>
      </c>
      <c r="I15" s="153"/>
    </row>
    <row r="16" spans="1:24" s="150" customFormat="1">
      <c r="A16" s="150" t="s">
        <v>79</v>
      </c>
      <c r="B16" s="215" t="s">
        <v>60</v>
      </c>
      <c r="C16" s="157">
        <v>2000</v>
      </c>
      <c r="D16" s="157">
        <v>300</v>
      </c>
      <c r="E16" s="157">
        <v>0</v>
      </c>
      <c r="F16" s="157">
        <v>0</v>
      </c>
      <c r="G16" s="157">
        <f t="shared" si="6"/>
        <v>50</v>
      </c>
      <c r="H16" s="157">
        <f t="shared" si="7"/>
        <v>1700</v>
      </c>
      <c r="I16" s="153" t="s">
        <v>738</v>
      </c>
    </row>
    <row r="17" spans="1:20" s="150" customFormat="1">
      <c r="A17" s="150" t="s">
        <v>739</v>
      </c>
      <c r="B17" s="215" t="s">
        <v>80</v>
      </c>
      <c r="C17" s="157">
        <v>400</v>
      </c>
      <c r="D17" s="157">
        <v>0</v>
      </c>
      <c r="E17" s="157">
        <v>3.72</v>
      </c>
      <c r="F17" s="157">
        <v>0</v>
      </c>
      <c r="G17" s="157">
        <f t="shared" si="6"/>
        <v>66.28</v>
      </c>
      <c r="H17" s="157">
        <f t="shared" si="7"/>
        <v>396.28</v>
      </c>
      <c r="I17" s="153"/>
    </row>
    <row r="18" spans="1:20" s="150" customFormat="1">
      <c r="A18" s="150" t="s">
        <v>740</v>
      </c>
      <c r="B18" s="215" t="s">
        <v>741</v>
      </c>
      <c r="C18" s="157">
        <v>100</v>
      </c>
      <c r="D18" s="157">
        <v>0</v>
      </c>
      <c r="E18" s="157">
        <v>3.72</v>
      </c>
      <c r="F18" s="157">
        <v>0</v>
      </c>
      <c r="G18" s="157">
        <f t="shared" si="6"/>
        <v>13.78</v>
      </c>
      <c r="H18" s="157">
        <f t="shared" si="7"/>
        <v>96.28</v>
      </c>
      <c r="I18" s="153" t="s">
        <v>738</v>
      </c>
      <c r="O18" s="56"/>
    </row>
    <row r="19" spans="1:20">
      <c r="A19" t="s">
        <v>742</v>
      </c>
      <c r="B19" s="215" t="s">
        <v>55</v>
      </c>
      <c r="C19" s="157">
        <v>67.739999999999995</v>
      </c>
      <c r="D19" s="157">
        <v>0</v>
      </c>
      <c r="E19" s="157">
        <v>3.72</v>
      </c>
      <c r="F19" s="157">
        <v>0</v>
      </c>
      <c r="G19" s="157">
        <f t="shared" si="6"/>
        <v>8.1344999999999974</v>
      </c>
      <c r="H19" s="157">
        <f t="shared" si="7"/>
        <v>64.02</v>
      </c>
      <c r="I19" s="153" t="s">
        <v>738</v>
      </c>
    </row>
    <row r="20" spans="1:20">
      <c r="A20" t="s">
        <v>743</v>
      </c>
      <c r="B20" s="215" t="s">
        <v>744</v>
      </c>
      <c r="C20" s="157">
        <v>67.849999999999994</v>
      </c>
      <c r="D20" s="157">
        <v>0</v>
      </c>
      <c r="E20" s="157">
        <v>3.72</v>
      </c>
      <c r="F20" s="157">
        <v>0</v>
      </c>
      <c r="G20" s="157">
        <f t="shared" si="6"/>
        <v>8.1537499999999969</v>
      </c>
      <c r="H20" s="157">
        <f t="shared" si="7"/>
        <v>64.13</v>
      </c>
      <c r="I20" s="153" t="s">
        <v>738</v>
      </c>
    </row>
    <row r="21" spans="1:20">
      <c r="A21" t="s">
        <v>745</v>
      </c>
      <c r="B21" s="215" t="s">
        <v>746</v>
      </c>
      <c r="C21" s="157">
        <v>100</v>
      </c>
      <c r="D21" s="157">
        <v>0</v>
      </c>
      <c r="E21" s="157">
        <v>3.72</v>
      </c>
      <c r="F21" s="157">
        <v>0</v>
      </c>
      <c r="G21" s="157">
        <f t="shared" si="6"/>
        <v>13.78</v>
      </c>
      <c r="H21" s="157">
        <f t="shared" si="7"/>
        <v>96.28</v>
      </c>
      <c r="I21" s="153" t="s">
        <v>738</v>
      </c>
    </row>
    <row r="22" spans="1:20">
      <c r="A22" t="s">
        <v>747</v>
      </c>
      <c r="B22" s="215" t="s">
        <v>748</v>
      </c>
      <c r="C22" s="157">
        <v>2100</v>
      </c>
      <c r="D22" s="157">
        <v>50</v>
      </c>
      <c r="E22" s="157">
        <v>3.72</v>
      </c>
      <c r="F22" s="157">
        <v>42</v>
      </c>
      <c r="G22" s="157">
        <f t="shared" si="6"/>
        <v>271.77999999999997</v>
      </c>
      <c r="H22" s="157">
        <f t="shared" si="7"/>
        <v>2004.28</v>
      </c>
      <c r="I22" s="153" t="s">
        <v>738</v>
      </c>
      <c r="J22" s="56" t="s">
        <v>738</v>
      </c>
    </row>
    <row r="23" spans="1:20">
      <c r="A23" t="s">
        <v>749</v>
      </c>
      <c r="B23" s="215" t="s">
        <v>750</v>
      </c>
      <c r="C23" s="157">
        <v>40</v>
      </c>
      <c r="D23" s="157">
        <v>0</v>
      </c>
      <c r="E23" s="157">
        <v>3.72</v>
      </c>
      <c r="F23" s="157">
        <v>0</v>
      </c>
      <c r="G23" s="157">
        <f t="shared" si="6"/>
        <v>3.28</v>
      </c>
      <c r="H23" s="157">
        <f t="shared" si="7"/>
        <v>36.28</v>
      </c>
      <c r="I23" s="153" t="s">
        <v>738</v>
      </c>
      <c r="J23" s="56" t="s">
        <v>738</v>
      </c>
    </row>
    <row r="24" spans="1:20">
      <c r="A24" t="s">
        <v>751</v>
      </c>
      <c r="B24" s="215" t="s">
        <v>55</v>
      </c>
      <c r="C24" s="157">
        <v>70.03</v>
      </c>
      <c r="D24" s="157">
        <v>0</v>
      </c>
      <c r="E24" s="157">
        <v>3.72</v>
      </c>
      <c r="F24" s="157">
        <v>0</v>
      </c>
      <c r="G24" s="157">
        <f t="shared" si="6"/>
        <v>8.5352499999999996</v>
      </c>
      <c r="H24" s="157">
        <f t="shared" si="7"/>
        <v>66.31</v>
      </c>
      <c r="I24" s="153" t="s">
        <v>738</v>
      </c>
      <c r="J24" s="56" t="s">
        <v>738</v>
      </c>
    </row>
    <row r="25" spans="1:20">
      <c r="A25" t="s">
        <v>752</v>
      </c>
      <c r="B25" s="215" t="s">
        <v>744</v>
      </c>
      <c r="C25" s="157">
        <v>67.849999999999994</v>
      </c>
      <c r="D25" s="157">
        <v>0</v>
      </c>
      <c r="E25" s="157">
        <v>3.72</v>
      </c>
      <c r="F25" s="157">
        <v>0</v>
      </c>
      <c r="G25" s="157">
        <f t="shared" si="6"/>
        <v>8.1537499999999969</v>
      </c>
      <c r="H25" s="157">
        <f t="shared" si="7"/>
        <v>64.13</v>
      </c>
      <c r="I25" s="153" t="s">
        <v>738</v>
      </c>
      <c r="J25" s="56" t="s">
        <v>738</v>
      </c>
    </row>
    <row r="26" spans="1:20">
      <c r="A26" t="s">
        <v>753</v>
      </c>
      <c r="B26" s="215" t="s">
        <v>746</v>
      </c>
      <c r="C26" s="157">
        <v>100</v>
      </c>
      <c r="D26" s="157">
        <v>0</v>
      </c>
      <c r="E26" s="157">
        <v>3.72</v>
      </c>
      <c r="F26" s="157">
        <v>0</v>
      </c>
      <c r="G26" s="157">
        <f t="shared" si="6"/>
        <v>13.78</v>
      </c>
      <c r="H26" s="157">
        <f t="shared" si="7"/>
        <v>96.28</v>
      </c>
      <c r="I26" s="153" t="s">
        <v>738</v>
      </c>
      <c r="J26" s="56" t="s">
        <v>738</v>
      </c>
    </row>
    <row r="27" spans="1:20">
      <c r="A27" t="s">
        <v>754</v>
      </c>
      <c r="B27" s="215" t="s">
        <v>755</v>
      </c>
      <c r="C27" s="157">
        <v>175</v>
      </c>
      <c r="D27" s="157">
        <v>0</v>
      </c>
      <c r="E27" s="157">
        <v>0</v>
      </c>
      <c r="F27" s="157">
        <v>0</v>
      </c>
      <c r="G27" s="157">
        <f t="shared" si="6"/>
        <v>30.624999999999996</v>
      </c>
      <c r="H27" s="157">
        <f t="shared" si="7"/>
        <v>175</v>
      </c>
      <c r="I27" s="153" t="s">
        <v>738</v>
      </c>
      <c r="J27" s="56" t="s">
        <v>738</v>
      </c>
    </row>
    <row r="28" spans="1:20">
      <c r="A28" t="s">
        <v>756</v>
      </c>
      <c r="B28" s="215" t="s">
        <v>750</v>
      </c>
      <c r="C28" s="157">
        <v>40</v>
      </c>
      <c r="D28" s="157">
        <v>0</v>
      </c>
      <c r="E28" s="157">
        <v>3.72</v>
      </c>
      <c r="F28" s="157">
        <v>0</v>
      </c>
      <c r="G28" s="157">
        <f t="shared" si="6"/>
        <v>3.28</v>
      </c>
      <c r="H28" s="157">
        <f t="shared" si="7"/>
        <v>36.28</v>
      </c>
      <c r="I28" s="153" t="s">
        <v>738</v>
      </c>
      <c r="J28" s="56" t="s">
        <v>738</v>
      </c>
    </row>
    <row r="29" spans="1:20">
      <c r="A29" t="s">
        <v>757</v>
      </c>
      <c r="B29" s="215" t="s">
        <v>55</v>
      </c>
      <c r="C29" s="157">
        <v>70.03</v>
      </c>
      <c r="D29" s="157">
        <v>0</v>
      </c>
      <c r="E29" s="157">
        <v>3.72</v>
      </c>
      <c r="F29" s="157">
        <v>0</v>
      </c>
      <c r="G29" s="157">
        <f t="shared" si="6"/>
        <v>8.5352499999999996</v>
      </c>
      <c r="H29" s="157">
        <f t="shared" si="7"/>
        <v>66.31</v>
      </c>
      <c r="I29" s="153" t="s">
        <v>738</v>
      </c>
      <c r="J29" s="56" t="s">
        <v>738</v>
      </c>
    </row>
    <row r="30" spans="1:20">
      <c r="A30" t="s">
        <v>758</v>
      </c>
      <c r="B30" s="215" t="s">
        <v>744</v>
      </c>
      <c r="C30" s="157">
        <v>67.849999999999994</v>
      </c>
      <c r="D30" s="157">
        <v>0</v>
      </c>
      <c r="E30" s="157">
        <v>3.72</v>
      </c>
      <c r="F30" s="157">
        <v>0</v>
      </c>
      <c r="G30" s="157">
        <f t="shared" si="6"/>
        <v>8.1537499999999969</v>
      </c>
      <c r="H30" s="157">
        <f t="shared" si="7"/>
        <v>64.13</v>
      </c>
      <c r="I30" s="153" t="s">
        <v>738</v>
      </c>
      <c r="J30" s="56" t="s">
        <v>738</v>
      </c>
    </row>
    <row r="31" spans="1:20">
      <c r="A31" t="s">
        <v>759</v>
      </c>
      <c r="B31" s="215" t="s">
        <v>746</v>
      </c>
      <c r="C31" s="157">
        <v>100</v>
      </c>
      <c r="D31" s="157">
        <v>0</v>
      </c>
      <c r="E31" s="157">
        <v>3.72</v>
      </c>
      <c r="F31" s="157">
        <v>0</v>
      </c>
      <c r="G31" s="157">
        <f t="shared" si="6"/>
        <v>13.78</v>
      </c>
      <c r="H31" s="157">
        <f t="shared" si="7"/>
        <v>96.28</v>
      </c>
      <c r="I31" s="153" t="s">
        <v>738</v>
      </c>
      <c r="J31" s="56" t="s">
        <v>738</v>
      </c>
      <c r="T31" s="298"/>
    </row>
    <row r="32" spans="1:20">
      <c r="A32" t="s">
        <v>760</v>
      </c>
      <c r="B32" s="215" t="s">
        <v>514</v>
      </c>
      <c r="C32" s="157">
        <v>300</v>
      </c>
      <c r="D32" s="157">
        <v>22</v>
      </c>
      <c r="E32" s="157">
        <v>0</v>
      </c>
      <c r="F32" s="157">
        <v>0</v>
      </c>
      <c r="G32" s="157">
        <f t="shared" si="6"/>
        <v>30.5</v>
      </c>
      <c r="H32" s="157">
        <f t="shared" si="7"/>
        <v>278</v>
      </c>
      <c r="I32" s="153" t="s">
        <v>738</v>
      </c>
      <c r="J32" s="56" t="s">
        <v>738</v>
      </c>
    </row>
    <row r="33" spans="1:10">
      <c r="A33" t="s">
        <v>761</v>
      </c>
      <c r="B33" s="215" t="s">
        <v>748</v>
      </c>
      <c r="C33" s="157">
        <v>1160</v>
      </c>
      <c r="D33" s="157">
        <v>18</v>
      </c>
      <c r="E33" s="157">
        <v>0</v>
      </c>
      <c r="F33" s="157">
        <v>23.2</v>
      </c>
      <c r="G33" s="157">
        <f t="shared" si="6"/>
        <v>161.80000000000001</v>
      </c>
      <c r="H33" s="157">
        <f t="shared" si="7"/>
        <v>1118.8</v>
      </c>
      <c r="I33" s="153" t="s">
        <v>738</v>
      </c>
      <c r="J33" s="56" t="s">
        <v>738</v>
      </c>
    </row>
    <row r="34" spans="1:10">
      <c r="A34" t="s">
        <v>762</v>
      </c>
      <c r="B34" s="215" t="s">
        <v>66</v>
      </c>
      <c r="C34" s="157">
        <v>120</v>
      </c>
      <c r="D34" s="157">
        <f>6.75+3</f>
        <v>9.75</v>
      </c>
      <c r="E34" s="157">
        <v>0</v>
      </c>
      <c r="F34" s="157">
        <v>0</v>
      </c>
      <c r="G34" s="157">
        <f t="shared" si="6"/>
        <v>11.25</v>
      </c>
      <c r="H34" s="157">
        <f t="shared" si="7"/>
        <v>110.25</v>
      </c>
      <c r="I34" s="153" t="s">
        <v>738</v>
      </c>
      <c r="J34" s="56" t="s">
        <v>738</v>
      </c>
    </row>
    <row r="35" spans="1:10">
      <c r="A35" t="s">
        <v>72</v>
      </c>
      <c r="B35" s="215" t="s">
        <v>64</v>
      </c>
      <c r="C35" s="157">
        <v>1100</v>
      </c>
      <c r="D35" s="157">
        <v>453.75</v>
      </c>
      <c r="E35" s="157">
        <v>0</v>
      </c>
      <c r="F35" s="157">
        <v>55</v>
      </c>
      <c r="G35" s="157">
        <f t="shared" si="6"/>
        <v>-316.25</v>
      </c>
      <c r="H35" s="157">
        <f t="shared" si="7"/>
        <v>591.25</v>
      </c>
      <c r="I35" s="153" t="s">
        <v>738</v>
      </c>
      <c r="J35" s="56" t="s">
        <v>738</v>
      </c>
    </row>
    <row r="36" spans="1:10">
      <c r="A36" t="s">
        <v>763</v>
      </c>
      <c r="B36" s="215" t="s">
        <v>748</v>
      </c>
      <c r="C36" s="157">
        <v>380</v>
      </c>
      <c r="D36" s="157">
        <v>6</v>
      </c>
      <c r="E36" s="157">
        <v>0</v>
      </c>
      <c r="F36" s="157">
        <v>7.6</v>
      </c>
      <c r="G36" s="157">
        <f t="shared" si="6"/>
        <v>52.9</v>
      </c>
      <c r="H36" s="157">
        <f t="shared" si="7"/>
        <v>366.4</v>
      </c>
      <c r="I36" s="153" t="s">
        <v>738</v>
      </c>
      <c r="J36" s="56" t="s">
        <v>738</v>
      </c>
    </row>
    <row r="37" spans="1:10">
      <c r="A37" t="s">
        <v>764</v>
      </c>
      <c r="B37" s="215" t="s">
        <v>514</v>
      </c>
      <c r="C37" s="157">
        <v>150</v>
      </c>
      <c r="D37" s="157">
        <v>8</v>
      </c>
      <c r="E37" s="157">
        <v>0</v>
      </c>
      <c r="F37" s="157">
        <v>0</v>
      </c>
      <c r="G37" s="157">
        <f t="shared" si="6"/>
        <v>18.25</v>
      </c>
      <c r="H37" s="157">
        <f t="shared" si="7"/>
        <v>142</v>
      </c>
      <c r="I37" s="153" t="s">
        <v>738</v>
      </c>
      <c r="J37" s="56" t="s">
        <v>738</v>
      </c>
    </row>
    <row r="38" spans="1:10">
      <c r="A38" t="s">
        <v>765</v>
      </c>
      <c r="B38" s="215" t="s">
        <v>750</v>
      </c>
      <c r="C38" s="157">
        <v>41.76</v>
      </c>
      <c r="D38" s="157">
        <v>0</v>
      </c>
      <c r="E38" s="157">
        <v>3.72</v>
      </c>
      <c r="F38" s="157">
        <v>0</v>
      </c>
      <c r="G38" s="157">
        <f t="shared" si="6"/>
        <v>3.5879999999999987</v>
      </c>
      <c r="H38" s="157">
        <f t="shared" si="7"/>
        <v>38.04</v>
      </c>
      <c r="I38" s="153" t="s">
        <v>738</v>
      </c>
      <c r="J38" s="56" t="s">
        <v>738</v>
      </c>
    </row>
    <row r="39" spans="1:10">
      <c r="A39" t="s">
        <v>766</v>
      </c>
      <c r="B39" s="215" t="s">
        <v>55</v>
      </c>
      <c r="C39" s="157">
        <v>67.739999999999995</v>
      </c>
      <c r="D39" s="157">
        <v>0</v>
      </c>
      <c r="E39" s="157">
        <v>3.72</v>
      </c>
      <c r="F39" s="157">
        <v>0</v>
      </c>
      <c r="G39" s="157">
        <f t="shared" si="6"/>
        <v>8.1344999999999974</v>
      </c>
      <c r="H39" s="157">
        <f t="shared" si="7"/>
        <v>64.02</v>
      </c>
      <c r="I39" s="153" t="s">
        <v>738</v>
      </c>
      <c r="J39" s="56" t="s">
        <v>738</v>
      </c>
    </row>
    <row r="40" spans="1:10">
      <c r="A40" t="s">
        <v>767</v>
      </c>
      <c r="B40" s="215" t="s">
        <v>744</v>
      </c>
      <c r="C40" s="157">
        <v>67.849999999999994</v>
      </c>
      <c r="D40" s="157">
        <v>0</v>
      </c>
      <c r="E40" s="157">
        <v>3.72</v>
      </c>
      <c r="F40" s="157">
        <v>0</v>
      </c>
      <c r="G40" s="157">
        <f t="shared" si="6"/>
        <v>8.1537499999999969</v>
      </c>
      <c r="H40" s="157">
        <f t="shared" si="7"/>
        <v>64.13</v>
      </c>
      <c r="I40" s="153" t="s">
        <v>738</v>
      </c>
      <c r="J40" s="56" t="s">
        <v>738</v>
      </c>
    </row>
    <row r="41" spans="1:10">
      <c r="A41" t="s">
        <v>768</v>
      </c>
      <c r="B41" s="215" t="s">
        <v>755</v>
      </c>
      <c r="C41" s="157">
        <v>175</v>
      </c>
      <c r="D41" s="157">
        <v>0</v>
      </c>
      <c r="E41" s="157">
        <v>0</v>
      </c>
      <c r="F41" s="157">
        <v>0</v>
      </c>
      <c r="G41" s="157">
        <f t="shared" si="6"/>
        <v>30.624999999999996</v>
      </c>
      <c r="H41" s="157">
        <f t="shared" si="7"/>
        <v>175</v>
      </c>
      <c r="I41" s="153" t="s">
        <v>738</v>
      </c>
      <c r="J41" s="56" t="s">
        <v>738</v>
      </c>
    </row>
    <row r="42" spans="1:10">
      <c r="A42" t="s">
        <v>769</v>
      </c>
      <c r="B42" s="215" t="s">
        <v>750</v>
      </c>
      <c r="C42" s="157">
        <v>40</v>
      </c>
      <c r="D42" s="157">
        <v>0</v>
      </c>
      <c r="E42" s="157">
        <v>3.72</v>
      </c>
      <c r="F42" s="157">
        <v>0</v>
      </c>
      <c r="G42" s="157">
        <f t="shared" si="6"/>
        <v>3.28</v>
      </c>
      <c r="H42" s="157">
        <f t="shared" si="7"/>
        <v>36.28</v>
      </c>
      <c r="I42" s="153" t="s">
        <v>738</v>
      </c>
      <c r="J42" s="56" t="s">
        <v>738</v>
      </c>
    </row>
    <row r="43" spans="1:10">
      <c r="A43" t="s">
        <v>770</v>
      </c>
      <c r="B43" s="215" t="s">
        <v>55</v>
      </c>
      <c r="C43" s="157">
        <v>67.739999999999995</v>
      </c>
      <c r="D43" s="157">
        <v>0</v>
      </c>
      <c r="E43" s="157">
        <v>3.72</v>
      </c>
      <c r="F43" s="157">
        <v>0</v>
      </c>
      <c r="G43" s="157">
        <f t="shared" si="6"/>
        <v>8.1344999999999974</v>
      </c>
      <c r="H43" s="157">
        <f t="shared" si="7"/>
        <v>64.02</v>
      </c>
      <c r="I43" s="153" t="s">
        <v>738</v>
      </c>
      <c r="J43" s="56" t="s">
        <v>738</v>
      </c>
    </row>
    <row r="44" spans="1:10">
      <c r="A44" t="s">
        <v>771</v>
      </c>
      <c r="B44" s="215" t="s">
        <v>744</v>
      </c>
      <c r="C44" s="157">
        <v>67.849999999999994</v>
      </c>
      <c r="D44" s="157">
        <v>0</v>
      </c>
      <c r="E44" s="157">
        <v>3.72</v>
      </c>
      <c r="F44" s="157">
        <v>0</v>
      </c>
      <c r="G44" s="157">
        <f t="shared" si="6"/>
        <v>8.1537499999999969</v>
      </c>
      <c r="H44" s="157">
        <f t="shared" si="7"/>
        <v>64.13</v>
      </c>
      <c r="I44" s="153" t="s">
        <v>738</v>
      </c>
      <c r="J44" s="56" t="s">
        <v>738</v>
      </c>
    </row>
    <row r="45" spans="1:10">
      <c r="A45" t="s">
        <v>772</v>
      </c>
      <c r="B45" s="215" t="s">
        <v>746</v>
      </c>
      <c r="C45" s="157">
        <v>100</v>
      </c>
      <c r="D45" s="157">
        <v>0</v>
      </c>
      <c r="E45" s="157">
        <v>3.72</v>
      </c>
      <c r="F45" s="157">
        <v>0</v>
      </c>
      <c r="G45" s="157">
        <f t="shared" si="6"/>
        <v>13.78</v>
      </c>
      <c r="H45" s="157">
        <f t="shared" si="7"/>
        <v>96.28</v>
      </c>
      <c r="I45" s="153" t="s">
        <v>738</v>
      </c>
      <c r="J45" s="56" t="s">
        <v>738</v>
      </c>
    </row>
    <row r="46" spans="1:10">
      <c r="A46" t="s">
        <v>773</v>
      </c>
      <c r="B46" s="215" t="s">
        <v>63</v>
      </c>
      <c r="C46" s="157">
        <v>2000</v>
      </c>
      <c r="D46" s="157">
        <v>0</v>
      </c>
      <c r="E46" s="157">
        <v>0</v>
      </c>
      <c r="F46" s="157">
        <v>0</v>
      </c>
      <c r="G46" s="157">
        <f t="shared" si="6"/>
        <v>350</v>
      </c>
      <c r="H46" s="157">
        <f t="shared" si="7"/>
        <v>2000</v>
      </c>
      <c r="I46" s="153" t="s">
        <v>738</v>
      </c>
      <c r="J46" s="56" t="s">
        <v>738</v>
      </c>
    </row>
    <row r="47" spans="1:10">
      <c r="A47" t="s">
        <v>773</v>
      </c>
      <c r="B47" s="215" t="s">
        <v>63</v>
      </c>
      <c r="C47" s="157">
        <v>1000</v>
      </c>
      <c r="D47" s="157">
        <v>0</v>
      </c>
      <c r="E47" s="157">
        <v>0</v>
      </c>
      <c r="F47" s="157">
        <v>0</v>
      </c>
      <c r="G47" s="157">
        <f t="shared" si="6"/>
        <v>175</v>
      </c>
      <c r="H47" s="157">
        <f t="shared" si="7"/>
        <v>1000</v>
      </c>
      <c r="I47" s="153" t="s">
        <v>738</v>
      </c>
      <c r="J47" s="56" t="s">
        <v>738</v>
      </c>
    </row>
    <row r="48" spans="1:10">
      <c r="A48" t="s">
        <v>773</v>
      </c>
      <c r="B48" s="215" t="s">
        <v>63</v>
      </c>
      <c r="C48" s="157">
        <v>6000</v>
      </c>
      <c r="D48" s="157">
        <v>0</v>
      </c>
      <c r="E48" s="157">
        <v>0</v>
      </c>
      <c r="F48" s="157">
        <v>0</v>
      </c>
      <c r="G48" s="157">
        <f t="shared" si="6"/>
        <v>1050</v>
      </c>
      <c r="H48" s="157">
        <f t="shared" si="7"/>
        <v>6000</v>
      </c>
      <c r="I48" s="153" t="s">
        <v>738</v>
      </c>
      <c r="J48" s="56" t="s">
        <v>738</v>
      </c>
    </row>
    <row r="49" spans="1:10">
      <c r="A49" t="s">
        <v>773</v>
      </c>
      <c r="B49" s="215" t="s">
        <v>63</v>
      </c>
      <c r="C49" s="157">
        <v>4000</v>
      </c>
      <c r="D49" s="157">
        <v>0</v>
      </c>
      <c r="E49" s="157">
        <v>0</v>
      </c>
      <c r="F49" s="157">
        <v>0</v>
      </c>
      <c r="G49" s="157">
        <f t="shared" si="6"/>
        <v>700</v>
      </c>
      <c r="H49" s="157">
        <f t="shared" si="7"/>
        <v>4000</v>
      </c>
      <c r="I49" s="153" t="s">
        <v>738</v>
      </c>
      <c r="J49" s="56" t="s">
        <v>738</v>
      </c>
    </row>
    <row r="50" spans="1:10">
      <c r="A50" t="s">
        <v>773</v>
      </c>
      <c r="B50" s="215" t="s">
        <v>63</v>
      </c>
      <c r="C50" s="157">
        <v>3500</v>
      </c>
      <c r="D50" s="157">
        <v>0</v>
      </c>
      <c r="E50" s="157">
        <v>0</v>
      </c>
      <c r="F50" s="157">
        <v>0</v>
      </c>
      <c r="G50" s="157">
        <f t="shared" si="6"/>
        <v>612.5</v>
      </c>
      <c r="H50" s="157">
        <f t="shared" si="7"/>
        <v>3500</v>
      </c>
      <c r="I50" s="153" t="s">
        <v>738</v>
      </c>
      <c r="J50" s="56" t="s">
        <v>738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28.xml><?xml version="1.0" encoding="utf-8"?>
<worksheet xmlns="http://schemas.openxmlformats.org/spreadsheetml/2006/main" xmlns:r="http://schemas.openxmlformats.org/officeDocument/2006/relationships">
  <sheetPr codeName="Plan15"/>
  <dimension ref="A1:R17"/>
  <sheetViews>
    <sheetView view="pageBreakPreview" zoomScale="55" zoomScaleNormal="100" zoomScaleSheetLayoutView="55" workbookViewId="0">
      <pane xSplit="7" ySplit="1" topLeftCell="H2" activePane="bottomRight" state="frozen"/>
      <selection pane="topRight" activeCell="C1" sqref="C1"/>
      <selection pane="bottomLeft" activeCell="A2" sqref="A2"/>
      <selection pane="bottomRight" activeCell="H17" sqref="H17"/>
    </sheetView>
  </sheetViews>
  <sheetFormatPr defaultColWidth="24.140625" defaultRowHeight="15"/>
  <cols>
    <col min="1" max="1" width="14.42578125" style="56" bestFit="1" customWidth="1"/>
    <col min="2" max="2" width="4" style="56" bestFit="1" customWidth="1"/>
    <col min="3" max="3" width="14.42578125" style="56" bestFit="1" customWidth="1"/>
    <col min="4" max="4" width="11.140625" style="56" bestFit="1" customWidth="1"/>
    <col min="5" max="5" width="14.28515625" style="56" bestFit="1" customWidth="1"/>
    <col min="6" max="6" width="25.140625" style="56" customWidth="1"/>
    <col min="7" max="7" width="27.7109375" style="56" bestFit="1" customWidth="1"/>
    <col min="8" max="8" width="32.5703125" style="56" bestFit="1" customWidth="1"/>
    <col min="9" max="9" width="38.140625" style="56" bestFit="1" customWidth="1"/>
    <col min="10" max="10" width="34.28515625" style="56" bestFit="1" customWidth="1"/>
    <col min="11" max="11" width="16.7109375" style="56" bestFit="1" customWidth="1"/>
    <col min="12" max="12" width="22.85546875" style="56" customWidth="1"/>
    <col min="13" max="13" width="20.7109375" style="56" customWidth="1"/>
    <col min="14" max="14" width="24.42578125" style="56" customWidth="1"/>
    <col min="15" max="15" width="20.42578125" style="56" customWidth="1"/>
    <col min="16" max="16" width="31" style="56" bestFit="1" customWidth="1"/>
    <col min="17" max="17" width="22.140625" style="56" customWidth="1"/>
    <col min="18" max="18" width="24.85546875" style="56" customWidth="1"/>
    <col min="19" max="16384" width="24.140625" style="56"/>
  </cols>
  <sheetData>
    <row r="1" spans="1:18" s="300" customFormat="1" ht="58.5" customHeight="1">
      <c r="A1" s="314" t="s">
        <v>656</v>
      </c>
      <c r="B1" s="314" t="s">
        <v>1609</v>
      </c>
      <c r="C1" s="314" t="s">
        <v>1588</v>
      </c>
      <c r="D1" s="314" t="s">
        <v>48</v>
      </c>
      <c r="E1" s="314" t="s">
        <v>29</v>
      </c>
      <c r="F1" s="314" t="s">
        <v>1608</v>
      </c>
      <c r="G1" s="314" t="s">
        <v>666</v>
      </c>
      <c r="H1" s="314" t="s">
        <v>1516</v>
      </c>
      <c r="I1" s="314" t="s">
        <v>1518</v>
      </c>
      <c r="J1" s="314" t="s">
        <v>1527</v>
      </c>
      <c r="K1" s="314" t="s">
        <v>1520</v>
      </c>
      <c r="L1" s="314" t="s">
        <v>1592</v>
      </c>
      <c r="M1" s="314" t="s">
        <v>1595</v>
      </c>
      <c r="N1" s="314" t="s">
        <v>1521</v>
      </c>
      <c r="O1" s="314" t="s">
        <v>1529</v>
      </c>
      <c r="P1" s="314" t="s">
        <v>1523</v>
      </c>
      <c r="Q1" s="314" t="s">
        <v>1525</v>
      </c>
      <c r="R1" s="314" t="s">
        <v>1531</v>
      </c>
    </row>
    <row r="2" spans="1:18" s="407" customFormat="1" ht="60">
      <c r="A2" s="408" t="s">
        <v>55</v>
      </c>
      <c r="B2" s="408">
        <v>1</v>
      </c>
      <c r="C2" s="408" t="s">
        <v>1589</v>
      </c>
      <c r="D2" s="418" t="s">
        <v>1586</v>
      </c>
      <c r="E2" s="418" t="s">
        <v>1587</v>
      </c>
      <c r="F2" s="418" t="s">
        <v>1587</v>
      </c>
      <c r="G2" s="418" t="s">
        <v>1515</v>
      </c>
      <c r="H2" s="408" t="s">
        <v>1517</v>
      </c>
      <c r="I2" s="408" t="s">
        <v>1519</v>
      </c>
      <c r="J2" s="408" t="s">
        <v>1528</v>
      </c>
      <c r="K2" s="408" t="s">
        <v>1598</v>
      </c>
      <c r="L2" s="408" t="s">
        <v>1594</v>
      </c>
      <c r="M2" s="408" t="s">
        <v>1596</v>
      </c>
      <c r="N2" s="408" t="s">
        <v>1522</v>
      </c>
      <c r="O2" s="408" t="s">
        <v>1530</v>
      </c>
      <c r="P2" s="408" t="s">
        <v>1524</v>
      </c>
      <c r="Q2" s="408" t="s">
        <v>1526</v>
      </c>
      <c r="R2" s="408" t="s">
        <v>1532</v>
      </c>
    </row>
    <row r="3" spans="1:18" s="407" customFormat="1" ht="45">
      <c r="A3" s="408" t="s">
        <v>55</v>
      </c>
      <c r="B3" s="408">
        <v>2</v>
      </c>
      <c r="C3" s="408" t="s">
        <v>1589</v>
      </c>
      <c r="D3" s="408" t="s">
        <v>738</v>
      </c>
      <c r="E3" s="418" t="s">
        <v>1587</v>
      </c>
      <c r="F3" s="418" t="s">
        <v>1587</v>
      </c>
      <c r="G3" s="418" t="s">
        <v>1533</v>
      </c>
      <c r="H3" s="408" t="s">
        <v>1534</v>
      </c>
      <c r="I3" s="408" t="s">
        <v>1535</v>
      </c>
      <c r="J3" s="408" t="s">
        <v>1536</v>
      </c>
      <c r="K3" s="408" t="s">
        <v>1593</v>
      </c>
      <c r="L3" s="408" t="s">
        <v>1593</v>
      </c>
      <c r="M3" s="408" t="s">
        <v>1597</v>
      </c>
      <c r="N3" s="408" t="s">
        <v>1538</v>
      </c>
      <c r="O3" s="408" t="s">
        <v>1539</v>
      </c>
      <c r="P3" s="408" t="s">
        <v>1540</v>
      </c>
      <c r="Q3" s="408" t="s">
        <v>1541</v>
      </c>
      <c r="R3" s="408" t="s">
        <v>1542</v>
      </c>
    </row>
    <row r="4" spans="1:18" s="407" customFormat="1" ht="30.75" thickBot="1">
      <c r="A4" s="408" t="s">
        <v>55</v>
      </c>
      <c r="B4" s="408">
        <v>3</v>
      </c>
      <c r="C4" s="408" t="s">
        <v>1589</v>
      </c>
      <c r="D4" s="410" t="s">
        <v>738</v>
      </c>
      <c r="E4" s="419" t="s">
        <v>1587</v>
      </c>
      <c r="F4" s="410" t="s">
        <v>1607</v>
      </c>
      <c r="G4" s="410" t="s">
        <v>1537</v>
      </c>
      <c r="H4" s="410" t="s">
        <v>1543</v>
      </c>
      <c r="I4" s="410" t="s">
        <v>1519</v>
      </c>
      <c r="J4" s="410" t="s">
        <v>1528</v>
      </c>
      <c r="K4" s="410" t="s">
        <v>1594</v>
      </c>
      <c r="L4" s="410" t="s">
        <v>1594</v>
      </c>
      <c r="M4" s="410" t="s">
        <v>1597</v>
      </c>
      <c r="N4" s="408" t="s">
        <v>1544</v>
      </c>
      <c r="O4" s="408"/>
      <c r="P4" s="408" t="s">
        <v>1545</v>
      </c>
      <c r="Q4" s="408" t="s">
        <v>1546</v>
      </c>
      <c r="R4" s="408" t="s">
        <v>1542</v>
      </c>
    </row>
    <row r="5" spans="1:18" s="407" customFormat="1" ht="60">
      <c r="A5" s="408" t="s">
        <v>55</v>
      </c>
      <c r="B5" s="408">
        <v>4</v>
      </c>
      <c r="C5" s="408" t="s">
        <v>1589</v>
      </c>
      <c r="D5" s="412" t="s">
        <v>1586</v>
      </c>
      <c r="E5" s="413" t="s">
        <v>1587</v>
      </c>
      <c r="F5" s="413" t="s">
        <v>1607</v>
      </c>
      <c r="G5" s="413" t="s">
        <v>1547</v>
      </c>
      <c r="H5" s="413" t="s">
        <v>1517</v>
      </c>
      <c r="I5" s="413" t="s">
        <v>1548</v>
      </c>
      <c r="J5" s="413" t="s">
        <v>1549</v>
      </c>
      <c r="K5" s="413" t="s">
        <v>1599</v>
      </c>
      <c r="L5" s="413" t="s">
        <v>1593</v>
      </c>
      <c r="M5" s="414" t="s">
        <v>1600</v>
      </c>
      <c r="N5" s="408" t="s">
        <v>1550</v>
      </c>
      <c r="O5" s="408" t="s">
        <v>1551</v>
      </c>
      <c r="P5" s="408" t="s">
        <v>1552</v>
      </c>
      <c r="Q5" s="408" t="s">
        <v>1553</v>
      </c>
      <c r="R5" s="408" t="s">
        <v>1532</v>
      </c>
    </row>
    <row r="6" spans="1:18" s="407" customFormat="1" ht="60.75" thickBot="1">
      <c r="A6" s="408" t="s">
        <v>55</v>
      </c>
      <c r="B6" s="408">
        <v>5</v>
      </c>
      <c r="C6" s="408" t="s">
        <v>1589</v>
      </c>
      <c r="D6" s="415" t="s">
        <v>1586</v>
      </c>
      <c r="E6" s="416" t="s">
        <v>1587</v>
      </c>
      <c r="F6" s="416" t="s">
        <v>1607</v>
      </c>
      <c r="G6" s="416" t="s">
        <v>1554</v>
      </c>
      <c r="H6" s="416" t="s">
        <v>1517</v>
      </c>
      <c r="I6" s="416" t="s">
        <v>1555</v>
      </c>
      <c r="J6" s="416" t="s">
        <v>1556</v>
      </c>
      <c r="K6" s="416" t="s">
        <v>1591</v>
      </c>
      <c r="L6" s="416" t="s">
        <v>1601</v>
      </c>
      <c r="M6" s="417" t="s">
        <v>1597</v>
      </c>
      <c r="N6" s="408" t="s">
        <v>1557</v>
      </c>
      <c r="O6" s="408" t="s">
        <v>1558</v>
      </c>
      <c r="P6" s="408" t="s">
        <v>1559</v>
      </c>
      <c r="Q6" s="408" t="s">
        <v>1560</v>
      </c>
      <c r="R6" s="408" t="s">
        <v>1532</v>
      </c>
    </row>
    <row r="7" spans="1:18" s="407" customFormat="1" ht="45">
      <c r="A7" s="408" t="s">
        <v>55</v>
      </c>
      <c r="B7" s="408">
        <v>6</v>
      </c>
      <c r="C7" s="408" t="s">
        <v>1589</v>
      </c>
      <c r="D7" s="411" t="s">
        <v>738</v>
      </c>
      <c r="E7" s="420" t="s">
        <v>1587</v>
      </c>
      <c r="F7" s="411" t="s">
        <v>1607</v>
      </c>
      <c r="G7" s="411" t="s">
        <v>1561</v>
      </c>
      <c r="H7" s="411" t="s">
        <v>1562</v>
      </c>
      <c r="I7" s="411" t="s">
        <v>1563</v>
      </c>
      <c r="J7" s="411" t="s">
        <v>1564</v>
      </c>
      <c r="K7" s="411" t="s">
        <v>1594</v>
      </c>
      <c r="L7" s="411" t="s">
        <v>1594</v>
      </c>
      <c r="M7" s="411" t="s">
        <v>1602</v>
      </c>
      <c r="N7" s="408" t="s">
        <v>1565</v>
      </c>
      <c r="O7" s="408"/>
      <c r="P7" s="408" t="s">
        <v>1566</v>
      </c>
      <c r="Q7" s="408"/>
      <c r="R7" s="408" t="s">
        <v>1567</v>
      </c>
    </row>
    <row r="8" spans="1:18" s="407" customFormat="1" ht="60">
      <c r="A8" s="408" t="s">
        <v>55</v>
      </c>
      <c r="B8" s="408">
        <v>7</v>
      </c>
      <c r="C8" s="408" t="s">
        <v>1590</v>
      </c>
      <c r="D8" s="408" t="s">
        <v>738</v>
      </c>
      <c r="E8" s="418" t="s">
        <v>1587</v>
      </c>
      <c r="F8" s="408" t="s">
        <v>1607</v>
      </c>
      <c r="G8" s="408" t="s">
        <v>1569</v>
      </c>
      <c r="H8" s="408" t="s">
        <v>1517</v>
      </c>
      <c r="I8" s="408" t="s">
        <v>1606</v>
      </c>
      <c r="J8" s="408" t="s">
        <v>1570</v>
      </c>
      <c r="K8" s="408" t="s">
        <v>1594</v>
      </c>
      <c r="L8" s="408" t="s">
        <v>1603</v>
      </c>
      <c r="M8" s="408" t="s">
        <v>1602</v>
      </c>
      <c r="N8" s="408" t="s">
        <v>1571</v>
      </c>
      <c r="O8" s="408" t="s">
        <v>1572</v>
      </c>
      <c r="P8" s="408" t="s">
        <v>1573</v>
      </c>
      <c r="Q8" s="408" t="s">
        <v>1541</v>
      </c>
      <c r="R8" s="408" t="s">
        <v>1532</v>
      </c>
    </row>
    <row r="9" spans="1:18" s="407" customFormat="1" ht="45">
      <c r="A9" s="408" t="s">
        <v>55</v>
      </c>
      <c r="B9" s="408">
        <v>8</v>
      </c>
      <c r="C9" s="408" t="s">
        <v>1590</v>
      </c>
      <c r="D9" s="408" t="s">
        <v>738</v>
      </c>
      <c r="E9" s="408" t="s">
        <v>1618</v>
      </c>
      <c r="F9" s="408" t="s">
        <v>1607</v>
      </c>
      <c r="G9" s="408" t="s">
        <v>1515</v>
      </c>
      <c r="H9" s="408" t="s">
        <v>1534</v>
      </c>
      <c r="I9" s="408" t="s">
        <v>1574</v>
      </c>
      <c r="J9" s="408" t="s">
        <v>1575</v>
      </c>
      <c r="K9" s="408" t="s">
        <v>1593</v>
      </c>
      <c r="L9" s="408" t="s">
        <v>1605</v>
      </c>
      <c r="M9" s="408" t="s">
        <v>1604</v>
      </c>
      <c r="N9" s="408" t="s">
        <v>1576</v>
      </c>
      <c r="O9" s="408" t="s">
        <v>1577</v>
      </c>
      <c r="P9" s="408" t="s">
        <v>1578</v>
      </c>
      <c r="Q9" s="408" t="s">
        <v>1579</v>
      </c>
      <c r="R9" s="408" t="s">
        <v>1542</v>
      </c>
    </row>
    <row r="10" spans="1:18" ht="45">
      <c r="A10" s="408" t="s">
        <v>55</v>
      </c>
      <c r="B10" s="408">
        <v>9</v>
      </c>
      <c r="C10" s="408" t="s">
        <v>1590</v>
      </c>
      <c r="D10" s="408" t="s">
        <v>738</v>
      </c>
      <c r="E10" s="318" t="s">
        <v>1619</v>
      </c>
      <c r="F10" s="318" t="s">
        <v>1607</v>
      </c>
      <c r="G10" s="318" t="s">
        <v>1580</v>
      </c>
      <c r="H10" s="408" t="s">
        <v>1517</v>
      </c>
      <c r="I10" s="408" t="s">
        <v>1519</v>
      </c>
      <c r="J10" s="408" t="s">
        <v>1568</v>
      </c>
      <c r="K10" s="318" t="s">
        <v>1594</v>
      </c>
      <c r="L10" s="318" t="s">
        <v>1594</v>
      </c>
      <c r="M10" s="318" t="s">
        <v>1597</v>
      </c>
      <c r="N10" s="408" t="s">
        <v>1581</v>
      </c>
      <c r="O10" s="408" t="s">
        <v>1582</v>
      </c>
      <c r="P10" s="408" t="s">
        <v>1583</v>
      </c>
      <c r="Q10" s="409" t="s">
        <v>1584</v>
      </c>
      <c r="R10" s="408" t="s">
        <v>1585</v>
      </c>
    </row>
    <row r="11" spans="1:18" s="407" customFormat="1" ht="45">
      <c r="A11" s="408" t="s">
        <v>55</v>
      </c>
      <c r="B11" s="408">
        <v>10</v>
      </c>
      <c r="C11" s="408" t="s">
        <v>1590</v>
      </c>
      <c r="D11" s="408" t="s">
        <v>738</v>
      </c>
      <c r="E11" s="408" t="s">
        <v>1618</v>
      </c>
      <c r="F11" s="408" t="s">
        <v>1607</v>
      </c>
      <c r="G11" s="408" t="s">
        <v>1537</v>
      </c>
      <c r="H11" s="408" t="s">
        <v>1610</v>
      </c>
      <c r="I11" s="408" t="s">
        <v>1611</v>
      </c>
      <c r="J11" s="408" t="s">
        <v>1612</v>
      </c>
      <c r="K11" s="408" t="s">
        <v>1613</v>
      </c>
      <c r="L11" s="318" t="s">
        <v>1594</v>
      </c>
      <c r="M11" s="408" t="s">
        <v>1614</v>
      </c>
      <c r="N11" s="408" t="s">
        <v>1615</v>
      </c>
      <c r="O11" s="408" t="s">
        <v>1616</v>
      </c>
      <c r="P11" s="408" t="s">
        <v>1578</v>
      </c>
      <c r="Q11" s="408" t="s">
        <v>1617</v>
      </c>
      <c r="R11" s="408" t="s">
        <v>1542</v>
      </c>
    </row>
    <row r="14" spans="1:18" ht="15.75" thickBot="1"/>
    <row r="15" spans="1:18" ht="60.75" thickBot="1">
      <c r="H15" s="421" t="s">
        <v>1621</v>
      </c>
    </row>
    <row r="17" spans="8:8" ht="75">
      <c r="H17" s="422" t="s">
        <v>1620</v>
      </c>
    </row>
  </sheetData>
  <hyperlinks>
    <hyperlink ref="Q10" r:id="rId1" display="\\LENE\EPSON TX300F Series"/>
  </hyperlinks>
  <pageMargins left="0.22" right="0.31496062992125984" top="0.47244094488188981" bottom="0.47244094488188981" header="0.31496062992125984" footer="0.31496062992125984"/>
  <pageSetup paperSize="9" scale="36" orientation="landscape" r:id="rId2"/>
</worksheet>
</file>

<file path=xl/worksheets/sheet29.xml><?xml version="1.0" encoding="utf-8"?>
<worksheet xmlns="http://schemas.openxmlformats.org/spreadsheetml/2006/main" xmlns:r="http://schemas.openxmlformats.org/officeDocument/2006/relationships">
  <sheetPr codeName="Plan22"/>
  <dimension ref="A1:Q20"/>
  <sheetViews>
    <sheetView view="pageBreakPreview" zoomScale="55" zoomScaleNormal="100" zoomScaleSheetLayoutView="55" workbookViewId="0">
      <pane xSplit="7" ySplit="1" topLeftCell="H2" activePane="bottomRight" state="frozen"/>
      <selection pane="topRight" activeCell="C1" sqref="C1"/>
      <selection pane="bottomLeft" activeCell="A2" sqref="A2"/>
      <selection pane="bottomRight" activeCell="R1" sqref="R1:R1048576"/>
    </sheetView>
  </sheetViews>
  <sheetFormatPr defaultColWidth="24.140625" defaultRowHeight="15"/>
  <cols>
    <col min="1" max="1" width="14.42578125" style="56" bestFit="1" customWidth="1"/>
    <col min="2" max="2" width="4" style="56" bestFit="1" customWidth="1"/>
    <col min="3" max="3" width="16.5703125" style="56" bestFit="1" customWidth="1"/>
    <col min="4" max="4" width="11.140625" style="56" bestFit="1" customWidth="1"/>
    <col min="5" max="5" width="14.28515625" style="56" bestFit="1" customWidth="1"/>
    <col min="6" max="6" width="25.140625" style="56" customWidth="1"/>
    <col min="7" max="7" width="27.7109375" style="56" bestFit="1" customWidth="1"/>
    <col min="8" max="8" width="32.5703125" style="56" bestFit="1" customWidth="1"/>
    <col min="9" max="9" width="38.140625" style="56" bestFit="1" customWidth="1"/>
    <col min="10" max="10" width="34.28515625" style="56" bestFit="1" customWidth="1"/>
    <col min="11" max="11" width="16.7109375" style="56" bestFit="1" customWidth="1"/>
    <col min="12" max="12" width="22.85546875" style="56" customWidth="1"/>
    <col min="13" max="13" width="20.7109375" style="56" customWidth="1"/>
    <col min="14" max="14" width="24.42578125" style="56" customWidth="1"/>
    <col min="15" max="15" width="20.42578125" style="56" customWidth="1"/>
    <col min="16" max="16" width="31" style="56" bestFit="1" customWidth="1"/>
    <col min="17" max="17" width="22.140625" style="56" customWidth="1"/>
    <col min="18" max="16384" width="24.140625" style="56"/>
  </cols>
  <sheetData>
    <row r="1" spans="1:17" s="300" customFormat="1" ht="58.5" customHeight="1">
      <c r="A1" s="314" t="s">
        <v>656</v>
      </c>
      <c r="B1" s="314" t="s">
        <v>1609</v>
      </c>
      <c r="C1" s="314" t="s">
        <v>1588</v>
      </c>
      <c r="D1" s="314" t="s">
        <v>48</v>
      </c>
      <c r="E1" s="314" t="s">
        <v>29</v>
      </c>
      <c r="F1" s="314" t="s">
        <v>1608</v>
      </c>
      <c r="G1" s="314" t="s">
        <v>666</v>
      </c>
      <c r="H1" s="314" t="s">
        <v>1516</v>
      </c>
      <c r="I1" s="314" t="s">
        <v>1518</v>
      </c>
      <c r="J1" s="314" t="s">
        <v>1527</v>
      </c>
      <c r="K1" s="314" t="s">
        <v>1520</v>
      </c>
      <c r="L1" s="314" t="s">
        <v>1592</v>
      </c>
      <c r="M1" s="314" t="s">
        <v>1595</v>
      </c>
      <c r="N1" s="314" t="s">
        <v>1521</v>
      </c>
      <c r="O1" s="314" t="s">
        <v>1529</v>
      </c>
      <c r="P1" s="314" t="s">
        <v>1523</v>
      </c>
      <c r="Q1" s="314" t="s">
        <v>1525</v>
      </c>
    </row>
    <row r="2" spans="1:17" s="425" customFormat="1" ht="45">
      <c r="A2" s="423" t="s">
        <v>55</v>
      </c>
      <c r="B2" s="423">
        <v>1</v>
      </c>
      <c r="C2" s="423" t="s">
        <v>1589</v>
      </c>
      <c r="D2" s="424" t="s">
        <v>1586</v>
      </c>
      <c r="E2" s="424" t="s">
        <v>1587</v>
      </c>
      <c r="F2" s="426" t="s">
        <v>738</v>
      </c>
      <c r="G2" s="424" t="s">
        <v>1515</v>
      </c>
      <c r="H2" s="423" t="s">
        <v>1517</v>
      </c>
      <c r="I2" s="423" t="s">
        <v>1519</v>
      </c>
      <c r="J2" s="423" t="s">
        <v>1528</v>
      </c>
      <c r="K2" s="423" t="s">
        <v>1598</v>
      </c>
      <c r="L2" s="423" t="s">
        <v>1594</v>
      </c>
      <c r="M2" s="423" t="s">
        <v>1596</v>
      </c>
      <c r="N2" s="423" t="s">
        <v>1522</v>
      </c>
      <c r="O2" s="423" t="s">
        <v>1530</v>
      </c>
      <c r="P2" s="423" t="s">
        <v>1524</v>
      </c>
      <c r="Q2" s="423" t="s">
        <v>1526</v>
      </c>
    </row>
    <row r="3" spans="1:17" s="425" customFormat="1" ht="45">
      <c r="A3" s="423" t="s">
        <v>55</v>
      </c>
      <c r="B3" s="423">
        <v>2</v>
      </c>
      <c r="C3" s="423" t="s">
        <v>1589</v>
      </c>
      <c r="D3" s="424" t="s">
        <v>738</v>
      </c>
      <c r="E3" s="424" t="s">
        <v>1587</v>
      </c>
      <c r="F3" s="426" t="s">
        <v>738</v>
      </c>
      <c r="G3" s="424" t="s">
        <v>1533</v>
      </c>
      <c r="H3" s="423" t="s">
        <v>1534</v>
      </c>
      <c r="I3" s="423" t="s">
        <v>1535</v>
      </c>
      <c r="J3" s="423" t="s">
        <v>1536</v>
      </c>
      <c r="K3" s="423" t="s">
        <v>1593</v>
      </c>
      <c r="L3" s="423" t="s">
        <v>1593</v>
      </c>
      <c r="M3" s="423" t="s">
        <v>1597</v>
      </c>
      <c r="N3" s="423" t="s">
        <v>1538</v>
      </c>
      <c r="O3" s="423" t="s">
        <v>1539</v>
      </c>
      <c r="P3" s="423" t="s">
        <v>1540</v>
      </c>
      <c r="Q3" s="423" t="s">
        <v>1541</v>
      </c>
    </row>
    <row r="4" spans="1:17" s="425" customFormat="1" ht="30">
      <c r="A4" s="423" t="s">
        <v>55</v>
      </c>
      <c r="B4" s="423">
        <v>3</v>
      </c>
      <c r="C4" s="423" t="s">
        <v>1589</v>
      </c>
      <c r="D4" s="424" t="s">
        <v>738</v>
      </c>
      <c r="E4" s="424" t="s">
        <v>1587</v>
      </c>
      <c r="F4" s="426" t="s">
        <v>738</v>
      </c>
      <c r="G4" s="424" t="s">
        <v>1537</v>
      </c>
      <c r="H4" s="423" t="s">
        <v>1543</v>
      </c>
      <c r="I4" s="423" t="s">
        <v>1519</v>
      </c>
      <c r="J4" s="423" t="s">
        <v>1528</v>
      </c>
      <c r="K4" s="423" t="s">
        <v>1594</v>
      </c>
      <c r="L4" s="423" t="s">
        <v>1594</v>
      </c>
      <c r="M4" s="423" t="s">
        <v>1597</v>
      </c>
      <c r="N4" s="423" t="s">
        <v>1544</v>
      </c>
      <c r="O4" s="423"/>
      <c r="P4" s="423" t="s">
        <v>1545</v>
      </c>
      <c r="Q4" s="423" t="s">
        <v>1546</v>
      </c>
    </row>
    <row r="5" spans="1:17" s="425" customFormat="1" ht="45">
      <c r="A5" s="423" t="s">
        <v>55</v>
      </c>
      <c r="B5" s="423">
        <v>4</v>
      </c>
      <c r="C5" s="423" t="s">
        <v>1589</v>
      </c>
      <c r="D5" s="424" t="s">
        <v>1586</v>
      </c>
      <c r="E5" s="424" t="s">
        <v>1587</v>
      </c>
      <c r="F5" s="426" t="s">
        <v>738</v>
      </c>
      <c r="G5" s="424" t="s">
        <v>1547</v>
      </c>
      <c r="H5" s="423" t="s">
        <v>1517</v>
      </c>
      <c r="I5" s="423" t="s">
        <v>1548</v>
      </c>
      <c r="J5" s="423" t="s">
        <v>1549</v>
      </c>
      <c r="K5" s="423" t="s">
        <v>1599</v>
      </c>
      <c r="L5" s="423" t="s">
        <v>1593</v>
      </c>
      <c r="M5" s="423" t="s">
        <v>1600</v>
      </c>
      <c r="N5" s="423" t="s">
        <v>1550</v>
      </c>
      <c r="O5" s="423" t="s">
        <v>1551</v>
      </c>
      <c r="P5" s="423" t="s">
        <v>1552</v>
      </c>
      <c r="Q5" s="423" t="s">
        <v>1553</v>
      </c>
    </row>
    <row r="6" spans="1:17" s="425" customFormat="1" ht="45">
      <c r="A6" s="423" t="s">
        <v>55</v>
      </c>
      <c r="B6" s="423">
        <v>5</v>
      </c>
      <c r="C6" s="423" t="s">
        <v>1589</v>
      </c>
      <c r="D6" s="424" t="s">
        <v>1586</v>
      </c>
      <c r="E6" s="424" t="s">
        <v>1587</v>
      </c>
      <c r="F6" s="426" t="s">
        <v>738</v>
      </c>
      <c r="G6" s="424" t="s">
        <v>1554</v>
      </c>
      <c r="H6" s="423" t="s">
        <v>1517</v>
      </c>
      <c r="I6" s="423" t="s">
        <v>1555</v>
      </c>
      <c r="J6" s="423" t="s">
        <v>1556</v>
      </c>
      <c r="K6" s="423" t="s">
        <v>1591</v>
      </c>
      <c r="L6" s="423" t="s">
        <v>1601</v>
      </c>
      <c r="M6" s="423" t="s">
        <v>1597</v>
      </c>
      <c r="N6" s="423" t="s">
        <v>1557</v>
      </c>
      <c r="O6" s="423" t="s">
        <v>1558</v>
      </c>
      <c r="P6" s="423" t="s">
        <v>1559</v>
      </c>
      <c r="Q6" s="423" t="s">
        <v>1560</v>
      </c>
    </row>
    <row r="7" spans="1:17" s="425" customFormat="1" ht="30">
      <c r="A7" s="423" t="s">
        <v>55</v>
      </c>
      <c r="B7" s="423">
        <v>6</v>
      </c>
      <c r="C7" s="423" t="s">
        <v>1589</v>
      </c>
      <c r="D7" s="424" t="s">
        <v>738</v>
      </c>
      <c r="E7" s="424" t="s">
        <v>1587</v>
      </c>
      <c r="F7" s="426" t="s">
        <v>738</v>
      </c>
      <c r="G7" s="424" t="s">
        <v>1561</v>
      </c>
      <c r="H7" s="423" t="s">
        <v>1562</v>
      </c>
      <c r="I7" s="423" t="s">
        <v>1563</v>
      </c>
      <c r="J7" s="423" t="s">
        <v>1564</v>
      </c>
      <c r="K7" s="423" t="s">
        <v>1594</v>
      </c>
      <c r="L7" s="423" t="s">
        <v>1594</v>
      </c>
      <c r="M7" s="423" t="s">
        <v>1602</v>
      </c>
      <c r="N7" s="423" t="s">
        <v>1565</v>
      </c>
      <c r="O7" s="423"/>
      <c r="P7" s="423" t="s">
        <v>1566</v>
      </c>
      <c r="Q7" s="423"/>
    </row>
    <row r="8" spans="1:17" s="425" customFormat="1" ht="45">
      <c r="A8" s="423" t="s">
        <v>55</v>
      </c>
      <c r="B8" s="423">
        <v>7</v>
      </c>
      <c r="C8" s="423" t="s">
        <v>1590</v>
      </c>
      <c r="D8" s="424" t="s">
        <v>738</v>
      </c>
      <c r="E8" s="424" t="s">
        <v>1587</v>
      </c>
      <c r="F8" s="426" t="s">
        <v>738</v>
      </c>
      <c r="G8" s="424" t="s">
        <v>1569</v>
      </c>
      <c r="H8" s="423" t="s">
        <v>1517</v>
      </c>
      <c r="I8" s="423" t="s">
        <v>1606</v>
      </c>
      <c r="J8" s="423" t="s">
        <v>1570</v>
      </c>
      <c r="K8" s="423" t="s">
        <v>1594</v>
      </c>
      <c r="L8" s="423" t="s">
        <v>1603</v>
      </c>
      <c r="M8" s="423" t="s">
        <v>1602</v>
      </c>
      <c r="N8" s="423" t="s">
        <v>1571</v>
      </c>
      <c r="O8" s="423" t="s">
        <v>1572</v>
      </c>
      <c r="P8" s="423" t="s">
        <v>1573</v>
      </c>
      <c r="Q8" s="423" t="s">
        <v>1541</v>
      </c>
    </row>
    <row r="9" spans="1:17" s="425" customFormat="1" ht="45">
      <c r="A9" s="423" t="s">
        <v>55</v>
      </c>
      <c r="B9" s="423">
        <v>8</v>
      </c>
      <c r="C9" s="423" t="s">
        <v>1590</v>
      </c>
      <c r="D9" s="424" t="s">
        <v>738</v>
      </c>
      <c r="E9" s="424" t="s">
        <v>1618</v>
      </c>
      <c r="F9" s="426" t="s">
        <v>738</v>
      </c>
      <c r="G9" s="424" t="s">
        <v>1515</v>
      </c>
      <c r="H9" s="423" t="s">
        <v>1534</v>
      </c>
      <c r="I9" s="423" t="s">
        <v>1574</v>
      </c>
      <c r="J9" s="423" t="s">
        <v>1575</v>
      </c>
      <c r="K9" s="423" t="s">
        <v>1593</v>
      </c>
      <c r="L9" s="423" t="s">
        <v>1605</v>
      </c>
      <c r="M9" s="423" t="s">
        <v>1604</v>
      </c>
      <c r="N9" s="423" t="s">
        <v>1576</v>
      </c>
      <c r="O9" s="423" t="s">
        <v>1577</v>
      </c>
      <c r="P9" s="423" t="s">
        <v>1578</v>
      </c>
      <c r="Q9" s="423" t="s">
        <v>1579</v>
      </c>
    </row>
    <row r="10" spans="1:17" s="425" customFormat="1" ht="45">
      <c r="A10" s="423" t="s">
        <v>55</v>
      </c>
      <c r="B10" s="423">
        <v>9</v>
      </c>
      <c r="C10" s="423" t="s">
        <v>1590</v>
      </c>
      <c r="D10" s="424" t="s">
        <v>738</v>
      </c>
      <c r="E10" s="424" t="s">
        <v>1619</v>
      </c>
      <c r="F10" s="426" t="s">
        <v>738</v>
      </c>
      <c r="G10" s="424" t="s">
        <v>1580</v>
      </c>
      <c r="H10" s="423" t="s">
        <v>1517</v>
      </c>
      <c r="I10" s="423" t="s">
        <v>1519</v>
      </c>
      <c r="J10" s="423" t="s">
        <v>1568</v>
      </c>
      <c r="K10" s="423" t="s">
        <v>1594</v>
      </c>
      <c r="L10" s="423" t="s">
        <v>1594</v>
      </c>
      <c r="M10" s="423" t="s">
        <v>1597</v>
      </c>
      <c r="N10" s="423" t="s">
        <v>1581</v>
      </c>
      <c r="O10" s="423" t="s">
        <v>1582</v>
      </c>
      <c r="P10" s="423" t="s">
        <v>1583</v>
      </c>
      <c r="Q10" s="423" t="s">
        <v>1584</v>
      </c>
    </row>
    <row r="11" spans="1:17" s="425" customFormat="1" ht="45">
      <c r="A11" s="423" t="s">
        <v>55</v>
      </c>
      <c r="B11" s="423">
        <v>10</v>
      </c>
      <c r="C11" s="423" t="s">
        <v>1590</v>
      </c>
      <c r="D11" s="424" t="s">
        <v>738</v>
      </c>
      <c r="E11" s="424" t="s">
        <v>1618</v>
      </c>
      <c r="F11" s="426" t="s">
        <v>738</v>
      </c>
      <c r="G11" s="424" t="s">
        <v>1537</v>
      </c>
      <c r="H11" s="423" t="s">
        <v>1610</v>
      </c>
      <c r="I11" s="423" t="s">
        <v>1611</v>
      </c>
      <c r="J11" s="423" t="s">
        <v>1612</v>
      </c>
      <c r="K11" s="423" t="s">
        <v>1613</v>
      </c>
      <c r="L11" s="423" t="s">
        <v>1594</v>
      </c>
      <c r="M11" s="423" t="s">
        <v>1614</v>
      </c>
      <c r="N11" s="423" t="s">
        <v>1615</v>
      </c>
      <c r="O11" s="423" t="s">
        <v>1616</v>
      </c>
      <c r="P11" s="423" t="s">
        <v>1578</v>
      </c>
      <c r="Q11" s="423" t="s">
        <v>1617</v>
      </c>
    </row>
    <row r="12" spans="1:17" s="425" customFormat="1" ht="45">
      <c r="A12" s="408" t="s">
        <v>1533</v>
      </c>
      <c r="B12" s="423">
        <v>0</v>
      </c>
      <c r="C12" s="408" t="s">
        <v>1640</v>
      </c>
      <c r="D12" s="426" t="s">
        <v>738</v>
      </c>
      <c r="E12" s="426" t="s">
        <v>1632</v>
      </c>
      <c r="F12" s="426" t="s">
        <v>738</v>
      </c>
      <c r="G12" s="426" t="s">
        <v>1533</v>
      </c>
      <c r="H12" s="408" t="s">
        <v>1517</v>
      </c>
      <c r="I12" s="408" t="s">
        <v>1633</v>
      </c>
      <c r="J12" s="408" t="s">
        <v>1634</v>
      </c>
      <c r="K12" s="408" t="s">
        <v>1635</v>
      </c>
      <c r="L12" s="408" t="s">
        <v>1603</v>
      </c>
      <c r="M12" s="408" t="s">
        <v>1597</v>
      </c>
      <c r="N12" s="408" t="s">
        <v>1636</v>
      </c>
      <c r="O12" s="408" t="s">
        <v>1637</v>
      </c>
      <c r="P12" s="408" t="s">
        <v>1638</v>
      </c>
      <c r="Q12" s="408" t="s">
        <v>1639</v>
      </c>
    </row>
    <row r="13" spans="1:17" s="425" customFormat="1" ht="75">
      <c r="A13" s="408" t="s">
        <v>1622</v>
      </c>
      <c r="B13" s="423">
        <v>0</v>
      </c>
      <c r="C13" s="408" t="s">
        <v>1623</v>
      </c>
      <c r="D13" s="426" t="s">
        <v>738</v>
      </c>
      <c r="E13" s="424" t="s">
        <v>1619</v>
      </c>
      <c r="F13" s="426" t="s">
        <v>738</v>
      </c>
      <c r="G13" s="426" t="s">
        <v>1622</v>
      </c>
      <c r="H13" s="408" t="s">
        <v>1543</v>
      </c>
      <c r="I13" s="408" t="s">
        <v>1624</v>
      </c>
      <c r="J13" s="408" t="s">
        <v>1625</v>
      </c>
      <c r="K13" s="408" t="s">
        <v>1626</v>
      </c>
      <c r="L13" s="423"/>
      <c r="M13" s="408" t="s">
        <v>1627</v>
      </c>
      <c r="N13" s="408" t="s">
        <v>1628</v>
      </c>
      <c r="O13" s="408" t="s">
        <v>1629</v>
      </c>
      <c r="P13" s="408" t="s">
        <v>1630</v>
      </c>
      <c r="Q13" s="408" t="s">
        <v>1631</v>
      </c>
    </row>
    <row r="14" spans="1:17" s="425" customFormat="1" ht="30">
      <c r="A14" s="408" t="s">
        <v>1641</v>
      </c>
      <c r="B14" s="423">
        <v>1</v>
      </c>
      <c r="C14" s="408" t="s">
        <v>1642</v>
      </c>
      <c r="D14" s="426" t="s">
        <v>738</v>
      </c>
      <c r="E14" s="426"/>
      <c r="F14" s="426" t="s">
        <v>738</v>
      </c>
      <c r="G14" s="426" t="s">
        <v>1643</v>
      </c>
      <c r="H14" s="408" t="s">
        <v>1644</v>
      </c>
      <c r="I14" s="408" t="s">
        <v>1645</v>
      </c>
      <c r="J14" s="408" t="s">
        <v>1646</v>
      </c>
      <c r="K14" s="408" t="s">
        <v>1647</v>
      </c>
      <c r="L14" s="408"/>
      <c r="M14" s="408"/>
      <c r="N14" s="408" t="s">
        <v>1648</v>
      </c>
      <c r="O14" s="408" t="s">
        <v>1649</v>
      </c>
      <c r="P14" s="408" t="s">
        <v>1650</v>
      </c>
      <c r="Q14" s="408" t="s">
        <v>1651</v>
      </c>
    </row>
    <row r="15" spans="1:17" s="425" customFormat="1" ht="30">
      <c r="A15" s="408" t="s">
        <v>1641</v>
      </c>
      <c r="B15" s="423">
        <v>2</v>
      </c>
      <c r="C15" s="408" t="s">
        <v>1642</v>
      </c>
      <c r="D15" s="426"/>
      <c r="E15" s="426"/>
      <c r="F15" s="426" t="s">
        <v>738</v>
      </c>
      <c r="G15" s="426" t="s">
        <v>1652</v>
      </c>
      <c r="H15" s="408" t="s">
        <v>1653</v>
      </c>
      <c r="I15" s="408" t="s">
        <v>1654</v>
      </c>
      <c r="J15" s="408" t="s">
        <v>1655</v>
      </c>
      <c r="K15" s="408" t="s">
        <v>1656</v>
      </c>
      <c r="L15" s="408"/>
      <c r="M15" s="408"/>
      <c r="N15" s="408" t="s">
        <v>1657</v>
      </c>
      <c r="O15" s="408" t="s">
        <v>1658</v>
      </c>
      <c r="P15" s="408" t="s">
        <v>1659</v>
      </c>
      <c r="Q15" s="408"/>
    </row>
    <row r="16" spans="1:17" s="425" customFormat="1">
      <c r="A16" s="408"/>
      <c r="B16" s="423"/>
      <c r="C16" s="408"/>
      <c r="D16" s="426"/>
      <c r="E16" s="426"/>
      <c r="F16" s="426"/>
      <c r="G16" s="426"/>
      <c r="H16" s="408"/>
      <c r="I16" s="408"/>
      <c r="J16" s="408"/>
      <c r="K16" s="408"/>
      <c r="L16" s="408"/>
      <c r="M16" s="408"/>
      <c r="N16" s="408"/>
      <c r="O16" s="408"/>
      <c r="P16" s="408"/>
      <c r="Q16" s="408"/>
    </row>
    <row r="17" spans="1:17" s="425" customFormat="1">
      <c r="A17" s="408"/>
      <c r="B17" s="423"/>
      <c r="C17" s="408"/>
      <c r="D17" s="426"/>
      <c r="E17" s="426"/>
      <c r="F17" s="426"/>
      <c r="G17" s="426"/>
      <c r="H17" s="408"/>
      <c r="I17" s="408"/>
      <c r="J17" s="408"/>
      <c r="K17" s="408"/>
      <c r="L17" s="408"/>
      <c r="M17" s="408"/>
      <c r="N17" s="408"/>
      <c r="O17" s="408"/>
      <c r="P17" s="408"/>
      <c r="Q17" s="408"/>
    </row>
    <row r="18" spans="1:17" s="425" customFormat="1">
      <c r="A18" s="408"/>
      <c r="B18" s="423"/>
      <c r="C18" s="408"/>
      <c r="D18" s="426"/>
      <c r="E18" s="426"/>
      <c r="F18" s="426"/>
      <c r="G18" s="426"/>
      <c r="H18" s="408"/>
      <c r="I18" s="408"/>
      <c r="J18" s="408"/>
      <c r="K18" s="408"/>
      <c r="L18" s="408"/>
      <c r="M18" s="408"/>
      <c r="N18" s="408"/>
      <c r="O18" s="408"/>
      <c r="P18" s="408"/>
      <c r="Q18" s="408"/>
    </row>
    <row r="19" spans="1:17" s="425" customFormat="1">
      <c r="A19" s="408"/>
      <c r="B19" s="423"/>
      <c r="C19" s="408"/>
      <c r="D19" s="426"/>
      <c r="E19" s="426"/>
      <c r="F19" s="426"/>
      <c r="G19" s="426"/>
      <c r="H19" s="408"/>
      <c r="I19" s="408"/>
      <c r="J19" s="408"/>
      <c r="K19" s="408"/>
      <c r="L19" s="408"/>
      <c r="M19" s="408"/>
      <c r="N19" s="408"/>
      <c r="O19" s="408"/>
      <c r="P19" s="408"/>
      <c r="Q19" s="408"/>
    </row>
    <row r="20" spans="1:17" s="425" customFormat="1">
      <c r="A20" s="408"/>
      <c r="B20" s="423"/>
      <c r="C20" s="408"/>
      <c r="D20" s="426"/>
      <c r="E20" s="424"/>
      <c r="F20" s="426"/>
      <c r="G20" s="426"/>
      <c r="H20" s="408"/>
      <c r="I20" s="408"/>
      <c r="J20" s="408"/>
      <c r="K20" s="408"/>
      <c r="L20" s="423"/>
      <c r="M20" s="408"/>
      <c r="N20" s="408"/>
      <c r="O20" s="408"/>
      <c r="P20" s="408"/>
      <c r="Q20" s="408"/>
    </row>
  </sheetData>
  <hyperlinks>
    <hyperlink ref="Q10" r:id="rId1" display="\\LENE\EPSON TX300F Series"/>
  </hyperlinks>
  <pageMargins left="0.22" right="0.31496062992125984" top="0.47244094488188981" bottom="0.47244094488188981" header="0.31496062992125984" footer="0.31496062992125984"/>
  <pageSetup paperSize="9" scale="36" orientation="landscape" r:id="rId2"/>
</worksheet>
</file>

<file path=customUI/customUI.xml><?xml version="1.0" encoding="utf-8"?>
<customUI xmlns="http://schemas.microsoft.com/office/2006/01/customui">
  <ribbon startFromScratch="false">
    <tabs>
      <tab id="CT1" label="ADMINISTRAÇÃO">
        <group id="Grp1" label="SERVIÇOS">
          <button id="Btn1" label="ORDEM DE SERVIÇO" size="large" onAction="CadastroOrdemServicos" imageMso="DataFormExcel"/>
        </group>
        <group id="Grp2" label="TRANSAÇÕES">
          <button id="Btn2" label="DESPESA" size="large" onAction="CadastroDespesas" imageMso="MinusSign"/>
          <button id="Btn3" label="RECEITA" size="large" onAction="CadastroReceitas" imageMso="PlusSign"/>
          <button id="Btn4" label="PLANO DE CONTAS" size="large" onAction="CadastroPlanosContas" imageMso="TableInsertExcel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29</vt:i4>
      </vt:variant>
      <vt:variant>
        <vt:lpstr>Intervalos nomeados</vt:lpstr>
      </vt:variant>
      <vt:variant>
        <vt:i4>18</vt:i4>
      </vt:variant>
    </vt:vector>
  </HeadingPairs>
  <TitlesOfParts>
    <vt:vector size="47" baseType="lpstr">
      <vt:lpstr>140825-1320</vt:lpstr>
      <vt:lpstr>140815-0800</vt:lpstr>
      <vt:lpstr>140815-0830</vt:lpstr>
      <vt:lpstr>140815-0900</vt:lpstr>
      <vt:lpstr>HORAS TRABALHADAS</vt:lpstr>
      <vt:lpstr>CALENDARIO - 2015</vt:lpstr>
      <vt:lpstr>DESAFIO</vt:lpstr>
      <vt:lpstr>0740.70571-0</vt:lpstr>
      <vt:lpstr>jun-2013</vt:lpstr>
      <vt:lpstr>MOVIMENTO</vt:lpstr>
      <vt:lpstr>Plan2</vt:lpstr>
      <vt:lpstr>Plan1</vt:lpstr>
      <vt:lpstr>2014</vt:lpstr>
      <vt:lpstr>2013</vt:lpstr>
      <vt:lpstr>PContas</vt:lpstr>
      <vt:lpstr>140515-1345</vt:lpstr>
      <vt:lpstr>140602-1548</vt:lpstr>
      <vt:lpstr>MODELO-OS</vt:lpstr>
      <vt:lpstr>ANTIVIRUS</vt:lpstr>
      <vt:lpstr>09_2013 - TELEFONES</vt:lpstr>
      <vt:lpstr>ESCOLINHA</vt:lpstr>
      <vt:lpstr>Calculos</vt:lpstr>
      <vt:lpstr>Custos</vt:lpstr>
      <vt:lpstr>Preço</vt:lpstr>
      <vt:lpstr>INVENTARIOS</vt:lpstr>
      <vt:lpstr>Numeros</vt:lpstr>
      <vt:lpstr>OS</vt:lpstr>
      <vt:lpstr>LUKARMONA</vt:lpstr>
      <vt:lpstr>COMPUTADORES</vt:lpstr>
      <vt:lpstr>'0740.70571-0'!Area_de_impressao</vt:lpstr>
      <vt:lpstr>'09_2013 - TELEFONES'!Area_de_impressao</vt:lpstr>
      <vt:lpstr>'140515-1345'!Area_de_impressao</vt:lpstr>
      <vt:lpstr>'140602-1548'!Area_de_impressao</vt:lpstr>
      <vt:lpstr>'140815-0800'!Area_de_impressao</vt:lpstr>
      <vt:lpstr>'140815-0830'!Area_de_impressao</vt:lpstr>
      <vt:lpstr>'140815-0900'!Area_de_impressao</vt:lpstr>
      <vt:lpstr>'140825-1320'!Area_de_impressao</vt:lpstr>
      <vt:lpstr>'CALENDARIO - 2015'!Area_de_impressao</vt:lpstr>
      <vt:lpstr>COMPUTADORES!Area_de_impressao</vt:lpstr>
      <vt:lpstr>DESAFIO!Area_de_impressao</vt:lpstr>
      <vt:lpstr>'HORAS TRABALHADAS'!Area_de_impressao</vt:lpstr>
      <vt:lpstr>INVENTARIOS!Area_de_impressao</vt:lpstr>
      <vt:lpstr>'jun-2013'!Area_de_impressao</vt:lpstr>
      <vt:lpstr>LUKARMONA!Area_de_impressao</vt:lpstr>
      <vt:lpstr>'MODELO-OS'!Area_de_impressao</vt:lpstr>
      <vt:lpstr>MOVIMENTO!Area_de_impressao</vt:lpstr>
      <vt:lpstr>MOVIMENTO!Titulos_de_impressao</vt:lpstr>
    </vt:vector>
  </TitlesOfParts>
  <Company>Microsoft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AILTON</cp:lastModifiedBy>
  <cp:lastPrinted>2015-01-22T16:59:49Z</cp:lastPrinted>
  <dcterms:created xsi:type="dcterms:W3CDTF">2013-07-10T15:21:32Z</dcterms:created>
  <dcterms:modified xsi:type="dcterms:W3CDTF">2015-07-18T01:09:26Z</dcterms:modified>
</cp:coreProperties>
</file>