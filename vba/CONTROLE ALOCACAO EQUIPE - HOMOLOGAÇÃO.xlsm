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56ee1d6bda8467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60" windowWidth="20490" windowHeight="7395" tabRatio="455" activeTab="1"/>
  </bookViews>
  <sheets>
    <sheet name="Histórico" sheetId="13" r:id="rId1"/>
    <sheet name="Cronograma" sheetId="1" r:id="rId2"/>
    <sheet name="Pipeline" sheetId="7" r:id="rId3"/>
    <sheet name="Painel" sheetId="9" r:id="rId4"/>
    <sheet name="Sheet1" sheetId="5" state="hidden" r:id="rId5"/>
    <sheet name="Recursos" sheetId="11" r:id="rId6"/>
    <sheet name="Feriados" sheetId="12" r:id="rId7"/>
    <sheet name="Projeto" sheetId="14" state="hidden" r:id="rId8"/>
    <sheet name="Cliente" sheetId="15" state="hidden" r:id="rId9"/>
    <sheet name="Torre" sheetId="16" state="hidden" r:id="rId10"/>
  </sheets>
  <functionGroups builtInGroupCount="17"/>
  <definedNames>
    <definedName name="_xlnm._FilterDatabase" localSheetId="1" hidden="1">Cronograma!$A$2:$P$350</definedName>
    <definedName name="_xlnm._FilterDatabase" localSheetId="5" hidden="1">Recursos!$A$1:$O$71</definedName>
    <definedName name="DataInicio">Painel!$D$3</definedName>
    <definedName name="_xlnm.Extract" localSheetId="5">Recursos!$J$1</definedName>
    <definedName name="qtdWeeks">12</definedName>
  </definedNames>
  <calcPr calcId="145621"/>
</workbook>
</file>

<file path=xl/calcChain.xml><?xml version="1.0" encoding="utf-8"?>
<calcChain xmlns="http://schemas.openxmlformats.org/spreadsheetml/2006/main">
  <c r="BL16" i="9" l="1"/>
  <c r="BL15" i="9"/>
  <c r="BL14" i="9"/>
  <c r="BL13" i="9"/>
  <c r="BL12" i="9"/>
  <c r="BL11" i="9"/>
  <c r="BL10" i="9"/>
  <c r="BL9" i="9"/>
  <c r="BL8" i="9"/>
  <c r="BL7" i="9"/>
  <c r="BL6" i="9"/>
  <c r="BL5" i="9"/>
  <c r="L253" i="1" l="1"/>
  <c r="L252" i="1"/>
  <c r="L117" i="1"/>
  <c r="L116" i="1"/>
  <c r="L62" i="1"/>
  <c r="I347" i="1"/>
  <c r="I348" i="1"/>
  <c r="I349" i="1"/>
  <c r="I346" i="1"/>
  <c r="K350" i="1"/>
  <c r="K349" i="1"/>
  <c r="K348" i="1"/>
  <c r="L348" i="1" s="1"/>
  <c r="K347" i="1"/>
  <c r="L347" i="1" s="1"/>
  <c r="K346" i="1"/>
  <c r="L346" i="1" s="1"/>
  <c r="L349" i="1" l="1"/>
  <c r="L350" i="1" s="1"/>
  <c r="P346" i="1"/>
  <c r="P347" i="1"/>
  <c r="P348" i="1"/>
  <c r="O349" i="1"/>
  <c r="O348" i="1"/>
  <c r="O347" i="1"/>
  <c r="H345" i="1"/>
  <c r="G345" i="1"/>
  <c r="H341" i="1"/>
  <c r="H340" i="1"/>
  <c r="G340" i="1"/>
  <c r="H336" i="1"/>
  <c r="H335" i="1"/>
  <c r="G335" i="1"/>
  <c r="H331" i="1"/>
  <c r="H330" i="1"/>
  <c r="G330" i="1"/>
  <c r="H326" i="1"/>
  <c r="H325" i="1"/>
  <c r="G325" i="1"/>
  <c r="H321" i="1"/>
  <c r="H320" i="1"/>
  <c r="G320" i="1"/>
  <c r="H316" i="1"/>
  <c r="H315" i="1"/>
  <c r="G315" i="1"/>
  <c r="H311" i="1"/>
  <c r="H310" i="1"/>
  <c r="G310" i="1"/>
  <c r="H306" i="1"/>
  <c r="H305" i="1"/>
  <c r="G305" i="1"/>
  <c r="H301" i="1"/>
  <c r="I301" i="1" s="1"/>
  <c r="H300" i="1"/>
  <c r="G300" i="1"/>
  <c r="H296" i="1"/>
  <c r="H295" i="1"/>
  <c r="G295" i="1"/>
  <c r="G293" i="1"/>
  <c r="H291" i="1"/>
  <c r="H290" i="1"/>
  <c r="G290" i="1"/>
  <c r="K289" i="1"/>
  <c r="L289" i="1" s="1"/>
  <c r="I289" i="1"/>
  <c r="K288" i="1"/>
  <c r="L288" i="1" s="1"/>
  <c r="I288" i="1"/>
  <c r="K287" i="1"/>
  <c r="L287" i="1" s="1"/>
  <c r="I287" i="1"/>
  <c r="K286" i="1"/>
  <c r="L286" i="1" s="1"/>
  <c r="I286" i="1"/>
  <c r="K285" i="1"/>
  <c r="L285" i="1" s="1"/>
  <c r="I285" i="1"/>
  <c r="D285" i="1"/>
  <c r="D286" i="1" s="1"/>
  <c r="D287" i="1" s="1"/>
  <c r="D288" i="1" s="1"/>
  <c r="D289" i="1" s="1"/>
  <c r="D290" i="1" s="1"/>
  <c r="K284" i="1"/>
  <c r="L284" i="1" s="1"/>
  <c r="I284" i="1"/>
  <c r="H283" i="1"/>
  <c r="G283" i="1"/>
  <c r="K282" i="1"/>
  <c r="L282" i="1" s="1"/>
  <c r="I282" i="1"/>
  <c r="K281" i="1"/>
  <c r="L281" i="1" s="1"/>
  <c r="I281" i="1"/>
  <c r="K280" i="1"/>
  <c r="L280" i="1" s="1"/>
  <c r="I280" i="1"/>
  <c r="K279" i="1"/>
  <c r="L279" i="1" s="1"/>
  <c r="I279" i="1"/>
  <c r="H278" i="1"/>
  <c r="G278" i="1"/>
  <c r="K277" i="1"/>
  <c r="L277" i="1" s="1"/>
  <c r="I277" i="1"/>
  <c r="K276" i="1"/>
  <c r="L276" i="1" s="1"/>
  <c r="I276" i="1"/>
  <c r="K275" i="1"/>
  <c r="L275" i="1" s="1"/>
  <c r="I275" i="1"/>
  <c r="K274" i="1"/>
  <c r="L274" i="1" s="1"/>
  <c r="I274" i="1"/>
  <c r="K273" i="1"/>
  <c r="L273" i="1" s="1"/>
  <c r="I273" i="1"/>
  <c r="K272" i="1"/>
  <c r="L272" i="1" s="1"/>
  <c r="I272" i="1"/>
  <c r="K271" i="1"/>
  <c r="L271" i="1" s="1"/>
  <c r="I271" i="1"/>
  <c r="K270" i="1"/>
  <c r="L270" i="1" s="1"/>
  <c r="I270" i="1"/>
  <c r="G269" i="1"/>
  <c r="H268" i="1"/>
  <c r="I268" i="1" s="1"/>
  <c r="K267" i="1"/>
  <c r="L267" i="1" s="1"/>
  <c r="I267" i="1"/>
  <c r="K266" i="1"/>
  <c r="L266" i="1" s="1"/>
  <c r="I266" i="1"/>
  <c r="K265" i="1"/>
  <c r="L265" i="1" s="1"/>
  <c r="I265" i="1"/>
  <c r="H264" i="1"/>
  <c r="G264" i="1"/>
  <c r="K263" i="1"/>
  <c r="L263" i="1" s="1"/>
  <c r="I263" i="1"/>
  <c r="K262" i="1"/>
  <c r="L262" i="1" s="1"/>
  <c r="I262" i="1"/>
  <c r="K261" i="1"/>
  <c r="L261" i="1" s="1"/>
  <c r="I261" i="1"/>
  <c r="K260" i="1"/>
  <c r="L260" i="1" s="1"/>
  <c r="I260" i="1"/>
  <c r="K258" i="1"/>
  <c r="L258" i="1" s="1"/>
  <c r="I258" i="1"/>
  <c r="K257" i="1"/>
  <c r="L257" i="1" s="1"/>
  <c r="I257" i="1"/>
  <c r="K256" i="1"/>
  <c r="L256" i="1" s="1"/>
  <c r="I256" i="1"/>
  <c r="K255" i="1"/>
  <c r="L255" i="1" s="1"/>
  <c r="I255" i="1"/>
  <c r="P253" i="1"/>
  <c r="P252" i="1"/>
  <c r="K251" i="1"/>
  <c r="I251" i="1"/>
  <c r="K250" i="1"/>
  <c r="L250" i="1" s="1"/>
  <c r="I250" i="1"/>
  <c r="H249" i="1"/>
  <c r="K249" i="1" s="1"/>
  <c r="K248" i="1"/>
  <c r="L248" i="1" s="1"/>
  <c r="I248" i="1"/>
  <c r="K247" i="1"/>
  <c r="L247" i="1" s="1"/>
  <c r="I247" i="1"/>
  <c r="K246" i="1"/>
  <c r="L246" i="1" s="1"/>
  <c r="I246" i="1"/>
  <c r="K245" i="1"/>
  <c r="L245" i="1" s="1"/>
  <c r="I245" i="1"/>
  <c r="H244" i="1"/>
  <c r="G244" i="1"/>
  <c r="K243" i="1"/>
  <c r="L243" i="1" s="1"/>
  <c r="I243" i="1"/>
  <c r="K242" i="1"/>
  <c r="L242" i="1" s="1"/>
  <c r="I242" i="1"/>
  <c r="K241" i="1"/>
  <c r="L241" i="1" s="1"/>
  <c r="I241" i="1"/>
  <c r="H240" i="1"/>
  <c r="K240" i="1" s="1"/>
  <c r="L240" i="1" s="1"/>
  <c r="H239" i="1"/>
  <c r="G239" i="1"/>
  <c r="K238" i="1"/>
  <c r="L238" i="1" s="1"/>
  <c r="K237" i="1"/>
  <c r="L237" i="1" s="1"/>
  <c r="K236" i="1"/>
  <c r="L236" i="1" s="1"/>
  <c r="K235" i="1"/>
  <c r="L235" i="1" s="1"/>
  <c r="H234" i="1"/>
  <c r="G234" i="1"/>
  <c r="H230" i="1"/>
  <c r="I230" i="1" s="1"/>
  <c r="G229" i="1"/>
  <c r="K229" i="1" s="1"/>
  <c r="H225" i="1"/>
  <c r="G224" i="1"/>
  <c r="K224" i="1" s="1"/>
  <c r="H220" i="1"/>
  <c r="G219" i="1"/>
  <c r="K219" i="1" s="1"/>
  <c r="H215" i="1"/>
  <c r="G214" i="1"/>
  <c r="K214" i="1" s="1"/>
  <c r="L214" i="1" s="1"/>
  <c r="G213" i="1"/>
  <c r="K213" i="1" s="1"/>
  <c r="L213" i="1" s="1"/>
  <c r="G212" i="1"/>
  <c r="K212" i="1" s="1"/>
  <c r="L212" i="1" s="1"/>
  <c r="H210" i="1"/>
  <c r="K210" i="1" s="1"/>
  <c r="L210" i="1" s="1"/>
  <c r="G209" i="1"/>
  <c r="I209" i="1" s="1"/>
  <c r="H205" i="1"/>
  <c r="G204" i="1"/>
  <c r="I204" i="1" s="1"/>
  <c r="H200" i="1"/>
  <c r="I200" i="1" s="1"/>
  <c r="G199" i="1"/>
  <c r="K199" i="1" s="1"/>
  <c r="H195" i="1"/>
  <c r="G194" i="1"/>
  <c r="I194" i="1" s="1"/>
  <c r="H190" i="1"/>
  <c r="G189" i="1"/>
  <c r="K189" i="1" s="1"/>
  <c r="L189" i="1" s="1"/>
  <c r="H185" i="1"/>
  <c r="K185" i="1" s="1"/>
  <c r="L185" i="1" s="1"/>
  <c r="H184" i="1"/>
  <c r="G184" i="1"/>
  <c r="E184" i="1"/>
  <c r="A184" i="1"/>
  <c r="H180" i="1"/>
  <c r="G179" i="1"/>
  <c r="K179" i="1" s="1"/>
  <c r="K178" i="1"/>
  <c r="L178" i="1" s="1"/>
  <c r="I178" i="1"/>
  <c r="G177" i="1"/>
  <c r="K177" i="1" s="1"/>
  <c r="L177" i="1" s="1"/>
  <c r="G176" i="1"/>
  <c r="K176" i="1" s="1"/>
  <c r="L176" i="1" s="1"/>
  <c r="K175" i="1"/>
  <c r="L175" i="1" s="1"/>
  <c r="I175" i="1"/>
  <c r="G174" i="1"/>
  <c r="K174" i="1" s="1"/>
  <c r="H170" i="1"/>
  <c r="K169" i="1"/>
  <c r="I169" i="1"/>
  <c r="K168" i="1"/>
  <c r="L168" i="1" s="1"/>
  <c r="I168" i="1"/>
  <c r="K167" i="1"/>
  <c r="L167" i="1" s="1"/>
  <c r="I167" i="1"/>
  <c r="K166" i="1"/>
  <c r="L166" i="1" s="1"/>
  <c r="I166" i="1"/>
  <c r="K165" i="1"/>
  <c r="L165" i="1" s="1"/>
  <c r="I165" i="1"/>
  <c r="K164" i="1"/>
  <c r="L164" i="1" s="1"/>
  <c r="I164" i="1"/>
  <c r="K163" i="1"/>
  <c r="L163" i="1" s="1"/>
  <c r="I163" i="1"/>
  <c r="K162" i="1"/>
  <c r="L162" i="1" s="1"/>
  <c r="I162" i="1"/>
  <c r="K161" i="1"/>
  <c r="L161" i="1" s="1"/>
  <c r="I161" i="1"/>
  <c r="K160" i="1"/>
  <c r="L160" i="1" s="1"/>
  <c r="I160" i="1"/>
  <c r="H159" i="1"/>
  <c r="G159" i="1"/>
  <c r="K158" i="1"/>
  <c r="L158" i="1" s="1"/>
  <c r="I158" i="1"/>
  <c r="K157" i="1"/>
  <c r="L157" i="1" s="1"/>
  <c r="I157" i="1"/>
  <c r="K156" i="1"/>
  <c r="L156" i="1" s="1"/>
  <c r="I156" i="1"/>
  <c r="K155" i="1"/>
  <c r="L155" i="1" s="1"/>
  <c r="I155" i="1"/>
  <c r="H154" i="1"/>
  <c r="G154" i="1"/>
  <c r="K153" i="1"/>
  <c r="L153" i="1" s="1"/>
  <c r="I153" i="1"/>
  <c r="K152" i="1"/>
  <c r="I152" i="1"/>
  <c r="H151" i="1"/>
  <c r="G151" i="1"/>
  <c r="K150" i="1"/>
  <c r="L150" i="1" s="1"/>
  <c r="I150" i="1"/>
  <c r="K149" i="1"/>
  <c r="L149" i="1" s="1"/>
  <c r="I149" i="1"/>
  <c r="H148" i="1"/>
  <c r="G148" i="1"/>
  <c r="K147" i="1"/>
  <c r="L147" i="1" s="1"/>
  <c r="I147" i="1"/>
  <c r="K146" i="1"/>
  <c r="L146" i="1" s="1"/>
  <c r="I146" i="1"/>
  <c r="H145" i="1"/>
  <c r="G145" i="1"/>
  <c r="K144" i="1"/>
  <c r="L144" i="1" s="1"/>
  <c r="I144" i="1"/>
  <c r="K143" i="1"/>
  <c r="L143" i="1" s="1"/>
  <c r="I143" i="1"/>
  <c r="H142" i="1"/>
  <c r="G142" i="1"/>
  <c r="K141" i="1"/>
  <c r="L141" i="1" s="1"/>
  <c r="I141" i="1"/>
  <c r="K140" i="1"/>
  <c r="L140" i="1" s="1"/>
  <c r="I140" i="1"/>
  <c r="H139" i="1"/>
  <c r="G139" i="1"/>
  <c r="K138" i="1"/>
  <c r="L138" i="1" s="1"/>
  <c r="I138" i="1"/>
  <c r="K137" i="1"/>
  <c r="L137" i="1" s="1"/>
  <c r="I137" i="1"/>
  <c r="G136" i="1"/>
  <c r="K136" i="1" s="1"/>
  <c r="K135" i="1"/>
  <c r="L135" i="1" s="1"/>
  <c r="I135" i="1"/>
  <c r="K134" i="1"/>
  <c r="L134" i="1" s="1"/>
  <c r="I134" i="1"/>
  <c r="K132" i="1"/>
  <c r="L132" i="1" s="1"/>
  <c r="I132" i="1"/>
  <c r="K131" i="1"/>
  <c r="L131" i="1" s="1"/>
  <c r="I131" i="1"/>
  <c r="K130" i="1"/>
  <c r="L130" i="1" s="1"/>
  <c r="I130" i="1"/>
  <c r="K129" i="1"/>
  <c r="L129" i="1" s="1"/>
  <c r="I129" i="1"/>
  <c r="K127" i="1"/>
  <c r="L127" i="1" s="1"/>
  <c r="I127" i="1"/>
  <c r="K126" i="1"/>
  <c r="L126" i="1" s="1"/>
  <c r="I126" i="1"/>
  <c r="K125" i="1"/>
  <c r="L125" i="1" s="1"/>
  <c r="I125" i="1"/>
  <c r="K124" i="1"/>
  <c r="L124" i="1" s="1"/>
  <c r="I124" i="1"/>
  <c r="K122" i="1"/>
  <c r="L122" i="1" s="1"/>
  <c r="K121" i="1"/>
  <c r="L121" i="1" s="1"/>
  <c r="I121" i="1"/>
  <c r="K120" i="1"/>
  <c r="L120" i="1" s="1"/>
  <c r="I120" i="1"/>
  <c r="K119" i="1"/>
  <c r="L119" i="1" s="1"/>
  <c r="I119" i="1"/>
  <c r="P117" i="1"/>
  <c r="O116" i="1"/>
  <c r="K115" i="1"/>
  <c r="L115" i="1" s="1"/>
  <c r="I115" i="1"/>
  <c r="K114" i="1"/>
  <c r="L114" i="1" s="1"/>
  <c r="I114" i="1"/>
  <c r="K112" i="1"/>
  <c r="L112" i="1" s="1"/>
  <c r="I112" i="1"/>
  <c r="K111" i="1"/>
  <c r="L111" i="1" s="1"/>
  <c r="I111" i="1"/>
  <c r="K110" i="1"/>
  <c r="L110" i="1" s="1"/>
  <c r="I110" i="1"/>
  <c r="K109" i="1"/>
  <c r="L109" i="1" s="1"/>
  <c r="I109" i="1"/>
  <c r="K107" i="1"/>
  <c r="L107" i="1" s="1"/>
  <c r="I107" i="1"/>
  <c r="K106" i="1"/>
  <c r="L106" i="1" s="1"/>
  <c r="I106" i="1"/>
  <c r="K105" i="1"/>
  <c r="L105" i="1" s="1"/>
  <c r="I105" i="1"/>
  <c r="K104" i="1"/>
  <c r="L104" i="1" s="1"/>
  <c r="I104" i="1"/>
  <c r="K102" i="1"/>
  <c r="L102" i="1" s="1"/>
  <c r="I102" i="1"/>
  <c r="K101" i="1"/>
  <c r="L101" i="1" s="1"/>
  <c r="I101" i="1"/>
  <c r="K100" i="1"/>
  <c r="L100" i="1" s="1"/>
  <c r="I100" i="1"/>
  <c r="K99" i="1"/>
  <c r="L99" i="1" s="1"/>
  <c r="I99" i="1"/>
  <c r="H98" i="1"/>
  <c r="G98" i="1"/>
  <c r="K97" i="1"/>
  <c r="L97" i="1" s="1"/>
  <c r="I97" i="1"/>
  <c r="K96" i="1"/>
  <c r="L96" i="1" s="1"/>
  <c r="K95" i="1"/>
  <c r="L95" i="1" s="1"/>
  <c r="I95" i="1"/>
  <c r="K94" i="1"/>
  <c r="L94" i="1" s="1"/>
  <c r="I94" i="1"/>
  <c r="K92" i="1"/>
  <c r="L92" i="1" s="1"/>
  <c r="I92" i="1"/>
  <c r="K91" i="1"/>
  <c r="L91" i="1" s="1"/>
  <c r="I91" i="1"/>
  <c r="K90" i="1"/>
  <c r="L90" i="1" s="1"/>
  <c r="I90" i="1"/>
  <c r="K89" i="1"/>
  <c r="L89" i="1" s="1"/>
  <c r="I89" i="1"/>
  <c r="K87" i="1"/>
  <c r="L87" i="1" s="1"/>
  <c r="I87" i="1"/>
  <c r="K86" i="1"/>
  <c r="L86" i="1" s="1"/>
  <c r="I86" i="1"/>
  <c r="K85" i="1"/>
  <c r="L85" i="1" s="1"/>
  <c r="I85" i="1"/>
  <c r="K84" i="1"/>
  <c r="L84" i="1" s="1"/>
  <c r="I84" i="1"/>
  <c r="H83" i="1"/>
  <c r="K82" i="1"/>
  <c r="L82" i="1" s="1"/>
  <c r="I82" i="1"/>
  <c r="K81" i="1"/>
  <c r="L81" i="1" s="1"/>
  <c r="I81" i="1"/>
  <c r="K80" i="1"/>
  <c r="L80" i="1" s="1"/>
  <c r="I80" i="1"/>
  <c r="K79" i="1"/>
  <c r="L79" i="1" s="1"/>
  <c r="I79" i="1"/>
  <c r="H78" i="1"/>
  <c r="K77" i="1"/>
  <c r="L77" i="1" s="1"/>
  <c r="I77" i="1"/>
  <c r="K76" i="1"/>
  <c r="L76" i="1" s="1"/>
  <c r="I76" i="1"/>
  <c r="K75" i="1"/>
  <c r="L75" i="1" s="1"/>
  <c r="I75" i="1"/>
  <c r="K74" i="1"/>
  <c r="L74" i="1" s="1"/>
  <c r="I74" i="1"/>
  <c r="H73" i="1"/>
  <c r="B73" i="1"/>
  <c r="K72" i="1"/>
  <c r="L72" i="1" s="1"/>
  <c r="I72" i="1"/>
  <c r="K71" i="1"/>
  <c r="L71" i="1" s="1"/>
  <c r="I71" i="1"/>
  <c r="K70" i="1"/>
  <c r="L70" i="1" s="1"/>
  <c r="I70" i="1"/>
  <c r="K69" i="1"/>
  <c r="L69" i="1" s="1"/>
  <c r="I69" i="1"/>
  <c r="H68" i="1"/>
  <c r="G68" i="1"/>
  <c r="B68" i="1"/>
  <c r="K67" i="1"/>
  <c r="L67" i="1" s="1"/>
  <c r="I67" i="1"/>
  <c r="K66" i="1"/>
  <c r="L66" i="1" s="1"/>
  <c r="I66" i="1"/>
  <c r="K65" i="1"/>
  <c r="L65" i="1" s="1"/>
  <c r="I65" i="1"/>
  <c r="K64" i="1"/>
  <c r="L64" i="1" s="1"/>
  <c r="I64" i="1"/>
  <c r="P62" i="1"/>
  <c r="K61" i="1"/>
  <c r="L61" i="1" s="1"/>
  <c r="I61" i="1"/>
  <c r="K60" i="1"/>
  <c r="L60" i="1" s="1"/>
  <c r="I60" i="1"/>
  <c r="K59" i="1"/>
  <c r="L59" i="1" s="1"/>
  <c r="I59" i="1"/>
  <c r="H58" i="1"/>
  <c r="G58" i="1"/>
  <c r="K57" i="1"/>
  <c r="L57" i="1" s="1"/>
  <c r="I57" i="1"/>
  <c r="K56" i="1"/>
  <c r="L56" i="1" s="1"/>
  <c r="I56" i="1"/>
  <c r="K55" i="1"/>
  <c r="L55" i="1" s="1"/>
  <c r="I55" i="1"/>
  <c r="H54" i="1"/>
  <c r="G54" i="1"/>
  <c r="K53" i="1"/>
  <c r="L53" i="1" s="1"/>
  <c r="I53" i="1"/>
  <c r="K52" i="1"/>
  <c r="L52" i="1" s="1"/>
  <c r="I52" i="1"/>
  <c r="K51" i="1"/>
  <c r="L51" i="1" s="1"/>
  <c r="I51" i="1"/>
  <c r="K50" i="1"/>
  <c r="L50" i="1" s="1"/>
  <c r="I50" i="1"/>
  <c r="H49" i="1"/>
  <c r="G49" i="1"/>
  <c r="K48" i="1"/>
  <c r="L48" i="1" s="1"/>
  <c r="I48" i="1"/>
  <c r="K47" i="1"/>
  <c r="L47" i="1" s="1"/>
  <c r="I47" i="1"/>
  <c r="K46" i="1"/>
  <c r="L46" i="1" s="1"/>
  <c r="I46" i="1"/>
  <c r="K45" i="1"/>
  <c r="L45" i="1" s="1"/>
  <c r="I45" i="1"/>
  <c r="H44" i="1"/>
  <c r="G44" i="1"/>
  <c r="K43" i="1"/>
  <c r="L43" i="1" s="1"/>
  <c r="I43" i="1"/>
  <c r="K42" i="1"/>
  <c r="L42" i="1" s="1"/>
  <c r="I42" i="1"/>
  <c r="K41" i="1"/>
  <c r="L41" i="1" s="1"/>
  <c r="I41" i="1"/>
  <c r="K40" i="1"/>
  <c r="L40" i="1" s="1"/>
  <c r="I40" i="1"/>
  <c r="H39" i="1"/>
  <c r="G39" i="1"/>
  <c r="K38" i="1"/>
  <c r="L38" i="1" s="1"/>
  <c r="I38" i="1"/>
  <c r="K37" i="1"/>
  <c r="L37" i="1" s="1"/>
  <c r="I37" i="1"/>
  <c r="K36" i="1"/>
  <c r="L36" i="1" s="1"/>
  <c r="I36" i="1"/>
  <c r="K35" i="1"/>
  <c r="L35" i="1" s="1"/>
  <c r="I35" i="1"/>
  <c r="H34" i="1"/>
  <c r="G34" i="1"/>
  <c r="K33" i="1"/>
  <c r="L33" i="1" s="1"/>
  <c r="I33" i="1"/>
  <c r="K32" i="1"/>
  <c r="L32" i="1" s="1"/>
  <c r="I32" i="1"/>
  <c r="K31" i="1"/>
  <c r="L31" i="1" s="1"/>
  <c r="I31" i="1"/>
  <c r="K30" i="1"/>
  <c r="L30" i="1" s="1"/>
  <c r="I30" i="1"/>
  <c r="K29" i="1"/>
  <c r="L29" i="1" s="1"/>
  <c r="I29" i="1"/>
  <c r="K28" i="1"/>
  <c r="L28" i="1" s="1"/>
  <c r="I28" i="1"/>
  <c r="K27" i="1"/>
  <c r="L27" i="1" s="1"/>
  <c r="I27" i="1"/>
  <c r="K26" i="1"/>
  <c r="L26" i="1" s="1"/>
  <c r="I26" i="1"/>
  <c r="K25" i="1"/>
  <c r="L25" i="1" s="1"/>
  <c r="I25" i="1"/>
  <c r="K24" i="1"/>
  <c r="L24" i="1" s="1"/>
  <c r="I24" i="1"/>
  <c r="K23" i="1"/>
  <c r="L23" i="1" s="1"/>
  <c r="I23" i="1"/>
  <c r="K22" i="1"/>
  <c r="L22" i="1" s="1"/>
  <c r="I22" i="1"/>
  <c r="K21" i="1"/>
  <c r="L21" i="1" s="1"/>
  <c r="I21" i="1"/>
  <c r="K20" i="1"/>
  <c r="L20" i="1" s="1"/>
  <c r="I20" i="1"/>
  <c r="K19" i="1"/>
  <c r="L19" i="1" s="1"/>
  <c r="I19" i="1"/>
  <c r="K18" i="1"/>
  <c r="L18" i="1" s="1"/>
  <c r="I18" i="1"/>
  <c r="H17" i="1"/>
  <c r="G17" i="1"/>
  <c r="K16" i="1"/>
  <c r="L16" i="1" s="1"/>
  <c r="I16" i="1"/>
  <c r="K15" i="1"/>
  <c r="L15" i="1" s="1"/>
  <c r="I15" i="1"/>
  <c r="K14" i="1"/>
  <c r="L14" i="1" s="1"/>
  <c r="I14" i="1"/>
  <c r="K13" i="1"/>
  <c r="L13" i="1" s="1"/>
  <c r="I13" i="1"/>
  <c r="H12" i="1"/>
  <c r="G12" i="1"/>
  <c r="K11" i="1"/>
  <c r="L11" i="1" s="1"/>
  <c r="I11" i="1"/>
  <c r="K10" i="1"/>
  <c r="L10" i="1" s="1"/>
  <c r="I10" i="1"/>
  <c r="K9" i="1"/>
  <c r="L9" i="1" s="1"/>
  <c r="I9" i="1"/>
  <c r="K8" i="1"/>
  <c r="L8" i="1" s="1"/>
  <c r="I8" i="1"/>
  <c r="B7" i="1"/>
  <c r="K6" i="1"/>
  <c r="L6" i="1" s="1"/>
  <c r="I6" i="1"/>
  <c r="K5" i="1"/>
  <c r="L5" i="1" s="1"/>
  <c r="I5" i="1"/>
  <c r="K4" i="1"/>
  <c r="L4" i="1" s="1"/>
  <c r="I4" i="1"/>
  <c r="K3" i="1"/>
  <c r="L3" i="1" s="1"/>
  <c r="I3" i="1"/>
  <c r="O245" i="1" l="1"/>
  <c r="P349" i="1"/>
  <c r="J350" i="1" s="1"/>
  <c r="L251" i="1"/>
  <c r="L254" i="1" s="1"/>
  <c r="L152" i="1"/>
  <c r="O152" i="1" s="1"/>
  <c r="P24" i="1"/>
  <c r="P71" i="1"/>
  <c r="P75" i="1"/>
  <c r="O77" i="1"/>
  <c r="P86" i="1"/>
  <c r="L128" i="1"/>
  <c r="P132" i="1"/>
  <c r="P176" i="1"/>
  <c r="L179" i="1"/>
  <c r="P179" i="1" s="1"/>
  <c r="P257" i="1"/>
  <c r="L7" i="1"/>
  <c r="O56" i="1"/>
  <c r="P65" i="1"/>
  <c r="P81" i="1"/>
  <c r="P96" i="1"/>
  <c r="P100" i="1"/>
  <c r="L108" i="1"/>
  <c r="P110" i="1"/>
  <c r="L113" i="1"/>
  <c r="L118" i="1"/>
  <c r="L142" i="1"/>
  <c r="P147" i="1"/>
  <c r="P149" i="1"/>
  <c r="O157" i="1"/>
  <c r="P161" i="1"/>
  <c r="O163" i="1"/>
  <c r="P165" i="1"/>
  <c r="O167" i="1"/>
  <c r="L169" i="1"/>
  <c r="P169" i="1" s="1"/>
  <c r="O175" i="1"/>
  <c r="P178" i="1"/>
  <c r="L199" i="1"/>
  <c r="P199" i="1" s="1"/>
  <c r="L224" i="1"/>
  <c r="P224" i="1" s="1"/>
  <c r="O242" i="1"/>
  <c r="P246" i="1"/>
  <c r="P248" i="1"/>
  <c r="P286" i="1"/>
  <c r="P288" i="1"/>
  <c r="P16" i="1"/>
  <c r="P28" i="1"/>
  <c r="P36" i="1"/>
  <c r="O42" i="1"/>
  <c r="P48" i="1"/>
  <c r="L133" i="1"/>
  <c r="O210" i="1"/>
  <c r="P262" i="1"/>
  <c r="P271" i="1"/>
  <c r="P273" i="1"/>
  <c r="P275" i="1"/>
  <c r="P277" i="1"/>
  <c r="P279" i="1"/>
  <c r="P281" i="1"/>
  <c r="O25" i="1"/>
  <c r="P66" i="1"/>
  <c r="O82" i="1"/>
  <c r="P97" i="1"/>
  <c r="L103" i="1"/>
  <c r="L123" i="1"/>
  <c r="P138" i="1"/>
  <c r="L139" i="1"/>
  <c r="L145" i="1"/>
  <c r="L148" i="1"/>
  <c r="P150" i="1"/>
  <c r="P156" i="1"/>
  <c r="L159" i="1"/>
  <c r="P158" i="1"/>
  <c r="P162" i="1"/>
  <c r="O162" i="1"/>
  <c r="O166" i="1"/>
  <c r="L174" i="1"/>
  <c r="P174" i="1" s="1"/>
  <c r="P177" i="1"/>
  <c r="L219" i="1"/>
  <c r="P219" i="1" s="1"/>
  <c r="L229" i="1"/>
  <c r="P229" i="1" s="1"/>
  <c r="L239" i="1"/>
  <c r="P241" i="1"/>
  <c r="P243" i="1"/>
  <c r="P285" i="1"/>
  <c r="P287" i="1"/>
  <c r="O289" i="1"/>
  <c r="P14" i="1"/>
  <c r="L17" i="1"/>
  <c r="P20" i="1"/>
  <c r="P32" i="1"/>
  <c r="O32" i="1"/>
  <c r="P38" i="1"/>
  <c r="P46" i="1"/>
  <c r="L49" i="1"/>
  <c r="O52" i="1"/>
  <c r="P56" i="1"/>
  <c r="O91" i="1"/>
  <c r="P6" i="1"/>
  <c r="P9" i="1"/>
  <c r="P11" i="1"/>
  <c r="P19" i="1"/>
  <c r="P21" i="1"/>
  <c r="P23" i="1"/>
  <c r="P25" i="1"/>
  <c r="P27" i="1"/>
  <c r="P29" i="1"/>
  <c r="P31" i="1"/>
  <c r="P33" i="1"/>
  <c r="L39" i="1"/>
  <c r="P41" i="1"/>
  <c r="O43" i="1"/>
  <c r="P53" i="1"/>
  <c r="L58" i="1"/>
  <c r="L63" i="1"/>
  <c r="O65" i="1"/>
  <c r="P72" i="1"/>
  <c r="P74" i="1"/>
  <c r="P85" i="1"/>
  <c r="L88" i="1"/>
  <c r="P95" i="1"/>
  <c r="O95" i="1"/>
  <c r="O110" i="1"/>
  <c r="L136" i="1"/>
  <c r="P185" i="1"/>
  <c r="O213" i="1"/>
  <c r="P258" i="1"/>
  <c r="O263" i="1"/>
  <c r="P267" i="1"/>
  <c r="P272" i="1"/>
  <c r="P276" i="1"/>
  <c r="O280" i="1"/>
  <c r="P282" i="1"/>
  <c r="P284" i="1"/>
  <c r="O346" i="1"/>
  <c r="I350" i="1" s="1"/>
  <c r="O266" i="1"/>
  <c r="K310" i="1"/>
  <c r="K330" i="1"/>
  <c r="O282" i="1"/>
  <c r="G186" i="1"/>
  <c r="H186" i="1" s="1"/>
  <c r="G187" i="1" s="1"/>
  <c r="K283" i="1"/>
  <c r="K123" i="1"/>
  <c r="O97" i="1"/>
  <c r="O120" i="1"/>
  <c r="K159" i="1"/>
  <c r="O271" i="1"/>
  <c r="O273" i="1"/>
  <c r="O277" i="1"/>
  <c r="O279" i="1"/>
  <c r="K315" i="1"/>
  <c r="K335" i="1"/>
  <c r="K142" i="1"/>
  <c r="K148" i="1"/>
  <c r="I179" i="1"/>
  <c r="I185" i="1"/>
  <c r="O185" i="1" s="1"/>
  <c r="K204" i="1"/>
  <c r="K230" i="1"/>
  <c r="L230" i="1" s="1"/>
  <c r="K259" i="1"/>
  <c r="K268" i="1"/>
  <c r="L268" i="1" s="1"/>
  <c r="K305" i="1"/>
  <c r="K325" i="1"/>
  <c r="K345" i="1"/>
  <c r="O46" i="1"/>
  <c r="K151" i="1"/>
  <c r="K194" i="1"/>
  <c r="K209" i="1"/>
  <c r="O27" i="1"/>
  <c r="O36" i="1"/>
  <c r="K7" i="1"/>
  <c r="K63" i="1"/>
  <c r="K113" i="1"/>
  <c r="K118" i="1"/>
  <c r="O147" i="1"/>
  <c r="O149" i="1"/>
  <c r="K184" i="1"/>
  <c r="P210" i="1"/>
  <c r="O257" i="1"/>
  <c r="K300" i="1"/>
  <c r="P212" i="1"/>
  <c r="O212" i="1"/>
  <c r="P155" i="1"/>
  <c r="O66" i="1"/>
  <c r="O156" i="1"/>
  <c r="O246" i="1"/>
  <c r="O255" i="1"/>
  <c r="K44" i="1"/>
  <c r="O62" i="1"/>
  <c r="K78" i="1"/>
  <c r="I177" i="1"/>
  <c r="O177" i="1" s="1"/>
  <c r="I224" i="1"/>
  <c r="P250" i="1"/>
  <c r="O253" i="1"/>
  <c r="O256" i="1"/>
  <c r="K12" i="1"/>
  <c r="O14" i="1"/>
  <c r="K34" i="1"/>
  <c r="O31" i="1"/>
  <c r="O41" i="1"/>
  <c r="O51" i="1"/>
  <c r="O64" i="1"/>
  <c r="O74" i="1"/>
  <c r="O79" i="1"/>
  <c r="K83" i="1"/>
  <c r="K103" i="1"/>
  <c r="K139" i="1"/>
  <c r="K145" i="1"/>
  <c r="I174" i="1"/>
  <c r="P213" i="1"/>
  <c r="G231" i="1"/>
  <c r="H231" i="1" s="1"/>
  <c r="O250" i="1"/>
  <c r="O252" i="1"/>
  <c r="O260" i="1"/>
  <c r="K264" i="1"/>
  <c r="O267" i="1"/>
  <c r="H269" i="1"/>
  <c r="K269" i="1" s="1"/>
  <c r="O281" i="1"/>
  <c r="O16" i="1"/>
  <c r="O23" i="1"/>
  <c r="O155" i="1"/>
  <c r="K54" i="1"/>
  <c r="P59" i="1"/>
  <c r="P116" i="1"/>
  <c r="O9" i="1"/>
  <c r="O19" i="1"/>
  <c r="O24" i="1"/>
  <c r="O33" i="1"/>
  <c r="O38" i="1"/>
  <c r="O48" i="1"/>
  <c r="K68" i="1"/>
  <c r="O85" i="1"/>
  <c r="O100" i="1"/>
  <c r="K108" i="1"/>
  <c r="O158" i="1"/>
  <c r="O178" i="1"/>
  <c r="K234" i="1"/>
  <c r="K254" i="1"/>
  <c r="O261" i="1"/>
  <c r="O287" i="1"/>
  <c r="K290" i="1"/>
  <c r="L290" i="1" s="1"/>
  <c r="K295" i="1"/>
  <c r="K320" i="1"/>
  <c r="K340" i="1"/>
  <c r="K278" i="1"/>
  <c r="L278" i="1" s="1"/>
  <c r="O275" i="1"/>
  <c r="I98" i="1"/>
  <c r="P13" i="1"/>
  <c r="O13" i="1"/>
  <c r="P4" i="1"/>
  <c r="O4" i="1"/>
  <c r="O6" i="1"/>
  <c r="O10" i="1"/>
  <c r="O29" i="1"/>
  <c r="P37" i="1"/>
  <c r="O37" i="1"/>
  <c r="P47" i="1"/>
  <c r="O47" i="1"/>
  <c r="O11" i="1"/>
  <c r="O21" i="1"/>
  <c r="P26" i="1"/>
  <c r="O26" i="1"/>
  <c r="O28" i="1"/>
  <c r="P35" i="1"/>
  <c r="O35" i="1"/>
  <c r="P45" i="1"/>
  <c r="O45" i="1"/>
  <c r="P55" i="1"/>
  <c r="O55" i="1"/>
  <c r="P57" i="1"/>
  <c r="O57" i="1"/>
  <c r="P60" i="1"/>
  <c r="O60" i="1"/>
  <c r="P15" i="1"/>
  <c r="O15" i="1"/>
  <c r="P22" i="1"/>
  <c r="O22" i="1"/>
  <c r="P30" i="1"/>
  <c r="O30" i="1"/>
  <c r="P131" i="1"/>
  <c r="O131" i="1"/>
  <c r="G226" i="1"/>
  <c r="K225" i="1"/>
  <c r="L225" i="1" s="1"/>
  <c r="I225" i="1"/>
  <c r="K58" i="1"/>
  <c r="P67" i="1"/>
  <c r="O67" i="1"/>
  <c r="P69" i="1"/>
  <c r="O69" i="1"/>
  <c r="O81" i="1"/>
  <c r="K128" i="1"/>
  <c r="O125" i="1"/>
  <c r="P125" i="1"/>
  <c r="K133" i="1"/>
  <c r="O130" i="1"/>
  <c r="P130" i="1"/>
  <c r="P134" i="1"/>
  <c r="O135" i="1"/>
  <c r="P135" i="1"/>
  <c r="P160" i="1"/>
  <c r="O160" i="1"/>
  <c r="P189" i="1"/>
  <c r="O189" i="1"/>
  <c r="O214" i="1"/>
  <c r="P214" i="1"/>
  <c r="P270" i="1"/>
  <c r="O270" i="1"/>
  <c r="K17" i="1"/>
  <c r="K39" i="1"/>
  <c r="K49" i="1"/>
  <c r="P64" i="1"/>
  <c r="O70" i="1"/>
  <c r="K88" i="1"/>
  <c r="K93" i="1"/>
  <c r="K98" i="1"/>
  <c r="O101" i="1"/>
  <c r="P101" i="1"/>
  <c r="O106" i="1"/>
  <c r="P106" i="1"/>
  <c r="O111" i="1"/>
  <c r="P111" i="1"/>
  <c r="O122" i="1"/>
  <c r="P122" i="1"/>
  <c r="O134" i="1"/>
  <c r="O138" i="1"/>
  <c r="O150" i="1"/>
  <c r="K154" i="1"/>
  <c r="O87" i="1"/>
  <c r="P87" i="1"/>
  <c r="O92" i="1"/>
  <c r="P92" i="1"/>
  <c r="P126" i="1"/>
  <c r="O126" i="1"/>
  <c r="K73" i="1"/>
  <c r="O72" i="1"/>
  <c r="O75" i="1"/>
  <c r="P79" i="1"/>
  <c r="O86" i="1"/>
  <c r="P102" i="1"/>
  <c r="O102" i="1"/>
  <c r="P107" i="1"/>
  <c r="O107" i="1"/>
  <c r="P112" i="1"/>
  <c r="O112" i="1"/>
  <c r="O121" i="1"/>
  <c r="P121" i="1"/>
  <c r="O132" i="1"/>
  <c r="O144" i="1"/>
  <c r="G171" i="1"/>
  <c r="K170" i="1"/>
  <c r="L170" i="1" s="1"/>
  <c r="I170" i="1"/>
  <c r="O104" i="1"/>
  <c r="O114" i="1"/>
  <c r="O117" i="1"/>
  <c r="O137" i="1"/>
  <c r="O140" i="1"/>
  <c r="O161" i="1"/>
  <c r="O165" i="1"/>
  <c r="P256" i="1"/>
  <c r="G181" i="1"/>
  <c r="K180" i="1"/>
  <c r="L180" i="1" s="1"/>
  <c r="I180" i="1"/>
  <c r="G196" i="1"/>
  <c r="K195" i="1"/>
  <c r="L195" i="1" s="1"/>
  <c r="I195" i="1"/>
  <c r="P164" i="1"/>
  <c r="O164" i="1"/>
  <c r="P168" i="1"/>
  <c r="O168" i="1"/>
  <c r="G191" i="1"/>
  <c r="K190" i="1"/>
  <c r="L190" i="1" s="1"/>
  <c r="I190" i="1"/>
  <c r="G206" i="1"/>
  <c r="K205" i="1"/>
  <c r="L205" i="1" s="1"/>
  <c r="I205" i="1"/>
  <c r="G292" i="1"/>
  <c r="K291" i="1"/>
  <c r="L291" i="1" s="1"/>
  <c r="I291" i="1"/>
  <c r="G211" i="1"/>
  <c r="K211" i="1" s="1"/>
  <c r="L211" i="1" s="1"/>
  <c r="G216" i="1"/>
  <c r="K215" i="1"/>
  <c r="L215" i="1" s="1"/>
  <c r="G221" i="1"/>
  <c r="K220" i="1"/>
  <c r="L220" i="1" s="1"/>
  <c r="P236" i="1"/>
  <c r="O236" i="1"/>
  <c r="P238" i="1"/>
  <c r="O238" i="1"/>
  <c r="K244" i="1"/>
  <c r="P261" i="1"/>
  <c r="G317" i="1"/>
  <c r="K316" i="1"/>
  <c r="L316" i="1" s="1"/>
  <c r="I316" i="1"/>
  <c r="I176" i="1"/>
  <c r="O176" i="1" s="1"/>
  <c r="I199" i="1"/>
  <c r="I220" i="1"/>
  <c r="K239" i="1"/>
  <c r="P245" i="1"/>
  <c r="P247" i="1"/>
  <c r="O247" i="1"/>
  <c r="O262" i="1"/>
  <c r="O265" i="1"/>
  <c r="O276" i="1"/>
  <c r="G327" i="1"/>
  <c r="K326" i="1"/>
  <c r="L326" i="1" s="1"/>
  <c r="I326" i="1"/>
  <c r="G201" i="1"/>
  <c r="K200" i="1"/>
  <c r="L200" i="1" s="1"/>
  <c r="P235" i="1"/>
  <c r="O235" i="1"/>
  <c r="P237" i="1"/>
  <c r="O237" i="1"/>
  <c r="O241" i="1"/>
  <c r="O258" i="1"/>
  <c r="P265" i="1"/>
  <c r="O272" i="1"/>
  <c r="P274" i="1"/>
  <c r="O274" i="1"/>
  <c r="G337" i="1"/>
  <c r="K336" i="1"/>
  <c r="L336" i="1" s="1"/>
  <c r="I336" i="1"/>
  <c r="P260" i="1"/>
  <c r="O284" i="1"/>
  <c r="G297" i="1"/>
  <c r="K296" i="1"/>
  <c r="L296" i="1" s="1"/>
  <c r="G307" i="1"/>
  <c r="K306" i="1"/>
  <c r="L306" i="1" s="1"/>
  <c r="I229" i="1"/>
  <c r="I240" i="1"/>
  <c r="H293" i="1"/>
  <c r="G294" i="1" s="1"/>
  <c r="I296" i="1"/>
  <c r="I306" i="1"/>
  <c r="G312" i="1"/>
  <c r="K311" i="1"/>
  <c r="L311" i="1" s="1"/>
  <c r="I311" i="1"/>
  <c r="G322" i="1"/>
  <c r="K321" i="1"/>
  <c r="L321" i="1" s="1"/>
  <c r="I321" i="1"/>
  <c r="G332" i="1"/>
  <c r="K331" i="1"/>
  <c r="L331" i="1" s="1"/>
  <c r="I331" i="1"/>
  <c r="G342" i="1"/>
  <c r="K341" i="1"/>
  <c r="L341" i="1" s="1"/>
  <c r="I341" i="1"/>
  <c r="O286" i="1"/>
  <c r="K293" i="1"/>
  <c r="L293" i="1" s="1"/>
  <c r="G302" i="1"/>
  <c r="K301" i="1"/>
  <c r="L301" i="1" s="1"/>
  <c r="A4" i="12"/>
  <c r="A5" i="12"/>
  <c r="A8" i="12"/>
  <c r="A13" i="12"/>
  <c r="A3" i="12"/>
  <c r="A12" i="12"/>
  <c r="A11" i="12"/>
  <c r="A10" i="12"/>
  <c r="A9" i="12"/>
  <c r="A7" i="12"/>
  <c r="A6" i="12"/>
  <c r="A2" i="12"/>
  <c r="P251" i="1" l="1"/>
  <c r="J254" i="1" s="1"/>
  <c r="O199" i="1"/>
  <c r="O174" i="1"/>
  <c r="O219" i="1"/>
  <c r="O224" i="1"/>
  <c r="O179" i="1"/>
  <c r="L154" i="1"/>
  <c r="P152" i="1"/>
  <c r="O341" i="1"/>
  <c r="O229" i="1"/>
  <c r="O251" i="1"/>
  <c r="I254" i="1" s="1"/>
  <c r="O169" i="1"/>
  <c r="O248" i="1"/>
  <c r="O288" i="1"/>
  <c r="O285" i="1"/>
  <c r="O205" i="1"/>
  <c r="O20" i="1"/>
  <c r="O243" i="1"/>
  <c r="O53" i="1"/>
  <c r="O5" i="1"/>
  <c r="O115" i="1"/>
  <c r="O105" i="1"/>
  <c r="O230" i="1"/>
  <c r="L93" i="1"/>
  <c r="L73" i="1"/>
  <c r="P61" i="1"/>
  <c r="J63" i="1" s="1"/>
  <c r="P43" i="1"/>
  <c r="P91" i="1"/>
  <c r="P52" i="1"/>
  <c r="P289" i="1"/>
  <c r="J290" i="1" s="1"/>
  <c r="P144" i="1"/>
  <c r="P82" i="1"/>
  <c r="L259" i="1"/>
  <c r="L12" i="1"/>
  <c r="P242" i="1"/>
  <c r="P175" i="1"/>
  <c r="P167" i="1"/>
  <c r="P163" i="1"/>
  <c r="P157" i="1"/>
  <c r="P141" i="1"/>
  <c r="P115" i="1"/>
  <c r="P105" i="1"/>
  <c r="O96" i="1"/>
  <c r="O71" i="1"/>
  <c r="P5" i="1"/>
  <c r="P127" i="1"/>
  <c r="P77" i="1"/>
  <c r="P170" i="1"/>
  <c r="O127" i="1"/>
  <c r="O61" i="1"/>
  <c r="O141" i="1"/>
  <c r="L204" i="1"/>
  <c r="P204" i="1" s="1"/>
  <c r="L283" i="1"/>
  <c r="I283" i="1" s="1"/>
  <c r="P280" i="1"/>
  <c r="P263" i="1"/>
  <c r="P90" i="1"/>
  <c r="P70" i="1"/>
  <c r="J73" i="1" s="1"/>
  <c r="L54" i="1"/>
  <c r="L44" i="1"/>
  <c r="L244" i="1"/>
  <c r="P166" i="1"/>
  <c r="P120" i="1"/>
  <c r="P266" i="1"/>
  <c r="P255" i="1"/>
  <c r="P42" i="1"/>
  <c r="P10" i="1"/>
  <c r="L249" i="1"/>
  <c r="J249" i="1" s="1"/>
  <c r="L68" i="1"/>
  <c r="J68" i="1" s="1"/>
  <c r="L78" i="1"/>
  <c r="P293" i="1"/>
  <c r="P220" i="1"/>
  <c r="P190" i="1"/>
  <c r="L194" i="1"/>
  <c r="P194" i="1" s="1"/>
  <c r="L83" i="1"/>
  <c r="P200" i="1"/>
  <c r="O190" i="1"/>
  <c r="P195" i="1"/>
  <c r="P225" i="1"/>
  <c r="L209" i="1"/>
  <c r="P209" i="1" s="1"/>
  <c r="P268" i="1"/>
  <c r="L269" i="1"/>
  <c r="L98" i="1"/>
  <c r="P51" i="1"/>
  <c r="L34" i="1"/>
  <c r="O90" i="1"/>
  <c r="L264" i="1"/>
  <c r="L151" i="1"/>
  <c r="I151" i="1" s="1"/>
  <c r="J278" i="1"/>
  <c r="O170" i="1"/>
  <c r="O76" i="1"/>
  <c r="O331" i="1"/>
  <c r="O268" i="1"/>
  <c r="O225" i="1"/>
  <c r="I159" i="1"/>
  <c r="P76" i="1"/>
  <c r="O59" i="1"/>
  <c r="O296" i="1"/>
  <c r="I239" i="1"/>
  <c r="O180" i="1"/>
  <c r="I293" i="1"/>
  <c r="O293" i="1" s="1"/>
  <c r="J239" i="1"/>
  <c r="O220" i="1"/>
  <c r="O311" i="1"/>
  <c r="O336" i="1"/>
  <c r="I278" i="1"/>
  <c r="P321" i="1"/>
  <c r="H312" i="1"/>
  <c r="G313" i="1" s="1"/>
  <c r="P306" i="1"/>
  <c r="H337" i="1"/>
  <c r="G338" i="1" s="1"/>
  <c r="H327" i="1"/>
  <c r="G328" i="1" s="1"/>
  <c r="P316" i="1"/>
  <c r="O215" i="1"/>
  <c r="P215" i="1"/>
  <c r="H187" i="1"/>
  <c r="G188" i="1" s="1"/>
  <c r="K188" i="1" s="1"/>
  <c r="L188" i="1" s="1"/>
  <c r="P3" i="1"/>
  <c r="H302" i="1"/>
  <c r="G303" i="1" s="1"/>
  <c r="P341" i="1"/>
  <c r="H332" i="1"/>
  <c r="G333" i="1" s="1"/>
  <c r="G232" i="1"/>
  <c r="K231" i="1"/>
  <c r="L231" i="1" s="1"/>
  <c r="P296" i="1"/>
  <c r="O326" i="1"/>
  <c r="O211" i="1"/>
  <c r="P211" i="1"/>
  <c r="P124" i="1"/>
  <c r="O124" i="1"/>
  <c r="K186" i="1"/>
  <c r="L186" i="1" s="1"/>
  <c r="P137" i="1"/>
  <c r="P109" i="1"/>
  <c r="P80" i="1"/>
  <c r="O80" i="1"/>
  <c r="P84" i="1"/>
  <c r="O84" i="1"/>
  <c r="P50" i="1"/>
  <c r="O50" i="1"/>
  <c r="P18" i="1"/>
  <c r="O18" i="1"/>
  <c r="P291" i="1"/>
  <c r="P143" i="1"/>
  <c r="P153" i="1"/>
  <c r="O153" i="1"/>
  <c r="P40" i="1"/>
  <c r="O40" i="1"/>
  <c r="H342" i="1"/>
  <c r="G343" i="1" s="1"/>
  <c r="O321" i="1"/>
  <c r="P311" i="1"/>
  <c r="K294" i="1"/>
  <c r="L294" i="1" s="1"/>
  <c r="I294" i="1"/>
  <c r="H297" i="1"/>
  <c r="G298" i="1" s="1"/>
  <c r="P336" i="1"/>
  <c r="P326" i="1"/>
  <c r="O316" i="1"/>
  <c r="H221" i="1"/>
  <c r="G222" i="1" s="1"/>
  <c r="O291" i="1"/>
  <c r="H206" i="1"/>
  <c r="G207" i="1" s="1"/>
  <c r="H191" i="1"/>
  <c r="G192" i="1" s="1"/>
  <c r="O195" i="1"/>
  <c r="P180" i="1"/>
  <c r="P146" i="1"/>
  <c r="P119" i="1"/>
  <c r="P104" i="1"/>
  <c r="H171" i="1"/>
  <c r="G172" i="1" s="1"/>
  <c r="O146" i="1"/>
  <c r="O109" i="1"/>
  <c r="P94" i="1"/>
  <c r="O94" i="1"/>
  <c r="J136" i="1"/>
  <c r="I136" i="1"/>
  <c r="H226" i="1"/>
  <c r="G227" i="1" s="1"/>
  <c r="I49" i="1"/>
  <c r="J49" i="1"/>
  <c r="P240" i="1"/>
  <c r="H181" i="1"/>
  <c r="G182" i="1" s="1"/>
  <c r="P99" i="1"/>
  <c r="P89" i="1"/>
  <c r="O89" i="1"/>
  <c r="P8" i="1"/>
  <c r="O8" i="1"/>
  <c r="J58" i="1"/>
  <c r="I58" i="1"/>
  <c r="I17" i="1"/>
  <c r="J17" i="1"/>
  <c r="P301" i="1"/>
  <c r="P331" i="1"/>
  <c r="H322" i="1"/>
  <c r="G323" i="1" s="1"/>
  <c r="O306" i="1"/>
  <c r="O240" i="1"/>
  <c r="H307" i="1"/>
  <c r="G308" i="1" s="1"/>
  <c r="O301" i="1"/>
  <c r="H201" i="1"/>
  <c r="G202" i="1" s="1"/>
  <c r="H317" i="1"/>
  <c r="G318" i="1" s="1"/>
  <c r="I231" i="1"/>
  <c r="H216" i="1"/>
  <c r="G217" i="1" s="1"/>
  <c r="I292" i="1"/>
  <c r="K292" i="1"/>
  <c r="L292" i="1" s="1"/>
  <c r="H196" i="1"/>
  <c r="G197" i="1" s="1"/>
  <c r="P129" i="1"/>
  <c r="O129" i="1"/>
  <c r="I186" i="1"/>
  <c r="P140" i="1"/>
  <c r="P114" i="1"/>
  <c r="O119" i="1"/>
  <c r="O99" i="1"/>
  <c r="O143" i="1"/>
  <c r="I39" i="1"/>
  <c r="J39" i="1"/>
  <c r="O3" i="1"/>
  <c r="O204" i="1" l="1"/>
  <c r="J283" i="1"/>
  <c r="K342" i="1"/>
  <c r="L342" i="1" s="1"/>
  <c r="O209" i="1"/>
  <c r="J151" i="1"/>
  <c r="O194" i="1"/>
  <c r="I290" i="1"/>
  <c r="I221" i="1"/>
  <c r="J259" i="1"/>
  <c r="I73" i="1"/>
  <c r="K221" i="1"/>
  <c r="L221" i="1" s="1"/>
  <c r="P221" i="1" s="1"/>
  <c r="I78" i="1"/>
  <c r="J264" i="1"/>
  <c r="J269" i="1"/>
  <c r="J83" i="1"/>
  <c r="J78" i="1"/>
  <c r="I83" i="1"/>
  <c r="I249" i="1"/>
  <c r="L295" i="1"/>
  <c r="K332" i="1"/>
  <c r="L332" i="1" s="1"/>
  <c r="P294" i="1"/>
  <c r="O200" i="1"/>
  <c r="I68" i="1"/>
  <c r="P230" i="1"/>
  <c r="P205" i="1"/>
  <c r="O186" i="1"/>
  <c r="I269" i="1"/>
  <c r="I264" i="1"/>
  <c r="I63" i="1"/>
  <c r="O231" i="1"/>
  <c r="I259" i="1"/>
  <c r="K327" i="1"/>
  <c r="L327" i="1" s="1"/>
  <c r="I312" i="1"/>
  <c r="K196" i="1"/>
  <c r="L196" i="1" s="1"/>
  <c r="I342" i="1"/>
  <c r="O342" i="1" s="1"/>
  <c r="I332" i="1"/>
  <c r="I337" i="1"/>
  <c r="K312" i="1"/>
  <c r="L312" i="1" s="1"/>
  <c r="I307" i="1"/>
  <c r="I191" i="1"/>
  <c r="K297" i="1"/>
  <c r="L297" i="1" s="1"/>
  <c r="J98" i="1"/>
  <c r="I187" i="1"/>
  <c r="I327" i="1"/>
  <c r="I206" i="1"/>
  <c r="I297" i="1"/>
  <c r="K187" i="1"/>
  <c r="L187" i="1" s="1"/>
  <c r="O294" i="1"/>
  <c r="H202" i="1"/>
  <c r="G203" i="1" s="1"/>
  <c r="I12" i="1"/>
  <c r="J12" i="1"/>
  <c r="H182" i="1"/>
  <c r="G183" i="1" s="1"/>
  <c r="H172" i="1"/>
  <c r="G173" i="1" s="1"/>
  <c r="J145" i="1"/>
  <c r="I145" i="1"/>
  <c r="I133" i="1"/>
  <c r="J133" i="1"/>
  <c r="K317" i="1"/>
  <c r="L317" i="1" s="1"/>
  <c r="K201" i="1"/>
  <c r="L201" i="1" s="1"/>
  <c r="H308" i="1"/>
  <c r="G309" i="1" s="1"/>
  <c r="K322" i="1"/>
  <c r="L322" i="1" s="1"/>
  <c r="I181" i="1"/>
  <c r="J244" i="1"/>
  <c r="I244" i="1"/>
  <c r="H227" i="1"/>
  <c r="G228" i="1" s="1"/>
  <c r="I171" i="1"/>
  <c r="J108" i="1"/>
  <c r="I108" i="1"/>
  <c r="J148" i="1"/>
  <c r="I148" i="1"/>
  <c r="H192" i="1"/>
  <c r="G193" i="1" s="1"/>
  <c r="J44" i="1"/>
  <c r="I44" i="1"/>
  <c r="I128" i="1"/>
  <c r="J128" i="1"/>
  <c r="K302" i="1"/>
  <c r="L302" i="1" s="1"/>
  <c r="I7" i="1"/>
  <c r="J7" i="1"/>
  <c r="H338" i="1"/>
  <c r="G339" i="1" s="1"/>
  <c r="H217" i="1"/>
  <c r="G218" i="1" s="1"/>
  <c r="K218" i="1" s="1"/>
  <c r="L218" i="1" s="1"/>
  <c r="J154" i="1"/>
  <c r="I154" i="1"/>
  <c r="J142" i="1"/>
  <c r="I142" i="1"/>
  <c r="H318" i="1"/>
  <c r="G319" i="1" s="1"/>
  <c r="H323" i="1"/>
  <c r="G324" i="1" s="1"/>
  <c r="K181" i="1"/>
  <c r="L181" i="1" s="1"/>
  <c r="K171" i="1"/>
  <c r="L171" i="1" s="1"/>
  <c r="H207" i="1"/>
  <c r="G208" i="1" s="1"/>
  <c r="J139" i="1"/>
  <c r="I139" i="1"/>
  <c r="P231" i="1"/>
  <c r="H333" i="1"/>
  <c r="G334" i="1" s="1"/>
  <c r="I302" i="1"/>
  <c r="P188" i="1"/>
  <c r="O188" i="1"/>
  <c r="H328" i="1"/>
  <c r="G329" i="1" s="1"/>
  <c r="H313" i="1"/>
  <c r="G314" i="1" s="1"/>
  <c r="I93" i="1"/>
  <c r="J93" i="1"/>
  <c r="I88" i="1"/>
  <c r="J88" i="1"/>
  <c r="H232" i="1"/>
  <c r="G233" i="1" s="1"/>
  <c r="H303" i="1"/>
  <c r="G304" i="1" s="1"/>
  <c r="J118" i="1"/>
  <c r="I118" i="1"/>
  <c r="H197" i="1"/>
  <c r="G198" i="1" s="1"/>
  <c r="K216" i="1"/>
  <c r="L216" i="1" s="1"/>
  <c r="I317" i="1"/>
  <c r="I201" i="1"/>
  <c r="K307" i="1"/>
  <c r="L307" i="1" s="1"/>
  <c r="I322" i="1"/>
  <c r="J103" i="1"/>
  <c r="I103" i="1"/>
  <c r="K226" i="1"/>
  <c r="L226" i="1" s="1"/>
  <c r="K191" i="1"/>
  <c r="L191" i="1" s="1"/>
  <c r="K206" i="1"/>
  <c r="L206" i="1" s="1"/>
  <c r="H222" i="1"/>
  <c r="G223" i="1" s="1"/>
  <c r="H298" i="1"/>
  <c r="G299" i="1" s="1"/>
  <c r="H343" i="1"/>
  <c r="G344" i="1" s="1"/>
  <c r="J34" i="1"/>
  <c r="I34" i="1"/>
  <c r="I54" i="1"/>
  <c r="J54" i="1"/>
  <c r="J113" i="1"/>
  <c r="I113" i="1"/>
  <c r="K337" i="1"/>
  <c r="L337" i="1" s="1"/>
  <c r="K207" i="1" l="1"/>
  <c r="L207" i="1" s="1"/>
  <c r="P207" i="1" s="1"/>
  <c r="P206" i="1"/>
  <c r="O221" i="1"/>
  <c r="P201" i="1"/>
  <c r="P186" i="1"/>
  <c r="P332" i="1"/>
  <c r="O187" i="1"/>
  <c r="O332" i="1"/>
  <c r="O292" i="1"/>
  <c r="I295" i="1" s="1"/>
  <c r="P292" i="1"/>
  <c r="J295" i="1" s="1"/>
  <c r="P191" i="1"/>
  <c r="P171" i="1"/>
  <c r="O297" i="1"/>
  <c r="P312" i="1"/>
  <c r="O196" i="1"/>
  <c r="P342" i="1"/>
  <c r="I318" i="1"/>
  <c r="O312" i="1"/>
  <c r="K298" i="1"/>
  <c r="L298" i="1" s="1"/>
  <c r="K303" i="1"/>
  <c r="L303" i="1" s="1"/>
  <c r="O317" i="1"/>
  <c r="K313" i="1"/>
  <c r="L313" i="1" s="1"/>
  <c r="O337" i="1"/>
  <c r="O307" i="1"/>
  <c r="K328" i="1"/>
  <c r="L328" i="1" s="1"/>
  <c r="P328" i="1" s="1"/>
  <c r="K318" i="1"/>
  <c r="L318" i="1" s="1"/>
  <c r="K227" i="1"/>
  <c r="L227" i="1" s="1"/>
  <c r="O201" i="1"/>
  <c r="O322" i="1"/>
  <c r="I323" i="1"/>
  <c r="O206" i="1"/>
  <c r="I308" i="1"/>
  <c r="I202" i="1"/>
  <c r="K343" i="1"/>
  <c r="L343" i="1" s="1"/>
  <c r="I303" i="1"/>
  <c r="I313" i="1"/>
  <c r="I227" i="1"/>
  <c r="O181" i="1"/>
  <c r="I182" i="1"/>
  <c r="K202" i="1"/>
  <c r="L202" i="1" s="1"/>
  <c r="P226" i="1"/>
  <c r="O226" i="1"/>
  <c r="K198" i="1"/>
  <c r="L198" i="1" s="1"/>
  <c r="I198" i="1"/>
  <c r="K334" i="1"/>
  <c r="L334" i="1" s="1"/>
  <c r="I334" i="1"/>
  <c r="K173" i="1"/>
  <c r="L173" i="1" s="1"/>
  <c r="I173" i="1"/>
  <c r="I197" i="1"/>
  <c r="K233" i="1"/>
  <c r="L233" i="1" s="1"/>
  <c r="I233" i="1"/>
  <c r="I333" i="1"/>
  <c r="P181" i="1"/>
  <c r="P218" i="1"/>
  <c r="O218" i="1"/>
  <c r="I338" i="1"/>
  <c r="I192" i="1"/>
  <c r="P322" i="1"/>
  <c r="I172" i="1"/>
  <c r="K203" i="1"/>
  <c r="L203" i="1" s="1"/>
  <c r="I203" i="1"/>
  <c r="K223" i="1"/>
  <c r="L223" i="1" s="1"/>
  <c r="I223" i="1"/>
  <c r="P307" i="1"/>
  <c r="P302" i="1"/>
  <c r="I222" i="1"/>
  <c r="I298" i="1"/>
  <c r="K197" i="1"/>
  <c r="L197" i="1" s="1"/>
  <c r="I232" i="1"/>
  <c r="O191" i="1"/>
  <c r="K329" i="1"/>
  <c r="L329" i="1" s="1"/>
  <c r="I329" i="1"/>
  <c r="O302" i="1"/>
  <c r="I207" i="1"/>
  <c r="K323" i="1"/>
  <c r="L323" i="1" s="1"/>
  <c r="K319" i="1"/>
  <c r="L319" i="1" s="1"/>
  <c r="I319" i="1"/>
  <c r="K217" i="1"/>
  <c r="L217" i="1" s="1"/>
  <c r="O171" i="1"/>
  <c r="K308" i="1"/>
  <c r="L308" i="1" s="1"/>
  <c r="P317" i="1"/>
  <c r="K182" i="1"/>
  <c r="L182" i="1" s="1"/>
  <c r="K339" i="1"/>
  <c r="L339" i="1" s="1"/>
  <c r="I339" i="1"/>
  <c r="K193" i="1"/>
  <c r="L193" i="1" s="1"/>
  <c r="I193" i="1"/>
  <c r="P337" i="1"/>
  <c r="K299" i="1"/>
  <c r="L299" i="1" s="1"/>
  <c r="I299" i="1"/>
  <c r="K344" i="1"/>
  <c r="L344" i="1" s="1"/>
  <c r="I344" i="1"/>
  <c r="I343" i="1"/>
  <c r="K222" i="1"/>
  <c r="L222" i="1" s="1"/>
  <c r="O216" i="1"/>
  <c r="P216" i="1"/>
  <c r="K304" i="1"/>
  <c r="L304" i="1" s="1"/>
  <c r="I304" i="1"/>
  <c r="K232" i="1"/>
  <c r="L232" i="1" s="1"/>
  <c r="K314" i="1"/>
  <c r="L314" i="1" s="1"/>
  <c r="I314" i="1"/>
  <c r="I328" i="1"/>
  <c r="K333" i="1"/>
  <c r="L333" i="1" s="1"/>
  <c r="K208" i="1"/>
  <c r="L208" i="1" s="1"/>
  <c r="I208" i="1"/>
  <c r="K324" i="1"/>
  <c r="L324" i="1" s="1"/>
  <c r="I324" i="1"/>
  <c r="K338" i="1"/>
  <c r="L338" i="1" s="1"/>
  <c r="K192" i="1"/>
  <c r="L192" i="1" s="1"/>
  <c r="K228" i="1"/>
  <c r="L228" i="1" s="1"/>
  <c r="I228" i="1"/>
  <c r="K309" i="1"/>
  <c r="L309" i="1" s="1"/>
  <c r="I309" i="1"/>
  <c r="K172" i="1"/>
  <c r="L172" i="1" s="1"/>
  <c r="K183" i="1"/>
  <c r="L183" i="1" s="1"/>
  <c r="I183" i="1"/>
  <c r="O207" i="1" l="1"/>
  <c r="P319" i="1"/>
  <c r="P313" i="1"/>
  <c r="P228" i="1"/>
  <c r="P324" i="1"/>
  <c r="P222" i="1"/>
  <c r="P304" i="1"/>
  <c r="P309" i="1"/>
  <c r="P338" i="1"/>
  <c r="P208" i="1"/>
  <c r="P314" i="1"/>
  <c r="P233" i="1"/>
  <c r="P343" i="1"/>
  <c r="P227" i="1"/>
  <c r="P298" i="1"/>
  <c r="L335" i="1"/>
  <c r="L234" i="1"/>
  <c r="P344" i="1"/>
  <c r="P193" i="1"/>
  <c r="P339" i="1"/>
  <c r="P323" i="1"/>
  <c r="L325" i="1"/>
  <c r="P329" i="1"/>
  <c r="P202" i="1"/>
  <c r="P196" i="1"/>
  <c r="P297" i="1"/>
  <c r="L330" i="1"/>
  <c r="P187" i="1"/>
  <c r="P183" i="1"/>
  <c r="P308" i="1"/>
  <c r="L310" i="1"/>
  <c r="P197" i="1"/>
  <c r="P203" i="1"/>
  <c r="P334" i="1"/>
  <c r="L320" i="1"/>
  <c r="P172" i="1"/>
  <c r="P192" i="1"/>
  <c r="P299" i="1"/>
  <c r="L184" i="1"/>
  <c r="P223" i="1"/>
  <c r="O233" i="1"/>
  <c r="P173" i="1"/>
  <c r="P198" i="1"/>
  <c r="O303" i="1"/>
  <c r="P303" i="1"/>
  <c r="L305" i="1"/>
  <c r="L315" i="1"/>
  <c r="P327" i="1"/>
  <c r="O327" i="1"/>
  <c r="O228" i="1"/>
  <c r="O329" i="1"/>
  <c r="O203" i="1"/>
  <c r="O313" i="1"/>
  <c r="O298" i="1"/>
  <c r="O343" i="1"/>
  <c r="O227" i="1"/>
  <c r="O344" i="1"/>
  <c r="O198" i="1"/>
  <c r="O318" i="1"/>
  <c r="O328" i="1"/>
  <c r="O323" i="1"/>
  <c r="O324" i="1"/>
  <c r="O334" i="1"/>
  <c r="O202" i="1"/>
  <c r="O193" i="1"/>
  <c r="O339" i="1"/>
  <c r="O319" i="1"/>
  <c r="O338" i="1"/>
  <c r="P333" i="1"/>
  <c r="P232" i="1"/>
  <c r="O222" i="1"/>
  <c r="O333" i="1"/>
  <c r="O308" i="1"/>
  <c r="O309" i="1"/>
  <c r="O304" i="1"/>
  <c r="O232" i="1"/>
  <c r="O192" i="1"/>
  <c r="O197" i="1"/>
  <c r="O183" i="1"/>
  <c r="O208" i="1"/>
  <c r="O314" i="1"/>
  <c r="O299" i="1"/>
  <c r="P217" i="1"/>
  <c r="O217" i="1"/>
  <c r="O223" i="1"/>
  <c r="O172" i="1"/>
  <c r="J325" i="1" l="1"/>
  <c r="O173" i="1"/>
  <c r="O182" i="1"/>
  <c r="I184" i="1" s="1"/>
  <c r="L300" i="1"/>
  <c r="J300" i="1" s="1"/>
  <c r="L345" i="1"/>
  <c r="J345" i="1" s="1"/>
  <c r="L340" i="1"/>
  <c r="J340" i="1" s="1"/>
  <c r="P182" i="1"/>
  <c r="J184" i="1" s="1"/>
  <c r="P318" i="1"/>
  <c r="J320" i="1" s="1"/>
  <c r="I325" i="1"/>
  <c r="I320" i="1"/>
  <c r="J315" i="1"/>
  <c r="I315" i="1"/>
  <c r="I305" i="1"/>
  <c r="J305" i="1"/>
  <c r="J335" i="1"/>
  <c r="I335" i="1"/>
  <c r="J330" i="1"/>
  <c r="I330" i="1"/>
  <c r="I234" i="1"/>
  <c r="J234" i="1"/>
  <c r="J310" i="1"/>
  <c r="I310" i="1"/>
  <c r="I345" i="1" l="1"/>
  <c r="I340" i="1"/>
  <c r="I300" i="1"/>
</calcChain>
</file>

<file path=xl/comments1.xml><?xml version="1.0" encoding="utf-8"?>
<comments xmlns="http://schemas.openxmlformats.org/spreadsheetml/2006/main">
  <authors>
    <author>Graciolli Junior, S.</author>
  </authors>
  <commentList>
    <comment ref="D3" authorId="0">
      <text>
        <r>
          <rPr>
            <sz val="9"/>
            <color indexed="81"/>
            <rFont val="Tahoma"/>
            <charset val="1"/>
          </rPr>
          <t>2 entrega(s)</t>
        </r>
      </text>
    </comment>
    <comment ref="I3" authorId="0">
      <text>
        <r>
          <rPr>
            <sz val="9"/>
            <color indexed="81"/>
            <rFont val="Tahoma"/>
            <charset val="1"/>
          </rPr>
          <t>5 entrega(s)</t>
        </r>
      </text>
    </comment>
    <comment ref="N3" authorId="0">
      <text>
        <r>
          <rPr>
            <sz val="9"/>
            <color indexed="81"/>
            <rFont val="Tahoma"/>
            <charset val="1"/>
          </rPr>
          <t>4 entrega(s)</t>
        </r>
      </text>
    </comment>
    <comment ref="S3" authorId="0">
      <text>
        <r>
          <rPr>
            <sz val="9"/>
            <color indexed="81"/>
            <rFont val="Tahoma"/>
            <charset val="1"/>
          </rPr>
          <t>1 entrega(s)</t>
        </r>
      </text>
    </comment>
    <comment ref="Q4" authorId="0">
      <text>
        <r>
          <rPr>
            <sz val="9"/>
            <color indexed="81"/>
            <rFont val="Tahoma"/>
            <charset val="1"/>
          </rPr>
          <t>Corpus Christi</t>
        </r>
      </text>
    </comment>
    <comment ref="R5" authorId="0">
      <text>
        <r>
          <rPr>
            <sz val="9"/>
            <color indexed="81"/>
            <rFont val="Tahoma"/>
            <charset val="1"/>
          </rPr>
          <t xml:space="preserve">ID75 - VI (7,6%)_x000D_
Macro Desconto de Marketing - Garantia da Receita
</t>
        </r>
      </text>
    </comment>
    <comment ref="R6" authorId="0">
      <text>
        <r>
          <rPr>
            <sz val="9"/>
            <color indexed="81"/>
            <rFont val="Tahoma"/>
            <charset val="1"/>
          </rPr>
          <t xml:space="preserve">ID39 - Olga (52,5%)_x000D_
Serasa Expirian
</t>
        </r>
      </text>
    </comment>
    <comment ref="M7" authorId="0">
      <text>
        <r>
          <rPr>
            <sz val="9"/>
            <color indexed="81"/>
            <rFont val="Tahoma"/>
            <charset val="1"/>
          </rPr>
          <t>ID82.5 - Olga (0,0%)_x000D_
Macro Controle de Arquivos Bancários S.I.A/NSIA</t>
        </r>
      </text>
    </comment>
    <comment ref="I8" authorId="0">
      <text>
        <r>
          <rPr>
            <sz val="9"/>
            <color indexed="81"/>
            <rFont val="Tahoma"/>
            <charset val="1"/>
          </rPr>
          <t xml:space="preserve">ID83.4 - Olga (58,8%)_x000D_
Controle e Envio de Débito Automático SIA e NSIA
</t>
        </r>
      </text>
    </comment>
    <comment ref="H9" authorId="0">
      <text>
        <r>
          <rPr>
            <sz val="9"/>
            <color indexed="81"/>
            <rFont val="Tahoma"/>
            <charset val="1"/>
          </rPr>
          <t xml:space="preserve">ID82.1 - Olga (99,7%)_x000D_
Macro Controle de Arquivos Bancários Atlys
</t>
        </r>
      </text>
    </comment>
    <comment ref="M10" authorId="0">
      <text>
        <r>
          <rPr>
            <sz val="9"/>
            <color indexed="81"/>
            <rFont val="Tahoma"/>
            <charset val="1"/>
          </rPr>
          <t xml:space="preserve">ID82.2 - Olga (27,2%)_x000D_
Macro Controle de Arquivos Bancários Atis
</t>
        </r>
      </text>
    </comment>
    <comment ref="M11" authorId="0">
      <text>
        <r>
          <rPr>
            <sz val="9"/>
            <color indexed="81"/>
            <rFont val="Tahoma"/>
            <charset val="1"/>
          </rPr>
          <t>ID76 - Aline - Fase 2 (0,0%)_x000D_
Melhoria de Performance na Macro ID 01 Rejeitado Legado</t>
        </r>
      </text>
    </comment>
    <comment ref="H12" authorId="0">
      <text>
        <r>
          <rPr>
            <sz val="9"/>
            <color indexed="81"/>
            <rFont val="Tahoma"/>
            <charset val="1"/>
          </rPr>
          <t>ID10 - Aline - Fase 1 (78,1%)_x000D_
Análise do Age</t>
        </r>
      </text>
    </comment>
    <comment ref="W13" authorId="0">
      <text>
        <r>
          <rPr>
            <sz val="9"/>
            <color indexed="81"/>
            <rFont val="Tahoma"/>
            <charset val="1"/>
          </rPr>
          <t xml:space="preserve">ID254 - Olga (0,0%)_x000D_
Controle e Envio de Débito Automático Painel </t>
        </r>
      </text>
    </comment>
    <comment ref="K14" authorId="0">
      <text>
        <r>
          <rPr>
            <sz val="9"/>
            <color indexed="81"/>
            <rFont val="Tahoma"/>
            <charset val="1"/>
          </rPr>
          <t>ID69 - Aline - Fase 2 (0,0%)_x000D_
Robô O010 - Buscar informações cadastrais do cliente</t>
        </r>
      </text>
    </comment>
    <comment ref="O15" authorId="0">
      <text>
        <r>
          <rPr>
            <sz val="9"/>
            <color indexed="81"/>
            <rFont val="Tahoma"/>
            <charset val="1"/>
          </rPr>
          <t>ID219 - Olga (33,3%)_x000D_
Controle de gestão documental</t>
        </r>
      </text>
    </comment>
    <comment ref="N16" authorId="0">
      <text>
        <r>
          <rPr>
            <sz val="9"/>
            <color indexed="81"/>
            <rFont val="Tahoma"/>
            <charset val="1"/>
          </rPr>
          <t>ID176 - Olga (79,1%)_x000D_
Conciliação de Lançamentos Intercompany</t>
        </r>
      </text>
    </comment>
  </commentList>
</comments>
</file>

<file path=xl/sharedStrings.xml><?xml version="1.0" encoding="utf-8"?>
<sst xmlns="http://schemas.openxmlformats.org/spreadsheetml/2006/main" count="3468" uniqueCount="549">
  <si>
    <t>Atividades</t>
  </si>
  <si>
    <t>Data inicio</t>
  </si>
  <si>
    <t>Data Fim</t>
  </si>
  <si>
    <t>Planejado %</t>
  </si>
  <si>
    <t>Completo %</t>
  </si>
  <si>
    <t>Tempo (H)</t>
  </si>
  <si>
    <t>Dias</t>
  </si>
  <si>
    <t>Levantamento de Requsitos</t>
  </si>
  <si>
    <t>Testes</t>
  </si>
  <si>
    <t>Levantamento dos requisitos</t>
  </si>
  <si>
    <t>Desenvolvimento das automações</t>
  </si>
  <si>
    <t>Treinamento aos usuários</t>
  </si>
  <si>
    <t>Luiz</t>
  </si>
  <si>
    <t>TBD</t>
  </si>
  <si>
    <t>Fabio</t>
  </si>
  <si>
    <t>Thiago</t>
  </si>
  <si>
    <t>Cosolidação de Dados do Portal Empresas</t>
  </si>
  <si>
    <t>Verificação de Dividas Microsiga</t>
  </si>
  <si>
    <t>Capturar relatório de Endereço no portal ENOVA</t>
  </si>
  <si>
    <t>Captura Dados de tronco ramal do portal ENOVA</t>
  </si>
  <si>
    <t>Confirmar clientes ativos no Portal ENOVA</t>
  </si>
  <si>
    <t>Efetiva desligue parcoial no Portal ENOVA</t>
  </si>
  <si>
    <t>Consulta Situação Cadatral no CSO</t>
  </si>
  <si>
    <t>Consulta DDD no CSO</t>
  </si>
  <si>
    <t>Desligue Parcial no SADDR</t>
  </si>
  <si>
    <t>Efetiva desligue parcoial no STAFFWARE</t>
  </si>
  <si>
    <t>Reprovar Evento no Portal Empresa</t>
  </si>
  <si>
    <t>Registrar contato no Portal  Empresa</t>
  </si>
  <si>
    <t>Incluir Restrição no CSO</t>
  </si>
  <si>
    <t>Ailton</t>
  </si>
  <si>
    <t>Demanda</t>
  </si>
  <si>
    <t>ID</t>
  </si>
  <si>
    <t>Desligue Parcial Atelecom e Inserir Restrição no CSO</t>
  </si>
  <si>
    <t>Análise do Age</t>
  </si>
  <si>
    <t>Compensações Massivas</t>
  </si>
  <si>
    <t>TOTAL</t>
  </si>
  <si>
    <t>Torre</t>
  </si>
  <si>
    <t>Projetos</t>
  </si>
  <si>
    <t>Arrecadação</t>
  </si>
  <si>
    <t>Aline - Fase 1</t>
  </si>
  <si>
    <t>Contas a Receber</t>
  </si>
  <si>
    <t>Cobrança</t>
  </si>
  <si>
    <t>20/04/2015</t>
  </si>
  <si>
    <t>Atualização da FBL5N no SAP nas inserções finalizadas</t>
  </si>
  <si>
    <t>Elton</t>
  </si>
  <si>
    <t xml:space="preserve"> Ferramenta de Insumos</t>
  </si>
  <si>
    <t>Ricardo</t>
  </si>
  <si>
    <t>Aline - Fase 2</t>
  </si>
  <si>
    <t>Sidnei</t>
  </si>
  <si>
    <t>Faturamento</t>
  </si>
  <si>
    <t>ID51: InsereID_Centro de Custo</t>
  </si>
  <si>
    <t>ID52: Data Fim Nacional</t>
  </si>
  <si>
    <t>ID53: Soluções e Adquira</t>
  </si>
  <si>
    <t>ID54: Consulta O010</t>
  </si>
  <si>
    <t>ID60: Alteração Print NF</t>
  </si>
  <si>
    <t>ID61: Atualização da FBL5N  no SAP  nas inserções finalizadas</t>
  </si>
  <si>
    <t>ID62: Lançamentos SAP</t>
  </si>
  <si>
    <t>ID63: Baixas por Pagamentos Manuais - FAC0</t>
  </si>
  <si>
    <t>ID64: Baixas por Pagamentos Manuais - FCA6</t>
  </si>
  <si>
    <t>ID65: Baixas por Pagamentos Manuais - FPAG</t>
  </si>
  <si>
    <t>ID66: Baixas por Pagamentos Manuais - FT01</t>
  </si>
  <si>
    <t>ID67: 2 Via NF -  Busca de NF sistema Externo</t>
  </si>
  <si>
    <t>ID68: Robô FCTA  - Buscar informações sobre  débitos</t>
  </si>
  <si>
    <t>ID69: Robô O010 - Buscar informações cadastrais do cliente</t>
  </si>
  <si>
    <t xml:space="preserve">ID70: Robô FCA6 Consolidada - Consolida o status do credito </t>
  </si>
  <si>
    <t xml:space="preserve">ID71: Robô  FCA6 identifica - Busca o status do credito </t>
  </si>
  <si>
    <t xml:space="preserve">ID72: Print NF Ajustes </t>
  </si>
  <si>
    <t>Baixas por Pagamentos Manuais - FT01</t>
  </si>
  <si>
    <t>Robô O010 - Buscar informações cadastrais do cliente</t>
  </si>
  <si>
    <t>Conciliação de Lançamentos Intercompany</t>
  </si>
  <si>
    <t>Levantamento de Requisitos - Importação de dados</t>
  </si>
  <si>
    <t>Homologação com usuário</t>
  </si>
  <si>
    <t>Acompanhamento pós implantação</t>
  </si>
  <si>
    <t>Olga</t>
  </si>
  <si>
    <t>Contabilidade</t>
  </si>
  <si>
    <t>Solução de Impressão de Notas Fiscais MICROSIGA</t>
  </si>
  <si>
    <t>Automação Microsiga</t>
  </si>
  <si>
    <t>Levantamento de Requisitos</t>
  </si>
  <si>
    <t>Importação e tratamento de dados - Arquivo TXT</t>
  </si>
  <si>
    <t>Desenvolvimento Macro - Dados Bancários - Bradesco</t>
  </si>
  <si>
    <t>Desenvolvimento Macro - Dados Bancários -  Banco do Brasil</t>
  </si>
  <si>
    <t>Desenvolvimento Macro - Dados Bancários -  Itaú</t>
  </si>
  <si>
    <t>Patrimonio</t>
  </si>
  <si>
    <t>Consolidação dos arquivos(demanda consolidador de arquivos)</t>
  </si>
  <si>
    <t>Desenvolvimento de macro para guardar o histórico de documentaçao</t>
  </si>
  <si>
    <t>Desenvolvimento das visões gerenciais(acompanhamento mês a mês)</t>
  </si>
  <si>
    <t>Controle de gastos com impressão fase 3</t>
  </si>
  <si>
    <t>Controle de gestão documental</t>
  </si>
  <si>
    <t xml:space="preserve">Negociações Crystal
</t>
  </si>
  <si>
    <t>Ciclo da Receita</t>
  </si>
  <si>
    <t xml:space="preserve">Macro Controle de Arquivos Bancários Atlys
</t>
  </si>
  <si>
    <t xml:space="preserve">Controle e Envio de Débito Automático SIA e NSIA
</t>
  </si>
  <si>
    <t xml:space="preserve">Serasa Expirian
</t>
  </si>
  <si>
    <t xml:space="preserve">Controle e Envio de Débito Automático Painel 
</t>
  </si>
  <si>
    <t xml:space="preserve">Controle e Envio de Débito Automático Painel </t>
  </si>
  <si>
    <t xml:space="preserve">Automatização Suporte Operação RJ
</t>
  </si>
  <si>
    <t>Macro Controle de Arquivos Bancários Atis</t>
  </si>
  <si>
    <t>82.2</t>
  </si>
  <si>
    <t>Macro Controle de Arquivos Bancários SAP</t>
  </si>
  <si>
    <t>Macro Controle de Arquivos Bancários S.I.A/NSIA</t>
  </si>
  <si>
    <t>82.4</t>
  </si>
  <si>
    <t>82.6</t>
  </si>
  <si>
    <t>82.7</t>
  </si>
  <si>
    <t xml:space="preserve">Automação Repasse 2 </t>
  </si>
  <si>
    <t>Automação Repasse 3</t>
  </si>
  <si>
    <t>ID5,7</t>
  </si>
  <si>
    <t>ID10</t>
  </si>
  <si>
    <t>ID14</t>
  </si>
  <si>
    <t>ID23</t>
  </si>
  <si>
    <t>ID61</t>
  </si>
  <si>
    <t>ID66</t>
  </si>
  <si>
    <t>ID69</t>
  </si>
  <si>
    <t>ID73</t>
  </si>
  <si>
    <t>ID176</t>
  </si>
  <si>
    <t>ID251</t>
  </si>
  <si>
    <t>ID253</t>
  </si>
  <si>
    <t>ID219</t>
  </si>
  <si>
    <t>ID106</t>
  </si>
  <si>
    <t>ID82.1</t>
  </si>
  <si>
    <t>ID83.4</t>
  </si>
  <si>
    <t>ID39</t>
  </si>
  <si>
    <t>ID83.5</t>
  </si>
  <si>
    <t>ID254</t>
  </si>
  <si>
    <t>calc1</t>
  </si>
  <si>
    <t>calc2</t>
  </si>
  <si>
    <t>Responsável EID</t>
  </si>
  <si>
    <t>Responsável NOME</t>
  </si>
  <si>
    <t>a.dasilva</t>
  </si>
  <si>
    <t>claudio.r.silva</t>
  </si>
  <si>
    <t>CLAUDIO SILVA</t>
  </si>
  <si>
    <t>cleber.alonso</t>
  </si>
  <si>
    <t>CLEOBER ALONSO</t>
  </si>
  <si>
    <t>elton.sahid</t>
  </si>
  <si>
    <t>ELTON SAHID</t>
  </si>
  <si>
    <t>fabio.adriano.silva</t>
  </si>
  <si>
    <t>FABIO ADRIANO SILVA</t>
  </si>
  <si>
    <t>l.a.junior</t>
  </si>
  <si>
    <t>LUIZ JUNIOR</t>
  </si>
  <si>
    <t>meire.ribeiro</t>
  </si>
  <si>
    <t>MEIRE RIBEIRO</t>
  </si>
  <si>
    <t>s.graziollijunior</t>
  </si>
  <si>
    <t>SIDNEI GRAZIOLLI</t>
  </si>
  <si>
    <t>fabio.taba</t>
  </si>
  <si>
    <t>FABIO TABA</t>
  </si>
  <si>
    <t>t.silvestresaldanha</t>
  </si>
  <si>
    <t>THIAGO SALDANHA</t>
  </si>
  <si>
    <t>w.valadao.bernadino</t>
  </si>
  <si>
    <t>WESLEY BERNADINO</t>
  </si>
  <si>
    <t>jose.carlos.ribeiro</t>
  </si>
  <si>
    <t>JOSE CARLOS RIBEIRO</t>
  </si>
  <si>
    <t>marcelo.sena</t>
  </si>
  <si>
    <t>MARCELO SENA</t>
  </si>
  <si>
    <t>AILTON ZACARIAS</t>
  </si>
  <si>
    <t>r.dossantos</t>
  </si>
  <si>
    <t>RICARDO SANTOS</t>
  </si>
  <si>
    <t>andre.m.almeida</t>
  </si>
  <si>
    <t>ANDRE ALMEIDA</t>
  </si>
  <si>
    <t>f.aparecidodasilva</t>
  </si>
  <si>
    <t>FABIO APARECIDO SILVA</t>
  </si>
  <si>
    <t>william.carestiato</t>
  </si>
  <si>
    <t>WILLIAM CARESTIATO</t>
  </si>
  <si>
    <t>Linha do Tempo</t>
  </si>
  <si>
    <t>Total:</t>
  </si>
  <si>
    <t xml:space="preserve">Automação do Cálculo do Comissionamento Móvel Campanhas
</t>
  </si>
  <si>
    <t>F&amp;A - Móvel</t>
  </si>
  <si>
    <t>ID161</t>
  </si>
  <si>
    <t>d.bueno</t>
  </si>
  <si>
    <t>DANIEL BUENO</t>
  </si>
  <si>
    <t xml:space="preserve">Macro Controle de Arquivos Bancários Atis
</t>
  </si>
  <si>
    <t>ID82.2</t>
  </si>
  <si>
    <t>RECURSO</t>
  </si>
  <si>
    <t>EID</t>
  </si>
  <si>
    <t>Data</t>
  </si>
  <si>
    <t>Descrição</t>
  </si>
  <si>
    <t xml:space="preserve">Confraternização Universal </t>
  </si>
  <si>
    <t>Tiradentes</t>
  </si>
  <si>
    <t>Dia do Trabalho</t>
  </si>
  <si>
    <t>Independência do Brasil</t>
  </si>
  <si>
    <t>Nossa Senhora Aparecida</t>
  </si>
  <si>
    <t>Finados</t>
  </si>
  <si>
    <t>Proclamação da República</t>
  </si>
  <si>
    <t>Carnaval</t>
  </si>
  <si>
    <t>Sexta-feira da Paixão</t>
  </si>
  <si>
    <t>Páscoa</t>
  </si>
  <si>
    <t>Corpus Christi</t>
  </si>
  <si>
    <t>Natal</t>
  </si>
  <si>
    <t>Macro Controle de Arquivos Bancários Microsiga</t>
  </si>
  <si>
    <t>Macro Controle de Arquivos Bancários Integração</t>
  </si>
  <si>
    <t>109</t>
  </si>
  <si>
    <t>110</t>
  </si>
  <si>
    <t>Recurso</t>
  </si>
  <si>
    <t>ID01</t>
  </si>
  <si>
    <t>Rejeitados Legado</t>
  </si>
  <si>
    <t>25/03/2015</t>
  </si>
  <si>
    <t>15/04/2015</t>
  </si>
  <si>
    <t>ID03</t>
  </si>
  <si>
    <t>Compensações de PDTI</t>
  </si>
  <si>
    <t>ID04</t>
  </si>
  <si>
    <t xml:space="preserve"> Baixa Manual no Microsiga</t>
  </si>
  <si>
    <t>ID06</t>
  </si>
  <si>
    <t>Baixa do CA e análise do Age</t>
  </si>
  <si>
    <t>ID09</t>
  </si>
  <si>
    <t xml:space="preserve">Robô abre a o BC (solicitação para retirar a restrição 44) no CSO </t>
  </si>
  <si>
    <t>Robô abre a o BC (solicitação para retirar a restrição 44) no CSO</t>
  </si>
  <si>
    <t>ID11</t>
  </si>
  <si>
    <t>Baixas por Pagamentos Manuais</t>
  </si>
  <si>
    <t>ID12</t>
  </si>
  <si>
    <t xml:space="preserve">Inserção Parcelamento
</t>
  </si>
  <si>
    <t>Inserção Parcelamento</t>
  </si>
  <si>
    <t>ID15</t>
  </si>
  <si>
    <t>Inserção de Críticas</t>
  </si>
  <si>
    <t>ID16</t>
  </si>
  <si>
    <t xml:space="preserve"> Inclui_DCH</t>
  </si>
  <si>
    <t>ID17</t>
  </si>
  <si>
    <t xml:space="preserve"> Inclui_PRV</t>
  </si>
  <si>
    <t>ID18</t>
  </si>
  <si>
    <t xml:space="preserve"> Robô Entire</t>
  </si>
  <si>
    <t>ID19</t>
  </si>
  <si>
    <t xml:space="preserve"> Robô Unifica</t>
  </si>
  <si>
    <t>ID24</t>
  </si>
  <si>
    <t xml:space="preserve"> SMART</t>
  </si>
  <si>
    <t>ID25</t>
  </si>
  <si>
    <t xml:space="preserve"> PRINT NF</t>
  </si>
  <si>
    <t>ID37</t>
  </si>
  <si>
    <t xml:space="preserve"> FAT_CUSTOMIZADO</t>
  </si>
  <si>
    <t>ID40</t>
  </si>
  <si>
    <t xml:space="preserve"> EMISSAO BOLETO BB</t>
  </si>
  <si>
    <t>ID41</t>
  </si>
  <si>
    <t xml:space="preserve"> 2A VIA NF</t>
  </si>
  <si>
    <t>ID42</t>
  </si>
  <si>
    <t xml:space="preserve"> DETALHA FATURA CSO</t>
  </si>
  <si>
    <t>ID43</t>
  </si>
  <si>
    <t xml:space="preserve"> Criação de documento PDTI</t>
  </si>
  <si>
    <t>ID44</t>
  </si>
  <si>
    <t xml:space="preserve">Ordens
</t>
  </si>
  <si>
    <t>ID45</t>
  </si>
  <si>
    <t>MeiMag</t>
  </si>
  <si>
    <t>ID46</t>
  </si>
  <si>
    <t>SGDF</t>
  </si>
  <si>
    <t>ID47</t>
  </si>
  <si>
    <t>Altera Preço (VA42)</t>
  </si>
  <si>
    <t>ID48</t>
  </si>
  <si>
    <t>Altera Valor (VA02)</t>
  </si>
  <si>
    <t>ID49</t>
  </si>
  <si>
    <t xml:space="preserve">Demonstrativo SN (ZSD131)
</t>
  </si>
  <si>
    <t>ID50</t>
  </si>
  <si>
    <t>Demonstrativo ADQ_SL (ZSD105)</t>
  </si>
  <si>
    <t>ID51</t>
  </si>
  <si>
    <t>InsereID_Centro de Custo</t>
  </si>
  <si>
    <t>ID52</t>
  </si>
  <si>
    <t>Data Fim Nacional</t>
  </si>
  <si>
    <t>ID53</t>
  </si>
  <si>
    <t>Soluções e Adquira</t>
  </si>
  <si>
    <t>ID54</t>
  </si>
  <si>
    <t>Consulta O010</t>
  </si>
  <si>
    <t>ID60</t>
  </si>
  <si>
    <t>Alteração Print NF</t>
  </si>
  <si>
    <t>ID62</t>
  </si>
  <si>
    <t>Lançamentos SAP</t>
  </si>
  <si>
    <t>ID63</t>
  </si>
  <si>
    <t>Baixas por Pagamentos Manuais - FAC0</t>
  </si>
  <si>
    <t>ID64</t>
  </si>
  <si>
    <t>Baixas por Pagamentos Manuais - FCA6</t>
  </si>
  <si>
    <t>ID65</t>
  </si>
  <si>
    <t>Baixas por Pagamentos Manuais - FPAG</t>
  </si>
  <si>
    <t>ID67</t>
  </si>
  <si>
    <t>2 Via NF -  Busca de NF sistema Externo</t>
  </si>
  <si>
    <t>ID68</t>
  </si>
  <si>
    <t>Robô FCTA  - Buscar informações sobre  débitos</t>
  </si>
  <si>
    <t>ID70</t>
  </si>
  <si>
    <t xml:space="preserve">Robô FCA6 Consolidada - Consolida o status do credito </t>
  </si>
  <si>
    <t>ID71</t>
  </si>
  <si>
    <t xml:space="preserve">Robô  FCA6 identifica - Busca o status do credito </t>
  </si>
  <si>
    <t>ID72</t>
  </si>
  <si>
    <t xml:space="preserve">Print NF Ajustes </t>
  </si>
  <si>
    <t>ID13.1</t>
  </si>
  <si>
    <t xml:space="preserve">Sistema de Gestão de Qualidade (SGQD)  </t>
  </si>
  <si>
    <t>Desenvolvimento no Atis</t>
  </si>
  <si>
    <t>Desenvolvimento no Banner</t>
  </si>
  <si>
    <t>Sistema de Gestão de Qualidade (SGQD)</t>
  </si>
  <si>
    <t>Desenvolvimento no CSO</t>
  </si>
  <si>
    <t>ID20,21,22</t>
  </si>
  <si>
    <t>Fatuamento massivo</t>
  </si>
  <si>
    <t>Faturamento Massivo</t>
  </si>
  <si>
    <t>ID29,30 &amp;36</t>
  </si>
  <si>
    <t xml:space="preserve"> 29, 30 &amp; 36: DATA_FIM</t>
  </si>
  <si>
    <t>ID74</t>
  </si>
  <si>
    <t>Configuração Banco Access</t>
  </si>
  <si>
    <t>allen.prado.simoes</t>
  </si>
  <si>
    <t>ALLEN PRADO</t>
  </si>
  <si>
    <t>ID82.3</t>
  </si>
  <si>
    <t xml:space="preserve">Macro Controle de Arquivos Bancários Sistemas Legados
</t>
  </si>
  <si>
    <t>ID75</t>
  </si>
  <si>
    <t xml:space="preserve">Macro Desconto de Marketing - Garantia da Receita
</t>
  </si>
  <si>
    <t>VI</t>
  </si>
  <si>
    <t>ID82.4</t>
  </si>
  <si>
    <t>ID82.5</t>
  </si>
  <si>
    <t>Melhoria de Performance na Macro ID 01 Rejeitado Legado</t>
  </si>
  <si>
    <t>29/05/2015</t>
  </si>
  <si>
    <t>22/05/2015</t>
  </si>
  <si>
    <t>ID76</t>
  </si>
  <si>
    <t>Cliente</t>
  </si>
  <si>
    <t>COMGÁS</t>
  </si>
  <si>
    <t>STATUS</t>
  </si>
  <si>
    <t>ATIVO</t>
  </si>
  <si>
    <t>PID</t>
  </si>
  <si>
    <t>NOME</t>
  </si>
  <si>
    <t>SOBRENOME</t>
  </si>
  <si>
    <t>GAUS</t>
  </si>
  <si>
    <t>Celular</t>
  </si>
  <si>
    <t>Função</t>
  </si>
  <si>
    <t>Terceiro?</t>
  </si>
  <si>
    <t>Empresa</t>
  </si>
  <si>
    <t>Roll On</t>
  </si>
  <si>
    <t>Acesso SVN</t>
  </si>
  <si>
    <t>Acesso a VPN</t>
  </si>
  <si>
    <t>fernandocesar.vidoto</t>
  </si>
  <si>
    <t>N0747978</t>
  </si>
  <si>
    <t>César Vidoto</t>
  </si>
  <si>
    <t>11 98771-1704</t>
  </si>
  <si>
    <t>Analista</t>
  </si>
  <si>
    <t>RandsTad</t>
  </si>
  <si>
    <t>OK</t>
  </si>
  <si>
    <t>marcio.santos</t>
  </si>
  <si>
    <t>Marcio</t>
  </si>
  <si>
    <t>Santos</t>
  </si>
  <si>
    <t>13 98125-8321</t>
  </si>
  <si>
    <t>Accenture</t>
  </si>
  <si>
    <t>NOK</t>
  </si>
  <si>
    <t>N/A</t>
  </si>
  <si>
    <t>Adriano</t>
  </si>
  <si>
    <t>11 96164-8774</t>
  </si>
  <si>
    <t>angelo.r.perrone</t>
  </si>
  <si>
    <t>Angelo</t>
  </si>
  <si>
    <t>Perrone</t>
  </si>
  <si>
    <t>11 97184-3374</t>
  </si>
  <si>
    <t>eder.lima</t>
  </si>
  <si>
    <t>Comgás</t>
  </si>
  <si>
    <t>Eder</t>
  </si>
  <si>
    <t>Eder de Carvalho Lima</t>
  </si>
  <si>
    <t>11 99115-3196</t>
  </si>
  <si>
    <t>Lider</t>
  </si>
  <si>
    <t>N0759437</t>
  </si>
  <si>
    <t>Cleober</t>
  </si>
  <si>
    <t>Carvalho Alonso Fernandes</t>
  </si>
  <si>
    <t>11 96378-4510</t>
  </si>
  <si>
    <t>werbeson.faustino</t>
  </si>
  <si>
    <t>Werbeson</t>
  </si>
  <si>
    <t>Faustino</t>
  </si>
  <si>
    <t>11 98981-7034</t>
  </si>
  <si>
    <t xml:space="preserve">Jose </t>
  </si>
  <si>
    <t>Carlos</t>
  </si>
  <si>
    <t>11 98738-6014</t>
  </si>
  <si>
    <t>N0748898</t>
  </si>
  <si>
    <t>Daniel</t>
  </si>
  <si>
    <t>Bueno</t>
  </si>
  <si>
    <t>21 99488-0048</t>
  </si>
  <si>
    <t>Willian</t>
  </si>
  <si>
    <t>Carestiato</t>
  </si>
  <si>
    <t>21 98718-1987</t>
  </si>
  <si>
    <t>e.souza.santos.filho</t>
  </si>
  <si>
    <t>Evaristo</t>
  </si>
  <si>
    <t>Souza</t>
  </si>
  <si>
    <t>Avanade</t>
  </si>
  <si>
    <t>ACN</t>
  </si>
  <si>
    <t>Meire</t>
  </si>
  <si>
    <t>Ribeiro</t>
  </si>
  <si>
    <t>11 95358-5504</t>
  </si>
  <si>
    <t>edenilson.santos</t>
  </si>
  <si>
    <t>N0776717</t>
  </si>
  <si>
    <t>Edenilson</t>
  </si>
  <si>
    <t>11 98158-0987</t>
  </si>
  <si>
    <t>carolina.santore</t>
  </si>
  <si>
    <t>Carolina</t>
  </si>
  <si>
    <t>Santore</t>
  </si>
  <si>
    <t>21 98483-6755</t>
  </si>
  <si>
    <t>Coordenador</t>
  </si>
  <si>
    <t>cassiano.p.fonseca</t>
  </si>
  <si>
    <t>Cassiano</t>
  </si>
  <si>
    <t>Fonseca</t>
  </si>
  <si>
    <t xml:space="preserve">21 99608-9740
21 98092-9700 </t>
  </si>
  <si>
    <t>alexandre.malheiro</t>
  </si>
  <si>
    <t>Alexandre</t>
  </si>
  <si>
    <t>Malheiro</t>
  </si>
  <si>
    <t>21 98762-6410</t>
  </si>
  <si>
    <t>Gerente</t>
  </si>
  <si>
    <t>mario.j.campos.filho</t>
  </si>
  <si>
    <t>Mario</t>
  </si>
  <si>
    <t>Jorge Campos Filho</t>
  </si>
  <si>
    <t>paloma.c.sousa</t>
  </si>
  <si>
    <t>Paloma</t>
  </si>
  <si>
    <t>Sousa</t>
  </si>
  <si>
    <t>Roberto Mayer</t>
  </si>
  <si>
    <t>Roberto</t>
  </si>
  <si>
    <t>Mayer</t>
  </si>
  <si>
    <t>Wesley</t>
  </si>
  <si>
    <t>Valadao Bernadino</t>
  </si>
  <si>
    <t>Taba</t>
  </si>
  <si>
    <t>PJ - K2</t>
  </si>
  <si>
    <t>Junior</t>
  </si>
  <si>
    <t>Marcelo</t>
  </si>
  <si>
    <t>Sena</t>
  </si>
  <si>
    <t>Andre</t>
  </si>
  <si>
    <t>Almeida</t>
  </si>
  <si>
    <t>Claudio</t>
  </si>
  <si>
    <t>Silva</t>
  </si>
  <si>
    <t>Sidney</t>
  </si>
  <si>
    <t>Graziolli</t>
  </si>
  <si>
    <t>Sahid</t>
  </si>
  <si>
    <t>Saldanha</t>
  </si>
  <si>
    <t>fabio</t>
  </si>
  <si>
    <t>Aparecido</t>
  </si>
  <si>
    <t>bruno.c.e.oliveira</t>
  </si>
  <si>
    <t>Bruno</t>
  </si>
  <si>
    <t>Oliveira</t>
  </si>
  <si>
    <t>felipe.vilar</t>
  </si>
  <si>
    <t>Felipe</t>
  </si>
  <si>
    <t>Vilar</t>
  </si>
  <si>
    <t>felipe.passos</t>
  </si>
  <si>
    <t>Passos</t>
  </si>
  <si>
    <t>luiz.a.freire.araujo</t>
  </si>
  <si>
    <t>Santander</t>
  </si>
  <si>
    <t>Araujo</t>
  </si>
  <si>
    <t>p.bonomo</t>
  </si>
  <si>
    <t>Analytics</t>
  </si>
  <si>
    <t>Peeter</t>
  </si>
  <si>
    <t>Bonomo</t>
  </si>
  <si>
    <t>danilo.de.oliveira</t>
  </si>
  <si>
    <t>Danilo</t>
  </si>
  <si>
    <t>thaysa.helene.coelho</t>
  </si>
  <si>
    <t>Thaysa</t>
  </si>
  <si>
    <t>Coelho</t>
  </si>
  <si>
    <t>leonardo.cidade</t>
  </si>
  <si>
    <t>Leonardo</t>
  </si>
  <si>
    <t>Cidade</t>
  </si>
  <si>
    <t>monalisa.coura</t>
  </si>
  <si>
    <t>Monalisa</t>
  </si>
  <si>
    <t>Coura</t>
  </si>
  <si>
    <t>constantina.t.lima</t>
  </si>
  <si>
    <t>Constantina</t>
  </si>
  <si>
    <t>Lima</t>
  </si>
  <si>
    <t>regina.m.silva</t>
  </si>
  <si>
    <t>Regina</t>
  </si>
  <si>
    <t>ricardo.x.ferreira</t>
  </si>
  <si>
    <t>Ferreira</t>
  </si>
  <si>
    <t>roberto.andrusievicz</t>
  </si>
  <si>
    <t>Andrusievicz</t>
  </si>
  <si>
    <t>karina.goncalves</t>
  </si>
  <si>
    <t>Telefônica</t>
  </si>
  <si>
    <t>Karina</t>
  </si>
  <si>
    <t>Gonçalves</t>
  </si>
  <si>
    <t>ricardo.da.silva</t>
  </si>
  <si>
    <t>gabriela.delgado</t>
  </si>
  <si>
    <t>Gabriela</t>
  </si>
  <si>
    <t>Delgado</t>
  </si>
  <si>
    <t>fabio.donizeti.silva</t>
  </si>
  <si>
    <t>Donizete</t>
  </si>
  <si>
    <t>anselmo.t.matsukura</t>
  </si>
  <si>
    <t>Anselmo</t>
  </si>
  <si>
    <t>Toshio</t>
  </si>
  <si>
    <t>flavia.de.carvalho</t>
  </si>
  <si>
    <t>Flavia</t>
  </si>
  <si>
    <t>Carvalho</t>
  </si>
  <si>
    <t>edmar.m.pinheiro</t>
  </si>
  <si>
    <t>Edmar</t>
  </si>
  <si>
    <t>Pinheiro</t>
  </si>
  <si>
    <t>wellington.germano</t>
  </si>
  <si>
    <t>Wellington</t>
  </si>
  <si>
    <t>Germano</t>
  </si>
  <si>
    <t>ibere.g.jones</t>
  </si>
  <si>
    <t>Ibere</t>
  </si>
  <si>
    <t>Jones</t>
  </si>
  <si>
    <t>a.godinhopalmeira</t>
  </si>
  <si>
    <t>Albert</t>
  </si>
  <si>
    <t>Palmeira</t>
  </si>
  <si>
    <t>Malvezzi</t>
  </si>
  <si>
    <t>Laura</t>
  </si>
  <si>
    <t>Wellen</t>
  </si>
  <si>
    <t>Raphael Re</t>
  </si>
  <si>
    <t>Ricardo Sabroza</t>
  </si>
  <si>
    <t>Tabata</t>
  </si>
  <si>
    <t>Anderson Gremião</t>
  </si>
  <si>
    <t>Glaucio Souza</t>
  </si>
  <si>
    <t>Diego Alexandre</t>
  </si>
  <si>
    <t>Daniel Souza</t>
  </si>
  <si>
    <t>Adelmo Altibo</t>
  </si>
  <si>
    <t>Sergio Porciuncula</t>
  </si>
  <si>
    <t>Thiago Nascimento</t>
  </si>
  <si>
    <t>Marcelo Barbieri</t>
  </si>
  <si>
    <t>Infobase</t>
  </si>
  <si>
    <t>INATIVO</t>
  </si>
  <si>
    <t>Fernando</t>
  </si>
  <si>
    <t>FERNANDO CÉSAR VIDOTO</t>
  </si>
  <si>
    <t>MARCIO SANTOS</t>
  </si>
  <si>
    <t>ANGELO PERRONE</t>
  </si>
  <si>
    <t>EDER EDER DE CARVALHO LIMA</t>
  </si>
  <si>
    <t>WERBESON FAUSTINO</t>
  </si>
  <si>
    <t>EVARISTO SOUZA</t>
  </si>
  <si>
    <t>EDENILSON SANTOS</t>
  </si>
  <si>
    <t>CAROLINA SANTORE</t>
  </si>
  <si>
    <t>CASSIANO FONSECA</t>
  </si>
  <si>
    <t>ALEXANDRE MALHEIRO</t>
  </si>
  <si>
    <t>MARIO JORGE CAMPOS FILHO</t>
  </si>
  <si>
    <t>PALOMA SOUSA</t>
  </si>
  <si>
    <t>ROBERTO MAYER</t>
  </si>
  <si>
    <t>BRUNO OLIVEIRA</t>
  </si>
  <si>
    <t>FELIPE VILAR</t>
  </si>
  <si>
    <t>FELIPE PASSOS</t>
  </si>
  <si>
    <t>LUIZ ARAUJO</t>
  </si>
  <si>
    <t>PEETER BONOMO</t>
  </si>
  <si>
    <t>DANILO OLIVEIRA</t>
  </si>
  <si>
    <t>THAYSA COELHO</t>
  </si>
  <si>
    <t>LEONARDO CIDADE</t>
  </si>
  <si>
    <t>MONALISA COURA</t>
  </si>
  <si>
    <t>CONSTANTINA LIMA</t>
  </si>
  <si>
    <t>REGINA SILVA</t>
  </si>
  <si>
    <t>RICARDO FERREIRA</t>
  </si>
  <si>
    <t>ROBERTO ANDRUSIEVICZ</t>
  </si>
  <si>
    <t>KARINA GONÇALVES</t>
  </si>
  <si>
    <t>RICARDO SILVA</t>
  </si>
  <si>
    <t>GABRIELA DELGADO</t>
  </si>
  <si>
    <t>FABIO DONIZETE</t>
  </si>
  <si>
    <t>ANSELMO TOSHIO</t>
  </si>
  <si>
    <t>FLAVIA CARVALHO</t>
  </si>
  <si>
    <t>EDMAR PINHEIRO</t>
  </si>
  <si>
    <t>WELLINGTON GERMANO</t>
  </si>
  <si>
    <t>IBERE JONES</t>
  </si>
  <si>
    <t>ALBERT PALMEIRA</t>
  </si>
  <si>
    <t>MALVEZZI</t>
  </si>
  <si>
    <t>LAURA</t>
  </si>
  <si>
    <t>WELLEN</t>
  </si>
  <si>
    <t>ROBERTO</t>
  </si>
  <si>
    <t>RAPHAEL RE</t>
  </si>
  <si>
    <t>RICARDO SABROZA</t>
  </si>
  <si>
    <t>TABATA</t>
  </si>
  <si>
    <t>ANDERSON GREMIÃO</t>
  </si>
  <si>
    <t>GLAUCIO SOUZA</t>
  </si>
  <si>
    <t>DIEGO ALEXANDRE</t>
  </si>
  <si>
    <t>DANIEL SOUZA</t>
  </si>
  <si>
    <t>ADELMO ALTIBO</t>
  </si>
  <si>
    <t>SERGIO PORCIUNCULA</t>
  </si>
  <si>
    <t>THIAGO NASCIMENTO</t>
  </si>
  <si>
    <t>MARCELO BARBIERI</t>
  </si>
  <si>
    <t>TELEFÔNICA</t>
  </si>
  <si>
    <t>SANTANDER</t>
  </si>
  <si>
    <t>ANALYTICS</t>
  </si>
  <si>
    <t>EXIBIR</t>
  </si>
  <si>
    <t>PROJETO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</si>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</sst>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6]d\-mmm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C8C8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indexed="64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indexed="64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/>
    <xf numFmtId="14" fontId="5" fillId="6" borderId="3" xfId="0" applyNumberFormat="1" applyFont="1" applyFill="1" applyBorder="1" applyAlignment="1">
      <alignment horizontal="right"/>
    </xf>
    <xf numFmtId="14" fontId="5" fillId="5" borderId="3" xfId="0" applyNumberFormat="1" applyFont="1" applyFill="1" applyBorder="1" applyAlignment="1">
      <alignment horizontal="right"/>
    </xf>
    <xf numFmtId="0" fontId="4" fillId="5" borderId="3" xfId="0" applyFont="1" applyFill="1" applyBorder="1" applyAlignment="1">
      <alignment vertical="center"/>
    </xf>
    <xf numFmtId="14" fontId="4" fillId="5" borderId="3" xfId="0" applyNumberFormat="1" applyFont="1" applyFill="1" applyBorder="1" applyAlignment="1">
      <alignment horizontal="center"/>
    </xf>
    <xf numFmtId="9" fontId="4" fillId="5" borderId="3" xfId="0" applyNumberFormat="1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9" fontId="4" fillId="5" borderId="4" xfId="0" applyNumberFormat="1" applyFont="1" applyFill="1" applyBorder="1" applyAlignment="1">
      <alignment horizontal="center" vertical="center"/>
    </xf>
    <xf numFmtId="0" fontId="0" fillId="0" borderId="0" xfId="0" applyAlignment="1"/>
    <xf numFmtId="0" fontId="4" fillId="6" borderId="3" xfId="0" applyFont="1" applyFill="1" applyBorder="1" applyAlignment="1">
      <alignment vertical="center"/>
    </xf>
    <xf numFmtId="14" fontId="4" fillId="6" borderId="3" xfId="0" applyNumberFormat="1" applyFont="1" applyFill="1" applyBorder="1" applyAlignment="1">
      <alignment horizontal="center"/>
    </xf>
    <xf numFmtId="9" fontId="4" fillId="6" borderId="3" xfId="0" applyNumberFormat="1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9" fontId="4" fillId="6" borderId="4" xfId="0" applyNumberFormat="1" applyFont="1" applyFill="1" applyBorder="1" applyAlignment="1">
      <alignment horizontal="center" vertical="center"/>
    </xf>
    <xf numFmtId="14" fontId="4" fillId="6" borderId="3" xfId="0" applyNumberFormat="1" applyFont="1" applyFill="1" applyBorder="1" applyAlignment="1">
      <alignment vertical="center"/>
    </xf>
    <xf numFmtId="14" fontId="4" fillId="6" borderId="3" xfId="0" applyNumberFormat="1" applyFont="1" applyFill="1" applyBorder="1" applyAlignment="1">
      <alignment horizontal="right" vertical="center"/>
    </xf>
    <xf numFmtId="14" fontId="5" fillId="5" borderId="3" xfId="0" applyNumberFormat="1" applyFont="1" applyFill="1" applyBorder="1" applyAlignment="1"/>
    <xf numFmtId="0" fontId="5" fillId="5" borderId="3" xfId="0" applyFont="1" applyFill="1" applyBorder="1" applyAlignment="1"/>
    <xf numFmtId="0" fontId="4" fillId="6" borderId="3" xfId="0" applyFont="1" applyFill="1" applyBorder="1" applyAlignment="1">
      <alignment horizontal="left" vertical="center"/>
    </xf>
    <xf numFmtId="14" fontId="4" fillId="5" borderId="3" xfId="0" applyNumberFormat="1" applyFont="1" applyFill="1" applyBorder="1" applyAlignment="1">
      <alignment horizontal="right" vertical="center"/>
    </xf>
    <xf numFmtId="0" fontId="4" fillId="5" borderId="3" xfId="0" applyFont="1" applyFill="1" applyBorder="1" applyAlignment="1">
      <alignment horizontal="left" vertical="center"/>
    </xf>
    <xf numFmtId="14" fontId="5" fillId="6" borderId="3" xfId="0" applyNumberFormat="1" applyFont="1" applyFill="1" applyBorder="1" applyAlignment="1"/>
    <xf numFmtId="0" fontId="5" fillId="6" borderId="3" xfId="0" applyFont="1" applyFill="1" applyBorder="1" applyAlignment="1"/>
    <xf numFmtId="0" fontId="4" fillId="5" borderId="2" xfId="0" applyFont="1" applyFill="1" applyBorder="1" applyAlignment="1">
      <alignment vertical="center"/>
    </xf>
    <xf numFmtId="14" fontId="4" fillId="5" borderId="2" xfId="0" applyNumberFormat="1" applyFont="1" applyFill="1" applyBorder="1" applyAlignment="1">
      <alignment horizontal="right" vertical="center"/>
    </xf>
    <xf numFmtId="9" fontId="4" fillId="5" borderId="2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left" vertical="center"/>
    </xf>
    <xf numFmtId="9" fontId="4" fillId="5" borderId="5" xfId="0" applyNumberFormat="1" applyFont="1" applyFill="1" applyBorder="1" applyAlignment="1">
      <alignment horizontal="center" vertical="center"/>
    </xf>
    <xf numFmtId="2" fontId="0" fillId="0" borderId="0" xfId="0" applyNumberFormat="1" applyAlignment="1"/>
    <xf numFmtId="0" fontId="0" fillId="0" borderId="0" xfId="0" applyNumberFormat="1" applyAlignment="1"/>
    <xf numFmtId="0" fontId="0" fillId="0" borderId="0" xfId="0" applyAlignment="1">
      <alignment vertical="top" wrapText="1"/>
    </xf>
    <xf numFmtId="0" fontId="0" fillId="0" borderId="0" xfId="0" applyAlignment="1">
      <alignment horizontal="left"/>
    </xf>
    <xf numFmtId="0" fontId="2" fillId="3" borderId="6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6" xfId="0" applyFill="1" applyBorder="1"/>
    <xf numFmtId="0" fontId="1" fillId="2" borderId="6" xfId="0" applyFont="1" applyFill="1" applyBorder="1" applyAlignment="1">
      <alignment vertical="center"/>
    </xf>
    <xf numFmtId="14" fontId="0" fillId="0" borderId="6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4" borderId="6" xfId="0" applyFont="1" applyFill="1" applyBorder="1" applyAlignment="1">
      <alignment horizontal="center"/>
    </xf>
    <xf numFmtId="0" fontId="0" fillId="4" borderId="6" xfId="0" applyFont="1" applyFill="1" applyBorder="1"/>
    <xf numFmtId="9" fontId="0" fillId="4" borderId="6" xfId="0" applyNumberFormat="1" applyFont="1" applyFill="1" applyBorder="1" applyAlignment="1">
      <alignment horizontal="center"/>
    </xf>
    <xf numFmtId="1" fontId="0" fillId="4" borderId="6" xfId="0" applyNumberFormat="1" applyFont="1" applyFill="1" applyBorder="1" applyAlignment="1">
      <alignment horizontal="center"/>
    </xf>
    <xf numFmtId="10" fontId="0" fillId="0" borderId="6" xfId="0" applyNumberFormat="1" applyBorder="1"/>
    <xf numFmtId="0" fontId="0" fillId="4" borderId="6" xfId="0" applyFill="1" applyBorder="1" applyAlignment="1">
      <alignment horizontal="center"/>
    </xf>
    <xf numFmtId="0" fontId="0" fillId="4" borderId="6" xfId="0" applyFill="1" applyBorder="1"/>
    <xf numFmtId="0" fontId="2" fillId="4" borderId="6" xfId="0" applyFont="1" applyFill="1" applyBorder="1" applyAlignment="1">
      <alignment vertical="center"/>
    </xf>
    <xf numFmtId="14" fontId="0" fillId="4" borderId="6" xfId="0" applyNumberFormat="1" applyFill="1" applyBorder="1" applyAlignment="1">
      <alignment horizontal="center"/>
    </xf>
    <xf numFmtId="9" fontId="0" fillId="4" borderId="6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14" fontId="0" fillId="0" borderId="6" xfId="0" applyNumberFormat="1" applyFill="1" applyBorder="1" applyAlignment="1">
      <alignment horizontal="center" vertical="center"/>
    </xf>
    <xf numFmtId="14" fontId="0" fillId="4" borderId="6" xfId="0" applyNumberFormat="1" applyFont="1" applyFill="1" applyBorder="1" applyAlignment="1">
      <alignment horizontal="center"/>
    </xf>
    <xf numFmtId="0" fontId="1" fillId="7" borderId="6" xfId="0" applyFont="1" applyFill="1" applyBorder="1" applyAlignment="1">
      <alignment vertical="center"/>
    </xf>
    <xf numFmtId="14" fontId="0" fillId="4" borderId="6" xfId="0" applyNumberFormat="1" applyFill="1" applyBorder="1" applyAlignment="1">
      <alignment horizontal="center" vertical="center"/>
    </xf>
    <xf numFmtId="9" fontId="0" fillId="0" borderId="6" xfId="0" applyNumberFormat="1" applyFill="1" applyBorder="1" applyAlignment="1">
      <alignment horizontal="center"/>
    </xf>
    <xf numFmtId="0" fontId="0" fillId="0" borderId="6" xfId="0" applyBorder="1" applyAlignment="1">
      <alignment horizontal="left"/>
    </xf>
    <xf numFmtId="14" fontId="0" fillId="4" borderId="6" xfId="0" applyNumberFormat="1" applyFill="1" applyBorder="1"/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left" vertical="top" wrapText="1"/>
    </xf>
    <xf numFmtId="0" fontId="0" fillId="4" borderId="6" xfId="0" applyFont="1" applyFill="1" applyBorder="1" applyAlignment="1">
      <alignment vertical="top" wrapText="1"/>
    </xf>
    <xf numFmtId="14" fontId="0" fillId="0" borderId="6" xfId="0" applyNumberFormat="1" applyBorder="1" applyAlignment="1">
      <alignment horizontal="center"/>
    </xf>
    <xf numFmtId="9" fontId="0" fillId="0" borderId="6" xfId="1" applyFont="1" applyBorder="1" applyAlignment="1">
      <alignment horizontal="center"/>
    </xf>
    <xf numFmtId="0" fontId="1" fillId="2" borderId="6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4" borderId="6" xfId="0" applyFont="1" applyFill="1" applyBorder="1" applyAlignment="1">
      <alignment horizontal="left"/>
    </xf>
    <xf numFmtId="0" fontId="2" fillId="3" borderId="6" xfId="0" applyFont="1" applyFill="1" applyBorder="1" applyAlignment="1">
      <alignment horizontal="left"/>
    </xf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0" fontId="6" fillId="8" borderId="1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2" fillId="3" borderId="6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8" borderId="14" xfId="0" applyFont="1" applyFill="1" applyBorder="1" applyAlignment="1">
      <alignment horizontal="center"/>
    </xf>
    <xf numFmtId="0" fontId="0" fillId="0" borderId="15" xfId="0" applyBorder="1"/>
    <xf numFmtId="0" fontId="2" fillId="4" borderId="6" xfId="0" applyFont="1" applyFill="1" applyBorder="1"/>
    <xf numFmtId="0" fontId="0" fillId="0" borderId="6" xfId="0" applyBorder="1" applyAlignment="1">
      <alignment vertical="top" wrapText="1"/>
    </xf>
    <xf numFmtId="0" fontId="0" fillId="0" borderId="6" xfId="0" applyFill="1" applyBorder="1" applyAlignment="1">
      <alignment horizontal="center"/>
    </xf>
    <xf numFmtId="14" fontId="0" fillId="0" borderId="6" xfId="0" applyNumberFormat="1" applyFill="1" applyBorder="1" applyAlignment="1">
      <alignment horizontal="center" vertical="center" wrapText="1"/>
    </xf>
    <xf numFmtId="14" fontId="0" fillId="0" borderId="15" xfId="0" applyNumberFormat="1" applyBorder="1" applyAlignment="1">
      <alignment horizontal="center" vertical="center"/>
    </xf>
    <xf numFmtId="0" fontId="0" fillId="0" borderId="0" xfId="0" applyBorder="1"/>
    <xf numFmtId="0" fontId="2" fillId="9" borderId="16" xfId="0" applyFont="1" applyFill="1" applyBorder="1"/>
    <xf numFmtId="16" fontId="2" fillId="9" borderId="17" xfId="0" applyNumberFormat="1" applyFont="1" applyFill="1" applyBorder="1" applyAlignment="1">
      <alignment horizontal="center" textRotation="90"/>
    </xf>
    <xf numFmtId="16" fontId="2" fillId="9" borderId="18" xfId="0" applyNumberFormat="1" applyFont="1" applyFill="1" applyBorder="1" applyAlignment="1">
      <alignment horizontal="center" textRotation="90"/>
    </xf>
    <xf numFmtId="16" fontId="2" fillId="9" borderId="19" xfId="0" applyNumberFormat="1" applyFont="1" applyFill="1" applyBorder="1" applyAlignment="1">
      <alignment horizontal="center" textRotation="90"/>
    </xf>
    <xf numFmtId="16" fontId="2" fillId="9" borderId="20" xfId="0" applyNumberFormat="1" applyFont="1" applyFill="1" applyBorder="1" applyAlignment="1">
      <alignment horizontal="center" textRotation="90"/>
    </xf>
    <xf numFmtId="16" fontId="2" fillId="9" borderId="21" xfId="0" applyNumberFormat="1" applyFont="1" applyFill="1" applyBorder="1" applyAlignment="1">
      <alignment horizontal="center"/>
    </xf>
    <xf numFmtId="0" fontId="6" fillId="8" borderId="10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6" fillId="8" borderId="12" xfId="0" applyFont="1" applyFill="1" applyBorder="1" applyAlignment="1">
      <alignment horizontal="center"/>
    </xf>
    <xf numFmtId="16" fontId="7" fillId="10" borderId="7" xfId="0" applyNumberFormat="1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0" borderId="9" xfId="0" applyFont="1" applyFill="1" applyBorder="1" applyAlignment="1">
      <alignment horizontal="center"/>
    </xf>
    <xf numFmtId="0" fontId="0" fillId="11" borderId="15" xfId="0" applyFill="1" applyBorder="1"/>
    <xf numFmtId="0" fontId="0" fillId="12" borderId="15" xfId="0" applyFill="1" applyBorder="1"/>
    <xf numFmtId="0" fontId="0" fillId="0" borderId="22" xfId="0" applyBorder="1"/>
    <xf numFmtId="0" fontId="0" fillId="11" borderId="22" xfId="0" applyFill="1" applyBorder="1"/>
    <xf numFmtId="0" fontId="0" fillId="0" borderId="23" xfId="0" applyBorder="1"/>
    <xf numFmtId="0" fontId="0" fillId="11" borderId="24" xfId="0" applyFill="1" applyBorder="1"/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0" fillId="0" borderId="27" xfId="0" applyBorder="1" applyAlignment="1">
      <alignment horizontal="center" vertical="center"/>
    </xf>
    <xf numFmtId="0" fontId="0" fillId="0" borderId="28" xfId="0" applyBorder="1"/>
    <xf numFmtId="0" fontId="0" fillId="11" borderId="29" xfId="0" applyFill="1" applyBorder="1"/>
    <xf numFmtId="0" fontId="0" fillId="11" borderId="30" xfId="0" applyFill="1" applyBorder="1"/>
    <xf numFmtId="0" fontId="0" fillId="11" borderId="31" xfId="0" applyFill="1" applyBorder="1"/>
    <xf numFmtId="0" fontId="0" fillId="12" borderId="30" xfId="0" applyFill="1" applyBorder="1"/>
    <xf numFmtId="0" fontId="0" fillId="0" borderId="32" xfId="0" applyBorder="1"/>
    <xf numFmtId="0" fontId="0" fillId="0" borderId="33" xfId="0" applyBorder="1" applyAlignment="1">
      <alignment horizontal="center" vertical="center"/>
    </xf>
    <xf numFmtId="0" fontId="0" fillId="0" borderId="34" xfId="0" applyBorder="1"/>
    <xf numFmtId="0" fontId="0" fillId="11" borderId="35" xfId="0" applyFill="1" applyBorder="1"/>
    <xf numFmtId="0" fontId="0" fillId="11" borderId="36" xfId="0" applyFill="1" applyBorder="1"/>
    <xf numFmtId="0" fontId="0" fillId="11" borderId="37" xfId="0" applyFill="1" applyBorder="1"/>
    <xf numFmtId="0" fontId="0" fillId="12" borderId="36" xfId="0" applyFill="1" applyBorder="1"/>
    <xf numFmtId="0" fontId="0" fillId="0" borderId="38" xfId="0" applyBorder="1"/>
    <xf numFmtId="0" fontId="0" fillId="0" borderId="29" xfId="0" applyBorder="1"/>
    <xf numFmtId="0" fontId="0" fillId="0" borderId="35" xfId="0" applyBorder="1"/>
  </cellXfs>
  <cellStyles count="2">
    <cellStyle name="Normal" xfId="0" builtinId="0"/>
    <cellStyle name="Percent" xfId="1" builtinId="5"/>
  </cellStyles>
  <dxfs count="45"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</dxfs>
  <tableStyles count="0" defaultTableStyle="TableStyleMedium9" defaultPivotStyle="PivotStyleLight16"/>
  <colors>
    <mruColors>
      <color rgb="FFAA0F33"/>
      <color rgb="FF6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d.bueno@accenture.com" TargetMode="External"/><Relationship Id="rId1" Type="http://schemas.openxmlformats.org/officeDocument/2006/relationships/hyperlink" Target="mailto:werbeson.faustino@accenture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"/>
  <sheetViews>
    <sheetView workbookViewId="0">
      <selection activeCell="C7" sqref="C7"/>
    </sheetView>
  </sheetViews>
  <sheetFormatPr defaultRowHeight="15" x14ac:dyDescent="0.25"/>
  <cols>
    <col min="1" max="1" width="2.85546875" style="78" bestFit="1" customWidth="1"/>
    <col min="2" max="2" width="9.42578125" style="78" bestFit="1" customWidth="1"/>
    <col min="3" max="3" width="7.42578125" style="78" bestFit="1" customWidth="1"/>
    <col min="4" max="4" width="5.7109375" style="78" bestFit="1" customWidth="1"/>
    <col min="5" max="5" width="8.42578125" style="78" bestFit="1" customWidth="1"/>
    <col min="6" max="6" width="10.42578125" style="78" bestFit="1" customWidth="1"/>
    <col min="7" max="7" width="10.28515625" style="78" bestFit="1" customWidth="1"/>
    <col min="8" max="8" width="8.7109375" style="78" bestFit="1" customWidth="1"/>
    <col min="9" max="9" width="11.85546875" style="78" bestFit="1" customWidth="1"/>
    <col min="10" max="10" width="11.7109375" style="78" bestFit="1" customWidth="1"/>
    <col min="11" max="11" width="4.7109375" style="78" bestFit="1" customWidth="1"/>
    <col min="12" max="12" width="10.28515625" style="78" bestFit="1" customWidth="1"/>
    <col min="13" max="13" width="15.5703125" style="78" bestFit="1" customWidth="1"/>
    <col min="14" max="14" width="18.5703125" style="78" bestFit="1" customWidth="1"/>
    <col min="15" max="16" width="5.28515625" style="78" bestFit="1" customWidth="1"/>
    <col min="17" max="16384" width="9.140625" style="78"/>
  </cols>
  <sheetData>
    <row r="1" spans="1:16" x14ac:dyDescent="0.25">
      <c r="A1" s="77" t="s">
        <v>31</v>
      </c>
      <c r="B1" s="77" t="s">
        <v>30</v>
      </c>
      <c r="C1" s="77" t="s">
        <v>301</v>
      </c>
      <c r="D1" s="77" t="s">
        <v>36</v>
      </c>
      <c r="E1" s="77" t="s">
        <v>37</v>
      </c>
      <c r="F1" s="77" t="s">
        <v>0</v>
      </c>
      <c r="G1" s="77" t="s">
        <v>1</v>
      </c>
      <c r="H1" s="77" t="s">
        <v>2</v>
      </c>
      <c r="I1" s="77" t="s">
        <v>3</v>
      </c>
      <c r="J1" s="77" t="s">
        <v>4</v>
      </c>
      <c r="K1" s="77" t="s">
        <v>6</v>
      </c>
      <c r="L1" s="77" t="s">
        <v>5</v>
      </c>
      <c r="M1" s="77" t="s">
        <v>125</v>
      </c>
      <c r="N1" s="77" t="s">
        <v>126</v>
      </c>
      <c r="O1" s="77" t="s">
        <v>123</v>
      </c>
      <c r="P1" s="77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P350"/>
  <sheetViews>
    <sheetView showGridLines="0" tabSelected="1" topLeftCell="A2" zoomScale="85" zoomScaleNormal="85" workbookViewId="0">
      <pane xSplit="2" ySplit="1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A3" sqref="A3"/>
    </sheetView>
  </sheetViews>
  <sheetFormatPr defaultRowHeight="15" x14ac:dyDescent="0.25"/>
  <cols>
    <col min="1" max="1" width="9.140625" style="1"/>
    <col min="2" max="2" width="64.42578125" style="1" bestFit="1" customWidth="1"/>
    <col min="3" max="3" width="15.42578125" style="1" customWidth="1"/>
    <col min="4" max="4" width="18.140625" style="1" customWidth="1"/>
    <col min="5" max="5" width="21.85546875" style="1" customWidth="1"/>
    <col min="6" max="6" width="74.140625" style="1" bestFit="1" customWidth="1"/>
    <col min="7" max="7" width="28.5703125" style="1" customWidth="1"/>
    <col min="8" max="8" width="24.85546875" style="1" customWidth="1"/>
    <col min="9" max="9" width="19.42578125" style="1" bestFit="1" customWidth="1"/>
    <col min="10" max="10" width="16.5703125" style="1" bestFit="1" customWidth="1"/>
    <col min="11" max="11" width="16.5703125" style="1" customWidth="1"/>
    <col min="12" max="12" width="14" style="1" customWidth="1"/>
    <col min="13" max="13" width="20.42578125" style="1" bestFit="1" customWidth="1"/>
    <col min="14" max="14" width="23.140625" style="1" bestFit="1" customWidth="1"/>
    <col min="15" max="15" width="9.85546875" style="1" customWidth="1"/>
    <col min="16" max="16" width="9.7109375" style="1" customWidth="1"/>
    <col min="17" max="17" width="3.28515625" style="1" bestFit="1" customWidth="1"/>
    <col min="18" max="27" width="9.140625" style="1"/>
    <col min="28" max="28" width="11.5703125" style="1" bestFit="1" customWidth="1"/>
    <col min="29" max="16384" width="9.140625" style="1"/>
  </cols>
  <sheetData>
    <row r="1" spans="1:16" ht="15" hidden="1" customHeight="1" x14ac:dyDescent="0.25"/>
    <row r="2" spans="1:16" x14ac:dyDescent="0.25">
      <c r="A2" s="33" t="s">
        <v>31</v>
      </c>
      <c r="B2" s="33" t="s">
        <v>30</v>
      </c>
      <c r="C2" s="33" t="s">
        <v>301</v>
      </c>
      <c r="D2" s="33" t="s">
        <v>36</v>
      </c>
      <c r="E2" s="33" t="s">
        <v>37</v>
      </c>
      <c r="F2" s="33" t="s">
        <v>0</v>
      </c>
      <c r="G2" s="33" t="s">
        <v>1</v>
      </c>
      <c r="H2" s="33" t="s">
        <v>2</v>
      </c>
      <c r="I2" s="33" t="s">
        <v>3</v>
      </c>
      <c r="J2" s="33" t="s">
        <v>4</v>
      </c>
      <c r="K2" s="33" t="s">
        <v>6</v>
      </c>
      <c r="L2" s="33" t="s">
        <v>5</v>
      </c>
      <c r="M2" s="33" t="s">
        <v>125</v>
      </c>
      <c r="N2" s="33" t="s">
        <v>126</v>
      </c>
      <c r="O2" s="33" t="s">
        <v>123</v>
      </c>
      <c r="P2" s="33" t="s">
        <v>124</v>
      </c>
    </row>
    <row r="3" spans="1:16" ht="15" customHeight="1" x14ac:dyDescent="0.25">
      <c r="A3" s="34" t="s">
        <v>191</v>
      </c>
      <c r="B3" s="35" t="s">
        <v>192</v>
      </c>
      <c r="C3" s="35" t="s">
        <v>543</v>
      </c>
      <c r="D3" s="35" t="s">
        <v>38</v>
      </c>
      <c r="E3" s="36" t="s">
        <v>39</v>
      </c>
      <c r="F3" s="37" t="s">
        <v>7</v>
      </c>
      <c r="G3" s="38">
        <v>42088</v>
      </c>
      <c r="H3" s="38">
        <v>42090</v>
      </c>
      <c r="I3" s="39">
        <f ca="1">IF(NETWORKDAYS(G3,TODAY())/NETWORKDAYS(G3,H3,)&lt;0,0,IF(NETWORKDAYS(G3,TODAY())/NETWORKDAYS(G3,H3,)&gt;1,1,NETWORKDAYS(G3,TODAY())/NETWORKDAYS(G3,H3,)))</f>
        <v>1</v>
      </c>
      <c r="J3" s="39">
        <v>1</v>
      </c>
      <c r="K3" s="40">
        <f>NETWORKDAYS(G3,H3)</f>
        <v>3</v>
      </c>
      <c r="L3" s="34">
        <f>K3*8</f>
        <v>24</v>
      </c>
      <c r="M3" s="34" t="s">
        <v>144</v>
      </c>
      <c r="N3" s="34" t="s">
        <v>145</v>
      </c>
      <c r="O3" s="35">
        <f ca="1">I3*L3</f>
        <v>24</v>
      </c>
      <c r="P3" s="35">
        <f>J3*L3</f>
        <v>24</v>
      </c>
    </row>
    <row r="4" spans="1:16" x14ac:dyDescent="0.25">
      <c r="A4" s="34" t="s">
        <v>191</v>
      </c>
      <c r="B4" s="35" t="s">
        <v>192</v>
      </c>
      <c r="C4" s="35" t="s">
        <v>543</v>
      </c>
      <c r="D4" s="35" t="s">
        <v>38</v>
      </c>
      <c r="E4" s="36" t="s">
        <v>39</v>
      </c>
      <c r="F4" s="37" t="s">
        <v>10</v>
      </c>
      <c r="G4" s="38">
        <v>42093</v>
      </c>
      <c r="H4" s="38">
        <v>42104</v>
      </c>
      <c r="I4" s="39">
        <f ca="1">IF(NETWORKDAYS(G4,TODAY())/NETWORKDAYS(G4,H4,)&lt;0,0,IF(NETWORKDAYS(G4,TODAY())/NETWORKDAYS(G4,H4,)&gt;1,1,NETWORKDAYS(G4,TODAY())/NETWORKDAYS(G4,H4,)))</f>
        <v>1</v>
      </c>
      <c r="J4" s="39">
        <v>1</v>
      </c>
      <c r="K4" s="40">
        <f>NETWORKDAYS(G4,H4)</f>
        <v>10</v>
      </c>
      <c r="L4" s="34">
        <f t="shared" ref="L4:L6" si="0">K4*8</f>
        <v>80</v>
      </c>
      <c r="M4" s="34" t="s">
        <v>144</v>
      </c>
      <c r="N4" s="34" t="s">
        <v>145</v>
      </c>
      <c r="O4" s="35">
        <f ca="1">I4*L4</f>
        <v>80</v>
      </c>
      <c r="P4" s="35">
        <f>J4*L4</f>
        <v>80</v>
      </c>
    </row>
    <row r="5" spans="1:16" x14ac:dyDescent="0.25">
      <c r="A5" s="34" t="s">
        <v>191</v>
      </c>
      <c r="B5" s="35" t="s">
        <v>192</v>
      </c>
      <c r="C5" s="35" t="s">
        <v>543</v>
      </c>
      <c r="D5" s="35" t="s">
        <v>38</v>
      </c>
      <c r="E5" s="36" t="s">
        <v>39</v>
      </c>
      <c r="F5" s="37" t="s">
        <v>8</v>
      </c>
      <c r="G5" s="38">
        <v>42107</v>
      </c>
      <c r="H5" s="38">
        <v>42107</v>
      </c>
      <c r="I5" s="39">
        <f ca="1">IF(NETWORKDAYS(G5,TODAY())/NETWORKDAYS(G5,H5,)&lt;0,0,IF(NETWORKDAYS(G5,TODAY())/NETWORKDAYS(G5,H5,)&gt;1,1,NETWORKDAYS(G5,TODAY())/NETWORKDAYS(G5,H5,)))</f>
        <v>1</v>
      </c>
      <c r="J5" s="39">
        <v>1</v>
      </c>
      <c r="K5" s="40">
        <f>NETWORKDAYS(G5,H5)</f>
        <v>1</v>
      </c>
      <c r="L5" s="34">
        <f t="shared" si="0"/>
        <v>8</v>
      </c>
      <c r="M5" s="34" t="s">
        <v>144</v>
      </c>
      <c r="N5" s="34" t="s">
        <v>145</v>
      </c>
      <c r="O5" s="35">
        <f ca="1">I5*L5</f>
        <v>8</v>
      </c>
      <c r="P5" s="35">
        <f>J5*L5</f>
        <v>8</v>
      </c>
    </row>
    <row r="6" spans="1:16" x14ac:dyDescent="0.25">
      <c r="A6" s="34" t="s">
        <v>191</v>
      </c>
      <c r="B6" s="35" t="s">
        <v>192</v>
      </c>
      <c r="C6" s="35" t="s">
        <v>543</v>
      </c>
      <c r="D6" s="35" t="s">
        <v>38</v>
      </c>
      <c r="E6" s="36" t="s">
        <v>39</v>
      </c>
      <c r="F6" s="37" t="s">
        <v>11</v>
      </c>
      <c r="G6" s="38">
        <v>42108</v>
      </c>
      <c r="H6" s="38">
        <v>42109</v>
      </c>
      <c r="I6" s="39">
        <f ca="1">IF(NETWORKDAYS(G6,TODAY())/NETWORKDAYS(G6,H6,)&lt;0,0,IF(NETWORKDAYS(G6,TODAY())/NETWORKDAYS(G6,H6,)&gt;1,1,NETWORKDAYS(G6,TODAY())/NETWORKDAYS(G6,H6,)))</f>
        <v>1</v>
      </c>
      <c r="J6" s="39">
        <v>1</v>
      </c>
      <c r="K6" s="40">
        <f>NETWORKDAYS(G6,H6)</f>
        <v>2</v>
      </c>
      <c r="L6" s="34">
        <f t="shared" si="0"/>
        <v>16</v>
      </c>
      <c r="M6" s="34" t="s">
        <v>144</v>
      </c>
      <c r="N6" s="34" t="s">
        <v>145</v>
      </c>
      <c r="O6" s="35">
        <f ca="1">I6*L6</f>
        <v>16</v>
      </c>
      <c r="P6" s="35">
        <f>J6*L6</f>
        <v>16</v>
      </c>
    </row>
    <row r="7" spans="1:16" x14ac:dyDescent="0.25">
      <c r="A7" s="41" t="s">
        <v>191</v>
      </c>
      <c r="B7" s="42" t="str">
        <f>B6</f>
        <v>Rejeitados Legado</v>
      </c>
      <c r="C7" s="42" t="s">
        <v>543</v>
      </c>
      <c r="D7" s="42" t="s">
        <v>38</v>
      </c>
      <c r="E7" s="42" t="s">
        <v>39</v>
      </c>
      <c r="F7" s="42" t="s">
        <v>35</v>
      </c>
      <c r="G7" s="41" t="s">
        <v>193</v>
      </c>
      <c r="H7" s="41" t="s">
        <v>194</v>
      </c>
      <c r="I7" s="43">
        <f ca="1">SUM(O3:O6)/L7</f>
        <v>1</v>
      </c>
      <c r="J7" s="43">
        <f>SUM(P3:P6)/L7</f>
        <v>1</v>
      </c>
      <c r="K7" s="44">
        <f>SUM(K3:K6)</f>
        <v>16</v>
      </c>
      <c r="L7" s="41">
        <f>SUM(L3:L6)</f>
        <v>128</v>
      </c>
      <c r="M7" s="41" t="s">
        <v>144</v>
      </c>
      <c r="N7" s="41" t="s">
        <v>145</v>
      </c>
      <c r="O7" s="35"/>
      <c r="P7" s="45"/>
    </row>
    <row r="8" spans="1:16" x14ac:dyDescent="0.25">
      <c r="A8" s="34" t="s">
        <v>195</v>
      </c>
      <c r="B8" s="35" t="s">
        <v>196</v>
      </c>
      <c r="C8" s="35" t="s">
        <v>543</v>
      </c>
      <c r="D8" s="35" t="s">
        <v>38</v>
      </c>
      <c r="E8" s="35" t="s">
        <v>39</v>
      </c>
      <c r="F8" s="37" t="s">
        <v>9</v>
      </c>
      <c r="G8" s="38">
        <v>41996</v>
      </c>
      <c r="H8" s="38">
        <v>41996</v>
      </c>
      <c r="I8" s="39">
        <f ca="1">IF(NETWORKDAYS(G8,TODAY())/NETWORKDAYS(G8,H8,)&lt;0,0,IF(NETWORKDAYS(G8,TODAY())/NETWORKDAYS(G8,H8,)&gt;1,1,NETWORKDAYS(G8,TODAY())/NETWORKDAYS(G8,H8,)))</f>
        <v>1</v>
      </c>
      <c r="J8" s="39">
        <v>1</v>
      </c>
      <c r="K8" s="40">
        <f>NETWORKDAYS(G8,H8)</f>
        <v>1</v>
      </c>
      <c r="L8" s="34">
        <f t="shared" ref="L8:L11" si="1">K8*8</f>
        <v>8</v>
      </c>
      <c r="M8" s="34" t="s">
        <v>142</v>
      </c>
      <c r="N8" s="34" t="s">
        <v>143</v>
      </c>
      <c r="O8" s="35">
        <f ca="1">I8*L8</f>
        <v>8</v>
      </c>
      <c r="P8" s="35">
        <f>J8*L8</f>
        <v>8</v>
      </c>
    </row>
    <row r="9" spans="1:16" x14ac:dyDescent="0.25">
      <c r="A9" s="34" t="s">
        <v>195</v>
      </c>
      <c r="B9" s="35" t="s">
        <v>196</v>
      </c>
      <c r="C9" s="35" t="s">
        <v>543</v>
      </c>
      <c r="D9" s="35" t="s">
        <v>38</v>
      </c>
      <c r="E9" s="35" t="s">
        <v>39</v>
      </c>
      <c r="F9" s="37" t="s">
        <v>10</v>
      </c>
      <c r="G9" s="38">
        <v>42010</v>
      </c>
      <c r="H9" s="38">
        <v>42027</v>
      </c>
      <c r="I9" s="39">
        <f ca="1">IF(NETWORKDAYS(G9,TODAY())/NETWORKDAYS(G9,H9,)&lt;0,0,IF(NETWORKDAYS(G9,TODAY())/NETWORKDAYS(G9,H9,)&gt;1,1,NETWORKDAYS(G9,TODAY())/NETWORKDAYS(G9,H9,)))</f>
        <v>1</v>
      </c>
      <c r="J9" s="39">
        <v>1</v>
      </c>
      <c r="K9" s="40">
        <f>NETWORKDAYS(G9,H9)</f>
        <v>14</v>
      </c>
      <c r="L9" s="34">
        <f t="shared" si="1"/>
        <v>112</v>
      </c>
      <c r="M9" s="34" t="s">
        <v>142</v>
      </c>
      <c r="N9" s="34" t="s">
        <v>143</v>
      </c>
      <c r="O9" s="35">
        <f ca="1">I9*L9</f>
        <v>112</v>
      </c>
      <c r="P9" s="35">
        <f>J9*L9</f>
        <v>112</v>
      </c>
    </row>
    <row r="10" spans="1:16" x14ac:dyDescent="0.25">
      <c r="A10" s="34" t="s">
        <v>195</v>
      </c>
      <c r="B10" s="35" t="s">
        <v>196</v>
      </c>
      <c r="C10" s="35" t="s">
        <v>543</v>
      </c>
      <c r="D10" s="35" t="s">
        <v>38</v>
      </c>
      <c r="E10" s="35" t="s">
        <v>39</v>
      </c>
      <c r="F10" s="37" t="s">
        <v>8</v>
      </c>
      <c r="G10" s="38">
        <v>42030</v>
      </c>
      <c r="H10" s="38">
        <v>42031</v>
      </c>
      <c r="I10" s="39">
        <f ca="1">IF(NETWORKDAYS(G10,TODAY())/NETWORKDAYS(G10,H10,)&lt;0,0,IF(NETWORKDAYS(G10,TODAY())/NETWORKDAYS(G10,H10,)&gt;1,1,NETWORKDAYS(G10,TODAY())/NETWORKDAYS(G10,H10,)))</f>
        <v>1</v>
      </c>
      <c r="J10" s="39">
        <v>1</v>
      </c>
      <c r="K10" s="40">
        <f>NETWORKDAYS(G10,H10)</f>
        <v>2</v>
      </c>
      <c r="L10" s="34">
        <f t="shared" si="1"/>
        <v>16</v>
      </c>
      <c r="M10" s="34" t="s">
        <v>142</v>
      </c>
      <c r="N10" s="34" t="s">
        <v>143</v>
      </c>
      <c r="O10" s="35">
        <f ca="1">I10*L10</f>
        <v>16</v>
      </c>
      <c r="P10" s="35">
        <f>J10*L10</f>
        <v>16</v>
      </c>
    </row>
    <row r="11" spans="1:16" x14ac:dyDescent="0.25">
      <c r="A11" s="34" t="s">
        <v>195</v>
      </c>
      <c r="B11" s="35" t="s">
        <v>196</v>
      </c>
      <c r="C11" s="35" t="s">
        <v>543</v>
      </c>
      <c r="D11" s="35" t="s">
        <v>38</v>
      </c>
      <c r="E11" s="35" t="s">
        <v>39</v>
      </c>
      <c r="F11" s="37" t="s">
        <v>11</v>
      </c>
      <c r="G11" s="38">
        <v>42031</v>
      </c>
      <c r="H11" s="38">
        <v>42032</v>
      </c>
      <c r="I11" s="39">
        <f ca="1">IF(NETWORKDAYS(G11,TODAY())/NETWORKDAYS(G11,H11,)&lt;0,0,IF(NETWORKDAYS(G11,TODAY())/NETWORKDAYS(G11,H11,)&gt;1,1,NETWORKDAYS(G11,TODAY())/NETWORKDAYS(G11,H11,)))</f>
        <v>1</v>
      </c>
      <c r="J11" s="39">
        <v>1</v>
      </c>
      <c r="K11" s="40">
        <f>NETWORKDAYS(G11,H11)</f>
        <v>2</v>
      </c>
      <c r="L11" s="34">
        <f t="shared" si="1"/>
        <v>16</v>
      </c>
      <c r="M11" s="34" t="s">
        <v>142</v>
      </c>
      <c r="N11" s="34" t="s">
        <v>143</v>
      </c>
      <c r="O11" s="35">
        <f ca="1">I11*L11</f>
        <v>16</v>
      </c>
      <c r="P11" s="35">
        <f>J11*L11</f>
        <v>16</v>
      </c>
    </row>
    <row r="12" spans="1:16" x14ac:dyDescent="0.25">
      <c r="A12" s="46" t="s">
        <v>195</v>
      </c>
      <c r="B12" s="47" t="s">
        <v>196</v>
      </c>
      <c r="C12" s="47" t="s">
        <v>543</v>
      </c>
      <c r="D12" s="47" t="s">
        <v>38</v>
      </c>
      <c r="E12" s="47" t="s">
        <v>39</v>
      </c>
      <c r="F12" s="48" t="s">
        <v>35</v>
      </c>
      <c r="G12" s="49">
        <f>G8</f>
        <v>41996</v>
      </c>
      <c r="H12" s="49">
        <f>H11</f>
        <v>42032</v>
      </c>
      <c r="I12" s="50">
        <f ca="1">SUM(O7:O11)/L12</f>
        <v>1</v>
      </c>
      <c r="J12" s="50">
        <f>SUM(P7:P11)/L12</f>
        <v>1</v>
      </c>
      <c r="K12" s="51">
        <f>SUM(K8:K11)</f>
        <v>19</v>
      </c>
      <c r="L12" s="46">
        <f>SUM(L8:L11)</f>
        <v>152</v>
      </c>
      <c r="M12" s="46" t="s">
        <v>142</v>
      </c>
      <c r="N12" s="46" t="s">
        <v>143</v>
      </c>
      <c r="O12" s="35"/>
      <c r="P12" s="45"/>
    </row>
    <row r="13" spans="1:16" x14ac:dyDescent="0.25">
      <c r="A13" s="34" t="s">
        <v>197</v>
      </c>
      <c r="B13" s="35" t="s">
        <v>198</v>
      </c>
      <c r="C13" s="35" t="s">
        <v>543</v>
      </c>
      <c r="D13" s="35" t="s">
        <v>38</v>
      </c>
      <c r="E13" s="35" t="s">
        <v>39</v>
      </c>
      <c r="F13" s="37" t="s">
        <v>9</v>
      </c>
      <c r="G13" s="38">
        <v>42016</v>
      </c>
      <c r="H13" s="38">
        <v>42016</v>
      </c>
      <c r="I13" s="39">
        <f ca="1">IF(NETWORKDAYS(G13,TODAY())/NETWORKDAYS(G13,H13,)&lt;0,0,IF(NETWORKDAYS(G13,TODAY())/NETWORKDAYS(G13,H13,)&gt;1,1,NETWORKDAYS(G13,TODAY())/NETWORKDAYS(G13,H13,)))</f>
        <v>1</v>
      </c>
      <c r="J13" s="39">
        <v>1</v>
      </c>
      <c r="K13" s="40">
        <f>NETWORKDAYS(G13,H13)</f>
        <v>1</v>
      </c>
      <c r="L13" s="34">
        <f t="shared" ref="L13:L16" si="2">K13*8</f>
        <v>8</v>
      </c>
      <c r="M13" s="34" t="s">
        <v>136</v>
      </c>
      <c r="N13" s="34" t="s">
        <v>137</v>
      </c>
      <c r="O13" s="35">
        <f ca="1">I13*L13</f>
        <v>8</v>
      </c>
      <c r="P13" s="35">
        <f>J13*L13</f>
        <v>8</v>
      </c>
    </row>
    <row r="14" spans="1:16" x14ac:dyDescent="0.25">
      <c r="A14" s="34" t="s">
        <v>197</v>
      </c>
      <c r="B14" s="35" t="s">
        <v>198</v>
      </c>
      <c r="C14" s="35" t="s">
        <v>543</v>
      </c>
      <c r="D14" s="35" t="s">
        <v>38</v>
      </c>
      <c r="E14" s="35" t="s">
        <v>39</v>
      </c>
      <c r="F14" s="37" t="s">
        <v>10</v>
      </c>
      <c r="G14" s="38">
        <v>42017</v>
      </c>
      <c r="H14" s="38">
        <v>42030</v>
      </c>
      <c r="I14" s="39">
        <f ca="1">IF(NETWORKDAYS(G14,TODAY())/NETWORKDAYS(G14,H14,)&lt;0,0,IF(NETWORKDAYS(G14,TODAY())/NETWORKDAYS(G14,H14,)&gt;1,1,NETWORKDAYS(G14,TODAY())/NETWORKDAYS(G14,H14,)))</f>
        <v>1</v>
      </c>
      <c r="J14" s="39">
        <v>1</v>
      </c>
      <c r="K14" s="40">
        <f>NETWORKDAYS(G14,H14)</f>
        <v>10</v>
      </c>
      <c r="L14" s="34">
        <f t="shared" si="2"/>
        <v>80</v>
      </c>
      <c r="M14" s="34" t="s">
        <v>136</v>
      </c>
      <c r="N14" s="34" t="s">
        <v>137</v>
      </c>
      <c r="O14" s="35">
        <f ca="1">I14*L14</f>
        <v>80</v>
      </c>
      <c r="P14" s="35">
        <f>J14*L14</f>
        <v>80</v>
      </c>
    </row>
    <row r="15" spans="1:16" x14ac:dyDescent="0.25">
      <c r="A15" s="34" t="s">
        <v>197</v>
      </c>
      <c r="B15" s="35" t="s">
        <v>198</v>
      </c>
      <c r="C15" s="35" t="s">
        <v>543</v>
      </c>
      <c r="D15" s="35" t="s">
        <v>38</v>
      </c>
      <c r="E15" s="35" t="s">
        <v>39</v>
      </c>
      <c r="F15" s="37" t="s">
        <v>8</v>
      </c>
      <c r="G15" s="52">
        <v>42031</v>
      </c>
      <c r="H15" s="52">
        <v>42032</v>
      </c>
      <c r="I15" s="39">
        <f ca="1">IF(NETWORKDAYS(G15,TODAY())/NETWORKDAYS(G15,H15,)&lt;0,0,IF(NETWORKDAYS(G15,TODAY())/NETWORKDAYS(G15,H15,)&gt;1,1,NETWORKDAYS(G15,TODAY())/NETWORKDAYS(G15,H15,)))</f>
        <v>1</v>
      </c>
      <c r="J15" s="39">
        <v>1</v>
      </c>
      <c r="K15" s="40">
        <f>NETWORKDAYS(G15,H15)</f>
        <v>2</v>
      </c>
      <c r="L15" s="34">
        <f t="shared" si="2"/>
        <v>16</v>
      </c>
      <c r="M15" s="34" t="s">
        <v>136</v>
      </c>
      <c r="N15" s="34" t="s">
        <v>137</v>
      </c>
      <c r="O15" s="35">
        <f ca="1">I15*L15</f>
        <v>16</v>
      </c>
      <c r="P15" s="35">
        <f>J15*L15</f>
        <v>16</v>
      </c>
    </row>
    <row r="16" spans="1:16" x14ac:dyDescent="0.25">
      <c r="A16" s="34" t="s">
        <v>197</v>
      </c>
      <c r="B16" s="35" t="s">
        <v>198</v>
      </c>
      <c r="C16" s="35" t="s">
        <v>543</v>
      </c>
      <c r="D16" s="35" t="s">
        <v>38</v>
      </c>
      <c r="E16" s="35" t="s">
        <v>39</v>
      </c>
      <c r="F16" s="37" t="s">
        <v>11</v>
      </c>
      <c r="G16" s="38">
        <v>42032</v>
      </c>
      <c r="H16" s="38">
        <v>42033</v>
      </c>
      <c r="I16" s="39">
        <f ca="1">IF(NETWORKDAYS(G16,TODAY())/NETWORKDAYS(G16,H16,)&lt;0,0,IF(NETWORKDAYS(G16,TODAY())/NETWORKDAYS(G16,H16,)&gt;1,1,NETWORKDAYS(G16,TODAY())/NETWORKDAYS(G16,H16,)))</f>
        <v>1</v>
      </c>
      <c r="J16" s="39">
        <v>1</v>
      </c>
      <c r="K16" s="40">
        <f>NETWORKDAYS(G16,H16)</f>
        <v>2</v>
      </c>
      <c r="L16" s="34">
        <f t="shared" si="2"/>
        <v>16</v>
      </c>
      <c r="M16" s="34" t="s">
        <v>136</v>
      </c>
      <c r="N16" s="34" t="s">
        <v>137</v>
      </c>
      <c r="O16" s="35">
        <f ca="1">I16*L16</f>
        <v>16</v>
      </c>
      <c r="P16" s="35">
        <f>J16*L16</f>
        <v>16</v>
      </c>
    </row>
    <row r="17" spans="1:16" x14ac:dyDescent="0.25">
      <c r="A17" s="41" t="s">
        <v>197</v>
      </c>
      <c r="B17" s="42" t="s">
        <v>198</v>
      </c>
      <c r="C17" s="42" t="s">
        <v>543</v>
      </c>
      <c r="D17" s="42" t="s">
        <v>38</v>
      </c>
      <c r="E17" s="42" t="s">
        <v>39</v>
      </c>
      <c r="F17" s="48" t="s">
        <v>35</v>
      </c>
      <c r="G17" s="53">
        <f>G13</f>
        <v>42016</v>
      </c>
      <c r="H17" s="53">
        <f>H16</f>
        <v>42033</v>
      </c>
      <c r="I17" s="43">
        <f ca="1">SUM(O13:O16)/L17</f>
        <v>1</v>
      </c>
      <c r="J17" s="43">
        <f>SUM(P13:P16)/L17</f>
        <v>1</v>
      </c>
      <c r="K17" s="44">
        <f>SUM(K13:K16)</f>
        <v>15</v>
      </c>
      <c r="L17" s="41">
        <f>SUM(L13:L16)</f>
        <v>120</v>
      </c>
      <c r="M17" s="41" t="s">
        <v>136</v>
      </c>
      <c r="N17" s="41" t="s">
        <v>137</v>
      </c>
      <c r="O17" s="35"/>
      <c r="P17" s="45"/>
    </row>
    <row r="18" spans="1:16" x14ac:dyDescent="0.25">
      <c r="A18" s="34" t="s">
        <v>105</v>
      </c>
      <c r="B18" s="35" t="s">
        <v>32</v>
      </c>
      <c r="C18" s="35" t="s">
        <v>543</v>
      </c>
      <c r="D18" s="35" t="s">
        <v>41</v>
      </c>
      <c r="E18" s="35" t="s">
        <v>39</v>
      </c>
      <c r="F18" s="37" t="s">
        <v>9</v>
      </c>
      <c r="G18" s="38">
        <v>42045</v>
      </c>
      <c r="H18" s="38">
        <v>42048</v>
      </c>
      <c r="I18" s="39">
        <f t="shared" ref="I18:I26" ca="1" si="3">IF(NETWORKDAYS(G18,TODAY())/NETWORKDAYS(G18,H18,)&lt;0,0,IF(NETWORKDAYS(G18,TODAY())/NETWORKDAYS(G18,H18,)&gt;1,1,NETWORKDAYS(G18,TODAY())/NETWORKDAYS(G18,H18,)))</f>
        <v>1</v>
      </c>
      <c r="J18" s="39">
        <v>1</v>
      </c>
      <c r="K18" s="40">
        <f t="shared" ref="K18:K26" si="4">NETWORKDAYS(G18,H18)</f>
        <v>4</v>
      </c>
      <c r="L18" s="34">
        <f t="shared" ref="L18:L33" si="5">K18*8</f>
        <v>32</v>
      </c>
      <c r="M18" s="34" t="s">
        <v>142</v>
      </c>
      <c r="N18" s="34" t="s">
        <v>143</v>
      </c>
      <c r="O18" s="35">
        <f t="shared" ref="O18:O33" ca="1" si="6">I18*L18</f>
        <v>32</v>
      </c>
      <c r="P18" s="35">
        <f t="shared" ref="P18:P33" si="7">J18*L18</f>
        <v>32</v>
      </c>
    </row>
    <row r="19" spans="1:16" x14ac:dyDescent="0.25">
      <c r="A19" s="34" t="s">
        <v>105</v>
      </c>
      <c r="B19" s="35" t="s">
        <v>32</v>
      </c>
      <c r="C19" s="35" t="s">
        <v>543</v>
      </c>
      <c r="D19" s="35" t="s">
        <v>41</v>
      </c>
      <c r="E19" s="35" t="s">
        <v>39</v>
      </c>
      <c r="F19" s="37" t="s">
        <v>16</v>
      </c>
      <c r="G19" s="38">
        <v>42054</v>
      </c>
      <c r="H19" s="38">
        <v>42059</v>
      </c>
      <c r="I19" s="39">
        <f t="shared" ca="1" si="3"/>
        <v>1</v>
      </c>
      <c r="J19" s="39">
        <v>1</v>
      </c>
      <c r="K19" s="40">
        <f t="shared" si="4"/>
        <v>4</v>
      </c>
      <c r="L19" s="34">
        <f t="shared" si="5"/>
        <v>32</v>
      </c>
      <c r="M19" s="34" t="s">
        <v>142</v>
      </c>
      <c r="N19" s="34" t="s">
        <v>143</v>
      </c>
      <c r="O19" s="35">
        <f t="shared" ca="1" si="6"/>
        <v>32</v>
      </c>
      <c r="P19" s="35">
        <f t="shared" si="7"/>
        <v>32</v>
      </c>
    </row>
    <row r="20" spans="1:16" x14ac:dyDescent="0.25">
      <c r="A20" s="34" t="s">
        <v>105</v>
      </c>
      <c r="B20" s="35" t="s">
        <v>32</v>
      </c>
      <c r="C20" s="35" t="s">
        <v>543</v>
      </c>
      <c r="D20" s="35" t="s">
        <v>41</v>
      </c>
      <c r="E20" s="35" t="s">
        <v>39</v>
      </c>
      <c r="F20" s="37" t="s">
        <v>17</v>
      </c>
      <c r="G20" s="38">
        <v>42060</v>
      </c>
      <c r="H20" s="38">
        <v>42069</v>
      </c>
      <c r="I20" s="39">
        <f t="shared" ca="1" si="3"/>
        <v>1</v>
      </c>
      <c r="J20" s="39">
        <v>1</v>
      </c>
      <c r="K20" s="40">
        <f t="shared" si="4"/>
        <v>8</v>
      </c>
      <c r="L20" s="34">
        <f t="shared" si="5"/>
        <v>64</v>
      </c>
      <c r="M20" s="34" t="s">
        <v>142</v>
      </c>
      <c r="N20" s="34" t="s">
        <v>143</v>
      </c>
      <c r="O20" s="35">
        <f t="shared" ca="1" si="6"/>
        <v>64</v>
      </c>
      <c r="P20" s="35">
        <f t="shared" si="7"/>
        <v>64</v>
      </c>
    </row>
    <row r="21" spans="1:16" x14ac:dyDescent="0.25">
      <c r="A21" s="34" t="s">
        <v>105</v>
      </c>
      <c r="B21" s="35" t="s">
        <v>32</v>
      </c>
      <c r="C21" s="35" t="s">
        <v>543</v>
      </c>
      <c r="D21" s="35" t="s">
        <v>41</v>
      </c>
      <c r="E21" s="35" t="s">
        <v>39</v>
      </c>
      <c r="F21" s="37" t="s">
        <v>18</v>
      </c>
      <c r="G21" s="38">
        <v>42072</v>
      </c>
      <c r="H21" s="38">
        <v>42080</v>
      </c>
      <c r="I21" s="39">
        <f t="shared" ca="1" si="3"/>
        <v>1</v>
      </c>
      <c r="J21" s="39">
        <v>1</v>
      </c>
      <c r="K21" s="40">
        <f t="shared" si="4"/>
        <v>7</v>
      </c>
      <c r="L21" s="34">
        <f t="shared" si="5"/>
        <v>56</v>
      </c>
      <c r="M21" s="34" t="s">
        <v>142</v>
      </c>
      <c r="N21" s="34" t="s">
        <v>143</v>
      </c>
      <c r="O21" s="35">
        <f t="shared" ca="1" si="6"/>
        <v>56</v>
      </c>
      <c r="P21" s="35">
        <f t="shared" si="7"/>
        <v>56</v>
      </c>
    </row>
    <row r="22" spans="1:16" x14ac:dyDescent="0.25">
      <c r="A22" s="34" t="s">
        <v>105</v>
      </c>
      <c r="B22" s="35" t="s">
        <v>32</v>
      </c>
      <c r="C22" s="35" t="s">
        <v>543</v>
      </c>
      <c r="D22" s="35" t="s">
        <v>41</v>
      </c>
      <c r="E22" s="35" t="s">
        <v>39</v>
      </c>
      <c r="F22" s="37" t="s">
        <v>19</v>
      </c>
      <c r="G22" s="38">
        <v>42081</v>
      </c>
      <c r="H22" s="38">
        <v>42083</v>
      </c>
      <c r="I22" s="39">
        <f t="shared" ca="1" si="3"/>
        <v>1</v>
      </c>
      <c r="J22" s="39">
        <v>1</v>
      </c>
      <c r="K22" s="40">
        <f t="shared" si="4"/>
        <v>3</v>
      </c>
      <c r="L22" s="34">
        <f t="shared" si="5"/>
        <v>24</v>
      </c>
      <c r="M22" s="34" t="s">
        <v>142</v>
      </c>
      <c r="N22" s="34" t="s">
        <v>143</v>
      </c>
      <c r="O22" s="35">
        <f t="shared" ca="1" si="6"/>
        <v>24</v>
      </c>
      <c r="P22" s="35">
        <f t="shared" si="7"/>
        <v>24</v>
      </c>
    </row>
    <row r="23" spans="1:16" x14ac:dyDescent="0.25">
      <c r="A23" s="34" t="s">
        <v>105</v>
      </c>
      <c r="B23" s="35" t="s">
        <v>32</v>
      </c>
      <c r="C23" s="35" t="s">
        <v>543</v>
      </c>
      <c r="D23" s="35" t="s">
        <v>41</v>
      </c>
      <c r="E23" s="35" t="s">
        <v>39</v>
      </c>
      <c r="F23" s="37" t="s">
        <v>20</v>
      </c>
      <c r="G23" s="38">
        <v>42083</v>
      </c>
      <c r="H23" s="38">
        <v>42085</v>
      </c>
      <c r="I23" s="39">
        <f t="shared" ca="1" si="3"/>
        <v>1</v>
      </c>
      <c r="J23" s="39">
        <v>1</v>
      </c>
      <c r="K23" s="40">
        <f t="shared" si="4"/>
        <v>1</v>
      </c>
      <c r="L23" s="34">
        <f t="shared" si="5"/>
        <v>8</v>
      </c>
      <c r="M23" s="34" t="s">
        <v>142</v>
      </c>
      <c r="N23" s="34" t="s">
        <v>143</v>
      </c>
      <c r="O23" s="35">
        <f t="shared" ca="1" si="6"/>
        <v>8</v>
      </c>
      <c r="P23" s="35">
        <f t="shared" si="7"/>
        <v>8</v>
      </c>
    </row>
    <row r="24" spans="1:16" x14ac:dyDescent="0.25">
      <c r="A24" s="34" t="s">
        <v>105</v>
      </c>
      <c r="B24" s="35" t="s">
        <v>32</v>
      </c>
      <c r="C24" s="35" t="s">
        <v>543</v>
      </c>
      <c r="D24" s="35" t="s">
        <v>41</v>
      </c>
      <c r="E24" s="35" t="s">
        <v>39</v>
      </c>
      <c r="F24" s="37" t="s">
        <v>21</v>
      </c>
      <c r="G24" s="38">
        <v>42086</v>
      </c>
      <c r="H24" s="38">
        <v>42087</v>
      </c>
      <c r="I24" s="39">
        <f t="shared" ca="1" si="3"/>
        <v>1</v>
      </c>
      <c r="J24" s="39">
        <v>1</v>
      </c>
      <c r="K24" s="40">
        <f t="shared" si="4"/>
        <v>2</v>
      </c>
      <c r="L24" s="34">
        <f t="shared" si="5"/>
        <v>16</v>
      </c>
      <c r="M24" s="34" t="s">
        <v>142</v>
      </c>
      <c r="N24" s="34" t="s">
        <v>143</v>
      </c>
      <c r="O24" s="35">
        <f t="shared" ca="1" si="6"/>
        <v>16</v>
      </c>
      <c r="P24" s="35">
        <f t="shared" si="7"/>
        <v>16</v>
      </c>
    </row>
    <row r="25" spans="1:16" x14ac:dyDescent="0.25">
      <c r="A25" s="34" t="s">
        <v>105</v>
      </c>
      <c r="B25" s="35" t="s">
        <v>32</v>
      </c>
      <c r="C25" s="35" t="s">
        <v>543</v>
      </c>
      <c r="D25" s="35" t="s">
        <v>41</v>
      </c>
      <c r="E25" s="35" t="s">
        <v>39</v>
      </c>
      <c r="F25" s="37" t="s">
        <v>27</v>
      </c>
      <c r="G25" s="38">
        <v>42088</v>
      </c>
      <c r="H25" s="38">
        <v>42089</v>
      </c>
      <c r="I25" s="39">
        <f t="shared" ca="1" si="3"/>
        <v>1</v>
      </c>
      <c r="J25" s="39">
        <v>1</v>
      </c>
      <c r="K25" s="40">
        <f t="shared" si="4"/>
        <v>2</v>
      </c>
      <c r="L25" s="34">
        <f t="shared" si="5"/>
        <v>16</v>
      </c>
      <c r="M25" s="34" t="s">
        <v>142</v>
      </c>
      <c r="N25" s="34" t="s">
        <v>143</v>
      </c>
      <c r="O25" s="35">
        <f t="shared" ca="1" si="6"/>
        <v>16</v>
      </c>
      <c r="P25" s="35">
        <f t="shared" si="7"/>
        <v>16</v>
      </c>
    </row>
    <row r="26" spans="1:16" x14ac:dyDescent="0.25">
      <c r="A26" s="34" t="s">
        <v>105</v>
      </c>
      <c r="B26" s="35" t="s">
        <v>32</v>
      </c>
      <c r="C26" s="35" t="s">
        <v>543</v>
      </c>
      <c r="D26" s="35" t="s">
        <v>41</v>
      </c>
      <c r="E26" s="35" t="s">
        <v>39</v>
      </c>
      <c r="F26" s="54" t="s">
        <v>26</v>
      </c>
      <c r="G26" s="38">
        <v>42090</v>
      </c>
      <c r="H26" s="38">
        <v>42091</v>
      </c>
      <c r="I26" s="39">
        <f t="shared" ca="1" si="3"/>
        <v>1</v>
      </c>
      <c r="J26" s="39">
        <v>1</v>
      </c>
      <c r="K26" s="40">
        <f t="shared" si="4"/>
        <v>1</v>
      </c>
      <c r="L26" s="34">
        <f t="shared" si="5"/>
        <v>8</v>
      </c>
      <c r="M26" s="34" t="s">
        <v>142</v>
      </c>
      <c r="N26" s="34" t="s">
        <v>143</v>
      </c>
      <c r="O26" s="35">
        <f t="shared" ca="1" si="6"/>
        <v>8</v>
      </c>
      <c r="P26" s="35">
        <f t="shared" si="7"/>
        <v>8</v>
      </c>
    </row>
    <row r="27" spans="1:16" x14ac:dyDescent="0.25">
      <c r="A27" s="34" t="s">
        <v>105</v>
      </c>
      <c r="B27" s="35" t="s">
        <v>32</v>
      </c>
      <c r="C27" s="35" t="s">
        <v>543</v>
      </c>
      <c r="D27" s="35" t="s">
        <v>41</v>
      </c>
      <c r="E27" s="35" t="s">
        <v>39</v>
      </c>
      <c r="F27" s="37" t="s">
        <v>22</v>
      </c>
      <c r="G27" s="38">
        <v>42090</v>
      </c>
      <c r="H27" s="38">
        <v>42096</v>
      </c>
      <c r="I27" s="39">
        <f ca="1">IF(NETWORKDAYS(G25,TODAY())/NETWORKDAYS(G25,H25,)&lt;0,0,IF(NETWORKDAYS(G25,TODAY())/NETWORKDAYS(G25,H25,)&gt;1,1,NETWORKDAYS(G25,TODAY())/NETWORKDAYS(G25,H25,)))</f>
        <v>1</v>
      </c>
      <c r="J27" s="39">
        <v>1</v>
      </c>
      <c r="K27" s="40">
        <f>NETWORKDAYS(G25,H25)</f>
        <v>2</v>
      </c>
      <c r="L27" s="34">
        <f t="shared" si="5"/>
        <v>16</v>
      </c>
      <c r="M27" s="34" t="s">
        <v>142</v>
      </c>
      <c r="N27" s="34" t="s">
        <v>143</v>
      </c>
      <c r="O27" s="35">
        <f t="shared" ca="1" si="6"/>
        <v>16</v>
      </c>
      <c r="P27" s="35">
        <f t="shared" si="7"/>
        <v>16</v>
      </c>
    </row>
    <row r="28" spans="1:16" x14ac:dyDescent="0.25">
      <c r="A28" s="34" t="s">
        <v>105</v>
      </c>
      <c r="B28" s="35" t="s">
        <v>32</v>
      </c>
      <c r="C28" s="35" t="s">
        <v>543</v>
      </c>
      <c r="D28" s="35" t="s">
        <v>41</v>
      </c>
      <c r="E28" s="35" t="s">
        <v>39</v>
      </c>
      <c r="F28" s="37" t="s">
        <v>23</v>
      </c>
      <c r="G28" s="38">
        <v>42096</v>
      </c>
      <c r="H28" s="38">
        <v>42097</v>
      </c>
      <c r="I28" s="39">
        <f ca="1">IF(NETWORKDAYS(G26,TODAY())/NETWORKDAYS(G26,H26,)&lt;0,0,IF(NETWORKDAYS(G26,TODAY())/NETWORKDAYS(G26,H26,)&gt;1,1,NETWORKDAYS(G26,TODAY())/NETWORKDAYS(G26,H26,)))</f>
        <v>1</v>
      </c>
      <c r="J28" s="39">
        <v>1</v>
      </c>
      <c r="K28" s="40">
        <f>NETWORKDAYS(G26,H26)</f>
        <v>1</v>
      </c>
      <c r="L28" s="34">
        <f t="shared" si="5"/>
        <v>8</v>
      </c>
      <c r="M28" s="34" t="s">
        <v>142</v>
      </c>
      <c r="N28" s="34" t="s">
        <v>143</v>
      </c>
      <c r="O28" s="35">
        <f t="shared" ca="1" si="6"/>
        <v>8</v>
      </c>
      <c r="P28" s="35">
        <f t="shared" si="7"/>
        <v>8</v>
      </c>
    </row>
    <row r="29" spans="1:16" x14ac:dyDescent="0.25">
      <c r="A29" s="34" t="s">
        <v>105</v>
      </c>
      <c r="B29" s="35" t="s">
        <v>32</v>
      </c>
      <c r="C29" s="35" t="s">
        <v>543</v>
      </c>
      <c r="D29" s="35" t="s">
        <v>41</v>
      </c>
      <c r="E29" s="35" t="s">
        <v>39</v>
      </c>
      <c r="F29" s="37" t="s">
        <v>24</v>
      </c>
      <c r="G29" s="38">
        <v>42098</v>
      </c>
      <c r="H29" s="38">
        <v>42100</v>
      </c>
      <c r="I29" s="39">
        <f ca="1">IF(NETWORKDAYS(G29,TODAY())/NETWORKDAYS(G29,H29,)&lt;0,0,IF(NETWORKDAYS(G29,TODAY())/NETWORKDAYS(G29,H29,)&gt;1,1,NETWORKDAYS(G29,TODAY())/NETWORKDAYS(G29,H29,)))</f>
        <v>1</v>
      </c>
      <c r="J29" s="39">
        <v>1</v>
      </c>
      <c r="K29" s="40">
        <f>NETWORKDAYS(G29,H29)</f>
        <v>1</v>
      </c>
      <c r="L29" s="34">
        <f t="shared" si="5"/>
        <v>8</v>
      </c>
      <c r="M29" s="34" t="s">
        <v>142</v>
      </c>
      <c r="N29" s="34" t="s">
        <v>143</v>
      </c>
      <c r="O29" s="35">
        <f t="shared" ca="1" si="6"/>
        <v>8</v>
      </c>
      <c r="P29" s="35">
        <f t="shared" si="7"/>
        <v>8</v>
      </c>
    </row>
    <row r="30" spans="1:16" x14ac:dyDescent="0.25">
      <c r="A30" s="34" t="s">
        <v>105</v>
      </c>
      <c r="B30" s="35" t="s">
        <v>32</v>
      </c>
      <c r="C30" s="35" t="s">
        <v>543</v>
      </c>
      <c r="D30" s="35" t="s">
        <v>41</v>
      </c>
      <c r="E30" s="35" t="s">
        <v>39</v>
      </c>
      <c r="F30" s="54" t="s">
        <v>25</v>
      </c>
      <c r="G30" s="38">
        <v>42100</v>
      </c>
      <c r="H30" s="38">
        <v>42101</v>
      </c>
      <c r="I30" s="39">
        <f ca="1">IF(NETWORKDAYS(G30,TODAY())/NETWORKDAYS(G30,H30,)&lt;0,0,IF(NETWORKDAYS(G30,TODAY())/NETWORKDAYS(G30,H30,)&gt;1,1,NETWORKDAYS(G30,TODAY())/NETWORKDAYS(G30,H30,)))</f>
        <v>1</v>
      </c>
      <c r="J30" s="39">
        <v>1</v>
      </c>
      <c r="K30" s="40">
        <f>NETWORKDAYS(G30,H30)</f>
        <v>2</v>
      </c>
      <c r="L30" s="34">
        <f t="shared" si="5"/>
        <v>16</v>
      </c>
      <c r="M30" s="34" t="s">
        <v>142</v>
      </c>
      <c r="N30" s="34" t="s">
        <v>143</v>
      </c>
      <c r="O30" s="35">
        <f t="shared" ca="1" si="6"/>
        <v>16</v>
      </c>
      <c r="P30" s="35">
        <f t="shared" si="7"/>
        <v>16</v>
      </c>
    </row>
    <row r="31" spans="1:16" x14ac:dyDescent="0.25">
      <c r="A31" s="34" t="s">
        <v>105</v>
      </c>
      <c r="B31" s="35" t="s">
        <v>32</v>
      </c>
      <c r="C31" s="35" t="s">
        <v>543</v>
      </c>
      <c r="D31" s="35" t="s">
        <v>41</v>
      </c>
      <c r="E31" s="35" t="s">
        <v>39</v>
      </c>
      <c r="F31" s="54" t="s">
        <v>28</v>
      </c>
      <c r="G31" s="38">
        <v>42102</v>
      </c>
      <c r="H31" s="38">
        <v>42103</v>
      </c>
      <c r="I31" s="39">
        <f ca="1">IF(NETWORKDAYS(G31,TODAY())/NETWORKDAYS(G31,H31,)&lt;0,0,IF(NETWORKDAYS(G31,TODAY())/NETWORKDAYS(G31,H31,)&gt;1,1,NETWORKDAYS(G31,TODAY())/NETWORKDAYS(G31,H31,)))</f>
        <v>1</v>
      </c>
      <c r="J31" s="39">
        <v>1</v>
      </c>
      <c r="K31" s="40">
        <f>NETWORKDAYS(G31,H31)</f>
        <v>2</v>
      </c>
      <c r="L31" s="34">
        <f t="shared" si="5"/>
        <v>16</v>
      </c>
      <c r="M31" s="34" t="s">
        <v>142</v>
      </c>
      <c r="N31" s="34" t="s">
        <v>143</v>
      </c>
      <c r="O31" s="35">
        <f t="shared" ca="1" si="6"/>
        <v>16</v>
      </c>
      <c r="P31" s="35">
        <f t="shared" si="7"/>
        <v>16</v>
      </c>
    </row>
    <row r="32" spans="1:16" x14ac:dyDescent="0.25">
      <c r="A32" s="34" t="s">
        <v>105</v>
      </c>
      <c r="B32" s="35" t="s">
        <v>32</v>
      </c>
      <c r="C32" s="35" t="s">
        <v>543</v>
      </c>
      <c r="D32" s="35" t="s">
        <v>41</v>
      </c>
      <c r="E32" s="35" t="s">
        <v>39</v>
      </c>
      <c r="F32" s="37" t="s">
        <v>8</v>
      </c>
      <c r="G32" s="52">
        <v>42128</v>
      </c>
      <c r="H32" s="38">
        <v>42129</v>
      </c>
      <c r="I32" s="39">
        <f ca="1">IF(NETWORKDAYS(G32,TODAY())/NETWORKDAYS(G32,H32,)&lt;0,0,IF(NETWORKDAYS(G32,TODAY())/NETWORKDAYS(G32,H32,)&gt;1,1,NETWORKDAYS(G32,TODAY())/NETWORKDAYS(G32,H32,)))</f>
        <v>1</v>
      </c>
      <c r="J32" s="39">
        <v>1</v>
      </c>
      <c r="K32" s="40">
        <f>NETWORKDAYS(G32,H32)</f>
        <v>2</v>
      </c>
      <c r="L32" s="34">
        <f t="shared" si="5"/>
        <v>16</v>
      </c>
      <c r="M32" s="34" t="s">
        <v>142</v>
      </c>
      <c r="N32" s="34" t="s">
        <v>143</v>
      </c>
      <c r="O32" s="35">
        <f t="shared" ca="1" si="6"/>
        <v>16</v>
      </c>
      <c r="P32" s="35">
        <f t="shared" si="7"/>
        <v>16</v>
      </c>
    </row>
    <row r="33" spans="1:16" x14ac:dyDescent="0.25">
      <c r="A33" s="34" t="s">
        <v>105</v>
      </c>
      <c r="B33" s="35" t="s">
        <v>32</v>
      </c>
      <c r="C33" s="35" t="s">
        <v>543</v>
      </c>
      <c r="D33" s="35" t="s">
        <v>41</v>
      </c>
      <c r="E33" s="35" t="s">
        <v>39</v>
      </c>
      <c r="F33" s="37" t="s">
        <v>11</v>
      </c>
      <c r="G33" s="52">
        <v>42130</v>
      </c>
      <c r="H33" s="38">
        <v>42146</v>
      </c>
      <c r="I33" s="39">
        <f ca="1">IF(NETWORKDAYS(G33,TODAY())/NETWORKDAYS(G33,H33,)&lt;0,0,IF(NETWORKDAYS(G33,TODAY())/NETWORKDAYS(G33,H33,)&gt;1,1,NETWORKDAYS(G33,TODAY())/NETWORKDAYS(G33,H33,)))</f>
        <v>1</v>
      </c>
      <c r="J33" s="39">
        <v>0.9</v>
      </c>
      <c r="K33" s="40">
        <f>NETWORKDAYS(G33,H33)</f>
        <v>13</v>
      </c>
      <c r="L33" s="34">
        <f t="shared" si="5"/>
        <v>104</v>
      </c>
      <c r="M33" s="34" t="s">
        <v>142</v>
      </c>
      <c r="N33" s="34" t="s">
        <v>143</v>
      </c>
      <c r="O33" s="35">
        <f t="shared" ca="1" si="6"/>
        <v>104</v>
      </c>
      <c r="P33" s="35">
        <f t="shared" si="7"/>
        <v>93.600000000000009</v>
      </c>
    </row>
    <row r="34" spans="1:16" x14ac:dyDescent="0.25">
      <c r="A34" s="46" t="s">
        <v>105</v>
      </c>
      <c r="B34" s="47" t="s">
        <v>32</v>
      </c>
      <c r="C34" s="47" t="s">
        <v>302</v>
      </c>
      <c r="D34" s="47" t="s">
        <v>41</v>
      </c>
      <c r="E34" s="47" t="s">
        <v>39</v>
      </c>
      <c r="F34" s="48" t="s">
        <v>35</v>
      </c>
      <c r="G34" s="55">
        <f>G18</f>
        <v>42045</v>
      </c>
      <c r="H34" s="55">
        <f>H33</f>
        <v>42146</v>
      </c>
      <c r="I34" s="50">
        <f ca="1">SUM(O18:O33)/L34</f>
        <v>1</v>
      </c>
      <c r="J34" s="50">
        <f>SUM(P18:P33)/L34</f>
        <v>0.97636363636363643</v>
      </c>
      <c r="K34" s="51">
        <f>SUM(K18:K33)</f>
        <v>55</v>
      </c>
      <c r="L34" s="46">
        <f>SUM(L18:L33)</f>
        <v>440</v>
      </c>
      <c r="M34" s="46" t="s">
        <v>142</v>
      </c>
      <c r="N34" s="46" t="s">
        <v>143</v>
      </c>
      <c r="O34" s="56"/>
      <c r="P34" s="35"/>
    </row>
    <row r="35" spans="1:16" ht="15" customHeight="1" x14ac:dyDescent="0.25">
      <c r="A35" s="34" t="s">
        <v>199</v>
      </c>
      <c r="B35" s="35" t="s">
        <v>200</v>
      </c>
      <c r="C35" s="35" t="s">
        <v>543</v>
      </c>
      <c r="D35" s="35" t="s">
        <v>40</v>
      </c>
      <c r="E35" s="35" t="s">
        <v>39</v>
      </c>
      <c r="F35" s="37" t="s">
        <v>9</v>
      </c>
      <c r="G35" s="38">
        <v>42009</v>
      </c>
      <c r="H35" s="38">
        <v>42012</v>
      </c>
      <c r="I35" s="39">
        <f ca="1">IF(NETWORKDAYS(G35,TODAY())/NETWORKDAYS(G35,H35,)&lt;0,0,IF(NETWORKDAYS(G35,TODAY())/NETWORKDAYS(G35,H35,)&gt;1,1,NETWORKDAYS(G35,TODAY())/NETWORKDAYS(G35,H35,)))</f>
        <v>1</v>
      </c>
      <c r="J35" s="39">
        <v>1</v>
      </c>
      <c r="K35" s="40">
        <f>NETWORKDAYS(G35,H35)</f>
        <v>4</v>
      </c>
      <c r="L35" s="34">
        <f t="shared" ref="L35:L38" si="8">K35*8</f>
        <v>32</v>
      </c>
      <c r="M35" s="34" t="s">
        <v>150</v>
      </c>
      <c r="N35" s="34" t="s">
        <v>151</v>
      </c>
      <c r="O35" s="35">
        <f ca="1">I35*L35</f>
        <v>32</v>
      </c>
      <c r="P35" s="35">
        <f>J35*L35</f>
        <v>32</v>
      </c>
    </row>
    <row r="36" spans="1:16" ht="15" customHeight="1" x14ac:dyDescent="0.25">
      <c r="A36" s="34" t="s">
        <v>199</v>
      </c>
      <c r="B36" s="35" t="s">
        <v>200</v>
      </c>
      <c r="C36" s="35" t="s">
        <v>543</v>
      </c>
      <c r="D36" s="35" t="s">
        <v>40</v>
      </c>
      <c r="E36" s="35" t="s">
        <v>39</v>
      </c>
      <c r="F36" s="37" t="s">
        <v>10</v>
      </c>
      <c r="G36" s="52">
        <v>42012</v>
      </c>
      <c r="H36" s="52">
        <v>42030</v>
      </c>
      <c r="I36" s="39">
        <f ca="1">IF(NETWORKDAYS(G36,TODAY())/NETWORKDAYS(G36,H36,)&lt;0,0,IF(NETWORKDAYS(G36,TODAY())/NETWORKDAYS(G36,H36,)&gt;1,1,NETWORKDAYS(G36,TODAY())/NETWORKDAYS(G36,H36,)))</f>
        <v>1</v>
      </c>
      <c r="J36" s="39">
        <v>1</v>
      </c>
      <c r="K36" s="40">
        <f>NETWORKDAYS(G36,H36)</f>
        <v>13</v>
      </c>
      <c r="L36" s="34">
        <f t="shared" si="8"/>
        <v>104</v>
      </c>
      <c r="M36" s="34" t="s">
        <v>150</v>
      </c>
      <c r="N36" s="34" t="s">
        <v>151</v>
      </c>
      <c r="O36" s="35">
        <f ca="1">I36*L36</f>
        <v>104</v>
      </c>
      <c r="P36" s="35">
        <f>J36*L36</f>
        <v>104</v>
      </c>
    </row>
    <row r="37" spans="1:16" ht="16.5" customHeight="1" x14ac:dyDescent="0.25">
      <c r="A37" s="34" t="s">
        <v>199</v>
      </c>
      <c r="B37" s="35" t="s">
        <v>200</v>
      </c>
      <c r="C37" s="35" t="s">
        <v>543</v>
      </c>
      <c r="D37" s="35" t="s">
        <v>40</v>
      </c>
      <c r="E37" s="35" t="s">
        <v>39</v>
      </c>
      <c r="F37" s="37" t="s">
        <v>8</v>
      </c>
      <c r="G37" s="52">
        <v>42031</v>
      </c>
      <c r="H37" s="52">
        <v>42032</v>
      </c>
      <c r="I37" s="39">
        <f ca="1">IF(NETWORKDAYS(G37,TODAY())/NETWORKDAYS(G37,H37,)&lt;0,0,IF(NETWORKDAYS(G37,TODAY())/NETWORKDAYS(G37,H37,)&gt;1,1,NETWORKDAYS(G37,TODAY())/NETWORKDAYS(G37,H37,)))</f>
        <v>1</v>
      </c>
      <c r="J37" s="39">
        <v>1</v>
      </c>
      <c r="K37" s="40">
        <f>NETWORKDAYS(G37,H37)</f>
        <v>2</v>
      </c>
      <c r="L37" s="34">
        <f t="shared" si="8"/>
        <v>16</v>
      </c>
      <c r="M37" s="34" t="s">
        <v>150</v>
      </c>
      <c r="N37" s="34" t="s">
        <v>151</v>
      </c>
      <c r="O37" s="35">
        <f ca="1">I37*L37</f>
        <v>16</v>
      </c>
      <c r="P37" s="35">
        <f>J37*L37</f>
        <v>16</v>
      </c>
    </row>
    <row r="38" spans="1:16" x14ac:dyDescent="0.25">
      <c r="A38" s="34" t="s">
        <v>199</v>
      </c>
      <c r="B38" s="35" t="s">
        <v>200</v>
      </c>
      <c r="C38" s="35" t="s">
        <v>543</v>
      </c>
      <c r="D38" s="35" t="s">
        <v>40</v>
      </c>
      <c r="E38" s="35" t="s">
        <v>39</v>
      </c>
      <c r="F38" s="37" t="s">
        <v>11</v>
      </c>
      <c r="G38" s="52">
        <v>42032</v>
      </c>
      <c r="H38" s="52">
        <v>42033</v>
      </c>
      <c r="I38" s="39">
        <f ca="1">IF(NETWORKDAYS(G38,TODAY())/NETWORKDAYS(G38,H38,)&lt;0,0,IF(NETWORKDAYS(G38,TODAY())/NETWORKDAYS(G38,H38,)&gt;1,1,NETWORKDAYS(G38,TODAY())/NETWORKDAYS(G38,H38,)))</f>
        <v>1</v>
      </c>
      <c r="J38" s="39">
        <v>1</v>
      </c>
      <c r="K38" s="40">
        <f>NETWORKDAYS(G38,H38)</f>
        <v>2</v>
      </c>
      <c r="L38" s="34">
        <f t="shared" si="8"/>
        <v>16</v>
      </c>
      <c r="M38" s="34" t="s">
        <v>150</v>
      </c>
      <c r="N38" s="34" t="s">
        <v>151</v>
      </c>
      <c r="O38" s="35">
        <f ca="1">I38*L38</f>
        <v>16</v>
      </c>
      <c r="P38" s="35">
        <f>J38*L38</f>
        <v>16</v>
      </c>
    </row>
    <row r="39" spans="1:16" x14ac:dyDescent="0.25">
      <c r="A39" s="46" t="s">
        <v>199</v>
      </c>
      <c r="B39" s="47" t="s">
        <v>200</v>
      </c>
      <c r="C39" s="47" t="s">
        <v>543</v>
      </c>
      <c r="D39" s="47" t="s">
        <v>38</v>
      </c>
      <c r="E39" s="47" t="s">
        <v>39</v>
      </c>
      <c r="F39" s="81" t="s">
        <v>35</v>
      </c>
      <c r="G39" s="49">
        <f>G35</f>
        <v>42009</v>
      </c>
      <c r="H39" s="49">
        <f>H38</f>
        <v>42033</v>
      </c>
      <c r="I39" s="50">
        <f ca="1">SUM(O35:O38)/L39</f>
        <v>1</v>
      </c>
      <c r="J39" s="50">
        <f>SUM(P35:P38)/L39</f>
        <v>1</v>
      </c>
      <c r="K39" s="51">
        <f>SUM(K35:K38)</f>
        <v>21</v>
      </c>
      <c r="L39" s="46">
        <f>SUM(L35:L38)</f>
        <v>168</v>
      </c>
      <c r="M39" s="46" t="s">
        <v>150</v>
      </c>
      <c r="N39" s="46" t="s">
        <v>151</v>
      </c>
      <c r="O39" s="35"/>
      <c r="P39" s="35"/>
    </row>
    <row r="40" spans="1:16" x14ac:dyDescent="0.25">
      <c r="A40" s="34" t="s">
        <v>201</v>
      </c>
      <c r="B40" s="35" t="s">
        <v>202</v>
      </c>
      <c r="C40" s="35" t="s">
        <v>543</v>
      </c>
      <c r="D40" s="57" t="s">
        <v>41</v>
      </c>
      <c r="E40" s="36" t="s">
        <v>39</v>
      </c>
      <c r="F40" s="37" t="s">
        <v>9</v>
      </c>
      <c r="G40" s="38">
        <v>42079</v>
      </c>
      <c r="H40" s="38">
        <v>42081</v>
      </c>
      <c r="I40" s="39">
        <f ca="1">IF(NETWORKDAYS(G40,TODAY())/NETWORKDAYS(G40,H40,)&lt;0,0,IF(NETWORKDAYS(G40,TODAY())/NETWORKDAYS(G40,H40,)&gt;1,1,NETWORKDAYS(G40,TODAY())/NETWORKDAYS(G40,H40,)))</f>
        <v>1</v>
      </c>
      <c r="J40" s="39">
        <v>1</v>
      </c>
      <c r="K40" s="40">
        <f>NETWORKDAYS(G40,H40)</f>
        <v>3</v>
      </c>
      <c r="L40" s="34">
        <f t="shared" ref="L40:L43" si="9">K40*8</f>
        <v>24</v>
      </c>
      <c r="M40" s="34" t="s">
        <v>127</v>
      </c>
      <c r="N40" s="34" t="s">
        <v>152</v>
      </c>
      <c r="O40" s="35">
        <f ca="1">I40*L40</f>
        <v>24</v>
      </c>
      <c r="P40" s="35">
        <f>J40*L40</f>
        <v>24</v>
      </c>
    </row>
    <row r="41" spans="1:16" x14ac:dyDescent="0.25">
      <c r="A41" s="34" t="s">
        <v>201</v>
      </c>
      <c r="B41" s="35" t="s">
        <v>202</v>
      </c>
      <c r="C41" s="35" t="s">
        <v>543</v>
      </c>
      <c r="D41" s="57" t="s">
        <v>41</v>
      </c>
      <c r="E41" s="36" t="s">
        <v>39</v>
      </c>
      <c r="F41" s="37" t="s">
        <v>10</v>
      </c>
      <c r="G41" s="52">
        <v>42082</v>
      </c>
      <c r="H41" s="52">
        <v>42090</v>
      </c>
      <c r="I41" s="39">
        <f ca="1">IF(NETWORKDAYS(G41,TODAY())/NETWORKDAYS(G41,H41,)&lt;0,0,IF(NETWORKDAYS(G41,TODAY())/NETWORKDAYS(G41,H41,)&gt;1,1,NETWORKDAYS(G41,TODAY())/NETWORKDAYS(G41,H41,)))</f>
        <v>1</v>
      </c>
      <c r="J41" s="39">
        <v>1</v>
      </c>
      <c r="K41" s="40">
        <f>NETWORKDAYS(G41,H41)</f>
        <v>7</v>
      </c>
      <c r="L41" s="34">
        <f t="shared" si="9"/>
        <v>56</v>
      </c>
      <c r="M41" s="34" t="s">
        <v>127</v>
      </c>
      <c r="N41" s="34" t="s">
        <v>152</v>
      </c>
      <c r="O41" s="35">
        <f ca="1">I41*L41</f>
        <v>56</v>
      </c>
      <c r="P41" s="35">
        <f>J41*L41</f>
        <v>56</v>
      </c>
    </row>
    <row r="42" spans="1:16" x14ac:dyDescent="0.25">
      <c r="A42" s="34" t="s">
        <v>201</v>
      </c>
      <c r="B42" s="35" t="s">
        <v>202</v>
      </c>
      <c r="C42" s="35" t="s">
        <v>543</v>
      </c>
      <c r="D42" s="57" t="s">
        <v>41</v>
      </c>
      <c r="E42" s="36" t="s">
        <v>39</v>
      </c>
      <c r="F42" s="37" t="s">
        <v>8</v>
      </c>
      <c r="G42" s="52">
        <v>42093</v>
      </c>
      <c r="H42" s="52">
        <v>42095</v>
      </c>
      <c r="I42" s="39">
        <f ca="1">IF(NETWORKDAYS(G42,TODAY())/NETWORKDAYS(G42,H42,)&lt;0,0,IF(NETWORKDAYS(G42,TODAY())/NETWORKDAYS(G42,H42,)&gt;1,1,NETWORKDAYS(G42,TODAY())/NETWORKDAYS(G42,H42,)))</f>
        <v>1</v>
      </c>
      <c r="J42" s="39">
        <v>1</v>
      </c>
      <c r="K42" s="40">
        <f>NETWORKDAYS(G42,H42)</f>
        <v>3</v>
      </c>
      <c r="L42" s="34">
        <f t="shared" si="9"/>
        <v>24</v>
      </c>
      <c r="M42" s="34" t="s">
        <v>127</v>
      </c>
      <c r="N42" s="34" t="s">
        <v>152</v>
      </c>
      <c r="O42" s="35">
        <f ca="1">I42*L42</f>
        <v>24</v>
      </c>
      <c r="P42" s="35">
        <f>J42*L42</f>
        <v>24</v>
      </c>
    </row>
    <row r="43" spans="1:16" x14ac:dyDescent="0.25">
      <c r="A43" s="34" t="s">
        <v>201</v>
      </c>
      <c r="B43" s="35" t="s">
        <v>203</v>
      </c>
      <c r="C43" s="35" t="s">
        <v>543</v>
      </c>
      <c r="D43" s="57" t="s">
        <v>41</v>
      </c>
      <c r="E43" s="36" t="s">
        <v>39</v>
      </c>
      <c r="F43" s="37" t="s">
        <v>11</v>
      </c>
      <c r="G43" s="52">
        <v>42096</v>
      </c>
      <c r="H43" s="52">
        <v>42108</v>
      </c>
      <c r="I43" s="39">
        <f ca="1">IF(NETWORKDAYS(G43,TODAY())/NETWORKDAYS(G43,H43,)&lt;0,0,IF(NETWORKDAYS(G43,TODAY())/NETWORKDAYS(G43,H43,)&gt;1,1,NETWORKDAYS(G43,TODAY())/NETWORKDAYS(G43,H43,)))</f>
        <v>1</v>
      </c>
      <c r="J43" s="39">
        <v>1</v>
      </c>
      <c r="K43" s="40">
        <f>NETWORKDAYS(G43,H43)</f>
        <v>9</v>
      </c>
      <c r="L43" s="34">
        <f t="shared" si="9"/>
        <v>72</v>
      </c>
      <c r="M43" s="34" t="s">
        <v>127</v>
      </c>
      <c r="N43" s="34" t="s">
        <v>152</v>
      </c>
      <c r="O43" s="35">
        <f ca="1">I43*L43</f>
        <v>72</v>
      </c>
      <c r="P43" s="35">
        <f>J43*L43</f>
        <v>72</v>
      </c>
    </row>
    <row r="44" spans="1:16" x14ac:dyDescent="0.25">
      <c r="A44" s="46" t="s">
        <v>201</v>
      </c>
      <c r="B44" s="47" t="s">
        <v>203</v>
      </c>
      <c r="C44" s="47" t="s">
        <v>543</v>
      </c>
      <c r="D44" s="47" t="s">
        <v>41</v>
      </c>
      <c r="E44" s="47" t="s">
        <v>39</v>
      </c>
      <c r="F44" s="47" t="s">
        <v>35</v>
      </c>
      <c r="G44" s="49">
        <f>G40</f>
        <v>42079</v>
      </c>
      <c r="H44" s="49">
        <f>H43</f>
        <v>42108</v>
      </c>
      <c r="I44" s="50">
        <f ca="1">SUM(O40:O43)/L44</f>
        <v>1</v>
      </c>
      <c r="J44" s="50">
        <f>SUM(P40:P43)/L44</f>
        <v>1</v>
      </c>
      <c r="K44" s="51">
        <f>SUM(K40:K43)</f>
        <v>22</v>
      </c>
      <c r="L44" s="46">
        <f>SUM(L40:L43)</f>
        <v>176</v>
      </c>
      <c r="M44" s="46" t="s">
        <v>127</v>
      </c>
      <c r="N44" s="46" t="s">
        <v>152</v>
      </c>
      <c r="O44" s="35"/>
      <c r="P44" s="35"/>
    </row>
    <row r="45" spans="1:16" x14ac:dyDescent="0.25">
      <c r="A45" s="34" t="s">
        <v>106</v>
      </c>
      <c r="B45" s="57" t="s">
        <v>33</v>
      </c>
      <c r="C45" s="57" t="s">
        <v>543</v>
      </c>
      <c r="D45" s="57" t="s">
        <v>40</v>
      </c>
      <c r="E45" s="36" t="s">
        <v>39</v>
      </c>
      <c r="F45" s="37" t="s">
        <v>9</v>
      </c>
      <c r="G45" s="38">
        <v>42058</v>
      </c>
      <c r="H45" s="38">
        <v>42065</v>
      </c>
      <c r="I45" s="39">
        <f ca="1">IF(NETWORKDAYS(G45,TODAY())/NETWORKDAYS(G45,H45,)&lt;0,0,IF(NETWORKDAYS(G45,TODAY())/NETWORKDAYS(G45,H45,)&gt;1,1,NETWORKDAYS(G45,TODAY())/NETWORKDAYS(G45,H45,)))</f>
        <v>1</v>
      </c>
      <c r="J45" s="39">
        <v>1</v>
      </c>
      <c r="K45" s="40">
        <f>NETWORKDAYS(G45,H45)</f>
        <v>6</v>
      </c>
      <c r="L45" s="34">
        <f t="shared" ref="L45:L48" si="10">K45*8</f>
        <v>48</v>
      </c>
      <c r="M45" s="34" t="s">
        <v>150</v>
      </c>
      <c r="N45" s="34" t="s">
        <v>151</v>
      </c>
      <c r="O45" s="35">
        <f ca="1">I45*L45</f>
        <v>48</v>
      </c>
      <c r="P45" s="35">
        <f>J45*L45</f>
        <v>48</v>
      </c>
    </row>
    <row r="46" spans="1:16" x14ac:dyDescent="0.25">
      <c r="A46" s="34" t="s">
        <v>106</v>
      </c>
      <c r="B46" s="57" t="s">
        <v>33</v>
      </c>
      <c r="C46" s="57" t="s">
        <v>543</v>
      </c>
      <c r="D46" s="57" t="s">
        <v>40</v>
      </c>
      <c r="E46" s="36" t="s">
        <v>39</v>
      </c>
      <c r="F46" s="37" t="s">
        <v>10</v>
      </c>
      <c r="G46" s="52">
        <v>42066</v>
      </c>
      <c r="H46" s="52">
        <v>42124</v>
      </c>
      <c r="I46" s="39">
        <f ca="1">IF(NETWORKDAYS(G46,TODAY())/NETWORKDAYS(G46,H46,)&lt;0,0,IF(NETWORKDAYS(G46,TODAY())/NETWORKDAYS(G46,H46,)&gt;1,1,NETWORKDAYS(G46,TODAY())/NETWORKDAYS(G46,H46,)))</f>
        <v>1</v>
      </c>
      <c r="J46" s="39">
        <v>1</v>
      </c>
      <c r="K46" s="40">
        <f>NETWORKDAYS(G46,H46)</f>
        <v>43</v>
      </c>
      <c r="L46" s="34">
        <f t="shared" si="10"/>
        <v>344</v>
      </c>
      <c r="M46" s="34" t="s">
        <v>150</v>
      </c>
      <c r="N46" s="34" t="s">
        <v>151</v>
      </c>
      <c r="O46" s="35">
        <f ca="1">I46*L46</f>
        <v>344</v>
      </c>
      <c r="P46" s="35">
        <f>J46*L46</f>
        <v>344</v>
      </c>
    </row>
    <row r="47" spans="1:16" x14ac:dyDescent="0.25">
      <c r="A47" s="34" t="s">
        <v>106</v>
      </c>
      <c r="B47" s="57" t="s">
        <v>33</v>
      </c>
      <c r="C47" s="57" t="s">
        <v>543</v>
      </c>
      <c r="D47" s="57" t="s">
        <v>40</v>
      </c>
      <c r="E47" s="36" t="s">
        <v>39</v>
      </c>
      <c r="F47" s="37" t="s">
        <v>8</v>
      </c>
      <c r="G47" s="52">
        <v>42128</v>
      </c>
      <c r="H47" s="52">
        <v>42130</v>
      </c>
      <c r="I47" s="39">
        <f ca="1">IF(NETWORKDAYS(G47,TODAY())/NETWORKDAYS(G47,H47,)&lt;0,0,IF(NETWORKDAYS(G47,TODAY())/NETWORKDAYS(G47,H47,)&gt;1,1,NETWORKDAYS(G47,TODAY())/NETWORKDAYS(G47,H47,)))</f>
        <v>1</v>
      </c>
      <c r="J47" s="39">
        <v>0.33</v>
      </c>
      <c r="K47" s="40">
        <f>NETWORKDAYS(G47,H47)</f>
        <v>3</v>
      </c>
      <c r="L47" s="34">
        <f t="shared" si="10"/>
        <v>24</v>
      </c>
      <c r="M47" s="34" t="s">
        <v>150</v>
      </c>
      <c r="N47" s="34" t="s">
        <v>151</v>
      </c>
      <c r="O47" s="35">
        <f ca="1">I47*L47</f>
        <v>24</v>
      </c>
      <c r="P47" s="35">
        <f>J47*L47</f>
        <v>7.92</v>
      </c>
    </row>
    <row r="48" spans="1:16" x14ac:dyDescent="0.25">
      <c r="A48" s="34" t="s">
        <v>106</v>
      </c>
      <c r="B48" s="57" t="s">
        <v>33</v>
      </c>
      <c r="C48" s="57" t="s">
        <v>543</v>
      </c>
      <c r="D48" s="57" t="s">
        <v>40</v>
      </c>
      <c r="E48" s="36" t="s">
        <v>39</v>
      </c>
      <c r="F48" s="37" t="s">
        <v>11</v>
      </c>
      <c r="G48" s="52">
        <v>42131</v>
      </c>
      <c r="H48" s="52">
        <v>42146</v>
      </c>
      <c r="I48" s="39">
        <f ca="1">IF(NETWORKDAYS(G48,TODAY())/NETWORKDAYS(G48,H48,)&lt;0,0,IF(NETWORKDAYS(G48,TODAY())/NETWORKDAYS(G48,H48,)&gt;1,1,NETWORKDAYS(G48,TODAY())/NETWORKDAYS(G48,H48,)))</f>
        <v>1</v>
      </c>
      <c r="J48" s="39">
        <v>0</v>
      </c>
      <c r="K48" s="40">
        <f>NETWORKDAYS(G48,H48)</f>
        <v>12</v>
      </c>
      <c r="L48" s="34">
        <f t="shared" si="10"/>
        <v>96</v>
      </c>
      <c r="M48" s="34" t="s">
        <v>150</v>
      </c>
      <c r="N48" s="34" t="s">
        <v>151</v>
      </c>
      <c r="O48" s="35">
        <f ca="1">I48*L48</f>
        <v>96</v>
      </c>
      <c r="P48" s="35">
        <f>J48*L48</f>
        <v>0</v>
      </c>
    </row>
    <row r="49" spans="1:16" x14ac:dyDescent="0.25">
      <c r="A49" s="46" t="s">
        <v>106</v>
      </c>
      <c r="B49" s="47" t="s">
        <v>33</v>
      </c>
      <c r="C49" s="47" t="s">
        <v>543</v>
      </c>
      <c r="D49" s="47" t="s">
        <v>40</v>
      </c>
      <c r="E49" s="47" t="s">
        <v>39</v>
      </c>
      <c r="F49" s="58" t="s">
        <v>35</v>
      </c>
      <c r="G49" s="49">
        <f>G45</f>
        <v>42058</v>
      </c>
      <c r="H49" s="49">
        <f>H48</f>
        <v>42146</v>
      </c>
      <c r="I49" s="50">
        <f ca="1">SUM(O45:O48)/L49</f>
        <v>1</v>
      </c>
      <c r="J49" s="50">
        <f>SUM(P45:P48)/L49</f>
        <v>0.78109375000000003</v>
      </c>
      <c r="K49" s="51">
        <f>SUM(K45:K48)</f>
        <v>64</v>
      </c>
      <c r="L49" s="46">
        <f>SUM(L45:L48)</f>
        <v>512</v>
      </c>
      <c r="M49" s="46" t="s">
        <v>150</v>
      </c>
      <c r="N49" s="46" t="s">
        <v>151</v>
      </c>
      <c r="O49" s="35"/>
      <c r="P49" s="35"/>
    </row>
    <row r="50" spans="1:16" x14ac:dyDescent="0.25">
      <c r="A50" s="34" t="s">
        <v>204</v>
      </c>
      <c r="B50" s="35" t="s">
        <v>205</v>
      </c>
      <c r="C50" s="35" t="s">
        <v>543</v>
      </c>
      <c r="D50" s="35" t="s">
        <v>38</v>
      </c>
      <c r="E50" s="36" t="s">
        <v>39</v>
      </c>
      <c r="F50" s="37" t="s">
        <v>9</v>
      </c>
      <c r="G50" s="38">
        <v>42086</v>
      </c>
      <c r="H50" s="38">
        <v>42087</v>
      </c>
      <c r="I50" s="39">
        <f ca="1">IF(NETWORKDAYS(G50,TODAY())/NETWORKDAYS(G50,H50,)&lt;0,0,IF(NETWORKDAYS(G50,TODAY())/NETWORKDAYS(G50,H50,)&gt;1,1,NETWORKDAYS(G50,TODAY())/NETWORKDAYS(G50,H50,)))</f>
        <v>1</v>
      </c>
      <c r="J50" s="39">
        <v>1</v>
      </c>
      <c r="K50" s="40">
        <f>NETWORKDAYS(G50,H50)</f>
        <v>2</v>
      </c>
      <c r="L50" s="34">
        <f t="shared" ref="L50:L53" si="11">K50*8</f>
        <v>16</v>
      </c>
      <c r="M50" s="34" t="s">
        <v>157</v>
      </c>
      <c r="N50" s="34" t="s">
        <v>158</v>
      </c>
      <c r="O50" s="35">
        <f ca="1">I50*L50</f>
        <v>16</v>
      </c>
      <c r="P50" s="35">
        <f>J50*L50</f>
        <v>16</v>
      </c>
    </row>
    <row r="51" spans="1:16" x14ac:dyDescent="0.25">
      <c r="A51" s="34" t="s">
        <v>204</v>
      </c>
      <c r="B51" s="35" t="s">
        <v>205</v>
      </c>
      <c r="C51" s="35" t="s">
        <v>543</v>
      </c>
      <c r="D51" s="35" t="s">
        <v>38</v>
      </c>
      <c r="E51" s="36" t="s">
        <v>39</v>
      </c>
      <c r="F51" s="37" t="s">
        <v>10</v>
      </c>
      <c r="G51" s="52">
        <v>42087</v>
      </c>
      <c r="H51" s="52">
        <v>42115</v>
      </c>
      <c r="I51" s="39">
        <f ca="1">IF(NETWORKDAYS(G51,TODAY())/NETWORKDAYS(G51,H51,)&lt;0,0,IF(NETWORKDAYS(G51,TODAY())/NETWORKDAYS(G51,H51,)&gt;1,1,NETWORKDAYS(G51,TODAY())/NETWORKDAYS(G51,H51,)))</f>
        <v>1</v>
      </c>
      <c r="J51" s="39">
        <v>1</v>
      </c>
      <c r="K51" s="40">
        <f>NETWORKDAYS(G51,H51)</f>
        <v>21</v>
      </c>
      <c r="L51" s="34">
        <f t="shared" si="11"/>
        <v>168</v>
      </c>
      <c r="M51" s="34" t="s">
        <v>157</v>
      </c>
      <c r="N51" s="34" t="s">
        <v>158</v>
      </c>
      <c r="O51" s="35">
        <f ca="1">I51*L51</f>
        <v>168</v>
      </c>
      <c r="P51" s="35">
        <f>J51*L51</f>
        <v>168</v>
      </c>
    </row>
    <row r="52" spans="1:16" x14ac:dyDescent="0.25">
      <c r="A52" s="34" t="s">
        <v>204</v>
      </c>
      <c r="B52" s="35" t="s">
        <v>205</v>
      </c>
      <c r="C52" s="35" t="s">
        <v>543</v>
      </c>
      <c r="D52" s="35" t="s">
        <v>38</v>
      </c>
      <c r="E52" s="36" t="s">
        <v>39</v>
      </c>
      <c r="F52" s="37" t="s">
        <v>8</v>
      </c>
      <c r="G52" s="52">
        <v>42116</v>
      </c>
      <c r="H52" s="52">
        <v>42117</v>
      </c>
      <c r="I52" s="39">
        <f ca="1">IF(NETWORKDAYS(G52,TODAY())/NETWORKDAYS(G52,H52,)&lt;0,0,IF(NETWORKDAYS(G52,TODAY())/NETWORKDAYS(G52,H52,)&gt;1,1,NETWORKDAYS(G52,TODAY())/NETWORKDAYS(G52,H52,)))</f>
        <v>1</v>
      </c>
      <c r="J52" s="39">
        <v>1</v>
      </c>
      <c r="K52" s="40">
        <f>NETWORKDAYS(G52,H52)</f>
        <v>2</v>
      </c>
      <c r="L52" s="34">
        <f t="shared" si="11"/>
        <v>16</v>
      </c>
      <c r="M52" s="34" t="s">
        <v>157</v>
      </c>
      <c r="N52" s="34" t="s">
        <v>158</v>
      </c>
      <c r="O52" s="35">
        <f ca="1">I52*L52</f>
        <v>16</v>
      </c>
      <c r="P52" s="35">
        <f>J52*L52</f>
        <v>16</v>
      </c>
    </row>
    <row r="53" spans="1:16" x14ac:dyDescent="0.25">
      <c r="A53" s="34" t="s">
        <v>204</v>
      </c>
      <c r="B53" s="35" t="s">
        <v>205</v>
      </c>
      <c r="C53" s="35" t="s">
        <v>543</v>
      </c>
      <c r="D53" s="35" t="s">
        <v>38</v>
      </c>
      <c r="E53" s="36" t="s">
        <v>39</v>
      </c>
      <c r="F53" s="37" t="s">
        <v>11</v>
      </c>
      <c r="G53" s="52">
        <v>42118</v>
      </c>
      <c r="H53" s="52">
        <v>42118</v>
      </c>
      <c r="I53" s="39">
        <f ca="1">IF(NETWORKDAYS(G53,TODAY())/NETWORKDAYS(G53,H53,)&lt;0,0,IF(NETWORKDAYS(G53,TODAY())/NETWORKDAYS(G53,H53,)&gt;1,1,NETWORKDAYS(G53,TODAY())/NETWORKDAYS(G53,H53,)))</f>
        <v>1</v>
      </c>
      <c r="J53" s="39">
        <v>1</v>
      </c>
      <c r="K53" s="40">
        <f>NETWORKDAYS(G53,H53)</f>
        <v>1</v>
      </c>
      <c r="L53" s="34">
        <f t="shared" si="11"/>
        <v>8</v>
      </c>
      <c r="M53" s="34" t="s">
        <v>157</v>
      </c>
      <c r="N53" s="34" t="s">
        <v>158</v>
      </c>
      <c r="O53" s="35">
        <f ca="1">I53*L53</f>
        <v>8</v>
      </c>
      <c r="P53" s="35">
        <f>J53*L53</f>
        <v>8</v>
      </c>
    </row>
    <row r="54" spans="1:16" x14ac:dyDescent="0.25">
      <c r="A54" s="46" t="s">
        <v>204</v>
      </c>
      <c r="B54" s="47" t="s">
        <v>205</v>
      </c>
      <c r="C54" s="47" t="s">
        <v>543</v>
      </c>
      <c r="D54" s="47" t="s">
        <v>38</v>
      </c>
      <c r="E54" s="47" t="s">
        <v>39</v>
      </c>
      <c r="F54" s="47" t="s">
        <v>35</v>
      </c>
      <c r="G54" s="49">
        <f>G50</f>
        <v>42086</v>
      </c>
      <c r="H54" s="49">
        <f>H53</f>
        <v>42118</v>
      </c>
      <c r="I54" s="50">
        <f ca="1">SUM(O50:O53)/L54</f>
        <v>1</v>
      </c>
      <c r="J54" s="50">
        <f>SUM(P50:P53)/L54</f>
        <v>1</v>
      </c>
      <c r="K54" s="51">
        <f>SUM(K50:K53)</f>
        <v>26</v>
      </c>
      <c r="L54" s="46">
        <f>SUM(L50:L53)</f>
        <v>208</v>
      </c>
      <c r="M54" s="46" t="s">
        <v>157</v>
      </c>
      <c r="N54" s="46" t="s">
        <v>158</v>
      </c>
      <c r="O54" s="35"/>
      <c r="P54" s="35"/>
    </row>
    <row r="55" spans="1:16" ht="15" customHeight="1" x14ac:dyDescent="0.25">
      <c r="A55" s="34" t="s">
        <v>206</v>
      </c>
      <c r="B55" s="82" t="s">
        <v>207</v>
      </c>
      <c r="C55" s="82" t="s">
        <v>543</v>
      </c>
      <c r="D55" s="35" t="s">
        <v>40</v>
      </c>
      <c r="E55" s="36" t="s">
        <v>39</v>
      </c>
      <c r="F55" s="37" t="s">
        <v>9</v>
      </c>
      <c r="G55" s="38">
        <v>42034</v>
      </c>
      <c r="H55" s="38">
        <v>42037</v>
      </c>
      <c r="I55" s="39">
        <f ca="1">IF(NETWORKDAYS(G55,TODAY())/NETWORKDAYS(G55,H55,)&lt;0,0,IF(NETWORKDAYS(G55,TODAY())/NETWORKDAYS(G55,H55,)&gt;1,1,NETWORKDAYS(G55,TODAY())/NETWORKDAYS(G55,H55,)))</f>
        <v>1</v>
      </c>
      <c r="J55" s="39">
        <v>1</v>
      </c>
      <c r="K55" s="40">
        <f>NETWORKDAYS(G55,H55)</f>
        <v>2</v>
      </c>
      <c r="L55" s="34">
        <f t="shared" ref="L55:L57" si="12">K55*8</f>
        <v>16</v>
      </c>
      <c r="M55" s="34" t="s">
        <v>136</v>
      </c>
      <c r="N55" s="34" t="s">
        <v>137</v>
      </c>
      <c r="O55" s="35">
        <f ca="1">I55*L55</f>
        <v>16</v>
      </c>
      <c r="P55" s="35">
        <f>J55*L55</f>
        <v>16</v>
      </c>
    </row>
    <row r="56" spans="1:16" ht="16.5" customHeight="1" x14ac:dyDescent="0.25">
      <c r="A56" s="34" t="s">
        <v>206</v>
      </c>
      <c r="B56" s="82" t="s">
        <v>207</v>
      </c>
      <c r="C56" s="82" t="s">
        <v>543</v>
      </c>
      <c r="D56" s="35" t="s">
        <v>40</v>
      </c>
      <c r="E56" s="36" t="s">
        <v>39</v>
      </c>
      <c r="F56" s="37" t="s">
        <v>10</v>
      </c>
      <c r="G56" s="52">
        <v>42038</v>
      </c>
      <c r="H56" s="52">
        <v>42068</v>
      </c>
      <c r="I56" s="39">
        <f ca="1">IF(NETWORKDAYS(G56,TODAY())/NETWORKDAYS(G56,H56,)&lt;0,0,IF(NETWORKDAYS(G56,TODAY())/NETWORKDAYS(G56,H56,)&gt;1,1,NETWORKDAYS(G56,TODAY())/NETWORKDAYS(G56,H56,)))</f>
        <v>1</v>
      </c>
      <c r="J56" s="39">
        <v>1</v>
      </c>
      <c r="K56" s="40">
        <f>NETWORKDAYS(G56,H56)</f>
        <v>23</v>
      </c>
      <c r="L56" s="34">
        <f t="shared" si="12"/>
        <v>184</v>
      </c>
      <c r="M56" s="34" t="s">
        <v>136</v>
      </c>
      <c r="N56" s="34" t="s">
        <v>137</v>
      </c>
      <c r="O56" s="35">
        <f ca="1">I56*L56</f>
        <v>184</v>
      </c>
      <c r="P56" s="35">
        <f>J56*L56</f>
        <v>184</v>
      </c>
    </row>
    <row r="57" spans="1:16" ht="16.5" customHeight="1" x14ac:dyDescent="0.25">
      <c r="A57" s="34" t="s">
        <v>206</v>
      </c>
      <c r="B57" s="82" t="s">
        <v>207</v>
      </c>
      <c r="C57" s="82" t="s">
        <v>543</v>
      </c>
      <c r="D57" s="35" t="s">
        <v>40</v>
      </c>
      <c r="E57" s="36" t="s">
        <v>39</v>
      </c>
      <c r="F57" s="37" t="s">
        <v>11</v>
      </c>
      <c r="G57" s="52">
        <v>42068</v>
      </c>
      <c r="H57" s="52">
        <v>42069</v>
      </c>
      <c r="I57" s="39">
        <f ca="1">IF(NETWORKDAYS(G57,TODAY())/NETWORKDAYS(G57,H57,)&lt;0,0,IF(NETWORKDAYS(G57,TODAY())/NETWORKDAYS(G57,H57,)&gt;1,1,NETWORKDAYS(G57,TODAY())/NETWORKDAYS(G57,H57,)))</f>
        <v>1</v>
      </c>
      <c r="J57" s="39">
        <v>1</v>
      </c>
      <c r="K57" s="40">
        <f>NETWORKDAYS(G57,H57)</f>
        <v>2</v>
      </c>
      <c r="L57" s="34">
        <f t="shared" si="12"/>
        <v>16</v>
      </c>
      <c r="M57" s="34" t="s">
        <v>136</v>
      </c>
      <c r="N57" s="34" t="s">
        <v>137</v>
      </c>
      <c r="O57" s="35">
        <f ca="1">I57*L57</f>
        <v>16</v>
      </c>
      <c r="P57" s="35">
        <f>J57*L57</f>
        <v>16</v>
      </c>
    </row>
    <row r="58" spans="1:16" x14ac:dyDescent="0.25">
      <c r="A58" s="46" t="s">
        <v>206</v>
      </c>
      <c r="B58" s="47" t="s">
        <v>208</v>
      </c>
      <c r="C58" s="47" t="s">
        <v>543</v>
      </c>
      <c r="D58" s="47" t="s">
        <v>40</v>
      </c>
      <c r="E58" s="47" t="s">
        <v>39</v>
      </c>
      <c r="F58" s="81" t="s">
        <v>35</v>
      </c>
      <c r="G58" s="49">
        <f>G55</f>
        <v>42034</v>
      </c>
      <c r="H58" s="49">
        <f>H57</f>
        <v>42069</v>
      </c>
      <c r="I58" s="50">
        <f ca="1">SUM(O55:O57)/L58</f>
        <v>1</v>
      </c>
      <c r="J58" s="50">
        <f>SUM(P55:P57)/L58</f>
        <v>1</v>
      </c>
      <c r="K58" s="51">
        <f>SUM(K55:K57)</f>
        <v>27</v>
      </c>
      <c r="L58" s="46">
        <f>SUM(L55:L57)</f>
        <v>216</v>
      </c>
      <c r="M58" s="46" t="s">
        <v>136</v>
      </c>
      <c r="N58" s="46" t="s">
        <v>137</v>
      </c>
      <c r="O58" s="35"/>
      <c r="P58" s="35"/>
    </row>
    <row r="59" spans="1:16" x14ac:dyDescent="0.25">
      <c r="A59" s="59" t="s">
        <v>107</v>
      </c>
      <c r="B59" s="35" t="s">
        <v>34</v>
      </c>
      <c r="C59" s="35" t="s">
        <v>543</v>
      </c>
      <c r="D59" s="35" t="s">
        <v>40</v>
      </c>
      <c r="E59" s="36" t="s">
        <v>39</v>
      </c>
      <c r="F59" s="37" t="s">
        <v>9</v>
      </c>
      <c r="G59" s="38">
        <v>42088</v>
      </c>
      <c r="H59" s="38">
        <v>42089</v>
      </c>
      <c r="I59" s="39">
        <f ca="1">IF(NETWORKDAYS(G59,TODAY())/NETWORKDAYS(G59,H59,)&lt;0,0,IF(NETWORKDAYS(G59,TODAY())/NETWORKDAYS(G59,H59,)&gt;1,1,NETWORKDAYS(G59,TODAY())/NETWORKDAYS(G59,H59,)))</f>
        <v>1</v>
      </c>
      <c r="J59" s="39">
        <v>1</v>
      </c>
      <c r="K59" s="40">
        <f>NETWORKDAYS(G59,H59)</f>
        <v>2</v>
      </c>
      <c r="L59" s="34">
        <f t="shared" ref="L59:L62" si="13">K59*8</f>
        <v>16</v>
      </c>
      <c r="M59" s="34" t="s">
        <v>150</v>
      </c>
      <c r="N59" s="34" t="s">
        <v>151</v>
      </c>
      <c r="O59" s="35">
        <f ca="1">I59*L59</f>
        <v>16</v>
      </c>
      <c r="P59" s="35">
        <f>J59*L59</f>
        <v>16</v>
      </c>
    </row>
    <row r="60" spans="1:16" x14ac:dyDescent="0.25">
      <c r="A60" s="59" t="s">
        <v>107</v>
      </c>
      <c r="B60" s="35" t="s">
        <v>34</v>
      </c>
      <c r="C60" s="35" t="s">
        <v>543</v>
      </c>
      <c r="D60" s="35" t="s">
        <v>40</v>
      </c>
      <c r="E60" s="36" t="s">
        <v>39</v>
      </c>
      <c r="F60" s="37" t="s">
        <v>10</v>
      </c>
      <c r="G60" s="52">
        <v>42090</v>
      </c>
      <c r="H60" s="52">
        <v>42110</v>
      </c>
      <c r="I60" s="39">
        <f ca="1">IF(NETWORKDAYS(G60,TODAY())/NETWORKDAYS(G60,H60,)&lt;0,0,IF(NETWORKDAYS(G60,TODAY())/NETWORKDAYS(G60,H60,)&gt;1,1,NETWORKDAYS(G60,TODAY())/NETWORKDAYS(G60,H60,)))</f>
        <v>1</v>
      </c>
      <c r="J60" s="39">
        <v>0</v>
      </c>
      <c r="K60" s="40">
        <f>NETWORKDAYS(G60,H60)</f>
        <v>15</v>
      </c>
      <c r="L60" s="34">
        <f t="shared" si="13"/>
        <v>120</v>
      </c>
      <c r="M60" s="34" t="s">
        <v>150</v>
      </c>
      <c r="N60" s="34" t="s">
        <v>151</v>
      </c>
      <c r="O60" s="35">
        <f ca="1">I60*L60</f>
        <v>120</v>
      </c>
      <c r="P60" s="35">
        <f>J60*L60</f>
        <v>0</v>
      </c>
    </row>
    <row r="61" spans="1:16" x14ac:dyDescent="0.25">
      <c r="A61" s="59" t="s">
        <v>107</v>
      </c>
      <c r="B61" s="35" t="s">
        <v>34</v>
      </c>
      <c r="C61" s="35" t="s">
        <v>543</v>
      </c>
      <c r="D61" s="35" t="s">
        <v>40</v>
      </c>
      <c r="E61" s="36" t="s">
        <v>39</v>
      </c>
      <c r="F61" s="37" t="s">
        <v>8</v>
      </c>
      <c r="G61" s="52">
        <v>42111</v>
      </c>
      <c r="H61" s="52">
        <v>42115</v>
      </c>
      <c r="I61" s="39">
        <f ca="1">IF(NETWORKDAYS(G61,TODAY())/NETWORKDAYS(G61,H61,)&lt;0,0,IF(NETWORKDAYS(G61,TODAY())/NETWORKDAYS(G61,H61,)&gt;1,1,NETWORKDAYS(G61,TODAY())/NETWORKDAYS(G61,H61,)))</f>
        <v>1</v>
      </c>
      <c r="J61" s="39">
        <v>0</v>
      </c>
      <c r="K61" s="40">
        <f>NETWORKDAYS(G61,H61)</f>
        <v>3</v>
      </c>
      <c r="L61" s="34">
        <f t="shared" si="13"/>
        <v>24</v>
      </c>
      <c r="M61" s="34" t="s">
        <v>150</v>
      </c>
      <c r="N61" s="34" t="s">
        <v>151</v>
      </c>
      <c r="O61" s="35">
        <f ca="1">I61*L61</f>
        <v>24</v>
      </c>
      <c r="P61" s="35">
        <f>J61*L61</f>
        <v>0</v>
      </c>
    </row>
    <row r="62" spans="1:16" x14ac:dyDescent="0.25">
      <c r="A62" s="59" t="s">
        <v>107</v>
      </c>
      <c r="B62" s="35" t="s">
        <v>34</v>
      </c>
      <c r="C62" s="35" t="s">
        <v>543</v>
      </c>
      <c r="D62" s="35" t="s">
        <v>40</v>
      </c>
      <c r="E62" s="36" t="s">
        <v>39</v>
      </c>
      <c r="F62" s="37" t="s">
        <v>11</v>
      </c>
      <c r="G62" s="52" t="s">
        <v>13</v>
      </c>
      <c r="H62" s="52" t="s">
        <v>13</v>
      </c>
      <c r="I62" s="39"/>
      <c r="J62" s="39">
        <v>0</v>
      </c>
      <c r="K62" s="40"/>
      <c r="L62" s="34">
        <f t="shared" si="13"/>
        <v>0</v>
      </c>
      <c r="M62" s="34" t="s">
        <v>150</v>
      </c>
      <c r="N62" s="34" t="s">
        <v>151</v>
      </c>
      <c r="O62" s="35">
        <f>I62*L62</f>
        <v>0</v>
      </c>
      <c r="P62" s="35">
        <f>J62*L62</f>
        <v>0</v>
      </c>
    </row>
    <row r="63" spans="1:16" x14ac:dyDescent="0.25">
      <c r="A63" s="46" t="s">
        <v>107</v>
      </c>
      <c r="B63" s="47" t="s">
        <v>34</v>
      </c>
      <c r="C63" s="47" t="s">
        <v>543</v>
      </c>
      <c r="D63" s="47" t="s">
        <v>40</v>
      </c>
      <c r="E63" s="47" t="s">
        <v>39</v>
      </c>
      <c r="F63" s="47" t="s">
        <v>35</v>
      </c>
      <c r="G63" s="58"/>
      <c r="H63" s="58"/>
      <c r="I63" s="50">
        <f ca="1">SUM(O59:O62)/L63</f>
        <v>1</v>
      </c>
      <c r="J63" s="50">
        <f>SUM(P59:P62)/L63</f>
        <v>0.1</v>
      </c>
      <c r="K63" s="51">
        <f>SUM(K59:K62)</f>
        <v>20</v>
      </c>
      <c r="L63" s="46">
        <f>SUM(L59:L62)</f>
        <v>160</v>
      </c>
      <c r="M63" s="46" t="s">
        <v>150</v>
      </c>
      <c r="N63" s="46" t="s">
        <v>151</v>
      </c>
      <c r="O63" s="35"/>
      <c r="P63" s="35"/>
    </row>
    <row r="64" spans="1:16" x14ac:dyDescent="0.25">
      <c r="A64" s="34" t="s">
        <v>209</v>
      </c>
      <c r="B64" s="35" t="s">
        <v>210</v>
      </c>
      <c r="C64" s="35" t="s">
        <v>543</v>
      </c>
      <c r="D64" s="35" t="s">
        <v>40</v>
      </c>
      <c r="E64" s="36" t="s">
        <v>39</v>
      </c>
      <c r="F64" s="37" t="s">
        <v>9</v>
      </c>
      <c r="G64" s="38">
        <v>42065</v>
      </c>
      <c r="H64" s="38">
        <v>42065</v>
      </c>
      <c r="I64" s="39">
        <f ca="1">IF(NETWORKDAYS(G64,TODAY())/NETWORKDAYS(G64,H64,)&lt;0,0,IF(NETWORKDAYS(G64,TODAY())/NETWORKDAYS(G64,H64,)&gt;1,1,NETWORKDAYS(G64,TODAY())/NETWORKDAYS(G64,H64,)))</f>
        <v>1</v>
      </c>
      <c r="J64" s="39">
        <v>1</v>
      </c>
      <c r="K64" s="40">
        <f>NETWORKDAYS(G64,H64)</f>
        <v>1</v>
      </c>
      <c r="L64" s="34">
        <f t="shared" ref="L64:L67" si="14">K64*8</f>
        <v>8</v>
      </c>
      <c r="M64" s="34" t="s">
        <v>136</v>
      </c>
      <c r="N64" s="34" t="s">
        <v>137</v>
      </c>
      <c r="O64" s="35">
        <f ca="1">I64*L64</f>
        <v>8</v>
      </c>
      <c r="P64" s="35">
        <f>J64*L64</f>
        <v>8</v>
      </c>
    </row>
    <row r="65" spans="1:16" x14ac:dyDescent="0.25">
      <c r="A65" s="34" t="s">
        <v>209</v>
      </c>
      <c r="B65" s="35" t="s">
        <v>210</v>
      </c>
      <c r="C65" s="35" t="s">
        <v>543</v>
      </c>
      <c r="D65" s="35" t="s">
        <v>40</v>
      </c>
      <c r="E65" s="36" t="s">
        <v>39</v>
      </c>
      <c r="F65" s="37" t="s">
        <v>10</v>
      </c>
      <c r="G65" s="52">
        <v>42066</v>
      </c>
      <c r="H65" s="52">
        <v>42070</v>
      </c>
      <c r="I65" s="39">
        <f ca="1">IF(NETWORKDAYS(G65,TODAY())/NETWORKDAYS(G65,H65,)&lt;0,0,IF(NETWORKDAYS(G65,TODAY())/NETWORKDAYS(G65,H65,)&gt;1,1,NETWORKDAYS(G65,TODAY())/NETWORKDAYS(G65,H65,)))</f>
        <v>1</v>
      </c>
      <c r="J65" s="39">
        <v>1</v>
      </c>
      <c r="K65" s="40">
        <f>NETWORKDAYS(G65,H65)</f>
        <v>4</v>
      </c>
      <c r="L65" s="34">
        <f t="shared" si="14"/>
        <v>32</v>
      </c>
      <c r="M65" s="34" t="s">
        <v>136</v>
      </c>
      <c r="N65" s="34" t="s">
        <v>137</v>
      </c>
      <c r="O65" s="35">
        <f ca="1">I65*L65</f>
        <v>32</v>
      </c>
      <c r="P65" s="35">
        <f>J65*L65</f>
        <v>32</v>
      </c>
    </row>
    <row r="66" spans="1:16" x14ac:dyDescent="0.25">
      <c r="A66" s="34" t="s">
        <v>209</v>
      </c>
      <c r="B66" s="35" t="s">
        <v>210</v>
      </c>
      <c r="C66" s="35" t="s">
        <v>543</v>
      </c>
      <c r="D66" s="35" t="s">
        <v>40</v>
      </c>
      <c r="E66" s="36" t="s">
        <v>39</v>
      </c>
      <c r="F66" s="37" t="s">
        <v>8</v>
      </c>
      <c r="G66" s="52">
        <v>42073</v>
      </c>
      <c r="H66" s="52">
        <v>42074</v>
      </c>
      <c r="I66" s="39">
        <f ca="1">IF(NETWORKDAYS(G66,TODAY())/NETWORKDAYS(G66,H66,)&lt;0,0,IF(NETWORKDAYS(G66,TODAY())/NETWORKDAYS(G66,H66,)&gt;1,1,NETWORKDAYS(G66,TODAY())/NETWORKDAYS(G66,H66,)))</f>
        <v>1</v>
      </c>
      <c r="J66" s="39">
        <v>1</v>
      </c>
      <c r="K66" s="40">
        <f>NETWORKDAYS(G66,H66)</f>
        <v>2</v>
      </c>
      <c r="L66" s="34">
        <f t="shared" si="14"/>
        <v>16</v>
      </c>
      <c r="M66" s="34" t="s">
        <v>136</v>
      </c>
      <c r="N66" s="34" t="s">
        <v>137</v>
      </c>
      <c r="O66" s="35">
        <f ca="1">I66*L66</f>
        <v>16</v>
      </c>
      <c r="P66" s="35">
        <f>J66*L66</f>
        <v>16</v>
      </c>
    </row>
    <row r="67" spans="1:16" x14ac:dyDescent="0.25">
      <c r="A67" s="34" t="s">
        <v>209</v>
      </c>
      <c r="B67" s="35" t="s">
        <v>210</v>
      </c>
      <c r="C67" s="35" t="s">
        <v>543</v>
      </c>
      <c r="D67" s="35" t="s">
        <v>40</v>
      </c>
      <c r="E67" s="36" t="s">
        <v>39</v>
      </c>
      <c r="F67" s="37" t="s">
        <v>11</v>
      </c>
      <c r="G67" s="52">
        <v>42075</v>
      </c>
      <c r="H67" s="52">
        <v>42076</v>
      </c>
      <c r="I67" s="39">
        <f ca="1">IF(NETWORKDAYS(G67,TODAY())/NETWORKDAYS(G67,H67,)&lt;0,0,IF(NETWORKDAYS(G67,TODAY())/NETWORKDAYS(G67,H67,)&gt;1,1,NETWORKDAYS(G67,TODAY())/NETWORKDAYS(G67,H67,)))</f>
        <v>1</v>
      </c>
      <c r="J67" s="39">
        <v>1</v>
      </c>
      <c r="K67" s="40">
        <f>NETWORKDAYS(G67,H67)</f>
        <v>2</v>
      </c>
      <c r="L67" s="34">
        <f t="shared" si="14"/>
        <v>16</v>
      </c>
      <c r="M67" s="34" t="s">
        <v>136</v>
      </c>
      <c r="N67" s="34" t="s">
        <v>137</v>
      </c>
      <c r="O67" s="35">
        <f ca="1">I67*L67</f>
        <v>16</v>
      </c>
      <c r="P67" s="35">
        <f>J67*L67</f>
        <v>16</v>
      </c>
    </row>
    <row r="68" spans="1:16" ht="15.75" customHeight="1" x14ac:dyDescent="0.25">
      <c r="A68" s="46" t="s">
        <v>209</v>
      </c>
      <c r="B68" s="47" t="str">
        <f>B67</f>
        <v>Inserção de Críticas</v>
      </c>
      <c r="C68" s="47" t="s">
        <v>543</v>
      </c>
      <c r="D68" s="47" t="s">
        <v>40</v>
      </c>
      <c r="E68" s="47" t="s">
        <v>39</v>
      </c>
      <c r="F68" s="47" t="s">
        <v>35</v>
      </c>
      <c r="G68" s="49">
        <f>G64</f>
        <v>42065</v>
      </c>
      <c r="H68" s="49">
        <f>H67</f>
        <v>42076</v>
      </c>
      <c r="I68" s="50">
        <f ca="1">SUM(O64:O67)/L68</f>
        <v>1</v>
      </c>
      <c r="J68" s="50">
        <f>SUM(P64:P67)/L68</f>
        <v>1</v>
      </c>
      <c r="K68" s="51">
        <f>SUM(K64:K67)</f>
        <v>9</v>
      </c>
      <c r="L68" s="46">
        <f>SUM(L64:L67)</f>
        <v>72</v>
      </c>
      <c r="M68" s="46" t="s">
        <v>136</v>
      </c>
      <c r="N68" s="46" t="s">
        <v>137</v>
      </c>
      <c r="O68" s="35"/>
      <c r="P68" s="35"/>
    </row>
    <row r="69" spans="1:16" x14ac:dyDescent="0.25">
      <c r="A69" s="34" t="s">
        <v>109</v>
      </c>
      <c r="B69" s="35" t="s">
        <v>43</v>
      </c>
      <c r="C69" s="35" t="s">
        <v>543</v>
      </c>
      <c r="D69" s="35" t="s">
        <v>40</v>
      </c>
      <c r="E69" s="36" t="s">
        <v>39</v>
      </c>
      <c r="F69" s="37" t="s">
        <v>7</v>
      </c>
      <c r="G69" s="38">
        <v>42132</v>
      </c>
      <c r="H69" s="38">
        <v>42135</v>
      </c>
      <c r="I69" s="39">
        <f ca="1">IF(NETWORKDAYS(G69,TODAY())/NETWORKDAYS(G69,H69,)&lt;0,0,IF(NETWORKDAYS(G69,TODAY())/NETWORKDAYS(G69,H69,)&gt;1,1,NETWORKDAYS(G69,TODAY())/NETWORKDAYS(G69,H69,)))</f>
        <v>1</v>
      </c>
      <c r="J69" s="39">
        <v>1</v>
      </c>
      <c r="K69" s="40">
        <f>NETWORKDAYS(G69,H69)</f>
        <v>2</v>
      </c>
      <c r="L69" s="34">
        <f t="shared" ref="L69:L72" si="15">K69*8</f>
        <v>16</v>
      </c>
      <c r="M69" s="34" t="s">
        <v>136</v>
      </c>
      <c r="N69" s="34" t="s">
        <v>137</v>
      </c>
      <c r="O69" s="35">
        <f ca="1">I69*L69</f>
        <v>16</v>
      </c>
      <c r="P69" s="35">
        <f>J69*L69</f>
        <v>16</v>
      </c>
    </row>
    <row r="70" spans="1:16" x14ac:dyDescent="0.25">
      <c r="A70" s="34" t="s">
        <v>109</v>
      </c>
      <c r="B70" s="35" t="s">
        <v>43</v>
      </c>
      <c r="C70" s="35" t="s">
        <v>543</v>
      </c>
      <c r="D70" s="35" t="s">
        <v>40</v>
      </c>
      <c r="E70" s="36" t="s">
        <v>39</v>
      </c>
      <c r="F70" s="37" t="s">
        <v>10</v>
      </c>
      <c r="G70" s="38">
        <v>42136</v>
      </c>
      <c r="H70" s="38">
        <v>42137</v>
      </c>
      <c r="I70" s="39">
        <f ca="1">IF(NETWORKDAYS(G70,TODAY())/NETWORKDAYS(G70,H70,)&lt;0,0,IF(NETWORKDAYS(G70,TODAY())/NETWORKDAYS(G70,H70,)&gt;1,1,NETWORKDAYS(G70,TODAY())/NETWORKDAYS(G70,H70,)))</f>
        <v>1</v>
      </c>
      <c r="J70" s="39">
        <v>1</v>
      </c>
      <c r="K70" s="40">
        <f>NETWORKDAYS(G70,H70)</f>
        <v>2</v>
      </c>
      <c r="L70" s="34">
        <f t="shared" si="15"/>
        <v>16</v>
      </c>
      <c r="M70" s="34" t="s">
        <v>136</v>
      </c>
      <c r="N70" s="34" t="s">
        <v>137</v>
      </c>
      <c r="O70" s="35">
        <f ca="1">I70*L70</f>
        <v>16</v>
      </c>
      <c r="P70" s="35">
        <f>J70*L70</f>
        <v>16</v>
      </c>
    </row>
    <row r="71" spans="1:16" x14ac:dyDescent="0.25">
      <c r="A71" s="34" t="s">
        <v>109</v>
      </c>
      <c r="B71" s="35" t="s">
        <v>43</v>
      </c>
      <c r="C71" s="35" t="s">
        <v>543</v>
      </c>
      <c r="D71" s="35" t="s">
        <v>40</v>
      </c>
      <c r="E71" s="36" t="s">
        <v>39</v>
      </c>
      <c r="F71" s="37" t="s">
        <v>8</v>
      </c>
      <c r="G71" s="38">
        <v>42138</v>
      </c>
      <c r="H71" s="38">
        <v>42138</v>
      </c>
      <c r="I71" s="39">
        <f ca="1">IF(NETWORKDAYS(G71,TODAY())/NETWORKDAYS(G71,H71,)&lt;0,0,IF(NETWORKDAYS(G71,TODAY())/NETWORKDAYS(G71,H71,)&gt;1,1,NETWORKDAYS(G71,TODAY())/NETWORKDAYS(G71,H71,)))</f>
        <v>1</v>
      </c>
      <c r="J71" s="39">
        <v>1</v>
      </c>
      <c r="K71" s="40">
        <f>NETWORKDAYS(G71,H71)</f>
        <v>1</v>
      </c>
      <c r="L71" s="34">
        <f t="shared" si="15"/>
        <v>8</v>
      </c>
      <c r="M71" s="34" t="s">
        <v>136</v>
      </c>
      <c r="N71" s="34" t="s">
        <v>137</v>
      </c>
      <c r="O71" s="35">
        <f ca="1">I71*L71</f>
        <v>8</v>
      </c>
      <c r="P71" s="35">
        <f>J71*L71</f>
        <v>8</v>
      </c>
    </row>
    <row r="72" spans="1:16" x14ac:dyDescent="0.25">
      <c r="A72" s="34" t="s">
        <v>109</v>
      </c>
      <c r="B72" s="35" t="s">
        <v>43</v>
      </c>
      <c r="C72" s="35" t="s">
        <v>543</v>
      </c>
      <c r="D72" s="35" t="s">
        <v>40</v>
      </c>
      <c r="E72" s="36" t="s">
        <v>39</v>
      </c>
      <c r="F72" s="37" t="s">
        <v>11</v>
      </c>
      <c r="G72" s="38">
        <v>42139</v>
      </c>
      <c r="H72" s="38">
        <v>42142</v>
      </c>
      <c r="I72" s="39">
        <f ca="1">IF(NETWORKDAYS(G72,TODAY())/NETWORKDAYS(G72,H72,)&lt;0,0,IF(NETWORKDAYS(G72,TODAY())/NETWORKDAYS(G72,H72,)&gt;1,1,NETWORKDAYS(G72,TODAY())/NETWORKDAYS(G72,H72,)))</f>
        <v>1</v>
      </c>
      <c r="J72" s="39">
        <v>1</v>
      </c>
      <c r="K72" s="40">
        <f>NETWORKDAYS(G72,H72)</f>
        <v>2</v>
      </c>
      <c r="L72" s="34">
        <f t="shared" si="15"/>
        <v>16</v>
      </c>
      <c r="M72" s="34" t="s">
        <v>136</v>
      </c>
      <c r="N72" s="34" t="s">
        <v>137</v>
      </c>
      <c r="O72" s="35">
        <f ca="1">I72*L72</f>
        <v>16</v>
      </c>
      <c r="P72" s="35">
        <f>J72*L72</f>
        <v>16</v>
      </c>
    </row>
    <row r="73" spans="1:16" ht="15.75" customHeight="1" x14ac:dyDescent="0.25">
      <c r="A73" s="41" t="s">
        <v>109</v>
      </c>
      <c r="B73" s="42" t="str">
        <f>B72</f>
        <v>Atualização da FBL5N no SAP nas inserções finalizadas</v>
      </c>
      <c r="C73" s="42" t="s">
        <v>543</v>
      </c>
      <c r="D73" s="42" t="s">
        <v>40</v>
      </c>
      <c r="E73" s="42" t="s">
        <v>39</v>
      </c>
      <c r="F73" s="42" t="s">
        <v>35</v>
      </c>
      <c r="G73" s="41" t="s">
        <v>42</v>
      </c>
      <c r="H73" s="53">
        <f>H72</f>
        <v>42142</v>
      </c>
      <c r="I73" s="43">
        <f ca="1">SUM(O69:O72)/L73</f>
        <v>1</v>
      </c>
      <c r="J73" s="43">
        <f>SUM(P69:P72)/L73</f>
        <v>1</v>
      </c>
      <c r="K73" s="44">
        <f>SUM(K69:K72)</f>
        <v>7</v>
      </c>
      <c r="L73" s="41">
        <f>SUM(L69:L72)</f>
        <v>56</v>
      </c>
      <c r="M73" s="41" t="s">
        <v>136</v>
      </c>
      <c r="N73" s="41" t="s">
        <v>137</v>
      </c>
      <c r="O73" s="35"/>
      <c r="P73" s="45"/>
    </row>
    <row r="74" spans="1:16" ht="15" customHeight="1" x14ac:dyDescent="0.25">
      <c r="A74" s="34" t="s">
        <v>211</v>
      </c>
      <c r="B74" s="35" t="s">
        <v>212</v>
      </c>
      <c r="C74" s="35" t="s">
        <v>543</v>
      </c>
      <c r="D74" s="35" t="s">
        <v>49</v>
      </c>
      <c r="E74" s="36" t="s">
        <v>47</v>
      </c>
      <c r="F74" s="37" t="s">
        <v>9</v>
      </c>
      <c r="G74" s="38">
        <v>42103</v>
      </c>
      <c r="H74" s="38">
        <v>42103</v>
      </c>
      <c r="I74" s="39">
        <f ca="1">IF(NETWORKDAYS(G74,TODAY())/NETWORKDAYS(G74,H74,)&lt;0,0,IF(NETWORKDAYS(G74,TODAY())/NETWORKDAYS(G74,H74,)&gt;1,1,NETWORKDAYS(G74,TODAY())/NETWORKDAYS(G74,H74,)))</f>
        <v>1</v>
      </c>
      <c r="J74" s="39">
        <v>1</v>
      </c>
      <c r="K74" s="40">
        <f>NETWORKDAYS(G74,H74)</f>
        <v>1</v>
      </c>
      <c r="L74" s="34">
        <f t="shared" ref="L74:L77" si="16">K74*8</f>
        <v>8</v>
      </c>
      <c r="M74" s="34" t="s">
        <v>140</v>
      </c>
      <c r="N74" s="34" t="s">
        <v>141</v>
      </c>
      <c r="O74" s="35">
        <f ca="1">I74*L74</f>
        <v>8</v>
      </c>
      <c r="P74" s="35">
        <f>J74*L74</f>
        <v>8</v>
      </c>
    </row>
    <row r="75" spans="1:16" x14ac:dyDescent="0.25">
      <c r="A75" s="34" t="s">
        <v>211</v>
      </c>
      <c r="B75" s="35" t="s">
        <v>212</v>
      </c>
      <c r="C75" s="35" t="s">
        <v>543</v>
      </c>
      <c r="D75" s="35" t="s">
        <v>49</v>
      </c>
      <c r="E75" s="36" t="s">
        <v>47</v>
      </c>
      <c r="F75" s="37" t="s">
        <v>10</v>
      </c>
      <c r="G75" s="38">
        <v>42104</v>
      </c>
      <c r="H75" s="38">
        <v>42109</v>
      </c>
      <c r="I75" s="39">
        <f ca="1">IF(NETWORKDAYS(G75,TODAY())/NETWORKDAYS(G75,H75,)&lt;0,0,IF(NETWORKDAYS(G75,TODAY())/NETWORKDAYS(G75,H75,)&gt;1,1,NETWORKDAYS(G75,TODAY())/NETWORKDAYS(G75,H75,)))</f>
        <v>1</v>
      </c>
      <c r="J75" s="39">
        <v>1</v>
      </c>
      <c r="K75" s="40">
        <f>NETWORKDAYS(G75,H75)</f>
        <v>4</v>
      </c>
      <c r="L75" s="34">
        <f t="shared" si="16"/>
        <v>32</v>
      </c>
      <c r="M75" s="34" t="s">
        <v>140</v>
      </c>
      <c r="N75" s="34" t="s">
        <v>141</v>
      </c>
      <c r="O75" s="35">
        <f ca="1">I75*L75</f>
        <v>32</v>
      </c>
      <c r="P75" s="35">
        <f>J75*L75</f>
        <v>32</v>
      </c>
    </row>
    <row r="76" spans="1:16" x14ac:dyDescent="0.25">
      <c r="A76" s="34" t="s">
        <v>211</v>
      </c>
      <c r="B76" s="35" t="s">
        <v>212</v>
      </c>
      <c r="C76" s="35" t="s">
        <v>543</v>
      </c>
      <c r="D76" s="35" t="s">
        <v>49</v>
      </c>
      <c r="E76" s="36" t="s">
        <v>47</v>
      </c>
      <c r="F76" s="37" t="s">
        <v>8</v>
      </c>
      <c r="G76" s="38">
        <v>42110</v>
      </c>
      <c r="H76" s="38">
        <v>42124</v>
      </c>
      <c r="I76" s="39">
        <f ca="1">IF(NETWORKDAYS(G76,TODAY())/NETWORKDAYS(G76,H76,)&lt;0,0,IF(NETWORKDAYS(G76,TODAY())/NETWORKDAYS(G76,H76,)&gt;1,1,NETWORKDAYS(G76,TODAY())/NETWORKDAYS(G76,H76,)))</f>
        <v>1</v>
      </c>
      <c r="J76" s="39">
        <v>1</v>
      </c>
      <c r="K76" s="40">
        <f>NETWORKDAYS(G76,H76)</f>
        <v>11</v>
      </c>
      <c r="L76" s="34">
        <f t="shared" si="16"/>
        <v>88</v>
      </c>
      <c r="M76" s="34" t="s">
        <v>140</v>
      </c>
      <c r="N76" s="34" t="s">
        <v>141</v>
      </c>
      <c r="O76" s="35">
        <f ca="1">I76*L76</f>
        <v>88</v>
      </c>
      <c r="P76" s="35">
        <f>J76*L76</f>
        <v>88</v>
      </c>
    </row>
    <row r="77" spans="1:16" x14ac:dyDescent="0.25">
      <c r="A77" s="34" t="s">
        <v>211</v>
      </c>
      <c r="B77" s="35" t="s">
        <v>212</v>
      </c>
      <c r="C77" s="35" t="s">
        <v>543</v>
      </c>
      <c r="D77" s="35" t="s">
        <v>49</v>
      </c>
      <c r="E77" s="36" t="s">
        <v>47</v>
      </c>
      <c r="F77" s="37" t="s">
        <v>11</v>
      </c>
      <c r="G77" s="38">
        <v>42128</v>
      </c>
      <c r="H77" s="38">
        <v>42131</v>
      </c>
      <c r="I77" s="39">
        <f ca="1">IF(NETWORKDAYS(G77,TODAY())/NETWORKDAYS(G77,H77,)&lt;0,0,IF(NETWORKDAYS(G77,TODAY())/NETWORKDAYS(G77,H77,)&gt;1,1,NETWORKDAYS(G77,TODAY())/NETWORKDAYS(G77,H77,)))</f>
        <v>1</v>
      </c>
      <c r="J77" s="39">
        <v>1</v>
      </c>
      <c r="K77" s="40">
        <f>NETWORKDAYS(G77,H77)</f>
        <v>4</v>
      </c>
      <c r="L77" s="34">
        <f t="shared" si="16"/>
        <v>32</v>
      </c>
      <c r="M77" s="34" t="s">
        <v>140</v>
      </c>
      <c r="N77" s="34" t="s">
        <v>141</v>
      </c>
      <c r="O77" s="35">
        <f ca="1">I77*L77</f>
        <v>32</v>
      </c>
      <c r="P77" s="35">
        <f>J77*L77</f>
        <v>32</v>
      </c>
    </row>
    <row r="78" spans="1:16" x14ac:dyDescent="0.25">
      <c r="A78" s="41" t="s">
        <v>211</v>
      </c>
      <c r="B78" s="42" t="s">
        <v>212</v>
      </c>
      <c r="C78" s="42" t="s">
        <v>543</v>
      </c>
      <c r="D78" s="42" t="s">
        <v>49</v>
      </c>
      <c r="E78" s="42" t="s">
        <v>39</v>
      </c>
      <c r="F78" s="42" t="s">
        <v>35</v>
      </c>
      <c r="G78" s="53">
        <v>42103</v>
      </c>
      <c r="H78" s="53">
        <f>H77</f>
        <v>42131</v>
      </c>
      <c r="I78" s="43">
        <f ca="1">SUM(O74:O77)/L78</f>
        <v>1</v>
      </c>
      <c r="J78" s="43">
        <f>SUM(P74:P77)/L78</f>
        <v>1</v>
      </c>
      <c r="K78" s="44">
        <f>SUM(K74:K77)</f>
        <v>20</v>
      </c>
      <c r="L78" s="41">
        <f>SUM(L74:L77)</f>
        <v>160</v>
      </c>
      <c r="M78" s="43" t="s">
        <v>140</v>
      </c>
      <c r="N78" s="43" t="s">
        <v>141</v>
      </c>
      <c r="O78" s="35"/>
      <c r="P78" s="45"/>
    </row>
    <row r="79" spans="1:16" ht="15" customHeight="1" x14ac:dyDescent="0.25">
      <c r="A79" s="34" t="s">
        <v>213</v>
      </c>
      <c r="B79" s="35" t="s">
        <v>214</v>
      </c>
      <c r="C79" s="35" t="s">
        <v>543</v>
      </c>
      <c r="D79" s="35" t="s">
        <v>49</v>
      </c>
      <c r="E79" s="36" t="s">
        <v>47</v>
      </c>
      <c r="F79" s="37" t="s">
        <v>9</v>
      </c>
      <c r="G79" s="38">
        <v>42103</v>
      </c>
      <c r="H79" s="38">
        <v>42103</v>
      </c>
      <c r="I79" s="39">
        <f ca="1">IF(NETWORKDAYS(G79,TODAY())/NETWORKDAYS(G79,H79,)&lt;0,0,IF(NETWORKDAYS(G79,TODAY())/NETWORKDAYS(G79,H79,)&gt;1,1,NETWORKDAYS(G79,TODAY())/NETWORKDAYS(G79,H79,)))</f>
        <v>1</v>
      </c>
      <c r="J79" s="39">
        <v>1</v>
      </c>
      <c r="K79" s="40">
        <f>NETWORKDAYS(G79,H79)</f>
        <v>1</v>
      </c>
      <c r="L79" s="34">
        <f t="shared" ref="L79:L82" si="17">K79*8</f>
        <v>8</v>
      </c>
      <c r="M79" s="34" t="s">
        <v>140</v>
      </c>
      <c r="N79" s="34" t="s">
        <v>141</v>
      </c>
      <c r="O79" s="35">
        <f ca="1">I79*L79</f>
        <v>8</v>
      </c>
      <c r="P79" s="35">
        <f>J79*L79</f>
        <v>8</v>
      </c>
    </row>
    <row r="80" spans="1:16" x14ac:dyDescent="0.25">
      <c r="A80" s="34" t="s">
        <v>213</v>
      </c>
      <c r="B80" s="35" t="s">
        <v>214</v>
      </c>
      <c r="C80" s="35" t="s">
        <v>543</v>
      </c>
      <c r="D80" s="35" t="s">
        <v>49</v>
      </c>
      <c r="E80" s="36" t="s">
        <v>47</v>
      </c>
      <c r="F80" s="37" t="s">
        <v>10</v>
      </c>
      <c r="G80" s="38">
        <v>42104</v>
      </c>
      <c r="H80" s="38">
        <v>42109</v>
      </c>
      <c r="I80" s="39">
        <f ca="1">IF(NETWORKDAYS(G80,TODAY())/NETWORKDAYS(G80,H80,)&lt;0,0,IF(NETWORKDAYS(G80,TODAY())/NETWORKDAYS(G80,H80,)&gt;1,1,NETWORKDAYS(G80,TODAY())/NETWORKDAYS(G80,H80,)))</f>
        <v>1</v>
      </c>
      <c r="J80" s="39">
        <v>1</v>
      </c>
      <c r="K80" s="40">
        <f>NETWORKDAYS(G80,H80)</f>
        <v>4</v>
      </c>
      <c r="L80" s="34">
        <f t="shared" si="17"/>
        <v>32</v>
      </c>
      <c r="M80" s="34" t="s">
        <v>140</v>
      </c>
      <c r="N80" s="34" t="s">
        <v>141</v>
      </c>
      <c r="O80" s="35">
        <f ca="1">I80*L80</f>
        <v>32</v>
      </c>
      <c r="P80" s="35">
        <f>J80*L80</f>
        <v>32</v>
      </c>
    </row>
    <row r="81" spans="1:16" x14ac:dyDescent="0.25">
      <c r="A81" s="34" t="s">
        <v>213</v>
      </c>
      <c r="B81" s="35" t="s">
        <v>214</v>
      </c>
      <c r="C81" s="35" t="s">
        <v>543</v>
      </c>
      <c r="D81" s="35" t="s">
        <v>49</v>
      </c>
      <c r="E81" s="36" t="s">
        <v>47</v>
      </c>
      <c r="F81" s="37" t="s">
        <v>8</v>
      </c>
      <c r="G81" s="38">
        <v>42110</v>
      </c>
      <c r="H81" s="38">
        <v>42124</v>
      </c>
      <c r="I81" s="39">
        <f ca="1">IF(NETWORKDAYS(G81,TODAY())/NETWORKDAYS(G81,H81,)&lt;0,0,IF(NETWORKDAYS(G81,TODAY())/NETWORKDAYS(G81,H81,)&gt;1,1,NETWORKDAYS(G81,TODAY())/NETWORKDAYS(G81,H81,)))</f>
        <v>1</v>
      </c>
      <c r="J81" s="39">
        <v>1</v>
      </c>
      <c r="K81" s="40">
        <f>NETWORKDAYS(G81,H81)</f>
        <v>11</v>
      </c>
      <c r="L81" s="34">
        <f t="shared" si="17"/>
        <v>88</v>
      </c>
      <c r="M81" s="34" t="s">
        <v>140</v>
      </c>
      <c r="N81" s="34" t="s">
        <v>141</v>
      </c>
      <c r="O81" s="35">
        <f ca="1">I81*L81</f>
        <v>88</v>
      </c>
      <c r="P81" s="35">
        <f>J81*L81</f>
        <v>88</v>
      </c>
    </row>
    <row r="82" spans="1:16" x14ac:dyDescent="0.25">
      <c r="A82" s="34" t="s">
        <v>213</v>
      </c>
      <c r="B82" s="35" t="s">
        <v>214</v>
      </c>
      <c r="C82" s="35" t="s">
        <v>543</v>
      </c>
      <c r="D82" s="35" t="s">
        <v>49</v>
      </c>
      <c r="E82" s="36" t="s">
        <v>47</v>
      </c>
      <c r="F82" s="37" t="s">
        <v>11</v>
      </c>
      <c r="G82" s="38">
        <v>42128</v>
      </c>
      <c r="H82" s="38">
        <v>42131</v>
      </c>
      <c r="I82" s="39">
        <f ca="1">IF(NETWORKDAYS(G82,TODAY())/NETWORKDAYS(G82,H82,)&lt;0,0,IF(NETWORKDAYS(G82,TODAY())/NETWORKDAYS(G82,H82,)&gt;1,1,NETWORKDAYS(G82,TODAY())/NETWORKDAYS(G82,H82,)))</f>
        <v>1</v>
      </c>
      <c r="J82" s="39">
        <v>1</v>
      </c>
      <c r="K82" s="40">
        <f>NETWORKDAYS(G82,H82)</f>
        <v>4</v>
      </c>
      <c r="L82" s="34">
        <f t="shared" si="17"/>
        <v>32</v>
      </c>
      <c r="M82" s="34" t="s">
        <v>140</v>
      </c>
      <c r="N82" s="34" t="s">
        <v>141</v>
      </c>
      <c r="O82" s="35">
        <f ca="1">I82*L82</f>
        <v>32</v>
      </c>
      <c r="P82" s="35">
        <f>J82*L82</f>
        <v>32</v>
      </c>
    </row>
    <row r="83" spans="1:16" x14ac:dyDescent="0.25">
      <c r="A83" s="41" t="s">
        <v>213</v>
      </c>
      <c r="B83" s="42" t="s">
        <v>214</v>
      </c>
      <c r="C83" s="42" t="s">
        <v>543</v>
      </c>
      <c r="D83" s="42" t="s">
        <v>49</v>
      </c>
      <c r="E83" s="42" t="s">
        <v>39</v>
      </c>
      <c r="F83" s="42" t="s">
        <v>35</v>
      </c>
      <c r="G83" s="53">
        <v>42103</v>
      </c>
      <c r="H83" s="53">
        <f>H82</f>
        <v>42131</v>
      </c>
      <c r="I83" s="43">
        <f ca="1">SUM(O79:O82)/L83</f>
        <v>1</v>
      </c>
      <c r="J83" s="43">
        <f>SUM(P79:P82)/L83</f>
        <v>1</v>
      </c>
      <c r="K83" s="44">
        <f>SUM(K79:K82)</f>
        <v>20</v>
      </c>
      <c r="L83" s="41">
        <f>SUM(L79:L82)</f>
        <v>160</v>
      </c>
      <c r="M83" s="43" t="s">
        <v>140</v>
      </c>
      <c r="N83" s="43" t="s">
        <v>141</v>
      </c>
      <c r="O83" s="35"/>
      <c r="P83" s="35"/>
    </row>
    <row r="84" spans="1:16" ht="15" customHeight="1" x14ac:dyDescent="0.25">
      <c r="A84" s="34" t="s">
        <v>215</v>
      </c>
      <c r="B84" s="35" t="s">
        <v>216</v>
      </c>
      <c r="C84" s="35" t="s">
        <v>543</v>
      </c>
      <c r="D84" s="35" t="s">
        <v>49</v>
      </c>
      <c r="E84" s="36" t="s">
        <v>47</v>
      </c>
      <c r="F84" s="37" t="s">
        <v>9</v>
      </c>
      <c r="G84" s="38">
        <v>42065</v>
      </c>
      <c r="H84" s="38">
        <v>42066</v>
      </c>
      <c r="I84" s="39">
        <f ca="1">IF(NETWORKDAYS(G84,TODAY())/NETWORKDAYS(G84,H84,)&lt;0,0,IF(NETWORKDAYS(G84,TODAY())/NETWORKDAYS(G84,H84,)&gt;1,1,NETWORKDAYS(G84,TODAY())/NETWORKDAYS(G84,H84,)))</f>
        <v>1</v>
      </c>
      <c r="J84" s="39">
        <v>1</v>
      </c>
      <c r="K84" s="40">
        <f>NETWORKDAYS(G84,H84)</f>
        <v>2</v>
      </c>
      <c r="L84" s="34">
        <f t="shared" ref="L84:L87" si="18">K84*8</f>
        <v>16</v>
      </c>
      <c r="M84" s="34" t="s">
        <v>153</v>
      </c>
      <c r="N84" s="34" t="s">
        <v>154</v>
      </c>
      <c r="O84" s="35">
        <f ca="1">I84*L84</f>
        <v>16</v>
      </c>
      <c r="P84" s="35">
        <f>J84*L84</f>
        <v>16</v>
      </c>
    </row>
    <row r="85" spans="1:16" x14ac:dyDescent="0.25">
      <c r="A85" s="34" t="s">
        <v>215</v>
      </c>
      <c r="B85" s="35" t="s">
        <v>216</v>
      </c>
      <c r="C85" s="35" t="s">
        <v>543</v>
      </c>
      <c r="D85" s="35" t="s">
        <v>49</v>
      </c>
      <c r="E85" s="36" t="s">
        <v>47</v>
      </c>
      <c r="F85" s="37" t="s">
        <v>10</v>
      </c>
      <c r="G85" s="38">
        <v>42067</v>
      </c>
      <c r="H85" s="38">
        <v>42096</v>
      </c>
      <c r="I85" s="39">
        <f ca="1">IF(NETWORKDAYS(G85,TODAY())/NETWORKDAYS(G85,H85,)&lt;0,0,IF(NETWORKDAYS(G85,TODAY())/NETWORKDAYS(G85,H85,)&gt;1,1,NETWORKDAYS(G85,TODAY())/NETWORKDAYS(G85,H85,)))</f>
        <v>1</v>
      </c>
      <c r="J85" s="39">
        <v>1</v>
      </c>
      <c r="K85" s="40">
        <f>NETWORKDAYS(G85,H85)</f>
        <v>22</v>
      </c>
      <c r="L85" s="34">
        <f t="shared" si="18"/>
        <v>176</v>
      </c>
      <c r="M85" s="34" t="s">
        <v>153</v>
      </c>
      <c r="N85" s="34" t="s">
        <v>154</v>
      </c>
      <c r="O85" s="35">
        <f ca="1">I85*L85</f>
        <v>176</v>
      </c>
      <c r="P85" s="35">
        <f>J85*L85</f>
        <v>176</v>
      </c>
    </row>
    <row r="86" spans="1:16" x14ac:dyDescent="0.25">
      <c r="A86" s="34" t="s">
        <v>215</v>
      </c>
      <c r="B86" s="35" t="s">
        <v>216</v>
      </c>
      <c r="C86" s="35" t="s">
        <v>543</v>
      </c>
      <c r="D86" s="35" t="s">
        <v>49</v>
      </c>
      <c r="E86" s="36" t="s">
        <v>47</v>
      </c>
      <c r="F86" s="37" t="s">
        <v>8</v>
      </c>
      <c r="G86" s="52">
        <v>42097</v>
      </c>
      <c r="H86" s="52">
        <v>42097</v>
      </c>
      <c r="I86" s="39">
        <f ca="1">IF(NETWORKDAYS(G86,TODAY())/NETWORKDAYS(G86,H86,)&lt;0,0,IF(NETWORKDAYS(G86,TODAY())/NETWORKDAYS(G86,H86,)&gt;1,1,NETWORKDAYS(G86,TODAY())/NETWORKDAYS(G86,H86,)))</f>
        <v>1</v>
      </c>
      <c r="J86" s="39">
        <v>1</v>
      </c>
      <c r="K86" s="40">
        <f>NETWORKDAYS(G86,H86)</f>
        <v>1</v>
      </c>
      <c r="L86" s="34">
        <f t="shared" si="18"/>
        <v>8</v>
      </c>
      <c r="M86" s="34" t="s">
        <v>153</v>
      </c>
      <c r="N86" s="34" t="s">
        <v>154</v>
      </c>
      <c r="O86" s="35">
        <f ca="1">I86*L86</f>
        <v>8</v>
      </c>
      <c r="P86" s="35">
        <f>J86*L86</f>
        <v>8</v>
      </c>
    </row>
    <row r="87" spans="1:16" x14ac:dyDescent="0.25">
      <c r="A87" s="34" t="s">
        <v>215</v>
      </c>
      <c r="B87" s="35" t="s">
        <v>216</v>
      </c>
      <c r="C87" s="35" t="s">
        <v>543</v>
      </c>
      <c r="D87" s="35" t="s">
        <v>49</v>
      </c>
      <c r="E87" s="36" t="s">
        <v>47</v>
      </c>
      <c r="F87" s="37" t="s">
        <v>11</v>
      </c>
      <c r="G87" s="52">
        <v>42097</v>
      </c>
      <c r="H87" s="52">
        <v>42097</v>
      </c>
      <c r="I87" s="39">
        <f ca="1">IF(NETWORKDAYS(G87,TODAY())/NETWORKDAYS(G87,H87,)&lt;0,0,IF(NETWORKDAYS(G87,TODAY())/NETWORKDAYS(G87,H87,)&gt;1,1,NETWORKDAYS(G87,TODAY())/NETWORKDAYS(G87,H87,)))</f>
        <v>1</v>
      </c>
      <c r="J87" s="39">
        <v>1</v>
      </c>
      <c r="K87" s="40">
        <f>NETWORKDAYS(G87,H87)</f>
        <v>1</v>
      </c>
      <c r="L87" s="34">
        <f t="shared" si="18"/>
        <v>8</v>
      </c>
      <c r="M87" s="34" t="s">
        <v>153</v>
      </c>
      <c r="N87" s="34" t="s">
        <v>154</v>
      </c>
      <c r="O87" s="35">
        <f ca="1">I87*L87</f>
        <v>8</v>
      </c>
      <c r="P87" s="35">
        <f>J87*L87</f>
        <v>8</v>
      </c>
    </row>
    <row r="88" spans="1:16" x14ac:dyDescent="0.25">
      <c r="A88" s="41" t="s">
        <v>215</v>
      </c>
      <c r="B88" s="42" t="s">
        <v>216</v>
      </c>
      <c r="C88" s="42" t="s">
        <v>543</v>
      </c>
      <c r="D88" s="42" t="s">
        <v>49</v>
      </c>
      <c r="E88" s="42" t="s">
        <v>39</v>
      </c>
      <c r="F88" s="42" t="s">
        <v>35</v>
      </c>
      <c r="G88" s="53">
        <v>42065</v>
      </c>
      <c r="H88" s="53">
        <v>42097</v>
      </c>
      <c r="I88" s="43">
        <f ca="1">SUM(O84:O87)/L88</f>
        <v>1</v>
      </c>
      <c r="J88" s="43">
        <f>SUM(P84:P87)/L88</f>
        <v>1</v>
      </c>
      <c r="K88" s="44">
        <f>SUM(K84:K87)</f>
        <v>26</v>
      </c>
      <c r="L88" s="41">
        <f>SUM(L84:L87)</f>
        <v>208</v>
      </c>
      <c r="M88" s="43" t="s">
        <v>153</v>
      </c>
      <c r="N88" s="43" t="s">
        <v>154</v>
      </c>
      <c r="O88" s="35"/>
      <c r="P88" s="45"/>
    </row>
    <row r="89" spans="1:16" ht="15" customHeight="1" x14ac:dyDescent="0.25">
      <c r="A89" s="34" t="s">
        <v>217</v>
      </c>
      <c r="B89" s="35" t="s">
        <v>218</v>
      </c>
      <c r="C89" s="35" t="s">
        <v>543</v>
      </c>
      <c r="D89" s="35" t="s">
        <v>49</v>
      </c>
      <c r="E89" s="36" t="s">
        <v>47</v>
      </c>
      <c r="F89" s="37" t="s">
        <v>9</v>
      </c>
      <c r="G89" s="38">
        <v>42079</v>
      </c>
      <c r="H89" s="38">
        <v>42081</v>
      </c>
      <c r="I89" s="39">
        <f ca="1">IF(NETWORKDAYS(G89,TODAY())/NETWORKDAYS(G89,H89,)&lt;0,0,IF(NETWORKDAYS(G89,TODAY())/NETWORKDAYS(G89,H89,)&gt;1,1,NETWORKDAYS(G89,TODAY())/NETWORKDAYS(G89,H89,)))</f>
        <v>1</v>
      </c>
      <c r="J89" s="39">
        <v>1</v>
      </c>
      <c r="K89" s="40">
        <f>NETWORKDAYS(G89,H89)</f>
        <v>3</v>
      </c>
      <c r="L89" s="34">
        <f t="shared" ref="L89:L92" si="19">K89*8</f>
        <v>24</v>
      </c>
      <c r="M89" s="34" t="s">
        <v>153</v>
      </c>
      <c r="N89" s="34" t="s">
        <v>154</v>
      </c>
      <c r="O89" s="35">
        <f ca="1">I89*L89</f>
        <v>24</v>
      </c>
      <c r="P89" s="35">
        <f>J89*L89</f>
        <v>24</v>
      </c>
    </row>
    <row r="90" spans="1:16" x14ac:dyDescent="0.25">
      <c r="A90" s="34" t="s">
        <v>217</v>
      </c>
      <c r="B90" s="35" t="s">
        <v>218</v>
      </c>
      <c r="C90" s="35" t="s">
        <v>543</v>
      </c>
      <c r="D90" s="35" t="s">
        <v>49</v>
      </c>
      <c r="E90" s="36" t="s">
        <v>47</v>
      </c>
      <c r="F90" s="37" t="s">
        <v>10</v>
      </c>
      <c r="G90" s="38">
        <v>42082</v>
      </c>
      <c r="H90" s="38">
        <v>42088</v>
      </c>
      <c r="I90" s="39">
        <f ca="1">IF(NETWORKDAYS(G90,TODAY())/NETWORKDAYS(G90,H90,)&lt;0,0,IF(NETWORKDAYS(G90,TODAY())/NETWORKDAYS(G90,H90,)&gt;1,1,NETWORKDAYS(G90,TODAY())/NETWORKDAYS(G90,H90,)))</f>
        <v>1</v>
      </c>
      <c r="J90" s="39">
        <v>1</v>
      </c>
      <c r="K90" s="40">
        <f>NETWORKDAYS(G90,H90)</f>
        <v>5</v>
      </c>
      <c r="L90" s="34">
        <f t="shared" si="19"/>
        <v>40</v>
      </c>
      <c r="M90" s="34" t="s">
        <v>153</v>
      </c>
      <c r="N90" s="34" t="s">
        <v>154</v>
      </c>
      <c r="O90" s="35">
        <f ca="1">I90*L90</f>
        <v>40</v>
      </c>
      <c r="P90" s="35">
        <f>J90*L90</f>
        <v>40</v>
      </c>
    </row>
    <row r="91" spans="1:16" x14ac:dyDescent="0.25">
      <c r="A91" s="34" t="s">
        <v>217</v>
      </c>
      <c r="B91" s="35" t="s">
        <v>218</v>
      </c>
      <c r="C91" s="35" t="s">
        <v>543</v>
      </c>
      <c r="D91" s="35" t="s">
        <v>49</v>
      </c>
      <c r="E91" s="36" t="s">
        <v>47</v>
      </c>
      <c r="F91" s="37" t="s">
        <v>8</v>
      </c>
      <c r="G91" s="52">
        <v>42089</v>
      </c>
      <c r="H91" s="38">
        <v>42089</v>
      </c>
      <c r="I91" s="39">
        <f ca="1">IF(NETWORKDAYS(G91,TODAY())/NETWORKDAYS(G91,H91,)&lt;0,0,IF(NETWORKDAYS(G91,TODAY())/NETWORKDAYS(G91,H91,)&gt;1,1,NETWORKDAYS(G91,TODAY())/NETWORKDAYS(G91,H91,)))</f>
        <v>1</v>
      </c>
      <c r="J91" s="39">
        <v>1</v>
      </c>
      <c r="K91" s="40">
        <f>NETWORKDAYS(G91,H91)</f>
        <v>1</v>
      </c>
      <c r="L91" s="34">
        <f t="shared" si="19"/>
        <v>8</v>
      </c>
      <c r="M91" s="34" t="s">
        <v>153</v>
      </c>
      <c r="N91" s="34" t="s">
        <v>154</v>
      </c>
      <c r="O91" s="35">
        <f ca="1">I91*L91</f>
        <v>8</v>
      </c>
      <c r="P91" s="35">
        <f>J91*L91</f>
        <v>8</v>
      </c>
    </row>
    <row r="92" spans="1:16" x14ac:dyDescent="0.25">
      <c r="A92" s="34" t="s">
        <v>217</v>
      </c>
      <c r="B92" s="35" t="s">
        <v>218</v>
      </c>
      <c r="C92" s="35" t="s">
        <v>543</v>
      </c>
      <c r="D92" s="35" t="s">
        <v>49</v>
      </c>
      <c r="E92" s="36" t="s">
        <v>47</v>
      </c>
      <c r="F92" s="37" t="s">
        <v>11</v>
      </c>
      <c r="G92" s="38">
        <v>42090</v>
      </c>
      <c r="H92" s="38">
        <v>42090</v>
      </c>
      <c r="I92" s="39">
        <f ca="1">IF(NETWORKDAYS(G92,TODAY())/NETWORKDAYS(G92,H92,)&lt;0,0,IF(NETWORKDAYS(G92,TODAY())/NETWORKDAYS(G92,H92,)&gt;1,1,NETWORKDAYS(G92,TODAY())/NETWORKDAYS(G92,H92,)))</f>
        <v>1</v>
      </c>
      <c r="J92" s="39">
        <v>1</v>
      </c>
      <c r="K92" s="40">
        <f>NETWORKDAYS(G92,H92)</f>
        <v>1</v>
      </c>
      <c r="L92" s="34">
        <f t="shared" si="19"/>
        <v>8</v>
      </c>
      <c r="M92" s="34" t="s">
        <v>153</v>
      </c>
      <c r="N92" s="34" t="s">
        <v>154</v>
      </c>
      <c r="O92" s="35">
        <f ca="1">I92*L92</f>
        <v>8</v>
      </c>
      <c r="P92" s="35">
        <f>J92*L92</f>
        <v>8</v>
      </c>
    </row>
    <row r="93" spans="1:16" x14ac:dyDescent="0.25">
      <c r="A93" s="41" t="s">
        <v>217</v>
      </c>
      <c r="B93" s="42" t="s">
        <v>218</v>
      </c>
      <c r="C93" s="42" t="s">
        <v>543</v>
      </c>
      <c r="D93" s="42" t="s">
        <v>49</v>
      </c>
      <c r="E93" s="42" t="s">
        <v>39</v>
      </c>
      <c r="F93" s="48" t="s">
        <v>35</v>
      </c>
      <c r="G93" s="53">
        <v>42079</v>
      </c>
      <c r="H93" s="53">
        <v>42090</v>
      </c>
      <c r="I93" s="43">
        <f ca="1">SUM(O89:O92)/L93</f>
        <v>1</v>
      </c>
      <c r="J93" s="43">
        <f>SUM(P89:P92)/L93</f>
        <v>1</v>
      </c>
      <c r="K93" s="44">
        <f>SUM(K89:K92)</f>
        <v>10</v>
      </c>
      <c r="L93" s="41">
        <f>SUM(L89:L92)</f>
        <v>80</v>
      </c>
      <c r="M93" s="43" t="s">
        <v>153</v>
      </c>
      <c r="N93" s="43" t="s">
        <v>154</v>
      </c>
      <c r="O93" s="83"/>
      <c r="P93" s="35"/>
    </row>
    <row r="94" spans="1:16" ht="15" customHeight="1" x14ac:dyDescent="0.25">
      <c r="A94" s="34" t="s">
        <v>108</v>
      </c>
      <c r="B94" s="35" t="s">
        <v>45</v>
      </c>
      <c r="C94" s="35" t="s">
        <v>543</v>
      </c>
      <c r="D94" s="35" t="s">
        <v>49</v>
      </c>
      <c r="E94" s="36" t="s">
        <v>47</v>
      </c>
      <c r="F94" s="37" t="s">
        <v>9</v>
      </c>
      <c r="G94" s="38">
        <v>42065</v>
      </c>
      <c r="H94" s="38">
        <v>42066</v>
      </c>
      <c r="I94" s="39">
        <f ca="1">IF(NETWORKDAYS(G94,TODAY())/NETWORKDAYS(G94,H94,)&lt;0,0,IF(NETWORKDAYS(G94,TODAY())/NETWORKDAYS(G94,H94,)&gt;1,1,NETWORKDAYS(G94,TODAY())/NETWORKDAYS(G94,H94,)))</f>
        <v>1</v>
      </c>
      <c r="J94" s="39">
        <v>1</v>
      </c>
      <c r="K94" s="40">
        <f>NETWORKDAYS(G94,H94)</f>
        <v>2</v>
      </c>
      <c r="L94" s="34">
        <f t="shared" ref="L94:L97" si="20">K94*8</f>
        <v>16</v>
      </c>
      <c r="M94" s="34" t="s">
        <v>132</v>
      </c>
      <c r="N94" s="34" t="s">
        <v>133</v>
      </c>
      <c r="O94" s="35">
        <f ca="1">I94*L94</f>
        <v>16</v>
      </c>
      <c r="P94" s="35">
        <f>J94*L94</f>
        <v>16</v>
      </c>
    </row>
    <row r="95" spans="1:16" x14ac:dyDescent="0.25">
      <c r="A95" s="34" t="s">
        <v>108</v>
      </c>
      <c r="B95" s="35" t="s">
        <v>45</v>
      </c>
      <c r="C95" s="35" t="s">
        <v>543</v>
      </c>
      <c r="D95" s="35" t="s">
        <v>49</v>
      </c>
      <c r="E95" s="36" t="s">
        <v>47</v>
      </c>
      <c r="F95" s="37" t="s">
        <v>10</v>
      </c>
      <c r="G95" s="52">
        <v>42067</v>
      </c>
      <c r="H95" s="52">
        <v>42124</v>
      </c>
      <c r="I95" s="39">
        <f ca="1">IF(NETWORKDAYS(G95,TODAY())/NETWORKDAYS(G95,H95,)&lt;0,0,IF(NETWORKDAYS(G95,TODAY())/NETWORKDAYS(G95,H95,)&gt;1,1,NETWORKDAYS(G95,TODAY())/NETWORKDAYS(G95,H95,)))</f>
        <v>1</v>
      </c>
      <c r="J95" s="39">
        <v>1</v>
      </c>
      <c r="K95" s="40">
        <f>NETWORKDAYS(G95,H95)</f>
        <v>42</v>
      </c>
      <c r="L95" s="34">
        <f t="shared" si="20"/>
        <v>336</v>
      </c>
      <c r="M95" s="34" t="s">
        <v>132</v>
      </c>
      <c r="N95" s="34" t="s">
        <v>133</v>
      </c>
      <c r="O95" s="35">
        <f ca="1">I95*L95</f>
        <v>336</v>
      </c>
      <c r="P95" s="35">
        <f>J95*L95</f>
        <v>336</v>
      </c>
    </row>
    <row r="96" spans="1:16" x14ac:dyDescent="0.25">
      <c r="A96" s="34" t="s">
        <v>108</v>
      </c>
      <c r="B96" s="35" t="s">
        <v>45</v>
      </c>
      <c r="C96" s="35" t="s">
        <v>543</v>
      </c>
      <c r="D96" s="35" t="s">
        <v>49</v>
      </c>
      <c r="E96" s="36" t="s">
        <v>47</v>
      </c>
      <c r="F96" s="37" t="s">
        <v>8</v>
      </c>
      <c r="G96" s="52">
        <v>42128</v>
      </c>
      <c r="H96" s="52">
        <v>42129</v>
      </c>
      <c r="I96" s="39">
        <v>1</v>
      </c>
      <c r="J96" s="39">
        <v>1</v>
      </c>
      <c r="K96" s="40">
        <f>NETWORKDAYS(G96,H96)</f>
        <v>2</v>
      </c>
      <c r="L96" s="34">
        <f t="shared" si="20"/>
        <v>16</v>
      </c>
      <c r="M96" s="34" t="s">
        <v>132</v>
      </c>
      <c r="N96" s="34" t="s">
        <v>133</v>
      </c>
      <c r="O96" s="35">
        <f>I96*L96</f>
        <v>16</v>
      </c>
      <c r="P96" s="35">
        <f>J96*L96</f>
        <v>16</v>
      </c>
    </row>
    <row r="97" spans="1:16" x14ac:dyDescent="0.25">
      <c r="A97" s="34" t="s">
        <v>108</v>
      </c>
      <c r="B97" s="35" t="s">
        <v>45</v>
      </c>
      <c r="C97" s="35" t="s">
        <v>543</v>
      </c>
      <c r="D97" s="35" t="s">
        <v>49</v>
      </c>
      <c r="E97" s="36" t="s">
        <v>47</v>
      </c>
      <c r="F97" s="37" t="s">
        <v>11</v>
      </c>
      <c r="G97" s="52">
        <v>42130</v>
      </c>
      <c r="H97" s="52">
        <v>42145</v>
      </c>
      <c r="I97" s="39">
        <f ca="1">IF(NETWORKDAYS(G97,TODAY())/NETWORKDAYS(G97,H97,)&lt;0,0,IF(NETWORKDAYS(G97,TODAY())/NETWORKDAYS(G97,H97,)&gt;1,1,NETWORKDAYS(G97,TODAY())/NETWORKDAYS(G97,H97,)))</f>
        <v>1</v>
      </c>
      <c r="J97" s="39">
        <v>0.5</v>
      </c>
      <c r="K97" s="40">
        <f>NETWORKDAYS(G97,H97)</f>
        <v>12</v>
      </c>
      <c r="L97" s="34">
        <f t="shared" si="20"/>
        <v>96</v>
      </c>
      <c r="M97" s="34" t="s">
        <v>132</v>
      </c>
      <c r="N97" s="34" t="s">
        <v>133</v>
      </c>
      <c r="O97" s="35">
        <f ca="1">I97*L97</f>
        <v>96</v>
      </c>
      <c r="P97" s="35">
        <f>J97*L97</f>
        <v>48</v>
      </c>
    </row>
    <row r="98" spans="1:16" x14ac:dyDescent="0.25">
      <c r="A98" s="41" t="s">
        <v>108</v>
      </c>
      <c r="B98" s="42" t="s">
        <v>45</v>
      </c>
      <c r="C98" s="42" t="s">
        <v>544</v>
      </c>
      <c r="D98" s="42" t="s">
        <v>49</v>
      </c>
      <c r="E98" s="42" t="s">
        <v>47</v>
      </c>
      <c r="F98" s="42" t="s">
        <v>35</v>
      </c>
      <c r="G98" s="53">
        <f>G94</f>
        <v>42065</v>
      </c>
      <c r="H98" s="53">
        <f>H97</f>
        <v>42145</v>
      </c>
      <c r="I98" s="43">
        <f ca="1">I97</f>
        <v>1</v>
      </c>
      <c r="J98" s="43">
        <f>SUM(P94:P97)/L98</f>
        <v>0.89655172413793105</v>
      </c>
      <c r="K98" s="44">
        <f>SUM(K94:K97)</f>
        <v>58</v>
      </c>
      <c r="L98" s="44">
        <f>SUM(L94:L97)</f>
        <v>464</v>
      </c>
      <c r="M98" s="41" t="s">
        <v>132</v>
      </c>
      <c r="N98" s="41" t="s">
        <v>133</v>
      </c>
      <c r="O98" s="35"/>
      <c r="P98" s="35"/>
    </row>
    <row r="99" spans="1:16" ht="15" customHeight="1" x14ac:dyDescent="0.25">
      <c r="A99" s="34" t="s">
        <v>219</v>
      </c>
      <c r="B99" s="35" t="s">
        <v>220</v>
      </c>
      <c r="C99" s="35" t="s">
        <v>543</v>
      </c>
      <c r="D99" s="35" t="s">
        <v>49</v>
      </c>
      <c r="E99" s="36" t="s">
        <v>47</v>
      </c>
      <c r="F99" s="37" t="s">
        <v>9</v>
      </c>
      <c r="G99" s="38">
        <v>42093</v>
      </c>
      <c r="H99" s="38">
        <v>42093</v>
      </c>
      <c r="I99" s="39">
        <f ca="1">IF(NETWORKDAYS(G99,TODAY())/NETWORKDAYS(G99,H99,)&lt;0,0,IF(NETWORKDAYS(G99,TODAY())/NETWORKDAYS(G99,H99,)&gt;1,1,NETWORKDAYS(G99,TODAY())/NETWORKDAYS(G99,H99,)))</f>
        <v>1</v>
      </c>
      <c r="J99" s="39">
        <v>1</v>
      </c>
      <c r="K99" s="40">
        <f>NETWORKDAYS(G99,H99)</f>
        <v>1</v>
      </c>
      <c r="L99" s="34">
        <f t="shared" ref="L99:L102" si="21">K99*8</f>
        <v>8</v>
      </c>
      <c r="M99" s="34" t="s">
        <v>132</v>
      </c>
      <c r="N99" s="34" t="s">
        <v>133</v>
      </c>
      <c r="O99" s="35">
        <f ca="1">I99*L99</f>
        <v>8</v>
      </c>
      <c r="P99" s="35">
        <f>J99*L99</f>
        <v>8</v>
      </c>
    </row>
    <row r="100" spans="1:16" x14ac:dyDescent="0.25">
      <c r="A100" s="34" t="s">
        <v>219</v>
      </c>
      <c r="B100" s="35" t="s">
        <v>220</v>
      </c>
      <c r="C100" s="35" t="s">
        <v>543</v>
      </c>
      <c r="D100" s="35" t="s">
        <v>49</v>
      </c>
      <c r="E100" s="36" t="s">
        <v>47</v>
      </c>
      <c r="F100" s="37" t="s">
        <v>10</v>
      </c>
      <c r="G100" s="52">
        <v>42094</v>
      </c>
      <c r="H100" s="52">
        <v>42095</v>
      </c>
      <c r="I100" s="39">
        <f ca="1">IF(NETWORKDAYS(G100,TODAY())/NETWORKDAYS(G100,H100,)&lt;0,0,IF(NETWORKDAYS(G100,TODAY())/NETWORKDAYS(G100,H100,)&gt;1,1,NETWORKDAYS(G100,TODAY())/NETWORKDAYS(G100,H100,)))</f>
        <v>1</v>
      </c>
      <c r="J100" s="39">
        <v>1</v>
      </c>
      <c r="K100" s="40">
        <f>NETWORKDAYS(G100,H100)</f>
        <v>2</v>
      </c>
      <c r="L100" s="34">
        <f t="shared" si="21"/>
        <v>16</v>
      </c>
      <c r="M100" s="34" t="s">
        <v>132</v>
      </c>
      <c r="N100" s="34" t="s">
        <v>133</v>
      </c>
      <c r="O100" s="35">
        <f ca="1">I100*L100</f>
        <v>16</v>
      </c>
      <c r="P100" s="35">
        <f>J100*L100</f>
        <v>16</v>
      </c>
    </row>
    <row r="101" spans="1:16" x14ac:dyDescent="0.25">
      <c r="A101" s="34" t="s">
        <v>219</v>
      </c>
      <c r="B101" s="35" t="s">
        <v>220</v>
      </c>
      <c r="C101" s="35" t="s">
        <v>543</v>
      </c>
      <c r="D101" s="35" t="s">
        <v>49</v>
      </c>
      <c r="E101" s="36" t="s">
        <v>47</v>
      </c>
      <c r="F101" s="37" t="s">
        <v>8</v>
      </c>
      <c r="G101" s="52">
        <v>42096</v>
      </c>
      <c r="H101" s="52">
        <v>42096</v>
      </c>
      <c r="I101" s="39">
        <f ca="1">IF(NETWORKDAYS(G101,TODAY())/NETWORKDAYS(G101,H101,)&lt;0,0,IF(NETWORKDAYS(G101,TODAY())/NETWORKDAYS(G101,H101,)&gt;1,1,NETWORKDAYS(G101,TODAY())/NETWORKDAYS(G101,H101,)))</f>
        <v>1</v>
      </c>
      <c r="J101" s="39">
        <v>1</v>
      </c>
      <c r="K101" s="40">
        <f>NETWORKDAYS(G101,H101)</f>
        <v>1</v>
      </c>
      <c r="L101" s="34">
        <f t="shared" si="21"/>
        <v>8</v>
      </c>
      <c r="M101" s="34" t="s">
        <v>132</v>
      </c>
      <c r="N101" s="34" t="s">
        <v>133</v>
      </c>
      <c r="O101" s="35">
        <f ca="1">I101*L101</f>
        <v>8</v>
      </c>
      <c r="P101" s="35">
        <f>J101*L101</f>
        <v>8</v>
      </c>
    </row>
    <row r="102" spans="1:16" x14ac:dyDescent="0.25">
      <c r="A102" s="34" t="s">
        <v>219</v>
      </c>
      <c r="B102" s="35" t="s">
        <v>220</v>
      </c>
      <c r="C102" s="35" t="s">
        <v>543</v>
      </c>
      <c r="D102" s="35" t="s">
        <v>49</v>
      </c>
      <c r="E102" s="36" t="s">
        <v>47</v>
      </c>
      <c r="F102" s="37" t="s">
        <v>11</v>
      </c>
      <c r="G102" s="52">
        <v>42096</v>
      </c>
      <c r="H102" s="84">
        <v>42096</v>
      </c>
      <c r="I102" s="39">
        <f ca="1">IF(NETWORKDAYS(G102,TODAY())/NETWORKDAYS(G102,H102,)&lt;0,0,IF(NETWORKDAYS(G102,TODAY())/NETWORKDAYS(G102,H102,)&gt;1,1,NETWORKDAYS(G102,TODAY())/NETWORKDAYS(G102,H102,)))</f>
        <v>1</v>
      </c>
      <c r="J102" s="39">
        <v>1</v>
      </c>
      <c r="K102" s="40">
        <f>NETWORKDAYS(G102,H102)</f>
        <v>1</v>
      </c>
      <c r="L102" s="34">
        <f t="shared" si="21"/>
        <v>8</v>
      </c>
      <c r="M102" s="34" t="s">
        <v>132</v>
      </c>
      <c r="N102" s="34" t="s">
        <v>133</v>
      </c>
      <c r="O102" s="35">
        <f ca="1">I102*L102</f>
        <v>8</v>
      </c>
      <c r="P102" s="35">
        <f>J102*L102</f>
        <v>8</v>
      </c>
    </row>
    <row r="103" spans="1:16" x14ac:dyDescent="0.25">
      <c r="A103" s="41" t="s">
        <v>219</v>
      </c>
      <c r="B103" s="42" t="s">
        <v>220</v>
      </c>
      <c r="C103" s="42" t="s">
        <v>543</v>
      </c>
      <c r="D103" s="42" t="s">
        <v>49</v>
      </c>
      <c r="E103" s="42" t="s">
        <v>47</v>
      </c>
      <c r="F103" s="42" t="s">
        <v>35</v>
      </c>
      <c r="G103" s="53">
        <v>42093</v>
      </c>
      <c r="H103" s="53">
        <v>42096</v>
      </c>
      <c r="I103" s="43">
        <f ca="1">SUM(O99:O102)/L103</f>
        <v>1</v>
      </c>
      <c r="J103" s="43">
        <f>SUM(P99:P102)/L103</f>
        <v>1</v>
      </c>
      <c r="K103" s="44">
        <f>SUM(K99:K102)</f>
        <v>5</v>
      </c>
      <c r="L103" s="41">
        <f>SUM(L99:L102)</f>
        <v>40</v>
      </c>
      <c r="M103" s="43" t="s">
        <v>132</v>
      </c>
      <c r="N103" s="43" t="s">
        <v>133</v>
      </c>
      <c r="O103" s="35"/>
      <c r="P103" s="35"/>
    </row>
    <row r="104" spans="1:16" x14ac:dyDescent="0.25">
      <c r="A104" s="34" t="s">
        <v>221</v>
      </c>
      <c r="B104" s="35" t="s">
        <v>222</v>
      </c>
      <c r="C104" s="35" t="s">
        <v>543</v>
      </c>
      <c r="D104" s="35" t="s">
        <v>49</v>
      </c>
      <c r="E104" s="36" t="s">
        <v>47</v>
      </c>
      <c r="F104" s="37" t="s">
        <v>9</v>
      </c>
      <c r="G104" s="38">
        <v>42093</v>
      </c>
      <c r="H104" s="38">
        <v>42093</v>
      </c>
      <c r="I104" s="39">
        <f ca="1">IF(NETWORKDAYS(G104,TODAY())/NETWORKDAYS(G104,H104,)&lt;0,0,IF(NETWORKDAYS(G104,TODAY())/NETWORKDAYS(G104,H104,)&gt;1,1,NETWORKDAYS(G104,TODAY())/NETWORKDAYS(G104,H104,)))</f>
        <v>1</v>
      </c>
      <c r="J104" s="39">
        <v>1</v>
      </c>
      <c r="K104" s="40">
        <f>NETWORKDAYS(G104,H104)</f>
        <v>1</v>
      </c>
      <c r="L104" s="34">
        <f t="shared" ref="L104:L107" si="22">K104*8</f>
        <v>8</v>
      </c>
      <c r="M104" s="34" t="s">
        <v>132</v>
      </c>
      <c r="N104" s="34" t="s">
        <v>133</v>
      </c>
      <c r="O104" s="35">
        <f ca="1">I104*L104</f>
        <v>8</v>
      </c>
      <c r="P104" s="35">
        <f>J104*L104</f>
        <v>8</v>
      </c>
    </row>
    <row r="105" spans="1:16" x14ac:dyDescent="0.25">
      <c r="A105" s="34" t="s">
        <v>221</v>
      </c>
      <c r="B105" s="35" t="s">
        <v>222</v>
      </c>
      <c r="C105" s="35" t="s">
        <v>543</v>
      </c>
      <c r="D105" s="35" t="s">
        <v>49</v>
      </c>
      <c r="E105" s="36" t="s">
        <v>47</v>
      </c>
      <c r="F105" s="37" t="s">
        <v>10</v>
      </c>
      <c r="G105" s="52">
        <v>42094</v>
      </c>
      <c r="H105" s="52">
        <v>42094</v>
      </c>
      <c r="I105" s="39">
        <f ca="1">IF(NETWORKDAYS(G105,TODAY())/NETWORKDAYS(G105,H105,)&lt;0,0,IF(NETWORKDAYS(G105,TODAY())/NETWORKDAYS(G105,H105,)&gt;1,1,NETWORKDAYS(G105,TODAY())/NETWORKDAYS(G105,H105,)))</f>
        <v>1</v>
      </c>
      <c r="J105" s="39">
        <v>1</v>
      </c>
      <c r="K105" s="40">
        <f>NETWORKDAYS(G105,H105)</f>
        <v>1</v>
      </c>
      <c r="L105" s="34">
        <f t="shared" si="22"/>
        <v>8</v>
      </c>
      <c r="M105" s="34" t="s">
        <v>132</v>
      </c>
      <c r="N105" s="34" t="s">
        <v>133</v>
      </c>
      <c r="O105" s="35">
        <f ca="1">I105*L105</f>
        <v>8</v>
      </c>
      <c r="P105" s="35">
        <f>J105*L105</f>
        <v>8</v>
      </c>
    </row>
    <row r="106" spans="1:16" x14ac:dyDescent="0.25">
      <c r="A106" s="34" t="s">
        <v>221</v>
      </c>
      <c r="B106" s="35" t="s">
        <v>222</v>
      </c>
      <c r="C106" s="35" t="s">
        <v>543</v>
      </c>
      <c r="D106" s="35" t="s">
        <v>49</v>
      </c>
      <c r="E106" s="36" t="s">
        <v>47</v>
      </c>
      <c r="F106" s="37" t="s">
        <v>8</v>
      </c>
      <c r="G106" s="52">
        <v>42095</v>
      </c>
      <c r="H106" s="52">
        <v>42095</v>
      </c>
      <c r="I106" s="39">
        <f ca="1">IF(NETWORKDAYS(G106,TODAY())/NETWORKDAYS(G106,H106,)&lt;0,0,IF(NETWORKDAYS(G106,TODAY())/NETWORKDAYS(G106,H106,)&gt;1,1,NETWORKDAYS(G106,TODAY())/NETWORKDAYS(G106,H106,)))</f>
        <v>1</v>
      </c>
      <c r="J106" s="39">
        <v>1</v>
      </c>
      <c r="K106" s="40">
        <f>NETWORKDAYS(G106,H106)</f>
        <v>1</v>
      </c>
      <c r="L106" s="34">
        <f t="shared" si="22"/>
        <v>8</v>
      </c>
      <c r="M106" s="34" t="s">
        <v>132</v>
      </c>
      <c r="N106" s="34" t="s">
        <v>133</v>
      </c>
      <c r="O106" s="35">
        <f ca="1">I106*L106</f>
        <v>8</v>
      </c>
      <c r="P106" s="35">
        <f>J106*L106</f>
        <v>8</v>
      </c>
    </row>
    <row r="107" spans="1:16" x14ac:dyDescent="0.25">
      <c r="A107" s="34" t="s">
        <v>221</v>
      </c>
      <c r="B107" s="35" t="s">
        <v>222</v>
      </c>
      <c r="C107" s="35" t="s">
        <v>543</v>
      </c>
      <c r="D107" s="35" t="s">
        <v>49</v>
      </c>
      <c r="E107" s="36" t="s">
        <v>47</v>
      </c>
      <c r="F107" s="37" t="s">
        <v>11</v>
      </c>
      <c r="G107" s="52">
        <v>42095</v>
      </c>
      <c r="H107" s="52">
        <v>42095</v>
      </c>
      <c r="I107" s="39">
        <f ca="1">IF(NETWORKDAYS(G107,TODAY())/NETWORKDAYS(G107,H107,)&lt;0,0,IF(NETWORKDAYS(G107,TODAY())/NETWORKDAYS(G107,H107,)&gt;1,1,NETWORKDAYS(G107,TODAY())/NETWORKDAYS(G107,H107,)))</f>
        <v>1</v>
      </c>
      <c r="J107" s="39">
        <v>1</v>
      </c>
      <c r="K107" s="40">
        <f>NETWORKDAYS(G107,H107)</f>
        <v>1</v>
      </c>
      <c r="L107" s="34">
        <f t="shared" si="22"/>
        <v>8</v>
      </c>
      <c r="M107" s="34" t="s">
        <v>132</v>
      </c>
      <c r="N107" s="34" t="s">
        <v>133</v>
      </c>
      <c r="O107" s="35">
        <f ca="1">I107*L107</f>
        <v>8</v>
      </c>
      <c r="P107" s="35">
        <f>J107*L107</f>
        <v>8</v>
      </c>
    </row>
    <row r="108" spans="1:16" x14ac:dyDescent="0.25">
      <c r="A108" s="41" t="s">
        <v>221</v>
      </c>
      <c r="B108" s="42" t="s">
        <v>222</v>
      </c>
      <c r="C108" s="42" t="s">
        <v>543</v>
      </c>
      <c r="D108" s="42" t="s">
        <v>49</v>
      </c>
      <c r="E108" s="42" t="s">
        <v>47</v>
      </c>
      <c r="F108" s="42" t="s">
        <v>35</v>
      </c>
      <c r="G108" s="53">
        <v>42093</v>
      </c>
      <c r="H108" s="53">
        <v>42095</v>
      </c>
      <c r="I108" s="43">
        <f ca="1">SUM(O104:O107)/L108</f>
        <v>1</v>
      </c>
      <c r="J108" s="43">
        <f>SUM(P104:P107)/L108</f>
        <v>1</v>
      </c>
      <c r="K108" s="44">
        <f>SUM(K104:K107)</f>
        <v>4</v>
      </c>
      <c r="L108" s="41">
        <f>SUM(L104:L107)</f>
        <v>32</v>
      </c>
      <c r="M108" s="43" t="s">
        <v>132</v>
      </c>
      <c r="N108" s="43" t="s">
        <v>133</v>
      </c>
      <c r="O108" s="35"/>
      <c r="P108" s="35"/>
    </row>
    <row r="109" spans="1:16" x14ac:dyDescent="0.25">
      <c r="A109" s="34" t="s">
        <v>223</v>
      </c>
      <c r="B109" s="35" t="s">
        <v>224</v>
      </c>
      <c r="C109" s="35" t="s">
        <v>543</v>
      </c>
      <c r="D109" s="35" t="s">
        <v>49</v>
      </c>
      <c r="E109" s="36" t="s">
        <v>47</v>
      </c>
      <c r="F109" s="37" t="s">
        <v>9</v>
      </c>
      <c r="G109" s="38">
        <v>42089</v>
      </c>
      <c r="H109" s="38">
        <v>42089</v>
      </c>
      <c r="I109" s="39">
        <f ca="1">IF(NETWORKDAYS(G109,TODAY())/NETWORKDAYS(G109,H109,)&lt;0,0,IF(NETWORKDAYS(G109,TODAY())/NETWORKDAYS(G109,H109,)&gt;1,1,NETWORKDAYS(G109,TODAY())/NETWORKDAYS(G109,H109,)))</f>
        <v>1</v>
      </c>
      <c r="J109" s="39">
        <v>1</v>
      </c>
      <c r="K109" s="40">
        <f>NETWORKDAYS(G109,H109)</f>
        <v>1</v>
      </c>
      <c r="L109" s="34">
        <f t="shared" ref="L109:L112" si="23">K109*8</f>
        <v>8</v>
      </c>
      <c r="M109" s="34" t="s">
        <v>155</v>
      </c>
      <c r="N109" s="34" t="s">
        <v>156</v>
      </c>
      <c r="O109" s="35">
        <f ca="1">I109*L109</f>
        <v>8</v>
      </c>
      <c r="P109" s="35">
        <f>J109*L109</f>
        <v>8</v>
      </c>
    </row>
    <row r="110" spans="1:16" x14ac:dyDescent="0.25">
      <c r="A110" s="34" t="s">
        <v>223</v>
      </c>
      <c r="B110" s="35" t="s">
        <v>224</v>
      </c>
      <c r="C110" s="35" t="s">
        <v>543</v>
      </c>
      <c r="D110" s="35" t="s">
        <v>49</v>
      </c>
      <c r="E110" s="36" t="s">
        <v>47</v>
      </c>
      <c r="F110" s="37" t="s">
        <v>10</v>
      </c>
      <c r="G110" s="38">
        <v>42090</v>
      </c>
      <c r="H110" s="38">
        <v>42093</v>
      </c>
      <c r="I110" s="39">
        <f ca="1">IF(NETWORKDAYS(G110,TODAY())/NETWORKDAYS(G110,H110,)&lt;0,0,IF(NETWORKDAYS(G110,TODAY())/NETWORKDAYS(G110,H110,)&gt;1,1,NETWORKDAYS(G110,TODAY())/NETWORKDAYS(G110,H110,)))</f>
        <v>1</v>
      </c>
      <c r="J110" s="39">
        <v>1</v>
      </c>
      <c r="K110" s="40">
        <f>NETWORKDAYS(G110,H110)</f>
        <v>2</v>
      </c>
      <c r="L110" s="34">
        <f t="shared" si="23"/>
        <v>16</v>
      </c>
      <c r="M110" s="34" t="s">
        <v>155</v>
      </c>
      <c r="N110" s="34" t="s">
        <v>156</v>
      </c>
      <c r="O110" s="35">
        <f ca="1">I110*L110</f>
        <v>16</v>
      </c>
      <c r="P110" s="35">
        <f>J110*L110</f>
        <v>16</v>
      </c>
    </row>
    <row r="111" spans="1:16" x14ac:dyDescent="0.25">
      <c r="A111" s="34" t="s">
        <v>223</v>
      </c>
      <c r="B111" s="35" t="s">
        <v>224</v>
      </c>
      <c r="C111" s="35" t="s">
        <v>543</v>
      </c>
      <c r="D111" s="35" t="s">
        <v>49</v>
      </c>
      <c r="E111" s="36" t="s">
        <v>47</v>
      </c>
      <c r="F111" s="37" t="s">
        <v>8</v>
      </c>
      <c r="G111" s="38">
        <v>42094</v>
      </c>
      <c r="H111" s="38">
        <v>42094</v>
      </c>
      <c r="I111" s="39">
        <f ca="1">IF(NETWORKDAYS(G111,TODAY())/NETWORKDAYS(G111,H111,)&lt;0,0,IF(NETWORKDAYS(G111,TODAY())/NETWORKDAYS(G111,H111,)&gt;1,1,NETWORKDAYS(G111,TODAY())/NETWORKDAYS(G111,H111,)))</f>
        <v>1</v>
      </c>
      <c r="J111" s="39">
        <v>1</v>
      </c>
      <c r="K111" s="40">
        <f>NETWORKDAYS(G111,H111)</f>
        <v>1</v>
      </c>
      <c r="L111" s="34">
        <f t="shared" si="23"/>
        <v>8</v>
      </c>
      <c r="M111" s="34" t="s">
        <v>155</v>
      </c>
      <c r="N111" s="34" t="s">
        <v>156</v>
      </c>
      <c r="O111" s="35">
        <f ca="1">I111*L111</f>
        <v>8</v>
      </c>
      <c r="P111" s="35">
        <f>J111*L111</f>
        <v>8</v>
      </c>
    </row>
    <row r="112" spans="1:16" x14ac:dyDescent="0.25">
      <c r="A112" s="34" t="s">
        <v>223</v>
      </c>
      <c r="B112" s="35" t="s">
        <v>224</v>
      </c>
      <c r="C112" s="35" t="s">
        <v>543</v>
      </c>
      <c r="D112" s="35" t="s">
        <v>49</v>
      </c>
      <c r="E112" s="36" t="s">
        <v>47</v>
      </c>
      <c r="F112" s="37" t="s">
        <v>11</v>
      </c>
      <c r="G112" s="38">
        <v>42095</v>
      </c>
      <c r="H112" s="38">
        <v>42095</v>
      </c>
      <c r="I112" s="39">
        <f ca="1">IF(NETWORKDAYS(G112,TODAY())/NETWORKDAYS(G112,H112,)&lt;0,0,IF(NETWORKDAYS(G112,TODAY())/NETWORKDAYS(G112,H112,)&gt;1,1,NETWORKDAYS(G112,TODAY())/NETWORKDAYS(G112,H112,)))</f>
        <v>1</v>
      </c>
      <c r="J112" s="39">
        <v>1</v>
      </c>
      <c r="K112" s="40">
        <f>NETWORKDAYS(G112,H112)</f>
        <v>1</v>
      </c>
      <c r="L112" s="34">
        <f t="shared" si="23"/>
        <v>8</v>
      </c>
      <c r="M112" s="34" t="s">
        <v>155</v>
      </c>
      <c r="N112" s="34" t="s">
        <v>156</v>
      </c>
      <c r="O112" s="35">
        <f ca="1">I112*L112</f>
        <v>8</v>
      </c>
      <c r="P112" s="35">
        <f>J112*L112</f>
        <v>8</v>
      </c>
    </row>
    <row r="113" spans="1:16" x14ac:dyDescent="0.25">
      <c r="A113" s="41" t="s">
        <v>223</v>
      </c>
      <c r="B113" s="42" t="s">
        <v>224</v>
      </c>
      <c r="C113" s="42" t="s">
        <v>543</v>
      </c>
      <c r="D113" s="42" t="s">
        <v>49</v>
      </c>
      <c r="E113" s="42" t="s">
        <v>47</v>
      </c>
      <c r="F113" s="42" t="s">
        <v>35</v>
      </c>
      <c r="G113" s="53">
        <v>42089</v>
      </c>
      <c r="H113" s="53">
        <v>42095</v>
      </c>
      <c r="I113" s="43">
        <f ca="1">SUM(O109:O112)/L113</f>
        <v>1</v>
      </c>
      <c r="J113" s="43">
        <f>SUM(P109:P112)/L113</f>
        <v>1</v>
      </c>
      <c r="K113" s="44">
        <f>SUM(K109:K112)</f>
        <v>5</v>
      </c>
      <c r="L113" s="41">
        <f>SUM(L109:L112)</f>
        <v>40</v>
      </c>
      <c r="M113" s="43" t="s">
        <v>155</v>
      </c>
      <c r="N113" s="43" t="s">
        <v>156</v>
      </c>
      <c r="O113" s="35"/>
      <c r="P113" s="35"/>
    </row>
    <row r="114" spans="1:16" x14ac:dyDescent="0.25">
      <c r="A114" s="34" t="s">
        <v>225</v>
      </c>
      <c r="B114" s="35" t="s">
        <v>226</v>
      </c>
      <c r="C114" s="35" t="s">
        <v>543</v>
      </c>
      <c r="D114" s="35" t="s">
        <v>41</v>
      </c>
      <c r="E114" s="36" t="s">
        <v>47</v>
      </c>
      <c r="F114" s="37" t="s">
        <v>9</v>
      </c>
      <c r="G114" s="38">
        <v>42094</v>
      </c>
      <c r="H114" s="38">
        <v>42095</v>
      </c>
      <c r="I114" s="39">
        <f ca="1">IF(NETWORKDAYS(G114,TODAY())/NETWORKDAYS(G114,H114,)&lt;0,0,IF(NETWORKDAYS(G114,TODAY())/NETWORKDAYS(G114,H114,)&gt;1,1,NETWORKDAYS(G114,TODAY())/NETWORKDAYS(G114,H114,)))</f>
        <v>1</v>
      </c>
      <c r="J114" s="39">
        <v>1</v>
      </c>
      <c r="K114" s="40">
        <f>NETWORKDAYS(G114,H114)</f>
        <v>2</v>
      </c>
      <c r="L114" s="34">
        <f t="shared" ref="L114:L117" si="24">K114*8</f>
        <v>16</v>
      </c>
      <c r="M114" s="34" t="s">
        <v>127</v>
      </c>
      <c r="N114" s="34" t="s">
        <v>152</v>
      </c>
      <c r="O114" s="35">
        <f ca="1">I114*L114</f>
        <v>16</v>
      </c>
      <c r="P114" s="35">
        <f>J114*L114</f>
        <v>16</v>
      </c>
    </row>
    <row r="115" spans="1:16" x14ac:dyDescent="0.25">
      <c r="A115" s="34" t="s">
        <v>225</v>
      </c>
      <c r="B115" s="35" t="s">
        <v>226</v>
      </c>
      <c r="C115" s="35" t="s">
        <v>543</v>
      </c>
      <c r="D115" s="35" t="s">
        <v>41</v>
      </c>
      <c r="E115" s="36" t="s">
        <v>47</v>
      </c>
      <c r="F115" s="37" t="s">
        <v>10</v>
      </c>
      <c r="G115" s="52">
        <v>42096</v>
      </c>
      <c r="H115" s="52">
        <v>42102</v>
      </c>
      <c r="I115" s="39">
        <f ca="1">IF(NETWORKDAYS(G115,TODAY())/NETWORKDAYS(G115,H115,)&lt;0,0,IF(NETWORKDAYS(G115,TODAY())/NETWORKDAYS(G115,H115,)&gt;1,1,NETWORKDAYS(G115,TODAY())/NETWORKDAYS(G115,H115,)))</f>
        <v>1</v>
      </c>
      <c r="J115" s="39">
        <v>1</v>
      </c>
      <c r="K115" s="40">
        <f>NETWORKDAYS(G115,H115)</f>
        <v>5</v>
      </c>
      <c r="L115" s="34">
        <f t="shared" si="24"/>
        <v>40</v>
      </c>
      <c r="M115" s="34" t="s">
        <v>127</v>
      </c>
      <c r="N115" s="34" t="s">
        <v>152</v>
      </c>
      <c r="O115" s="35">
        <f ca="1">I115*L115</f>
        <v>40</v>
      </c>
      <c r="P115" s="35">
        <f>J115*L115</f>
        <v>40</v>
      </c>
    </row>
    <row r="116" spans="1:16" x14ac:dyDescent="0.25">
      <c r="A116" s="34" t="s">
        <v>225</v>
      </c>
      <c r="B116" s="35" t="s">
        <v>226</v>
      </c>
      <c r="C116" s="35" t="s">
        <v>543</v>
      </c>
      <c r="D116" s="35" t="s">
        <v>41</v>
      </c>
      <c r="E116" s="36" t="s">
        <v>47</v>
      </c>
      <c r="F116" s="37" t="s">
        <v>8</v>
      </c>
      <c r="G116" s="52">
        <v>42103</v>
      </c>
      <c r="H116" s="52" t="s">
        <v>13</v>
      </c>
      <c r="I116" s="39"/>
      <c r="J116" s="39">
        <v>0</v>
      </c>
      <c r="K116" s="40"/>
      <c r="L116" s="34">
        <f t="shared" si="24"/>
        <v>0</v>
      </c>
      <c r="M116" s="34" t="s">
        <v>127</v>
      </c>
      <c r="N116" s="34" t="s">
        <v>152</v>
      </c>
      <c r="O116" s="35">
        <f>I116*L116</f>
        <v>0</v>
      </c>
      <c r="P116" s="35">
        <f>J116*L116</f>
        <v>0</v>
      </c>
    </row>
    <row r="117" spans="1:16" x14ac:dyDescent="0.25">
      <c r="A117" s="34" t="s">
        <v>225</v>
      </c>
      <c r="B117" s="35" t="s">
        <v>226</v>
      </c>
      <c r="C117" s="35" t="s">
        <v>543</v>
      </c>
      <c r="D117" s="35" t="s">
        <v>41</v>
      </c>
      <c r="E117" s="36" t="s">
        <v>47</v>
      </c>
      <c r="F117" s="37" t="s">
        <v>11</v>
      </c>
      <c r="G117" s="52">
        <v>42104</v>
      </c>
      <c r="H117" s="52" t="s">
        <v>13</v>
      </c>
      <c r="I117" s="39"/>
      <c r="J117" s="39">
        <v>0</v>
      </c>
      <c r="K117" s="40"/>
      <c r="L117" s="34">
        <f t="shared" si="24"/>
        <v>0</v>
      </c>
      <c r="M117" s="34" t="s">
        <v>127</v>
      </c>
      <c r="N117" s="34" t="s">
        <v>152</v>
      </c>
      <c r="O117" s="35">
        <f>I117*L117</f>
        <v>0</v>
      </c>
      <c r="P117" s="35">
        <f>J117*L117</f>
        <v>0</v>
      </c>
    </row>
    <row r="118" spans="1:16" x14ac:dyDescent="0.25">
      <c r="A118" s="41" t="s">
        <v>225</v>
      </c>
      <c r="B118" s="42" t="s">
        <v>226</v>
      </c>
      <c r="C118" s="42" t="s">
        <v>543</v>
      </c>
      <c r="D118" s="42" t="s">
        <v>41</v>
      </c>
      <c r="E118" s="42" t="s">
        <v>47</v>
      </c>
      <c r="F118" s="42" t="s">
        <v>35</v>
      </c>
      <c r="G118" s="53">
        <v>42094</v>
      </c>
      <c r="H118" s="53"/>
      <c r="I118" s="43">
        <f ca="1">SUM(O114:O117)/L118</f>
        <v>1</v>
      </c>
      <c r="J118" s="43">
        <f>SUM(P114:P117)/L118</f>
        <v>1</v>
      </c>
      <c r="K118" s="44">
        <f>SUM(K114:K117)</f>
        <v>7</v>
      </c>
      <c r="L118" s="41">
        <f>SUM(L114:L117)</f>
        <v>56</v>
      </c>
      <c r="M118" s="43" t="s">
        <v>127</v>
      </c>
      <c r="N118" s="43" t="s">
        <v>152</v>
      </c>
      <c r="O118" s="35"/>
      <c r="P118" s="35"/>
    </row>
    <row r="119" spans="1:16" x14ac:dyDescent="0.25">
      <c r="A119" s="34" t="s">
        <v>227</v>
      </c>
      <c r="B119" s="35" t="s">
        <v>228</v>
      </c>
      <c r="C119" s="35" t="s">
        <v>543</v>
      </c>
      <c r="D119" s="35" t="s">
        <v>41</v>
      </c>
      <c r="E119" s="36" t="s">
        <v>47</v>
      </c>
      <c r="F119" s="37" t="s">
        <v>7</v>
      </c>
      <c r="G119" s="38">
        <v>42094</v>
      </c>
      <c r="H119" s="38">
        <v>42095</v>
      </c>
      <c r="I119" s="39">
        <f ca="1">IF(NETWORKDAYS(G119,TODAY())/NETWORKDAYS(G119,H119,)&lt;0,0,IF(NETWORKDAYS(G119,TODAY())/NETWORKDAYS(G119,H119,)&gt;1,1,NETWORKDAYS(G119,TODAY())/NETWORKDAYS(G119,H119,)))</f>
        <v>1</v>
      </c>
      <c r="J119" s="39">
        <v>1</v>
      </c>
      <c r="K119" s="40">
        <f>NETWORKDAYS(G119,H119)</f>
        <v>2</v>
      </c>
      <c r="L119" s="34">
        <f t="shared" ref="L119:L122" si="25">K119*8</f>
        <v>16</v>
      </c>
      <c r="M119" s="34" t="s">
        <v>136</v>
      </c>
      <c r="N119" s="34" t="s">
        <v>137</v>
      </c>
      <c r="O119" s="35">
        <f ca="1">I119*L119</f>
        <v>16</v>
      </c>
      <c r="P119" s="35">
        <f>J119*L119</f>
        <v>16</v>
      </c>
    </row>
    <row r="120" spans="1:16" x14ac:dyDescent="0.25">
      <c r="A120" s="34" t="s">
        <v>227</v>
      </c>
      <c r="B120" s="35" t="s">
        <v>228</v>
      </c>
      <c r="C120" s="35" t="s">
        <v>543</v>
      </c>
      <c r="D120" s="35" t="s">
        <v>41</v>
      </c>
      <c r="E120" s="36" t="s">
        <v>47</v>
      </c>
      <c r="F120" s="37" t="s">
        <v>10</v>
      </c>
      <c r="G120" s="52">
        <v>42096</v>
      </c>
      <c r="H120" s="52">
        <v>42104</v>
      </c>
      <c r="I120" s="39">
        <f ca="1">IF(NETWORKDAYS(G120,TODAY())/NETWORKDAYS(G120,H120,)&lt;0,0,IF(NETWORKDAYS(G120,TODAY())/NETWORKDAYS(G120,H120,)&gt;1,1,NETWORKDAYS(G120,TODAY())/NETWORKDAYS(G120,H120,)))</f>
        <v>1</v>
      </c>
      <c r="J120" s="39">
        <v>1</v>
      </c>
      <c r="K120" s="40">
        <f>NETWORKDAYS(G120,H120)</f>
        <v>7</v>
      </c>
      <c r="L120" s="34">
        <f t="shared" si="25"/>
        <v>56</v>
      </c>
      <c r="M120" s="34" t="s">
        <v>136</v>
      </c>
      <c r="N120" s="34" t="s">
        <v>137</v>
      </c>
      <c r="O120" s="35">
        <f ca="1">I120*L120</f>
        <v>56</v>
      </c>
      <c r="P120" s="35">
        <f>J120*L120</f>
        <v>56</v>
      </c>
    </row>
    <row r="121" spans="1:16" x14ac:dyDescent="0.25">
      <c r="A121" s="34" t="s">
        <v>227</v>
      </c>
      <c r="B121" s="35" t="s">
        <v>228</v>
      </c>
      <c r="C121" s="35" t="s">
        <v>543</v>
      </c>
      <c r="D121" s="35" t="s">
        <v>41</v>
      </c>
      <c r="E121" s="36" t="s">
        <v>47</v>
      </c>
      <c r="F121" s="37" t="s">
        <v>8</v>
      </c>
      <c r="G121" s="52">
        <v>42107</v>
      </c>
      <c r="H121" s="52">
        <v>42107</v>
      </c>
      <c r="I121" s="39">
        <f ca="1">IF(NETWORKDAYS(G121,TODAY())/NETWORKDAYS(G121,H121,)&lt;0,0,IF(NETWORKDAYS(G121,TODAY())/NETWORKDAYS(G121,H121,)&gt;1,1,NETWORKDAYS(G121,TODAY())/NETWORKDAYS(G121,H121,)))</f>
        <v>1</v>
      </c>
      <c r="J121" s="39">
        <v>1</v>
      </c>
      <c r="K121" s="40">
        <f>NETWORKDAYS(G121,H121)</f>
        <v>1</v>
      </c>
      <c r="L121" s="34">
        <f t="shared" si="25"/>
        <v>8</v>
      </c>
      <c r="M121" s="34" t="s">
        <v>136</v>
      </c>
      <c r="N121" s="34" t="s">
        <v>137</v>
      </c>
      <c r="O121" s="35">
        <f ca="1">I121*L121</f>
        <v>8</v>
      </c>
      <c r="P121" s="35">
        <f>J121*L121</f>
        <v>8</v>
      </c>
    </row>
    <row r="122" spans="1:16" x14ac:dyDescent="0.25">
      <c r="A122" s="34" t="s">
        <v>227</v>
      </c>
      <c r="B122" s="35" t="s">
        <v>228</v>
      </c>
      <c r="C122" s="35" t="s">
        <v>543</v>
      </c>
      <c r="D122" s="35" t="s">
        <v>41</v>
      </c>
      <c r="E122" s="36" t="s">
        <v>47</v>
      </c>
      <c r="F122" s="37" t="s">
        <v>11</v>
      </c>
      <c r="G122" s="52">
        <v>42108</v>
      </c>
      <c r="H122" s="52">
        <v>42108</v>
      </c>
      <c r="I122" s="39">
        <v>1</v>
      </c>
      <c r="J122" s="39">
        <v>1</v>
      </c>
      <c r="K122" s="40">
        <f>NETWORKDAYS(G122,H122)</f>
        <v>1</v>
      </c>
      <c r="L122" s="34">
        <f t="shared" si="25"/>
        <v>8</v>
      </c>
      <c r="M122" s="34" t="s">
        <v>136</v>
      </c>
      <c r="N122" s="34" t="s">
        <v>137</v>
      </c>
      <c r="O122" s="35">
        <f>I122*L122</f>
        <v>8</v>
      </c>
      <c r="P122" s="35">
        <f>J122*L122</f>
        <v>8</v>
      </c>
    </row>
    <row r="123" spans="1:16" x14ac:dyDescent="0.25">
      <c r="A123" s="41" t="s">
        <v>227</v>
      </c>
      <c r="B123" s="42" t="s">
        <v>228</v>
      </c>
      <c r="C123" s="42" t="s">
        <v>543</v>
      </c>
      <c r="D123" s="42" t="s">
        <v>41</v>
      </c>
      <c r="E123" s="42" t="s">
        <v>47</v>
      </c>
      <c r="F123" s="42" t="s">
        <v>35</v>
      </c>
      <c r="G123" s="53">
        <v>42094</v>
      </c>
      <c r="H123" s="53">
        <v>42104</v>
      </c>
      <c r="I123" s="43">
        <v>1</v>
      </c>
      <c r="J123" s="43">
        <v>1</v>
      </c>
      <c r="K123" s="44">
        <f>SUM(K119:K121)</f>
        <v>10</v>
      </c>
      <c r="L123" s="41">
        <f>SUM(L119:L121)</f>
        <v>80</v>
      </c>
      <c r="M123" s="43" t="s">
        <v>136</v>
      </c>
      <c r="N123" s="43" t="s">
        <v>137</v>
      </c>
      <c r="O123" s="35"/>
      <c r="P123" s="35"/>
    </row>
    <row r="124" spans="1:16" ht="15" customHeight="1" x14ac:dyDescent="0.25">
      <c r="A124" s="34" t="s">
        <v>229</v>
      </c>
      <c r="B124" s="35" t="s">
        <v>230</v>
      </c>
      <c r="C124" s="35" t="s">
        <v>543</v>
      </c>
      <c r="D124" s="35" t="s">
        <v>41</v>
      </c>
      <c r="E124" s="36" t="s">
        <v>47</v>
      </c>
      <c r="F124" s="37" t="s">
        <v>9</v>
      </c>
      <c r="G124" s="38">
        <v>42102</v>
      </c>
      <c r="H124" s="38">
        <v>42103</v>
      </c>
      <c r="I124" s="39">
        <f ca="1">IF(NETWORKDAYS(G124,TODAY())/NETWORKDAYS(G124,H124,)&lt;0,0,IF(NETWORKDAYS(G124,TODAY())/NETWORKDAYS(G124,H124,)&gt;1,1,NETWORKDAYS(G124,TODAY())/NETWORKDAYS(G124,H124,)))</f>
        <v>1</v>
      </c>
      <c r="J124" s="39">
        <v>1</v>
      </c>
      <c r="K124" s="40">
        <f>NETWORKDAYS(G124,H124)</f>
        <v>2</v>
      </c>
      <c r="L124" s="34">
        <f t="shared" ref="L124:L127" si="26">K124*8</f>
        <v>16</v>
      </c>
      <c r="M124" s="34" t="s">
        <v>136</v>
      </c>
      <c r="N124" s="34" t="s">
        <v>137</v>
      </c>
      <c r="O124" s="35">
        <f ca="1">I124*L124</f>
        <v>16</v>
      </c>
      <c r="P124" s="35">
        <f>J124*L124</f>
        <v>16</v>
      </c>
    </row>
    <row r="125" spans="1:16" x14ac:dyDescent="0.25">
      <c r="A125" s="34" t="s">
        <v>229</v>
      </c>
      <c r="B125" s="35" t="s">
        <v>230</v>
      </c>
      <c r="C125" s="35" t="s">
        <v>543</v>
      </c>
      <c r="D125" s="35" t="s">
        <v>41</v>
      </c>
      <c r="E125" s="36" t="s">
        <v>47</v>
      </c>
      <c r="F125" s="37" t="s">
        <v>10</v>
      </c>
      <c r="G125" s="38">
        <v>42104</v>
      </c>
      <c r="H125" s="38">
        <v>42112</v>
      </c>
      <c r="I125" s="39">
        <f ca="1">IF(NETWORKDAYS(G125,TODAY())/NETWORKDAYS(G125,H125,)&lt;0,0,IF(NETWORKDAYS(G125,TODAY())/NETWORKDAYS(G125,H125,)&gt;1,1,NETWORKDAYS(G125,TODAY())/NETWORKDAYS(G125,H125,)))</f>
        <v>1</v>
      </c>
      <c r="J125" s="39">
        <v>1</v>
      </c>
      <c r="K125" s="40">
        <f>NETWORKDAYS(G125,H125)</f>
        <v>6</v>
      </c>
      <c r="L125" s="34">
        <f t="shared" si="26"/>
        <v>48</v>
      </c>
      <c r="M125" s="34" t="s">
        <v>136</v>
      </c>
      <c r="N125" s="34" t="s">
        <v>137</v>
      </c>
      <c r="O125" s="35">
        <f ca="1">I125*L125</f>
        <v>48</v>
      </c>
      <c r="P125" s="35">
        <f>J125*L125</f>
        <v>48</v>
      </c>
    </row>
    <row r="126" spans="1:16" x14ac:dyDescent="0.25">
      <c r="A126" s="34" t="s">
        <v>229</v>
      </c>
      <c r="B126" s="35" t="s">
        <v>230</v>
      </c>
      <c r="C126" s="35" t="s">
        <v>543</v>
      </c>
      <c r="D126" s="35" t="s">
        <v>41</v>
      </c>
      <c r="E126" s="36" t="s">
        <v>47</v>
      </c>
      <c r="F126" s="37" t="s">
        <v>8</v>
      </c>
      <c r="G126" s="38">
        <v>42114</v>
      </c>
      <c r="H126" s="38">
        <v>42116</v>
      </c>
      <c r="I126" s="39">
        <f ca="1">IF(NETWORKDAYS(G126,TODAY())/NETWORKDAYS(G126,H126,)&lt;0,0,IF(NETWORKDAYS(G126,TODAY())/NETWORKDAYS(G126,H126,)&gt;1,1,NETWORKDAYS(G126,TODAY())/NETWORKDAYS(G126,H126,)))</f>
        <v>1</v>
      </c>
      <c r="J126" s="39">
        <v>1</v>
      </c>
      <c r="K126" s="40">
        <f>NETWORKDAYS(G126,H126)</f>
        <v>3</v>
      </c>
      <c r="L126" s="34">
        <f t="shared" si="26"/>
        <v>24</v>
      </c>
      <c r="M126" s="34" t="s">
        <v>136</v>
      </c>
      <c r="N126" s="34" t="s">
        <v>137</v>
      </c>
      <c r="O126" s="35">
        <f ca="1">I126*L126</f>
        <v>24</v>
      </c>
      <c r="P126" s="35">
        <f>J126*L126</f>
        <v>24</v>
      </c>
    </row>
    <row r="127" spans="1:16" x14ac:dyDescent="0.25">
      <c r="A127" s="34" t="s">
        <v>229</v>
      </c>
      <c r="B127" s="35" t="s">
        <v>230</v>
      </c>
      <c r="C127" s="35" t="s">
        <v>543</v>
      </c>
      <c r="D127" s="35" t="s">
        <v>41</v>
      </c>
      <c r="E127" s="36" t="s">
        <v>47</v>
      </c>
      <c r="F127" s="37" t="s">
        <v>11</v>
      </c>
      <c r="G127" s="38">
        <v>42117</v>
      </c>
      <c r="H127" s="38">
        <v>42121</v>
      </c>
      <c r="I127" s="39">
        <f ca="1">IF(NETWORKDAYS(G127,TODAY())/NETWORKDAYS(G127,H127,)&lt;0,0,IF(NETWORKDAYS(G127,TODAY())/NETWORKDAYS(G127,H127,)&gt;1,1,NETWORKDAYS(G127,TODAY())/NETWORKDAYS(G127,H127,)))</f>
        <v>1</v>
      </c>
      <c r="J127" s="39">
        <v>1</v>
      </c>
      <c r="K127" s="40">
        <f>NETWORKDAYS(G127,H127)</f>
        <v>3</v>
      </c>
      <c r="L127" s="34">
        <f t="shared" si="26"/>
        <v>24</v>
      </c>
      <c r="M127" s="34" t="s">
        <v>136</v>
      </c>
      <c r="N127" s="34" t="s">
        <v>137</v>
      </c>
      <c r="O127" s="35">
        <f ca="1">I127*L127</f>
        <v>24</v>
      </c>
      <c r="P127" s="35">
        <f>J127*L127</f>
        <v>24</v>
      </c>
    </row>
    <row r="128" spans="1:16" x14ac:dyDescent="0.25">
      <c r="A128" s="41" t="s">
        <v>229</v>
      </c>
      <c r="B128" s="42" t="s">
        <v>230</v>
      </c>
      <c r="C128" s="42" t="s">
        <v>543</v>
      </c>
      <c r="D128" s="42" t="s">
        <v>41</v>
      </c>
      <c r="E128" s="42" t="s">
        <v>47</v>
      </c>
      <c r="F128" s="42" t="s">
        <v>35</v>
      </c>
      <c r="G128" s="53">
        <v>42102</v>
      </c>
      <c r="H128" s="53">
        <v>42121</v>
      </c>
      <c r="I128" s="43">
        <f ca="1">SUM(O124:O127)/L128</f>
        <v>1</v>
      </c>
      <c r="J128" s="43">
        <f>SUM(P124:P127)/L128</f>
        <v>1</v>
      </c>
      <c r="K128" s="44">
        <f>SUM(K124:K127)</f>
        <v>14</v>
      </c>
      <c r="L128" s="41">
        <f>SUM(L124:L127)</f>
        <v>112</v>
      </c>
      <c r="M128" s="43" t="s">
        <v>136</v>
      </c>
      <c r="N128" s="43" t="s">
        <v>137</v>
      </c>
      <c r="O128" s="35"/>
      <c r="P128" s="35"/>
    </row>
    <row r="129" spans="1:16" ht="15" customHeight="1" x14ac:dyDescent="0.25">
      <c r="A129" s="34" t="s">
        <v>231</v>
      </c>
      <c r="B129" s="35" t="s">
        <v>232</v>
      </c>
      <c r="C129" s="35" t="s">
        <v>543</v>
      </c>
      <c r="D129" s="35" t="s">
        <v>40</v>
      </c>
      <c r="E129" s="36" t="s">
        <v>47</v>
      </c>
      <c r="F129" s="37" t="s">
        <v>9</v>
      </c>
      <c r="G129" s="38">
        <v>42094</v>
      </c>
      <c r="H129" s="38">
        <v>42095</v>
      </c>
      <c r="I129" s="39">
        <f ca="1">IF(NETWORKDAYS(G129,TODAY())/NETWORKDAYS(G129,H129,)&lt;0,0,IF(NETWORKDAYS(G129,TODAY())/NETWORKDAYS(G129,H129,)&gt;1,1,NETWORKDAYS(G129,TODAY())/NETWORKDAYS(G129,H129,)))</f>
        <v>1</v>
      </c>
      <c r="J129" s="39">
        <v>1</v>
      </c>
      <c r="K129" s="40">
        <f>NETWORKDAYS(G129,H129)</f>
        <v>2</v>
      </c>
      <c r="L129" s="34">
        <f t="shared" ref="L129:L132" si="27">K129*8</f>
        <v>16</v>
      </c>
      <c r="M129" s="34" t="s">
        <v>140</v>
      </c>
      <c r="N129" s="34" t="s">
        <v>141</v>
      </c>
      <c r="O129" s="35">
        <f ca="1">I129*L129</f>
        <v>16</v>
      </c>
      <c r="P129" s="35">
        <f>J129*L129</f>
        <v>16</v>
      </c>
    </row>
    <row r="130" spans="1:16" x14ac:dyDescent="0.25">
      <c r="A130" s="34" t="s">
        <v>231</v>
      </c>
      <c r="B130" s="35" t="s">
        <v>232</v>
      </c>
      <c r="C130" s="35" t="s">
        <v>543</v>
      </c>
      <c r="D130" s="35" t="s">
        <v>40</v>
      </c>
      <c r="E130" s="36" t="s">
        <v>47</v>
      </c>
      <c r="F130" s="37" t="s">
        <v>10</v>
      </c>
      <c r="G130" s="52">
        <v>42098</v>
      </c>
      <c r="H130" s="52">
        <v>42100</v>
      </c>
      <c r="I130" s="39">
        <f ca="1">IF(NETWORKDAYS(G130,TODAY())/NETWORKDAYS(G130,H130,)&lt;0,0,IF(NETWORKDAYS(G130,TODAY())/NETWORKDAYS(G130,H130,)&gt;1,1,NETWORKDAYS(G130,TODAY())/NETWORKDAYS(G130,H130,)))</f>
        <v>1</v>
      </c>
      <c r="J130" s="39">
        <v>1</v>
      </c>
      <c r="K130" s="40">
        <f>NETWORKDAYS(G130,H130)</f>
        <v>1</v>
      </c>
      <c r="L130" s="34">
        <f t="shared" si="27"/>
        <v>8</v>
      </c>
      <c r="M130" s="34" t="s">
        <v>140</v>
      </c>
      <c r="N130" s="34" t="s">
        <v>141</v>
      </c>
      <c r="O130" s="35">
        <f ca="1">I130*L130</f>
        <v>8</v>
      </c>
      <c r="P130" s="35">
        <f>J130*L130</f>
        <v>8</v>
      </c>
    </row>
    <row r="131" spans="1:16" x14ac:dyDescent="0.25">
      <c r="A131" s="34" t="s">
        <v>231</v>
      </c>
      <c r="B131" s="35" t="s">
        <v>232</v>
      </c>
      <c r="C131" s="35" t="s">
        <v>543</v>
      </c>
      <c r="D131" s="35" t="s">
        <v>40</v>
      </c>
      <c r="E131" s="36" t="s">
        <v>47</v>
      </c>
      <c r="F131" s="37" t="s">
        <v>8</v>
      </c>
      <c r="G131" s="52">
        <v>42101</v>
      </c>
      <c r="H131" s="52">
        <v>42102</v>
      </c>
      <c r="I131" s="39">
        <f ca="1">IF(NETWORKDAYS(G131,TODAY())/NETWORKDAYS(G131,H131,)&lt;0,0,IF(NETWORKDAYS(G131,TODAY())/NETWORKDAYS(G131,H131,)&gt;1,1,NETWORKDAYS(G131,TODAY())/NETWORKDAYS(G131,H131,)))</f>
        <v>1</v>
      </c>
      <c r="J131" s="39">
        <v>1</v>
      </c>
      <c r="K131" s="40">
        <f>NETWORKDAYS(G131,H131)</f>
        <v>2</v>
      </c>
      <c r="L131" s="34">
        <f t="shared" si="27"/>
        <v>16</v>
      </c>
      <c r="M131" s="34" t="s">
        <v>140</v>
      </c>
      <c r="N131" s="34" t="s">
        <v>141</v>
      </c>
      <c r="O131" s="35">
        <f ca="1">I131*L131</f>
        <v>16</v>
      </c>
      <c r="P131" s="35">
        <f>J131*L131</f>
        <v>16</v>
      </c>
    </row>
    <row r="132" spans="1:16" x14ac:dyDescent="0.25">
      <c r="A132" s="34" t="s">
        <v>231</v>
      </c>
      <c r="B132" s="35" t="s">
        <v>232</v>
      </c>
      <c r="C132" s="35" t="s">
        <v>543</v>
      </c>
      <c r="D132" s="35" t="s">
        <v>40</v>
      </c>
      <c r="E132" s="36" t="s">
        <v>47</v>
      </c>
      <c r="F132" s="37" t="s">
        <v>11</v>
      </c>
      <c r="G132" s="52">
        <v>42103</v>
      </c>
      <c r="H132" s="52">
        <v>42104</v>
      </c>
      <c r="I132" s="39">
        <f ca="1">IF(NETWORKDAYS(G132,TODAY())/NETWORKDAYS(G132,H132,)&lt;0,0,IF(NETWORKDAYS(G132,TODAY())/NETWORKDAYS(G132,H132,)&gt;1,1,NETWORKDAYS(G132,TODAY())/NETWORKDAYS(G132,H132,)))</f>
        <v>1</v>
      </c>
      <c r="J132" s="39">
        <v>1</v>
      </c>
      <c r="K132" s="40">
        <f>NETWORKDAYS(G132,H132)</f>
        <v>2</v>
      </c>
      <c r="L132" s="34">
        <f t="shared" si="27"/>
        <v>16</v>
      </c>
      <c r="M132" s="34" t="s">
        <v>140</v>
      </c>
      <c r="N132" s="34" t="s">
        <v>141</v>
      </c>
      <c r="O132" s="35">
        <f ca="1">I132*L132</f>
        <v>16</v>
      </c>
      <c r="P132" s="35">
        <f>J132*L132</f>
        <v>16</v>
      </c>
    </row>
    <row r="133" spans="1:16" x14ac:dyDescent="0.25">
      <c r="A133" s="41" t="s">
        <v>231</v>
      </c>
      <c r="B133" s="42" t="s">
        <v>232</v>
      </c>
      <c r="C133" s="42" t="s">
        <v>543</v>
      </c>
      <c r="D133" s="42" t="s">
        <v>40</v>
      </c>
      <c r="E133" s="42" t="s">
        <v>47</v>
      </c>
      <c r="F133" s="42" t="s">
        <v>35</v>
      </c>
      <c r="G133" s="53">
        <v>42094</v>
      </c>
      <c r="H133" s="53">
        <v>42101</v>
      </c>
      <c r="I133" s="43">
        <f ca="1">SUM(O129:O132)/L133</f>
        <v>1</v>
      </c>
      <c r="J133" s="43">
        <f>SUM(P129:P132)/L133</f>
        <v>1</v>
      </c>
      <c r="K133" s="44">
        <f>SUM(K129:K132)</f>
        <v>7</v>
      </c>
      <c r="L133" s="41">
        <f>SUM(L129:L132)</f>
        <v>56</v>
      </c>
      <c r="M133" s="43" t="s">
        <v>140</v>
      </c>
      <c r="N133" s="43" t="s">
        <v>141</v>
      </c>
      <c r="O133" s="35"/>
      <c r="P133" s="35"/>
    </row>
    <row r="134" spans="1:16" ht="15" customHeight="1" x14ac:dyDescent="0.25">
      <c r="A134" s="34" t="s">
        <v>233</v>
      </c>
      <c r="B134" s="60" t="s">
        <v>234</v>
      </c>
      <c r="C134" s="60" t="s">
        <v>543</v>
      </c>
      <c r="D134" s="35" t="s">
        <v>49</v>
      </c>
      <c r="E134" s="36" t="s">
        <v>47</v>
      </c>
      <c r="F134" s="37" t="s">
        <v>9</v>
      </c>
      <c r="G134" s="38">
        <v>42094</v>
      </c>
      <c r="H134" s="38">
        <v>42094</v>
      </c>
      <c r="I134" s="39">
        <f ca="1">IF(NETWORKDAYS(G134,TODAY())/NETWORKDAYS(G134,H134,)&lt;0,0,IF(NETWORKDAYS(G134,TODAY())/NETWORKDAYS(G134,H134,)&gt;1,1,NETWORKDAYS(G134,TODAY())/NETWORKDAYS(G134,H134,)))</f>
        <v>1</v>
      </c>
      <c r="J134" s="39">
        <v>1</v>
      </c>
      <c r="K134" s="40">
        <f>NETWORKDAYS(G134,H134)</f>
        <v>1</v>
      </c>
      <c r="L134" s="34">
        <f t="shared" ref="L134:L135" si="28">K134*8</f>
        <v>8</v>
      </c>
      <c r="M134" s="34" t="s">
        <v>155</v>
      </c>
      <c r="N134" s="34" t="s">
        <v>156</v>
      </c>
      <c r="O134" s="35">
        <f ca="1">I134*L134</f>
        <v>8</v>
      </c>
      <c r="P134" s="35">
        <f>J134*L134</f>
        <v>8</v>
      </c>
    </row>
    <row r="135" spans="1:16" ht="15.75" customHeight="1" x14ac:dyDescent="0.25">
      <c r="A135" s="34" t="s">
        <v>233</v>
      </c>
      <c r="B135" s="60" t="s">
        <v>234</v>
      </c>
      <c r="C135" s="60" t="s">
        <v>543</v>
      </c>
      <c r="D135" s="35" t="s">
        <v>49</v>
      </c>
      <c r="E135" s="36" t="s">
        <v>47</v>
      </c>
      <c r="F135" s="37" t="s">
        <v>10</v>
      </c>
      <c r="G135" s="52">
        <v>42094</v>
      </c>
      <c r="H135" s="52">
        <v>42094</v>
      </c>
      <c r="I135" s="39">
        <f ca="1">IF(NETWORKDAYS(G135,TODAY())/NETWORKDAYS(G135,H135,)&lt;0,0,IF(NETWORKDAYS(G135,TODAY())/NETWORKDAYS(G135,H135,)&gt;1,1,NETWORKDAYS(G135,TODAY())/NETWORKDAYS(G135,H135,)))</f>
        <v>1</v>
      </c>
      <c r="J135" s="39">
        <v>1</v>
      </c>
      <c r="K135" s="40">
        <f>NETWORKDAYS(G135,H135)</f>
        <v>1</v>
      </c>
      <c r="L135" s="34">
        <f t="shared" si="28"/>
        <v>8</v>
      </c>
      <c r="M135" s="34" t="s">
        <v>155</v>
      </c>
      <c r="N135" s="34" t="s">
        <v>156</v>
      </c>
      <c r="O135" s="35">
        <f ca="1">I135*L135</f>
        <v>8</v>
      </c>
      <c r="P135" s="35">
        <f>J135*L135</f>
        <v>8</v>
      </c>
    </row>
    <row r="136" spans="1:16" ht="15.75" customHeight="1" x14ac:dyDescent="0.25">
      <c r="A136" s="41" t="s">
        <v>233</v>
      </c>
      <c r="B136" s="61" t="s">
        <v>234</v>
      </c>
      <c r="C136" s="61" t="s">
        <v>543</v>
      </c>
      <c r="D136" s="42" t="s">
        <v>49</v>
      </c>
      <c r="E136" s="42" t="s">
        <v>47</v>
      </c>
      <c r="F136" s="48" t="s">
        <v>35</v>
      </c>
      <c r="G136" s="53">
        <f>G134</f>
        <v>42094</v>
      </c>
      <c r="H136" s="53">
        <v>42094</v>
      </c>
      <c r="I136" s="43">
        <f ca="1">SUM(O134:O135)/L136</f>
        <v>1</v>
      </c>
      <c r="J136" s="43">
        <f>SUM(P134:P135)/L136</f>
        <v>1</v>
      </c>
      <c r="K136" s="44">
        <f>NETWORKDAYS(G136,H136)</f>
        <v>1</v>
      </c>
      <c r="L136" s="41">
        <f>SUM(L134:L135)</f>
        <v>16</v>
      </c>
      <c r="M136" s="41" t="s">
        <v>155</v>
      </c>
      <c r="N136" s="41" t="s">
        <v>156</v>
      </c>
      <c r="O136" s="35"/>
      <c r="P136" s="35"/>
    </row>
    <row r="137" spans="1:16" x14ac:dyDescent="0.25">
      <c r="A137" s="34" t="s">
        <v>235</v>
      </c>
      <c r="B137" s="35" t="s">
        <v>236</v>
      </c>
      <c r="C137" s="35" t="s">
        <v>543</v>
      </c>
      <c r="D137" s="35" t="s">
        <v>49</v>
      </c>
      <c r="E137" s="36" t="s">
        <v>47</v>
      </c>
      <c r="F137" s="37" t="s">
        <v>9</v>
      </c>
      <c r="G137" s="38">
        <v>42117</v>
      </c>
      <c r="H137" s="38">
        <v>42118</v>
      </c>
      <c r="I137" s="39">
        <f ca="1">IF(NETWORKDAYS(G137,TODAY())/NETWORKDAYS(G137,H137,)&lt;0,0,IF(NETWORKDAYS(G137,TODAY())/NETWORKDAYS(G137,H137,)&gt;1,1,NETWORKDAYS(G137,TODAY())/NETWORKDAYS(G137,H137,)))</f>
        <v>1</v>
      </c>
      <c r="J137" s="39">
        <v>1</v>
      </c>
      <c r="K137" s="40">
        <f>NETWORKDAYS(G137,H137)</f>
        <v>2</v>
      </c>
      <c r="L137" s="34">
        <f t="shared" ref="L137:L138" si="29">K137*8</f>
        <v>16</v>
      </c>
      <c r="M137" s="34" t="s">
        <v>140</v>
      </c>
      <c r="N137" s="34" t="s">
        <v>141</v>
      </c>
      <c r="O137" s="35">
        <f ca="1">I137*L137</f>
        <v>16</v>
      </c>
      <c r="P137" s="35">
        <f>J137*L137</f>
        <v>16</v>
      </c>
    </row>
    <row r="138" spans="1:16" x14ac:dyDescent="0.25">
      <c r="A138" s="34" t="s">
        <v>235</v>
      </c>
      <c r="B138" s="35" t="s">
        <v>236</v>
      </c>
      <c r="C138" s="35" t="s">
        <v>543</v>
      </c>
      <c r="D138" s="35" t="s">
        <v>49</v>
      </c>
      <c r="E138" s="36" t="s">
        <v>47</v>
      </c>
      <c r="F138" s="37" t="s">
        <v>10</v>
      </c>
      <c r="G138" s="38">
        <v>42121</v>
      </c>
      <c r="H138" s="38">
        <v>42121</v>
      </c>
      <c r="I138" s="39">
        <f ca="1">IF(NETWORKDAYS(G138,TODAY())/NETWORKDAYS(G138,H138,)&lt;0,0,IF(NETWORKDAYS(G138,TODAY())/NETWORKDAYS(G138,H138,)&gt;1,1,NETWORKDAYS(G138,TODAY())/NETWORKDAYS(G138,H138,)))</f>
        <v>1</v>
      </c>
      <c r="J138" s="39">
        <v>1</v>
      </c>
      <c r="K138" s="40">
        <f>NETWORKDAYS(G138,H138)</f>
        <v>1</v>
      </c>
      <c r="L138" s="34">
        <f t="shared" si="29"/>
        <v>8</v>
      </c>
      <c r="M138" s="34" t="s">
        <v>140</v>
      </c>
      <c r="N138" s="34" t="s">
        <v>141</v>
      </c>
      <c r="O138" s="35">
        <f ca="1">I138*L138</f>
        <v>8</v>
      </c>
      <c r="P138" s="35">
        <f>J138*L138</f>
        <v>8</v>
      </c>
    </row>
    <row r="139" spans="1:16" ht="15" customHeight="1" x14ac:dyDescent="0.25">
      <c r="A139" s="41" t="s">
        <v>235</v>
      </c>
      <c r="B139" s="42" t="s">
        <v>236</v>
      </c>
      <c r="C139" s="42" t="s">
        <v>543</v>
      </c>
      <c r="D139" s="42" t="s">
        <v>49</v>
      </c>
      <c r="E139" s="42" t="s">
        <v>47</v>
      </c>
      <c r="F139" s="42" t="s">
        <v>35</v>
      </c>
      <c r="G139" s="53">
        <f>G137</f>
        <v>42117</v>
      </c>
      <c r="H139" s="53">
        <f>H138</f>
        <v>42121</v>
      </c>
      <c r="I139" s="43">
        <f ca="1">SUM(O137:O138)/L139</f>
        <v>1</v>
      </c>
      <c r="J139" s="43">
        <f>SUM(P137:P138)/L139</f>
        <v>1</v>
      </c>
      <c r="K139" s="44">
        <f>SUM(K137:K138)</f>
        <v>3</v>
      </c>
      <c r="L139" s="41">
        <f>SUM(L137:L138)</f>
        <v>24</v>
      </c>
      <c r="M139" s="43" t="s">
        <v>140</v>
      </c>
      <c r="N139" s="43" t="s">
        <v>141</v>
      </c>
      <c r="O139" s="35"/>
      <c r="P139" s="35"/>
    </row>
    <row r="140" spans="1:16" ht="15.75" customHeight="1" x14ac:dyDescent="0.25">
      <c r="A140" s="34" t="s">
        <v>237</v>
      </c>
      <c r="B140" s="35" t="s">
        <v>238</v>
      </c>
      <c r="C140" s="35" t="s">
        <v>543</v>
      </c>
      <c r="D140" s="35" t="s">
        <v>49</v>
      </c>
      <c r="E140" s="36" t="s">
        <v>47</v>
      </c>
      <c r="F140" s="37" t="s">
        <v>9</v>
      </c>
      <c r="G140" s="38">
        <v>42107</v>
      </c>
      <c r="H140" s="38">
        <v>42108</v>
      </c>
      <c r="I140" s="39">
        <f ca="1">IF(NETWORKDAYS(G140,TODAY())/NETWORKDAYS(G140,H140,)&lt;0,0,IF(NETWORKDAYS(G140,TODAY())/NETWORKDAYS(G140,H140,)&gt;1,1,NETWORKDAYS(G140,TODAY())/NETWORKDAYS(G140,H140,)))</f>
        <v>1</v>
      </c>
      <c r="J140" s="39">
        <v>1</v>
      </c>
      <c r="K140" s="40">
        <f>NETWORKDAYS(G140,H140)</f>
        <v>2</v>
      </c>
      <c r="L140" s="34">
        <f t="shared" ref="L140:L141" si="30">K140*8</f>
        <v>16</v>
      </c>
      <c r="M140" s="34" t="s">
        <v>132</v>
      </c>
      <c r="N140" s="34" t="s">
        <v>133</v>
      </c>
      <c r="O140" s="35">
        <f ca="1">I140*L140</f>
        <v>16</v>
      </c>
      <c r="P140" s="35">
        <f>J140*L140</f>
        <v>16</v>
      </c>
    </row>
    <row r="141" spans="1:16" ht="15.75" customHeight="1" x14ac:dyDescent="0.25">
      <c r="A141" s="34" t="s">
        <v>237</v>
      </c>
      <c r="B141" s="35" t="s">
        <v>238</v>
      </c>
      <c r="C141" s="35" t="s">
        <v>543</v>
      </c>
      <c r="D141" s="35" t="s">
        <v>49</v>
      </c>
      <c r="E141" s="36" t="s">
        <v>47</v>
      </c>
      <c r="F141" s="37" t="s">
        <v>10</v>
      </c>
      <c r="G141" s="38">
        <v>42109</v>
      </c>
      <c r="H141" s="38">
        <v>42109</v>
      </c>
      <c r="I141" s="39">
        <f ca="1">IF(NETWORKDAYS(G141,TODAY())/NETWORKDAYS(G141,H141,)&lt;0,0,IF(NETWORKDAYS(G141,TODAY())/NETWORKDAYS(G141,H141,)&gt;1,1,NETWORKDAYS(G141,TODAY())/NETWORKDAYS(G141,H141,)))</f>
        <v>1</v>
      </c>
      <c r="J141" s="39">
        <v>1</v>
      </c>
      <c r="K141" s="40">
        <f>NETWORKDAYS(G141,H141)</f>
        <v>1</v>
      </c>
      <c r="L141" s="34">
        <f t="shared" si="30"/>
        <v>8</v>
      </c>
      <c r="M141" s="34" t="s">
        <v>132</v>
      </c>
      <c r="N141" s="34" t="s">
        <v>133</v>
      </c>
      <c r="O141" s="35">
        <f ca="1">I141*L141</f>
        <v>8</v>
      </c>
      <c r="P141" s="35">
        <f>J141*L141</f>
        <v>8</v>
      </c>
    </row>
    <row r="142" spans="1:16" x14ac:dyDescent="0.25">
      <c r="A142" s="41" t="s">
        <v>237</v>
      </c>
      <c r="B142" s="42" t="s">
        <v>238</v>
      </c>
      <c r="C142" s="42" t="s">
        <v>543</v>
      </c>
      <c r="D142" s="42" t="s">
        <v>49</v>
      </c>
      <c r="E142" s="42" t="s">
        <v>47</v>
      </c>
      <c r="F142" s="42" t="s">
        <v>35</v>
      </c>
      <c r="G142" s="53">
        <f>G140</f>
        <v>42107</v>
      </c>
      <c r="H142" s="53">
        <f>H141</f>
        <v>42109</v>
      </c>
      <c r="I142" s="43">
        <f ca="1">SUM(O140:O141)/L142</f>
        <v>1</v>
      </c>
      <c r="J142" s="43">
        <f>SUM(P140:P141)/L142</f>
        <v>1</v>
      </c>
      <c r="K142" s="44">
        <f>SUM(K140:K141)</f>
        <v>3</v>
      </c>
      <c r="L142" s="41">
        <f>SUM(L140:L141)</f>
        <v>24</v>
      </c>
      <c r="M142" s="43" t="s">
        <v>132</v>
      </c>
      <c r="N142" s="43" t="s">
        <v>133</v>
      </c>
      <c r="O142" s="35"/>
      <c r="P142" s="35"/>
    </row>
    <row r="143" spans="1:16" x14ac:dyDescent="0.25">
      <c r="A143" s="34" t="s">
        <v>239</v>
      </c>
      <c r="B143" s="35" t="s">
        <v>240</v>
      </c>
      <c r="C143" s="35" t="s">
        <v>543</v>
      </c>
      <c r="D143" s="35" t="s">
        <v>49</v>
      </c>
      <c r="E143" s="36" t="s">
        <v>47</v>
      </c>
      <c r="F143" s="37" t="s">
        <v>9</v>
      </c>
      <c r="G143" s="38">
        <v>42102</v>
      </c>
      <c r="H143" s="38">
        <v>42102</v>
      </c>
      <c r="I143" s="39">
        <f ca="1">IF(NETWORKDAYS(G143,TODAY())/NETWORKDAYS(G143,H143,)&lt;0,0,IF(NETWORKDAYS(G143,TODAY())/NETWORKDAYS(G143,H143,)&gt;1,1,NETWORKDAYS(G143,TODAY())/NETWORKDAYS(G143,H143,)))</f>
        <v>1</v>
      </c>
      <c r="J143" s="39">
        <v>1</v>
      </c>
      <c r="K143" s="40">
        <f>NETWORKDAYS(G143,H143)</f>
        <v>1</v>
      </c>
      <c r="L143" s="34">
        <f t="shared" ref="L143:L144" si="31">K143*8</f>
        <v>8</v>
      </c>
      <c r="M143" s="34" t="s">
        <v>132</v>
      </c>
      <c r="N143" s="34" t="s">
        <v>133</v>
      </c>
      <c r="O143" s="35">
        <f ca="1">I143*L143</f>
        <v>8</v>
      </c>
      <c r="P143" s="35">
        <f>J143*L143</f>
        <v>8</v>
      </c>
    </row>
    <row r="144" spans="1:16" x14ac:dyDescent="0.25">
      <c r="A144" s="34" t="s">
        <v>239</v>
      </c>
      <c r="B144" s="35" t="s">
        <v>240</v>
      </c>
      <c r="C144" s="35" t="s">
        <v>543</v>
      </c>
      <c r="D144" s="35" t="s">
        <v>49</v>
      </c>
      <c r="E144" s="36" t="s">
        <v>47</v>
      </c>
      <c r="F144" s="37" t="s">
        <v>10</v>
      </c>
      <c r="G144" s="38">
        <v>42102</v>
      </c>
      <c r="H144" s="38">
        <v>42102</v>
      </c>
      <c r="I144" s="39">
        <f ca="1">IF(NETWORKDAYS(G144,TODAY())/NETWORKDAYS(G144,H144,)&lt;0,0,IF(NETWORKDAYS(G144,TODAY())/NETWORKDAYS(G144,H144,)&gt;1,1,NETWORKDAYS(G144,TODAY())/NETWORKDAYS(G144,H144,)))</f>
        <v>1</v>
      </c>
      <c r="J144" s="39">
        <v>1</v>
      </c>
      <c r="K144" s="40">
        <f>NETWORKDAYS(G144,H144)</f>
        <v>1</v>
      </c>
      <c r="L144" s="34">
        <f t="shared" si="31"/>
        <v>8</v>
      </c>
      <c r="M144" s="34" t="s">
        <v>132</v>
      </c>
      <c r="N144" s="34" t="s">
        <v>133</v>
      </c>
      <c r="O144" s="35">
        <f ca="1">I144*L144</f>
        <v>8</v>
      </c>
      <c r="P144" s="35">
        <f>J144*L144</f>
        <v>8</v>
      </c>
    </row>
    <row r="145" spans="1:16" x14ac:dyDescent="0.25">
      <c r="A145" s="41" t="s">
        <v>239</v>
      </c>
      <c r="B145" s="42" t="s">
        <v>240</v>
      </c>
      <c r="C145" s="42" t="s">
        <v>543</v>
      </c>
      <c r="D145" s="42" t="s">
        <v>49</v>
      </c>
      <c r="E145" s="42" t="s">
        <v>47</v>
      </c>
      <c r="F145" s="42" t="s">
        <v>35</v>
      </c>
      <c r="G145" s="53">
        <f>G143</f>
        <v>42102</v>
      </c>
      <c r="H145" s="53">
        <f>H144</f>
        <v>42102</v>
      </c>
      <c r="I145" s="43">
        <f ca="1">SUM(O143:O144)/L145</f>
        <v>1</v>
      </c>
      <c r="J145" s="43">
        <f>SUM(P143:P144)/L145</f>
        <v>1</v>
      </c>
      <c r="K145" s="44">
        <f>SUM(K143:K144)</f>
        <v>2</v>
      </c>
      <c r="L145" s="41">
        <f>SUM(L143:L144)</f>
        <v>16</v>
      </c>
      <c r="M145" s="43" t="s">
        <v>132</v>
      </c>
      <c r="N145" s="43" t="s">
        <v>133</v>
      </c>
      <c r="O145" s="35"/>
      <c r="P145" s="35"/>
    </row>
    <row r="146" spans="1:16" x14ac:dyDescent="0.25">
      <c r="A146" s="34" t="s">
        <v>241</v>
      </c>
      <c r="B146" s="35" t="s">
        <v>242</v>
      </c>
      <c r="C146" s="35" t="s">
        <v>543</v>
      </c>
      <c r="D146" s="35" t="s">
        <v>49</v>
      </c>
      <c r="E146" s="36" t="s">
        <v>47</v>
      </c>
      <c r="F146" s="37" t="s">
        <v>9</v>
      </c>
      <c r="G146" s="38">
        <v>42102</v>
      </c>
      <c r="H146" s="38">
        <v>42102</v>
      </c>
      <c r="I146" s="39">
        <f ca="1">IF(NETWORKDAYS(G146,TODAY())/NETWORKDAYS(G146,H146,)&lt;0,0,IF(NETWORKDAYS(G146,TODAY())/NETWORKDAYS(G146,H146,)&gt;1,1,NETWORKDAYS(G146,TODAY())/NETWORKDAYS(G146,H146,)))</f>
        <v>1</v>
      </c>
      <c r="J146" s="39">
        <v>1</v>
      </c>
      <c r="K146" s="40">
        <f>NETWORKDAYS(G146,H146)</f>
        <v>1</v>
      </c>
      <c r="L146" s="34">
        <f t="shared" ref="L146:L147" si="32">K146*8</f>
        <v>8</v>
      </c>
      <c r="M146" s="34" t="s">
        <v>132</v>
      </c>
      <c r="N146" s="34" t="s">
        <v>133</v>
      </c>
      <c r="O146" s="35">
        <f ca="1">I146*L146</f>
        <v>8</v>
      </c>
      <c r="P146" s="35">
        <f>J146*L146</f>
        <v>8</v>
      </c>
    </row>
    <row r="147" spans="1:16" x14ac:dyDescent="0.25">
      <c r="A147" s="34" t="s">
        <v>241</v>
      </c>
      <c r="B147" s="35" t="s">
        <v>242</v>
      </c>
      <c r="C147" s="35" t="s">
        <v>543</v>
      </c>
      <c r="D147" s="35" t="s">
        <v>49</v>
      </c>
      <c r="E147" s="36" t="s">
        <v>47</v>
      </c>
      <c r="F147" s="37" t="s">
        <v>10</v>
      </c>
      <c r="G147" s="38">
        <v>42103</v>
      </c>
      <c r="H147" s="38">
        <v>42103</v>
      </c>
      <c r="I147" s="39">
        <f ca="1">IF(NETWORKDAYS(G147,TODAY())/NETWORKDAYS(G147,H147,)&lt;0,0,IF(NETWORKDAYS(G147,TODAY())/NETWORKDAYS(G147,H147,)&gt;1,1,NETWORKDAYS(G147,TODAY())/NETWORKDAYS(G147,H147,)))</f>
        <v>1</v>
      </c>
      <c r="J147" s="39">
        <v>1</v>
      </c>
      <c r="K147" s="40">
        <f>NETWORKDAYS(G147,H147)</f>
        <v>1</v>
      </c>
      <c r="L147" s="34">
        <f t="shared" si="32"/>
        <v>8</v>
      </c>
      <c r="M147" s="34" t="s">
        <v>132</v>
      </c>
      <c r="N147" s="34" t="s">
        <v>133</v>
      </c>
      <c r="O147" s="35">
        <f ca="1">I147*L147</f>
        <v>8</v>
      </c>
      <c r="P147" s="35">
        <f>J147*L147</f>
        <v>8</v>
      </c>
    </row>
    <row r="148" spans="1:16" x14ac:dyDescent="0.25">
      <c r="A148" s="41" t="s">
        <v>241</v>
      </c>
      <c r="B148" s="42" t="s">
        <v>242</v>
      </c>
      <c r="C148" s="42" t="s">
        <v>543</v>
      </c>
      <c r="D148" s="42" t="s">
        <v>49</v>
      </c>
      <c r="E148" s="42" t="s">
        <v>47</v>
      </c>
      <c r="F148" s="42" t="s">
        <v>35</v>
      </c>
      <c r="G148" s="53">
        <f>G146</f>
        <v>42102</v>
      </c>
      <c r="H148" s="53">
        <f>H147</f>
        <v>42103</v>
      </c>
      <c r="I148" s="43">
        <f ca="1">SUM(O146:O147)/L148</f>
        <v>1</v>
      </c>
      <c r="J148" s="43">
        <f>SUM(P146:P147)/L148</f>
        <v>1</v>
      </c>
      <c r="K148" s="44">
        <f>SUM(K146:K147)</f>
        <v>2</v>
      </c>
      <c r="L148" s="41">
        <f>SUM(L146:L147)</f>
        <v>16</v>
      </c>
      <c r="M148" s="43" t="s">
        <v>132</v>
      </c>
      <c r="N148" s="43" t="s">
        <v>133</v>
      </c>
      <c r="O148" s="35"/>
      <c r="P148" s="35"/>
    </row>
    <row r="149" spans="1:16" ht="14.25" customHeight="1" x14ac:dyDescent="0.25">
      <c r="A149" s="34" t="s">
        <v>243</v>
      </c>
      <c r="B149" s="82" t="s">
        <v>244</v>
      </c>
      <c r="C149" s="82" t="s">
        <v>543</v>
      </c>
      <c r="D149" s="35" t="s">
        <v>49</v>
      </c>
      <c r="E149" s="36" t="s">
        <v>47</v>
      </c>
      <c r="F149" s="37" t="s">
        <v>9</v>
      </c>
      <c r="G149" s="38">
        <v>42103</v>
      </c>
      <c r="H149" s="38">
        <v>42103</v>
      </c>
      <c r="I149" s="39">
        <f ca="1">IF(NETWORKDAYS(G149,TODAY())/NETWORKDAYS(G149,H149,)&lt;0,0,IF(NETWORKDAYS(G149,TODAY())/NETWORKDAYS(G149,H149,)&gt;1,1,NETWORKDAYS(G149,TODAY())/NETWORKDAYS(G149,H149,)))</f>
        <v>1</v>
      </c>
      <c r="J149" s="39">
        <v>1</v>
      </c>
      <c r="K149" s="40">
        <f>NETWORKDAYS(G149,H149)</f>
        <v>1</v>
      </c>
      <c r="L149" s="34">
        <f t="shared" ref="L149:L150" si="33">K149*8</f>
        <v>8</v>
      </c>
      <c r="M149" s="34" t="s">
        <v>140</v>
      </c>
      <c r="N149" s="34" t="s">
        <v>141</v>
      </c>
      <c r="O149" s="35">
        <f ca="1">I149*L149</f>
        <v>8</v>
      </c>
      <c r="P149" s="35">
        <f>J149*L149</f>
        <v>8</v>
      </c>
    </row>
    <row r="150" spans="1:16" ht="15" customHeight="1" x14ac:dyDescent="0.25">
      <c r="A150" s="34" t="s">
        <v>243</v>
      </c>
      <c r="B150" s="82" t="s">
        <v>244</v>
      </c>
      <c r="C150" s="82" t="s">
        <v>543</v>
      </c>
      <c r="D150" s="35" t="s">
        <v>49</v>
      </c>
      <c r="E150" s="36" t="s">
        <v>47</v>
      </c>
      <c r="F150" s="37" t="s">
        <v>10</v>
      </c>
      <c r="G150" s="38">
        <v>42104</v>
      </c>
      <c r="H150" s="38">
        <v>42104</v>
      </c>
      <c r="I150" s="39">
        <f ca="1">IF(NETWORKDAYS(G150,TODAY())/NETWORKDAYS(G150,H150,)&lt;0,0,IF(NETWORKDAYS(G150,TODAY())/NETWORKDAYS(G150,H150,)&gt;1,1,NETWORKDAYS(G150,TODAY())/NETWORKDAYS(G150,H150,)))</f>
        <v>1</v>
      </c>
      <c r="J150" s="39">
        <v>1</v>
      </c>
      <c r="K150" s="40">
        <f>NETWORKDAYS(G150,H150)</f>
        <v>1</v>
      </c>
      <c r="L150" s="34">
        <f t="shared" si="33"/>
        <v>8</v>
      </c>
      <c r="M150" s="34" t="s">
        <v>140</v>
      </c>
      <c r="N150" s="34" t="s">
        <v>141</v>
      </c>
      <c r="O150" s="35">
        <f ca="1">I150*L150</f>
        <v>8</v>
      </c>
      <c r="P150" s="35">
        <f>J150*L150</f>
        <v>8</v>
      </c>
    </row>
    <row r="151" spans="1:16" ht="14.25" customHeight="1" x14ac:dyDescent="0.25">
      <c r="A151" s="41" t="s">
        <v>243</v>
      </c>
      <c r="B151" s="61" t="s">
        <v>244</v>
      </c>
      <c r="C151" s="61" t="s">
        <v>543</v>
      </c>
      <c r="D151" s="42" t="s">
        <v>49</v>
      </c>
      <c r="E151" s="42" t="s">
        <v>47</v>
      </c>
      <c r="F151" s="42" t="s">
        <v>35</v>
      </c>
      <c r="G151" s="53">
        <f>G149</f>
        <v>42103</v>
      </c>
      <c r="H151" s="53">
        <f>H150</f>
        <v>42104</v>
      </c>
      <c r="I151" s="43">
        <f ca="1">SUM(O149:O150)/L151</f>
        <v>1</v>
      </c>
      <c r="J151" s="43">
        <f>SUM(P149:P150)/L151</f>
        <v>1</v>
      </c>
      <c r="K151" s="44">
        <f>SUM(K149:K150)</f>
        <v>2</v>
      </c>
      <c r="L151" s="41">
        <f>SUM(L149:L150)</f>
        <v>16</v>
      </c>
      <c r="M151" s="43" t="s">
        <v>140</v>
      </c>
      <c r="N151" s="43" t="s">
        <v>141</v>
      </c>
      <c r="O151" s="35"/>
      <c r="P151" s="35"/>
    </row>
    <row r="152" spans="1:16" x14ac:dyDescent="0.25">
      <c r="A152" s="34" t="s">
        <v>245</v>
      </c>
      <c r="B152" s="35" t="s">
        <v>246</v>
      </c>
      <c r="C152" s="35" t="s">
        <v>543</v>
      </c>
      <c r="D152" s="35" t="s">
        <v>49</v>
      </c>
      <c r="E152" s="36" t="s">
        <v>47</v>
      </c>
      <c r="F152" s="37" t="s">
        <v>9</v>
      </c>
      <c r="G152" s="38">
        <v>42107</v>
      </c>
      <c r="H152" s="38">
        <v>42107</v>
      </c>
      <c r="I152" s="39">
        <f ca="1">IF(NETWORKDAYS(G152,TODAY())/NETWORKDAYS(G152,H152,)&lt;0,0,IF(NETWORKDAYS(G152,TODAY())/NETWORKDAYS(G152,H152,)&gt;1,1,NETWORKDAYS(G152,TODAY())/NETWORKDAYS(G152,H152,)))</f>
        <v>1</v>
      </c>
      <c r="J152" s="39">
        <v>1</v>
      </c>
      <c r="K152" s="40">
        <f>NETWORKDAYS(G152,H152)</f>
        <v>1</v>
      </c>
      <c r="L152" s="34">
        <f t="shared" ref="L152:L153" si="34">K152*8</f>
        <v>8</v>
      </c>
      <c r="M152" s="34" t="s">
        <v>140</v>
      </c>
      <c r="N152" s="34" t="s">
        <v>141</v>
      </c>
      <c r="O152" s="35">
        <f ca="1">I152*L152</f>
        <v>8</v>
      </c>
      <c r="P152" s="35">
        <f>J152*L152</f>
        <v>8</v>
      </c>
    </row>
    <row r="153" spans="1:16" x14ac:dyDescent="0.25">
      <c r="A153" s="34" t="s">
        <v>245</v>
      </c>
      <c r="B153" s="35" t="s">
        <v>246</v>
      </c>
      <c r="C153" s="35" t="s">
        <v>543</v>
      </c>
      <c r="D153" s="35" t="s">
        <v>49</v>
      </c>
      <c r="E153" s="36" t="s">
        <v>47</v>
      </c>
      <c r="F153" s="37" t="s">
        <v>10</v>
      </c>
      <c r="G153" s="38">
        <v>42108</v>
      </c>
      <c r="H153" s="38">
        <v>42108</v>
      </c>
      <c r="I153" s="39">
        <f ca="1">IF(NETWORKDAYS(G153,TODAY())/NETWORKDAYS(G153,H153,)&lt;0,0,IF(NETWORKDAYS(G153,TODAY())/NETWORKDAYS(G153,H153,)&gt;1,1,NETWORKDAYS(G153,TODAY())/NETWORKDAYS(G153,H153,)))</f>
        <v>1</v>
      </c>
      <c r="J153" s="39">
        <v>1</v>
      </c>
      <c r="K153" s="40">
        <f>NETWORKDAYS(G153,H153)</f>
        <v>1</v>
      </c>
      <c r="L153" s="34">
        <f t="shared" si="34"/>
        <v>8</v>
      </c>
      <c r="M153" s="34" t="s">
        <v>140</v>
      </c>
      <c r="N153" s="34" t="s">
        <v>141</v>
      </c>
      <c r="O153" s="35">
        <f ca="1">I153*L153</f>
        <v>8</v>
      </c>
      <c r="P153" s="35">
        <f>J153*L153</f>
        <v>8</v>
      </c>
    </row>
    <row r="154" spans="1:16" ht="16.5" customHeight="1" x14ac:dyDescent="0.25">
      <c r="A154" s="41" t="s">
        <v>245</v>
      </c>
      <c r="B154" s="42" t="s">
        <v>246</v>
      </c>
      <c r="C154" s="42" t="s">
        <v>543</v>
      </c>
      <c r="D154" s="42" t="s">
        <v>49</v>
      </c>
      <c r="E154" s="42" t="s">
        <v>47</v>
      </c>
      <c r="F154" s="42" t="s">
        <v>35</v>
      </c>
      <c r="G154" s="53">
        <f>G152</f>
        <v>42107</v>
      </c>
      <c r="H154" s="53">
        <f>H153</f>
        <v>42108</v>
      </c>
      <c r="I154" s="43">
        <f ca="1">SUM(O152:O153)/L154</f>
        <v>1</v>
      </c>
      <c r="J154" s="43">
        <f>SUM(P152:P153)/L154</f>
        <v>1</v>
      </c>
      <c r="K154" s="44">
        <f>SUM(K152:K153)</f>
        <v>2</v>
      </c>
      <c r="L154" s="41">
        <f>SUM(L152:L153)</f>
        <v>16</v>
      </c>
      <c r="M154" s="43" t="s">
        <v>140</v>
      </c>
      <c r="N154" s="43" t="s">
        <v>141</v>
      </c>
      <c r="O154" s="35"/>
      <c r="P154" s="35"/>
    </row>
    <row r="155" spans="1:16" ht="15.75" customHeight="1" x14ac:dyDescent="0.25">
      <c r="A155" s="40" t="s">
        <v>247</v>
      </c>
      <c r="B155" s="35" t="s">
        <v>248</v>
      </c>
      <c r="C155" s="35" t="s">
        <v>543</v>
      </c>
      <c r="D155" s="36" t="s">
        <v>49</v>
      </c>
      <c r="E155" s="35" t="s">
        <v>47</v>
      </c>
      <c r="F155" s="37" t="s">
        <v>9</v>
      </c>
      <c r="G155" s="62">
        <v>42102</v>
      </c>
      <c r="H155" s="62">
        <v>42103</v>
      </c>
      <c r="I155" s="39">
        <f ca="1">IF(NETWORKDAYS(G155,TODAY())/NETWORKDAYS(G155,H155,)&lt;0,0,IF(NETWORKDAYS(G155,TODAY())/NETWORKDAYS(G155,H155,)&gt;1,1,NETWORKDAYS(G155,TODAY())/NETWORKDAYS(G155,H155,)))</f>
        <v>1</v>
      </c>
      <c r="J155" s="63">
        <v>1</v>
      </c>
      <c r="K155" s="40">
        <f t="shared" ref="K155:K218" si="35">NETWORKDAYS(G155,H155)</f>
        <v>2</v>
      </c>
      <c r="L155" s="34">
        <f t="shared" ref="L155:L158" si="36">K155*8</f>
        <v>16</v>
      </c>
      <c r="M155" s="34" t="s">
        <v>140</v>
      </c>
      <c r="N155" s="34" t="s">
        <v>141</v>
      </c>
      <c r="O155" s="35">
        <f ca="1">I155*L155</f>
        <v>16</v>
      </c>
      <c r="P155" s="35">
        <f>J155*L155</f>
        <v>16</v>
      </c>
    </row>
    <row r="156" spans="1:16" ht="15.75" customHeight="1" x14ac:dyDescent="0.25">
      <c r="A156" s="40" t="s">
        <v>247</v>
      </c>
      <c r="B156" s="35" t="s">
        <v>248</v>
      </c>
      <c r="C156" s="35" t="s">
        <v>543</v>
      </c>
      <c r="D156" s="36" t="s">
        <v>49</v>
      </c>
      <c r="E156" s="35" t="s">
        <v>47</v>
      </c>
      <c r="F156" s="37" t="s">
        <v>10</v>
      </c>
      <c r="G156" s="62">
        <v>42102</v>
      </c>
      <c r="H156" s="62">
        <v>42103</v>
      </c>
      <c r="I156" s="39">
        <f ca="1">IF(NETWORKDAYS(G156,TODAY())/NETWORKDAYS(G156,H156,)&lt;0,0,IF(NETWORKDAYS(G156,TODAY())/NETWORKDAYS(G156,H156,)&gt;1,1,NETWORKDAYS(G156,TODAY())/NETWORKDAYS(G156,H156,)))</f>
        <v>1</v>
      </c>
      <c r="J156" s="63">
        <v>1</v>
      </c>
      <c r="K156" s="40">
        <f t="shared" si="35"/>
        <v>2</v>
      </c>
      <c r="L156" s="34">
        <f t="shared" si="36"/>
        <v>16</v>
      </c>
      <c r="M156" s="34" t="s">
        <v>140</v>
      </c>
      <c r="N156" s="34" t="s">
        <v>141</v>
      </c>
      <c r="O156" s="35">
        <f ca="1">I156*L156</f>
        <v>16</v>
      </c>
      <c r="P156" s="35">
        <f>J156*L156</f>
        <v>16</v>
      </c>
    </row>
    <row r="157" spans="1:16" x14ac:dyDescent="0.25">
      <c r="A157" s="40" t="s">
        <v>247</v>
      </c>
      <c r="B157" s="35" t="s">
        <v>248</v>
      </c>
      <c r="C157" s="35" t="s">
        <v>543</v>
      </c>
      <c r="D157" s="36" t="s">
        <v>49</v>
      </c>
      <c r="E157" s="35" t="s">
        <v>47</v>
      </c>
      <c r="F157" s="37" t="s">
        <v>8</v>
      </c>
      <c r="G157" s="62">
        <v>42102</v>
      </c>
      <c r="H157" s="62">
        <v>42103</v>
      </c>
      <c r="I157" s="39">
        <f ca="1">IF(NETWORKDAYS(G157,TODAY())/NETWORKDAYS(G157,H157,)&lt;0,0,IF(NETWORKDAYS(G157,TODAY())/NETWORKDAYS(G157,H157,)&gt;1,1,NETWORKDAYS(G157,TODAY())/NETWORKDAYS(G157,H157,)))</f>
        <v>1</v>
      </c>
      <c r="J157" s="63">
        <v>1</v>
      </c>
      <c r="K157" s="40">
        <f t="shared" si="35"/>
        <v>2</v>
      </c>
      <c r="L157" s="34">
        <f t="shared" si="36"/>
        <v>16</v>
      </c>
      <c r="M157" s="34" t="s">
        <v>140</v>
      </c>
      <c r="N157" s="34" t="s">
        <v>141</v>
      </c>
      <c r="O157" s="35">
        <f ca="1">I157*L157</f>
        <v>16</v>
      </c>
      <c r="P157" s="35">
        <f>J157*L157</f>
        <v>16</v>
      </c>
    </row>
    <row r="158" spans="1:16" ht="15" customHeight="1" x14ac:dyDescent="0.25">
      <c r="A158" s="40" t="s">
        <v>247</v>
      </c>
      <c r="B158" s="35" t="s">
        <v>248</v>
      </c>
      <c r="C158" s="35" t="s">
        <v>543</v>
      </c>
      <c r="D158" s="36" t="s">
        <v>49</v>
      </c>
      <c r="E158" s="35" t="s">
        <v>47</v>
      </c>
      <c r="F158" s="37" t="s">
        <v>11</v>
      </c>
      <c r="G158" s="62">
        <v>42102</v>
      </c>
      <c r="H158" s="62">
        <v>42103</v>
      </c>
      <c r="I158" s="39">
        <f ca="1">IF(NETWORKDAYS(G158,TODAY())/NETWORKDAYS(G158,H158,)&lt;0,0,IF(NETWORKDAYS(G158,TODAY())/NETWORKDAYS(G158,H158,)&gt;1,1,NETWORKDAYS(G158,TODAY())/NETWORKDAYS(G158,H158,)))</f>
        <v>1</v>
      </c>
      <c r="J158" s="63">
        <v>1</v>
      </c>
      <c r="K158" s="40">
        <f t="shared" si="35"/>
        <v>2</v>
      </c>
      <c r="L158" s="34">
        <f t="shared" si="36"/>
        <v>16</v>
      </c>
      <c r="M158" s="34" t="s">
        <v>140</v>
      </c>
      <c r="N158" s="34" t="s">
        <v>141</v>
      </c>
      <c r="O158" s="35">
        <f ca="1">I158*L158</f>
        <v>16</v>
      </c>
      <c r="P158" s="35">
        <f>J158*L158</f>
        <v>16</v>
      </c>
    </row>
    <row r="159" spans="1:16" ht="14.25" customHeight="1" x14ac:dyDescent="0.25">
      <c r="A159" s="41" t="s">
        <v>247</v>
      </c>
      <c r="B159" s="42" t="s">
        <v>248</v>
      </c>
      <c r="C159" s="42" t="s">
        <v>543</v>
      </c>
      <c r="D159" s="42" t="s">
        <v>49</v>
      </c>
      <c r="E159" s="42" t="s">
        <v>47</v>
      </c>
      <c r="F159" s="42" t="s">
        <v>35</v>
      </c>
      <c r="G159" s="53">
        <f>G155</f>
        <v>42102</v>
      </c>
      <c r="H159" s="53">
        <f>H158</f>
        <v>42103</v>
      </c>
      <c r="I159" s="43">
        <f ca="1">SUM(O155:O158)/L159</f>
        <v>1</v>
      </c>
      <c r="J159" s="43">
        <v>1</v>
      </c>
      <c r="K159" s="44">
        <f t="shared" si="35"/>
        <v>2</v>
      </c>
      <c r="L159" s="41">
        <f>SUM(L155:L158)</f>
        <v>64</v>
      </c>
      <c r="M159" s="43" t="s">
        <v>140</v>
      </c>
      <c r="N159" s="43" t="s">
        <v>141</v>
      </c>
      <c r="O159" s="35"/>
      <c r="P159" s="35"/>
    </row>
    <row r="160" spans="1:16" ht="15" customHeight="1" x14ac:dyDescent="0.25">
      <c r="A160" s="40" t="s">
        <v>249</v>
      </c>
      <c r="B160" s="35" t="s">
        <v>250</v>
      </c>
      <c r="C160" s="35" t="s">
        <v>543</v>
      </c>
      <c r="D160" s="36" t="s">
        <v>49</v>
      </c>
      <c r="E160" s="35" t="s">
        <v>47</v>
      </c>
      <c r="F160" s="37" t="s">
        <v>9</v>
      </c>
      <c r="G160" s="62">
        <v>42102</v>
      </c>
      <c r="H160" s="62">
        <v>42103</v>
      </c>
      <c r="I160" s="39">
        <f t="shared" ref="I160:I187" ca="1" si="37">IF(NETWORKDAYS(G160,TODAY())/NETWORKDAYS(G160,H160,)&lt;0,0,IF(NETWORKDAYS(G160,TODAY())/NETWORKDAYS(G160,H160,)&gt;1,1,NETWORKDAYS(G160,TODAY())/NETWORKDAYS(G160,H160,)))</f>
        <v>1</v>
      </c>
      <c r="J160" s="63">
        <v>1</v>
      </c>
      <c r="K160" s="40">
        <f t="shared" si="35"/>
        <v>2</v>
      </c>
      <c r="L160" s="34">
        <f t="shared" ref="L160:L163" si="38">K160*8</f>
        <v>16</v>
      </c>
      <c r="M160" s="34" t="s">
        <v>140</v>
      </c>
      <c r="N160" s="34" t="s">
        <v>141</v>
      </c>
      <c r="O160" s="35">
        <f t="shared" ref="O160:O223" ca="1" si="39">I160*L160</f>
        <v>16</v>
      </c>
      <c r="P160" s="35">
        <f t="shared" ref="P160:P223" si="40">J160*L160</f>
        <v>16</v>
      </c>
    </row>
    <row r="161" spans="1:16" x14ac:dyDescent="0.25">
      <c r="A161" s="40" t="s">
        <v>249</v>
      </c>
      <c r="B161" s="35" t="s">
        <v>250</v>
      </c>
      <c r="C161" s="35" t="s">
        <v>543</v>
      </c>
      <c r="D161" s="36" t="s">
        <v>49</v>
      </c>
      <c r="E161" s="35" t="s">
        <v>47</v>
      </c>
      <c r="F161" s="37" t="s">
        <v>10</v>
      </c>
      <c r="G161" s="62">
        <v>42102</v>
      </c>
      <c r="H161" s="62">
        <v>42103</v>
      </c>
      <c r="I161" s="39">
        <f t="shared" ca="1" si="37"/>
        <v>1</v>
      </c>
      <c r="J161" s="63">
        <v>1</v>
      </c>
      <c r="K161" s="40">
        <f t="shared" si="35"/>
        <v>2</v>
      </c>
      <c r="L161" s="34">
        <f t="shared" si="38"/>
        <v>16</v>
      </c>
      <c r="M161" s="34" t="s">
        <v>140</v>
      </c>
      <c r="N161" s="34" t="s">
        <v>141</v>
      </c>
      <c r="O161" s="35">
        <f t="shared" ca="1" si="39"/>
        <v>16</v>
      </c>
      <c r="P161" s="35">
        <f t="shared" si="40"/>
        <v>16</v>
      </c>
    </row>
    <row r="162" spans="1:16" x14ac:dyDescent="0.25">
      <c r="A162" s="40" t="s">
        <v>249</v>
      </c>
      <c r="B162" s="35" t="s">
        <v>250</v>
      </c>
      <c r="C162" s="35" t="s">
        <v>543</v>
      </c>
      <c r="D162" s="36" t="s">
        <v>49</v>
      </c>
      <c r="E162" s="35" t="s">
        <v>47</v>
      </c>
      <c r="F162" s="37" t="s">
        <v>8</v>
      </c>
      <c r="G162" s="62">
        <v>42102</v>
      </c>
      <c r="H162" s="62">
        <v>42103</v>
      </c>
      <c r="I162" s="39">
        <f t="shared" ca="1" si="37"/>
        <v>1</v>
      </c>
      <c r="J162" s="63">
        <v>1</v>
      </c>
      <c r="K162" s="40">
        <f t="shared" si="35"/>
        <v>2</v>
      </c>
      <c r="L162" s="34">
        <f t="shared" si="38"/>
        <v>16</v>
      </c>
      <c r="M162" s="34" t="s">
        <v>140</v>
      </c>
      <c r="N162" s="34" t="s">
        <v>141</v>
      </c>
      <c r="O162" s="35">
        <f t="shared" ca="1" si="39"/>
        <v>16</v>
      </c>
      <c r="P162" s="35">
        <f t="shared" si="40"/>
        <v>16</v>
      </c>
    </row>
    <row r="163" spans="1:16" x14ac:dyDescent="0.25">
      <c r="A163" s="40" t="s">
        <v>249</v>
      </c>
      <c r="B163" s="35" t="s">
        <v>250</v>
      </c>
      <c r="C163" s="35" t="s">
        <v>543</v>
      </c>
      <c r="D163" s="36" t="s">
        <v>49</v>
      </c>
      <c r="E163" s="35" t="s">
        <v>47</v>
      </c>
      <c r="F163" s="37" t="s">
        <v>11</v>
      </c>
      <c r="G163" s="62">
        <v>42102</v>
      </c>
      <c r="H163" s="62">
        <v>42103</v>
      </c>
      <c r="I163" s="39">
        <f t="shared" ca="1" si="37"/>
        <v>1</v>
      </c>
      <c r="J163" s="63">
        <v>1</v>
      </c>
      <c r="K163" s="40">
        <f t="shared" si="35"/>
        <v>2</v>
      </c>
      <c r="L163" s="34">
        <f t="shared" si="38"/>
        <v>16</v>
      </c>
      <c r="M163" s="34" t="s">
        <v>140</v>
      </c>
      <c r="N163" s="34" t="s">
        <v>141</v>
      </c>
      <c r="O163" s="35">
        <f t="shared" ca="1" si="39"/>
        <v>16</v>
      </c>
      <c r="P163" s="35">
        <f t="shared" si="40"/>
        <v>16</v>
      </c>
    </row>
    <row r="164" spans="1:16" x14ac:dyDescent="0.25">
      <c r="A164" s="41" t="s">
        <v>249</v>
      </c>
      <c r="B164" s="42" t="s">
        <v>250</v>
      </c>
      <c r="C164" s="42" t="s">
        <v>543</v>
      </c>
      <c r="D164" s="42" t="s">
        <v>49</v>
      </c>
      <c r="E164" s="42" t="s">
        <v>47</v>
      </c>
      <c r="F164" s="42" t="s">
        <v>35</v>
      </c>
      <c r="G164" s="53">
        <v>42102</v>
      </c>
      <c r="H164" s="53">
        <v>42103</v>
      </c>
      <c r="I164" s="43">
        <f t="shared" ca="1" si="37"/>
        <v>1</v>
      </c>
      <c r="J164" s="43">
        <v>1</v>
      </c>
      <c r="K164" s="44">
        <f t="shared" si="35"/>
        <v>2</v>
      </c>
      <c r="L164" s="41">
        <f t="shared" ref="L164:L223" si="41">K164*8</f>
        <v>16</v>
      </c>
      <c r="M164" s="41" t="s">
        <v>140</v>
      </c>
      <c r="N164" s="41" t="s">
        <v>141</v>
      </c>
      <c r="O164" s="35">
        <f t="shared" ca="1" si="39"/>
        <v>16</v>
      </c>
      <c r="P164" s="35">
        <f t="shared" si="40"/>
        <v>16</v>
      </c>
    </row>
    <row r="165" spans="1:16" x14ac:dyDescent="0.25">
      <c r="A165" s="40" t="s">
        <v>251</v>
      </c>
      <c r="B165" s="35" t="s">
        <v>252</v>
      </c>
      <c r="C165" s="35" t="s">
        <v>543</v>
      </c>
      <c r="D165" s="36" t="s">
        <v>49</v>
      </c>
      <c r="E165" s="35" t="s">
        <v>47</v>
      </c>
      <c r="F165" s="37" t="s">
        <v>9</v>
      </c>
      <c r="G165" s="62">
        <v>42102</v>
      </c>
      <c r="H165" s="62">
        <v>42103</v>
      </c>
      <c r="I165" s="39">
        <f t="shared" ca="1" si="37"/>
        <v>1</v>
      </c>
      <c r="J165" s="63">
        <v>1</v>
      </c>
      <c r="K165" s="40">
        <f t="shared" si="35"/>
        <v>2</v>
      </c>
      <c r="L165" s="34">
        <f t="shared" si="41"/>
        <v>16</v>
      </c>
      <c r="M165" s="34" t="s">
        <v>132</v>
      </c>
      <c r="N165" s="34" t="s">
        <v>133</v>
      </c>
      <c r="O165" s="35">
        <f t="shared" ca="1" si="39"/>
        <v>16</v>
      </c>
      <c r="P165" s="35">
        <f t="shared" si="40"/>
        <v>16</v>
      </c>
    </row>
    <row r="166" spans="1:16" x14ac:dyDescent="0.25">
      <c r="A166" s="40" t="s">
        <v>251</v>
      </c>
      <c r="B166" s="35" t="s">
        <v>252</v>
      </c>
      <c r="C166" s="35" t="s">
        <v>543</v>
      </c>
      <c r="D166" s="36" t="s">
        <v>49</v>
      </c>
      <c r="E166" s="35" t="s">
        <v>47</v>
      </c>
      <c r="F166" s="37" t="s">
        <v>10</v>
      </c>
      <c r="G166" s="62">
        <v>42102</v>
      </c>
      <c r="H166" s="62">
        <v>42103</v>
      </c>
      <c r="I166" s="39">
        <f t="shared" ca="1" si="37"/>
        <v>1</v>
      </c>
      <c r="J166" s="63">
        <v>1</v>
      </c>
      <c r="K166" s="40">
        <f t="shared" si="35"/>
        <v>2</v>
      </c>
      <c r="L166" s="34">
        <f t="shared" si="41"/>
        <v>16</v>
      </c>
      <c r="M166" s="34" t="s">
        <v>132</v>
      </c>
      <c r="N166" s="34" t="s">
        <v>133</v>
      </c>
      <c r="O166" s="35">
        <f t="shared" ca="1" si="39"/>
        <v>16</v>
      </c>
      <c r="P166" s="35">
        <f t="shared" si="40"/>
        <v>16</v>
      </c>
    </row>
    <row r="167" spans="1:16" x14ac:dyDescent="0.25">
      <c r="A167" s="40" t="s">
        <v>251</v>
      </c>
      <c r="B167" s="35" t="s">
        <v>252</v>
      </c>
      <c r="C167" s="35" t="s">
        <v>543</v>
      </c>
      <c r="D167" s="36" t="s">
        <v>49</v>
      </c>
      <c r="E167" s="35" t="s">
        <v>47</v>
      </c>
      <c r="F167" s="37" t="s">
        <v>8</v>
      </c>
      <c r="G167" s="62">
        <v>42102</v>
      </c>
      <c r="H167" s="62">
        <v>42103</v>
      </c>
      <c r="I167" s="39">
        <f t="shared" ca="1" si="37"/>
        <v>1</v>
      </c>
      <c r="J167" s="63">
        <v>1</v>
      </c>
      <c r="K167" s="40">
        <f t="shared" si="35"/>
        <v>2</v>
      </c>
      <c r="L167" s="34">
        <f t="shared" si="41"/>
        <v>16</v>
      </c>
      <c r="M167" s="34" t="s">
        <v>132</v>
      </c>
      <c r="N167" s="34" t="s">
        <v>133</v>
      </c>
      <c r="O167" s="35">
        <f t="shared" ca="1" si="39"/>
        <v>16</v>
      </c>
      <c r="P167" s="35">
        <f t="shared" si="40"/>
        <v>16</v>
      </c>
    </row>
    <row r="168" spans="1:16" x14ac:dyDescent="0.25">
      <c r="A168" s="40" t="s">
        <v>251</v>
      </c>
      <c r="B168" s="35" t="s">
        <v>252</v>
      </c>
      <c r="C168" s="35" t="s">
        <v>543</v>
      </c>
      <c r="D168" s="36" t="s">
        <v>49</v>
      </c>
      <c r="E168" s="35" t="s">
        <v>47</v>
      </c>
      <c r="F168" s="37" t="s">
        <v>11</v>
      </c>
      <c r="G168" s="62">
        <v>42102</v>
      </c>
      <c r="H168" s="62">
        <v>42103</v>
      </c>
      <c r="I168" s="39">
        <f t="shared" ca="1" si="37"/>
        <v>1</v>
      </c>
      <c r="J168" s="63">
        <v>1</v>
      </c>
      <c r="K168" s="40">
        <f t="shared" si="35"/>
        <v>2</v>
      </c>
      <c r="L168" s="34">
        <f t="shared" si="41"/>
        <v>16</v>
      </c>
      <c r="M168" s="34" t="s">
        <v>132</v>
      </c>
      <c r="N168" s="34" t="s">
        <v>133</v>
      </c>
      <c r="O168" s="35">
        <f t="shared" ca="1" si="39"/>
        <v>16</v>
      </c>
      <c r="P168" s="35">
        <f t="shared" si="40"/>
        <v>16</v>
      </c>
    </row>
    <row r="169" spans="1:16" x14ac:dyDescent="0.25">
      <c r="A169" s="41" t="s">
        <v>251</v>
      </c>
      <c r="B169" s="42" t="s">
        <v>252</v>
      </c>
      <c r="C169" s="42" t="s">
        <v>543</v>
      </c>
      <c r="D169" s="42" t="s">
        <v>49</v>
      </c>
      <c r="E169" s="42" t="s">
        <v>47</v>
      </c>
      <c r="F169" s="42" t="s">
        <v>35</v>
      </c>
      <c r="G169" s="53">
        <v>42102</v>
      </c>
      <c r="H169" s="53">
        <v>42103</v>
      </c>
      <c r="I169" s="43">
        <f t="shared" ca="1" si="37"/>
        <v>1</v>
      </c>
      <c r="J169" s="43">
        <v>1</v>
      </c>
      <c r="K169" s="44">
        <f t="shared" si="35"/>
        <v>2</v>
      </c>
      <c r="L169" s="41">
        <f t="shared" si="41"/>
        <v>16</v>
      </c>
      <c r="M169" s="41" t="s">
        <v>132</v>
      </c>
      <c r="N169" s="41" t="s">
        <v>133</v>
      </c>
      <c r="O169" s="35">
        <f t="shared" ca="1" si="39"/>
        <v>16</v>
      </c>
      <c r="P169" s="35">
        <f t="shared" si="40"/>
        <v>16</v>
      </c>
    </row>
    <row r="170" spans="1:16" x14ac:dyDescent="0.25">
      <c r="A170" s="40" t="s">
        <v>253</v>
      </c>
      <c r="B170" s="35" t="s">
        <v>254</v>
      </c>
      <c r="C170" s="35" t="s">
        <v>543</v>
      </c>
      <c r="D170" s="36" t="s">
        <v>49</v>
      </c>
      <c r="E170" s="35" t="s">
        <v>47</v>
      </c>
      <c r="F170" s="37" t="s">
        <v>9</v>
      </c>
      <c r="G170" s="62">
        <v>42114</v>
      </c>
      <c r="H170" s="62">
        <f>G170+3</f>
        <v>42117</v>
      </c>
      <c r="I170" s="39">
        <f t="shared" ca="1" si="37"/>
        <v>1</v>
      </c>
      <c r="J170" s="63">
        <v>1</v>
      </c>
      <c r="K170" s="40">
        <f t="shared" si="35"/>
        <v>4</v>
      </c>
      <c r="L170" s="34">
        <f t="shared" si="41"/>
        <v>32</v>
      </c>
      <c r="M170" s="34" t="s">
        <v>127</v>
      </c>
      <c r="N170" s="34" t="s">
        <v>152</v>
      </c>
      <c r="O170" s="35">
        <f t="shared" ca="1" si="39"/>
        <v>32</v>
      </c>
      <c r="P170" s="35">
        <f t="shared" si="40"/>
        <v>32</v>
      </c>
    </row>
    <row r="171" spans="1:16" x14ac:dyDescent="0.25">
      <c r="A171" s="40" t="s">
        <v>253</v>
      </c>
      <c r="B171" s="35" t="s">
        <v>254</v>
      </c>
      <c r="C171" s="35" t="s">
        <v>543</v>
      </c>
      <c r="D171" s="36" t="s">
        <v>49</v>
      </c>
      <c r="E171" s="35" t="s">
        <v>47</v>
      </c>
      <c r="F171" s="37" t="s">
        <v>10</v>
      </c>
      <c r="G171" s="62">
        <f>H170</f>
        <v>42117</v>
      </c>
      <c r="H171" s="62">
        <f>G171+3</f>
        <v>42120</v>
      </c>
      <c r="I171" s="39">
        <f t="shared" ca="1" si="37"/>
        <v>1</v>
      </c>
      <c r="J171" s="63">
        <v>1</v>
      </c>
      <c r="K171" s="40">
        <f t="shared" si="35"/>
        <v>2</v>
      </c>
      <c r="L171" s="34">
        <f t="shared" si="41"/>
        <v>16</v>
      </c>
      <c r="M171" s="34" t="s">
        <v>127</v>
      </c>
      <c r="N171" s="34" t="s">
        <v>152</v>
      </c>
      <c r="O171" s="35">
        <f t="shared" ca="1" si="39"/>
        <v>16</v>
      </c>
      <c r="P171" s="35">
        <f t="shared" si="40"/>
        <v>16</v>
      </c>
    </row>
    <row r="172" spans="1:16" x14ac:dyDescent="0.25">
      <c r="A172" s="40" t="s">
        <v>253</v>
      </c>
      <c r="B172" s="35" t="s">
        <v>254</v>
      </c>
      <c r="C172" s="35" t="s">
        <v>543</v>
      </c>
      <c r="D172" s="36" t="s">
        <v>49</v>
      </c>
      <c r="E172" s="35" t="s">
        <v>47</v>
      </c>
      <c r="F172" s="37" t="s">
        <v>8</v>
      </c>
      <c r="G172" s="62">
        <f>H171</f>
        <v>42120</v>
      </c>
      <c r="H172" s="62">
        <f>G172+3</f>
        <v>42123</v>
      </c>
      <c r="I172" s="39">
        <f t="shared" ca="1" si="37"/>
        <v>1</v>
      </c>
      <c r="J172" s="63">
        <v>1</v>
      </c>
      <c r="K172" s="40">
        <f t="shared" si="35"/>
        <v>3</v>
      </c>
      <c r="L172" s="34">
        <f t="shared" si="41"/>
        <v>24</v>
      </c>
      <c r="M172" s="34" t="s">
        <v>127</v>
      </c>
      <c r="N172" s="34" t="s">
        <v>152</v>
      </c>
      <c r="O172" s="35">
        <f t="shared" ca="1" si="39"/>
        <v>24</v>
      </c>
      <c r="P172" s="35">
        <f t="shared" si="40"/>
        <v>24</v>
      </c>
    </row>
    <row r="173" spans="1:16" x14ac:dyDescent="0.25">
      <c r="A173" s="40" t="s">
        <v>253</v>
      </c>
      <c r="B173" s="35" t="s">
        <v>254</v>
      </c>
      <c r="C173" s="35" t="s">
        <v>543</v>
      </c>
      <c r="D173" s="36" t="s">
        <v>49</v>
      </c>
      <c r="E173" s="35" t="s">
        <v>47</v>
      </c>
      <c r="F173" s="37" t="s">
        <v>11</v>
      </c>
      <c r="G173" s="62">
        <f>H172</f>
        <v>42123</v>
      </c>
      <c r="H173" s="62">
        <v>42128</v>
      </c>
      <c r="I173" s="39">
        <f t="shared" ca="1" si="37"/>
        <v>1</v>
      </c>
      <c r="J173" s="63">
        <v>1</v>
      </c>
      <c r="K173" s="40">
        <f t="shared" si="35"/>
        <v>4</v>
      </c>
      <c r="L173" s="34">
        <f t="shared" si="41"/>
        <v>32</v>
      </c>
      <c r="M173" s="34" t="s">
        <v>127</v>
      </c>
      <c r="N173" s="34" t="s">
        <v>152</v>
      </c>
      <c r="O173" s="35">
        <f t="shared" ca="1" si="39"/>
        <v>32</v>
      </c>
      <c r="P173" s="35">
        <f t="shared" si="40"/>
        <v>32</v>
      </c>
    </row>
    <row r="174" spans="1:16" x14ac:dyDescent="0.25">
      <c r="A174" s="41" t="s">
        <v>253</v>
      </c>
      <c r="B174" s="42" t="s">
        <v>254</v>
      </c>
      <c r="C174" s="42" t="s">
        <v>543</v>
      </c>
      <c r="D174" s="42" t="s">
        <v>49</v>
      </c>
      <c r="E174" s="42" t="s">
        <v>47</v>
      </c>
      <c r="F174" s="42" t="s">
        <v>35</v>
      </c>
      <c r="G174" s="53">
        <f>G170</f>
        <v>42114</v>
      </c>
      <c r="H174" s="53">
        <v>42128</v>
      </c>
      <c r="I174" s="43">
        <f t="shared" ca="1" si="37"/>
        <v>1</v>
      </c>
      <c r="J174" s="43">
        <v>1</v>
      </c>
      <c r="K174" s="44">
        <f t="shared" si="35"/>
        <v>11</v>
      </c>
      <c r="L174" s="41">
        <f t="shared" si="41"/>
        <v>88</v>
      </c>
      <c r="M174" s="41" t="s">
        <v>127</v>
      </c>
      <c r="N174" s="41" t="s">
        <v>152</v>
      </c>
      <c r="O174" s="35">
        <f t="shared" ca="1" si="39"/>
        <v>88</v>
      </c>
      <c r="P174" s="35">
        <f t="shared" si="40"/>
        <v>88</v>
      </c>
    </row>
    <row r="175" spans="1:16" x14ac:dyDescent="0.25">
      <c r="A175" s="40" t="s">
        <v>255</v>
      </c>
      <c r="B175" s="35" t="s">
        <v>256</v>
      </c>
      <c r="C175" s="35" t="s">
        <v>543</v>
      </c>
      <c r="D175" s="36" t="s">
        <v>49</v>
      </c>
      <c r="E175" s="35" t="s">
        <v>47</v>
      </c>
      <c r="F175" s="37" t="s">
        <v>9</v>
      </c>
      <c r="G175" s="62">
        <v>42110</v>
      </c>
      <c r="H175" s="62">
        <v>42110</v>
      </c>
      <c r="I175" s="39">
        <f t="shared" ca="1" si="37"/>
        <v>1</v>
      </c>
      <c r="J175" s="63">
        <v>1</v>
      </c>
      <c r="K175" s="40">
        <f t="shared" si="35"/>
        <v>1</v>
      </c>
      <c r="L175" s="34">
        <f t="shared" si="41"/>
        <v>8</v>
      </c>
      <c r="M175" s="34" t="s">
        <v>153</v>
      </c>
      <c r="N175" s="34" t="s">
        <v>154</v>
      </c>
      <c r="O175" s="35">
        <f t="shared" ca="1" si="39"/>
        <v>8</v>
      </c>
      <c r="P175" s="35">
        <f t="shared" si="40"/>
        <v>8</v>
      </c>
    </row>
    <row r="176" spans="1:16" x14ac:dyDescent="0.25">
      <c r="A176" s="40" t="s">
        <v>255</v>
      </c>
      <c r="B176" s="35" t="s">
        <v>256</v>
      </c>
      <c r="C176" s="35" t="s">
        <v>543</v>
      </c>
      <c r="D176" s="36" t="s">
        <v>49</v>
      </c>
      <c r="E176" s="35" t="s">
        <v>47</v>
      </c>
      <c r="F176" s="37" t="s">
        <v>10</v>
      </c>
      <c r="G176" s="62">
        <f>H175</f>
        <v>42110</v>
      </c>
      <c r="H176" s="62">
        <v>42110</v>
      </c>
      <c r="I176" s="39">
        <f t="shared" ca="1" si="37"/>
        <v>1</v>
      </c>
      <c r="J176" s="63">
        <v>1</v>
      </c>
      <c r="K176" s="40">
        <f t="shared" si="35"/>
        <v>1</v>
      </c>
      <c r="L176" s="34">
        <f t="shared" si="41"/>
        <v>8</v>
      </c>
      <c r="M176" s="34" t="s">
        <v>153</v>
      </c>
      <c r="N176" s="34" t="s">
        <v>154</v>
      </c>
      <c r="O176" s="35">
        <f t="shared" ca="1" si="39"/>
        <v>8</v>
      </c>
      <c r="P176" s="35">
        <f t="shared" si="40"/>
        <v>8</v>
      </c>
    </row>
    <row r="177" spans="1:16" x14ac:dyDescent="0.25">
      <c r="A177" s="40" t="s">
        <v>255</v>
      </c>
      <c r="B177" s="35" t="s">
        <v>256</v>
      </c>
      <c r="C177" s="35" t="s">
        <v>543</v>
      </c>
      <c r="D177" s="36" t="s">
        <v>49</v>
      </c>
      <c r="E177" s="35" t="s">
        <v>47</v>
      </c>
      <c r="F177" s="37" t="s">
        <v>8</v>
      </c>
      <c r="G177" s="62">
        <f>H176</f>
        <v>42110</v>
      </c>
      <c r="H177" s="62">
        <v>42110</v>
      </c>
      <c r="I177" s="39">
        <f t="shared" ca="1" si="37"/>
        <v>1</v>
      </c>
      <c r="J177" s="63">
        <v>1</v>
      </c>
      <c r="K177" s="40">
        <f t="shared" si="35"/>
        <v>1</v>
      </c>
      <c r="L177" s="34">
        <f t="shared" si="41"/>
        <v>8</v>
      </c>
      <c r="M177" s="34" t="s">
        <v>153</v>
      </c>
      <c r="N177" s="34" t="s">
        <v>154</v>
      </c>
      <c r="O177" s="35">
        <f t="shared" ca="1" si="39"/>
        <v>8</v>
      </c>
      <c r="P177" s="35">
        <f t="shared" si="40"/>
        <v>8</v>
      </c>
    </row>
    <row r="178" spans="1:16" x14ac:dyDescent="0.25">
      <c r="A178" s="40" t="s">
        <v>255</v>
      </c>
      <c r="B178" s="35" t="s">
        <v>256</v>
      </c>
      <c r="C178" s="35" t="s">
        <v>543</v>
      </c>
      <c r="D178" s="36" t="s">
        <v>49</v>
      </c>
      <c r="E178" s="35" t="s">
        <v>47</v>
      </c>
      <c r="F178" s="37" t="s">
        <v>11</v>
      </c>
      <c r="G178" s="62">
        <v>42114</v>
      </c>
      <c r="H178" s="62">
        <v>42114</v>
      </c>
      <c r="I178" s="39">
        <f t="shared" ca="1" si="37"/>
        <v>1</v>
      </c>
      <c r="J178" s="63">
        <v>1</v>
      </c>
      <c r="K178" s="40">
        <f t="shared" si="35"/>
        <v>1</v>
      </c>
      <c r="L178" s="34">
        <f t="shared" si="41"/>
        <v>8</v>
      </c>
      <c r="M178" s="34" t="s">
        <v>153</v>
      </c>
      <c r="N178" s="34" t="s">
        <v>154</v>
      </c>
      <c r="O178" s="35">
        <f t="shared" ca="1" si="39"/>
        <v>8</v>
      </c>
      <c r="P178" s="35">
        <f t="shared" si="40"/>
        <v>8</v>
      </c>
    </row>
    <row r="179" spans="1:16" x14ac:dyDescent="0.25">
      <c r="A179" s="41" t="s">
        <v>255</v>
      </c>
      <c r="B179" s="42" t="s">
        <v>256</v>
      </c>
      <c r="C179" s="42" t="s">
        <v>543</v>
      </c>
      <c r="D179" s="42" t="s">
        <v>49</v>
      </c>
      <c r="E179" s="42" t="s">
        <v>47</v>
      </c>
      <c r="F179" s="42" t="s">
        <v>35</v>
      </c>
      <c r="G179" s="53">
        <f>G175</f>
        <v>42110</v>
      </c>
      <c r="H179" s="53">
        <v>42114</v>
      </c>
      <c r="I179" s="43">
        <f t="shared" ca="1" si="37"/>
        <v>1</v>
      </c>
      <c r="J179" s="43">
        <v>1</v>
      </c>
      <c r="K179" s="44">
        <f t="shared" si="35"/>
        <v>3</v>
      </c>
      <c r="L179" s="41">
        <f t="shared" si="41"/>
        <v>24</v>
      </c>
      <c r="M179" s="41" t="s">
        <v>153</v>
      </c>
      <c r="N179" s="41" t="s">
        <v>154</v>
      </c>
      <c r="O179" s="35">
        <f t="shared" ca="1" si="39"/>
        <v>24</v>
      </c>
      <c r="P179" s="35">
        <f t="shared" si="40"/>
        <v>24</v>
      </c>
    </row>
    <row r="180" spans="1:16" ht="14.25" customHeight="1" x14ac:dyDescent="0.25">
      <c r="A180" s="34" t="s">
        <v>165</v>
      </c>
      <c r="B180" s="35" t="s">
        <v>163</v>
      </c>
      <c r="C180" s="86" t="s">
        <v>543</v>
      </c>
      <c r="D180" s="80" t="s">
        <v>164</v>
      </c>
      <c r="E180" s="80" t="s">
        <v>73</v>
      </c>
      <c r="F180" s="65" t="s">
        <v>70</v>
      </c>
      <c r="G180" s="85">
        <v>42131</v>
      </c>
      <c r="H180" s="62">
        <f>G180+2</f>
        <v>42133</v>
      </c>
      <c r="I180" s="39">
        <f ca="1">IF(NETWORKDAYS(G180,TODAY())/NETWORKDAYS(G180,H180,)&lt;0,0,IF(NETWORKDAYS(G180,TODAY())/NETWORKDAYS(G180,H180,)&gt;1,1,NETWORKDAYS(G180,TODAY())/NETWORKDAYS(G180,H180,)))</f>
        <v>1</v>
      </c>
      <c r="J180" s="39">
        <v>1</v>
      </c>
      <c r="K180" s="34">
        <f>NETWORKDAYS(G180,H180)</f>
        <v>2</v>
      </c>
      <c r="L180" s="34">
        <f t="shared" si="41"/>
        <v>16</v>
      </c>
      <c r="M180" s="34" t="s">
        <v>166</v>
      </c>
      <c r="N180" s="34" t="s">
        <v>167</v>
      </c>
      <c r="O180" s="35">
        <f ca="1">I180*L180</f>
        <v>16</v>
      </c>
      <c r="P180" s="45">
        <f>J180*L180</f>
        <v>16</v>
      </c>
    </row>
    <row r="181" spans="1:16" ht="15.75" customHeight="1" x14ac:dyDescent="0.25">
      <c r="A181" s="34" t="s">
        <v>165</v>
      </c>
      <c r="B181" s="35" t="s">
        <v>163</v>
      </c>
      <c r="C181" s="86" t="s">
        <v>543</v>
      </c>
      <c r="D181" s="80" t="s">
        <v>164</v>
      </c>
      <c r="E181" s="80" t="s">
        <v>73</v>
      </c>
      <c r="F181" s="65" t="s">
        <v>70</v>
      </c>
      <c r="G181" s="85">
        <f>H180</f>
        <v>42133</v>
      </c>
      <c r="H181" s="62">
        <f>G181+10</f>
        <v>42143</v>
      </c>
      <c r="I181" s="39">
        <f t="shared" ref="I181:I183" ca="1" si="42">IF(NETWORKDAYS(G181,TODAY())/NETWORKDAYS(G181,H181,)&lt;0,0,IF(NETWORKDAYS(G181,TODAY())/NETWORKDAYS(G181,H181,)&gt;1,1,NETWORKDAYS(G181,TODAY())/NETWORKDAYS(G181,H181,)))</f>
        <v>1</v>
      </c>
      <c r="J181" s="39">
        <v>1</v>
      </c>
      <c r="K181" s="34">
        <f>NETWORKDAYS(G181,H181)</f>
        <v>7</v>
      </c>
      <c r="L181" s="34">
        <f t="shared" si="41"/>
        <v>56</v>
      </c>
      <c r="M181" s="34" t="s">
        <v>166</v>
      </c>
      <c r="N181" s="34" t="s">
        <v>167</v>
      </c>
      <c r="O181" s="35">
        <f ca="1">I181*L181</f>
        <v>56</v>
      </c>
      <c r="P181" s="35">
        <f>J181*L181</f>
        <v>56</v>
      </c>
    </row>
    <row r="182" spans="1:16" ht="14.25" customHeight="1" x14ac:dyDescent="0.25">
      <c r="A182" s="34" t="s">
        <v>165</v>
      </c>
      <c r="B182" s="35" t="s">
        <v>163</v>
      </c>
      <c r="C182" s="86" t="s">
        <v>543</v>
      </c>
      <c r="D182" s="80" t="s">
        <v>164</v>
      </c>
      <c r="E182" s="80" t="s">
        <v>73</v>
      </c>
      <c r="F182" s="66" t="s">
        <v>71</v>
      </c>
      <c r="G182" s="85">
        <f>H181</f>
        <v>42143</v>
      </c>
      <c r="H182" s="62">
        <f>G182+2</f>
        <v>42145</v>
      </c>
      <c r="I182" s="39">
        <f t="shared" ca="1" si="42"/>
        <v>1</v>
      </c>
      <c r="J182" s="39">
        <v>1</v>
      </c>
      <c r="K182" s="34">
        <f>NETWORKDAYS(G182,H182)</f>
        <v>3</v>
      </c>
      <c r="L182" s="34">
        <f t="shared" si="41"/>
        <v>24</v>
      </c>
      <c r="M182" s="34" t="s">
        <v>166</v>
      </c>
      <c r="N182" s="34" t="s">
        <v>167</v>
      </c>
      <c r="O182" s="35">
        <f ca="1">I182*L182</f>
        <v>24</v>
      </c>
      <c r="P182" s="35">
        <f>J182*L182</f>
        <v>24</v>
      </c>
    </row>
    <row r="183" spans="1:16" ht="14.25" customHeight="1" x14ac:dyDescent="0.25">
      <c r="A183" s="34" t="s">
        <v>165</v>
      </c>
      <c r="B183" s="35" t="s">
        <v>163</v>
      </c>
      <c r="C183" s="86" t="s">
        <v>543</v>
      </c>
      <c r="D183" s="80" t="s">
        <v>164</v>
      </c>
      <c r="E183" s="80" t="s">
        <v>73</v>
      </c>
      <c r="F183" s="65" t="s">
        <v>72</v>
      </c>
      <c r="G183" s="85">
        <f t="shared" ref="G183" si="43">H182</f>
        <v>42145</v>
      </c>
      <c r="H183" s="62">
        <v>42146</v>
      </c>
      <c r="I183" s="39">
        <f t="shared" ca="1" si="42"/>
        <v>1</v>
      </c>
      <c r="J183" s="39">
        <v>1</v>
      </c>
      <c r="K183" s="34">
        <f>NETWORKDAYS(G183,H183)</f>
        <v>2</v>
      </c>
      <c r="L183" s="34">
        <f t="shared" si="41"/>
        <v>16</v>
      </c>
      <c r="M183" s="34" t="s">
        <v>166</v>
      </c>
      <c r="N183" s="34" t="s">
        <v>167</v>
      </c>
      <c r="O183" s="35">
        <f ca="1">I183*L183</f>
        <v>16</v>
      </c>
      <c r="P183" s="35">
        <f>J183*L183</f>
        <v>16</v>
      </c>
    </row>
    <row r="184" spans="1:16" ht="14.25" customHeight="1" x14ac:dyDescent="0.25">
      <c r="A184" s="41" t="str">
        <f>A181</f>
        <v>ID161</v>
      </c>
      <c r="B184" s="67" t="s">
        <v>163</v>
      </c>
      <c r="C184" s="67" t="s">
        <v>543</v>
      </c>
      <c r="D184" s="67" t="s">
        <v>164</v>
      </c>
      <c r="E184" s="67" t="str">
        <f>E181</f>
        <v>Olga</v>
      </c>
      <c r="F184" s="67" t="s">
        <v>35</v>
      </c>
      <c r="G184" s="53">
        <f>G180</f>
        <v>42131</v>
      </c>
      <c r="H184" s="53">
        <f>H183</f>
        <v>42146</v>
      </c>
      <c r="I184" s="43">
        <f ca="1">SUM(O180:O183)/L184</f>
        <v>1</v>
      </c>
      <c r="J184" s="43">
        <f>SUM(P180:P183)/L184</f>
        <v>1</v>
      </c>
      <c r="K184" s="41">
        <f>NETWORKDAYS(G184,H184)</f>
        <v>12</v>
      </c>
      <c r="L184" s="41">
        <f>SUM(L180:L183)</f>
        <v>112</v>
      </c>
      <c r="M184" s="41" t="s">
        <v>166</v>
      </c>
      <c r="N184" s="41" t="s">
        <v>167</v>
      </c>
      <c r="O184" s="35"/>
      <c r="P184" s="35"/>
    </row>
    <row r="185" spans="1:16" x14ac:dyDescent="0.25">
      <c r="A185" s="40" t="s">
        <v>257</v>
      </c>
      <c r="B185" s="35" t="s">
        <v>258</v>
      </c>
      <c r="C185" s="35" t="s">
        <v>543</v>
      </c>
      <c r="D185" s="36" t="s">
        <v>38</v>
      </c>
      <c r="E185" s="35" t="s">
        <v>47</v>
      </c>
      <c r="F185" s="37" t="s">
        <v>9</v>
      </c>
      <c r="G185" s="62">
        <v>42114</v>
      </c>
      <c r="H185" s="62">
        <f>G185+5</f>
        <v>42119</v>
      </c>
      <c r="I185" s="39">
        <f t="shared" ca="1" si="37"/>
        <v>1</v>
      </c>
      <c r="J185" s="63">
        <v>1</v>
      </c>
      <c r="K185" s="40">
        <f t="shared" si="35"/>
        <v>5</v>
      </c>
      <c r="L185" s="34">
        <f t="shared" ref="L185:L188" si="44">K185*8</f>
        <v>40</v>
      </c>
      <c r="M185" s="34" t="s">
        <v>157</v>
      </c>
      <c r="N185" s="34" t="s">
        <v>158</v>
      </c>
      <c r="O185" s="35">
        <f t="shared" ca="1" si="39"/>
        <v>40</v>
      </c>
      <c r="P185" s="35">
        <f t="shared" si="40"/>
        <v>40</v>
      </c>
    </row>
    <row r="186" spans="1:16" x14ac:dyDescent="0.25">
      <c r="A186" s="40" t="s">
        <v>257</v>
      </c>
      <c r="B186" s="35" t="s">
        <v>258</v>
      </c>
      <c r="C186" s="35" t="s">
        <v>543</v>
      </c>
      <c r="D186" s="36" t="s">
        <v>38</v>
      </c>
      <c r="E186" s="35" t="s">
        <v>47</v>
      </c>
      <c r="F186" s="37" t="s">
        <v>10</v>
      </c>
      <c r="G186" s="62">
        <f>H185</f>
        <v>42119</v>
      </c>
      <c r="H186" s="62">
        <f>G186+5</f>
        <v>42124</v>
      </c>
      <c r="I186" s="39">
        <f t="shared" ca="1" si="37"/>
        <v>1</v>
      </c>
      <c r="J186" s="63">
        <v>1</v>
      </c>
      <c r="K186" s="40">
        <f t="shared" si="35"/>
        <v>4</v>
      </c>
      <c r="L186" s="34">
        <f t="shared" si="44"/>
        <v>32</v>
      </c>
      <c r="M186" s="34" t="s">
        <v>157</v>
      </c>
      <c r="N186" s="34" t="s">
        <v>158</v>
      </c>
      <c r="O186" s="35">
        <f t="shared" ca="1" si="39"/>
        <v>32</v>
      </c>
      <c r="P186" s="35">
        <f t="shared" si="40"/>
        <v>32</v>
      </c>
    </row>
    <row r="187" spans="1:16" x14ac:dyDescent="0.25">
      <c r="A187" s="40" t="s">
        <v>257</v>
      </c>
      <c r="B187" s="35" t="s">
        <v>258</v>
      </c>
      <c r="C187" s="35" t="s">
        <v>543</v>
      </c>
      <c r="D187" s="36" t="s">
        <v>38</v>
      </c>
      <c r="E187" s="35" t="s">
        <v>47</v>
      </c>
      <c r="F187" s="37" t="s">
        <v>8</v>
      </c>
      <c r="G187" s="62">
        <f>H186</f>
        <v>42124</v>
      </c>
      <c r="H187" s="62">
        <f>G187+5</f>
        <v>42129</v>
      </c>
      <c r="I187" s="39">
        <f t="shared" ca="1" si="37"/>
        <v>1</v>
      </c>
      <c r="J187" s="63">
        <v>1</v>
      </c>
      <c r="K187" s="40">
        <f t="shared" si="35"/>
        <v>4</v>
      </c>
      <c r="L187" s="34">
        <f t="shared" si="44"/>
        <v>32</v>
      </c>
      <c r="M187" s="34" t="s">
        <v>157</v>
      </c>
      <c r="N187" s="34" t="s">
        <v>158</v>
      </c>
      <c r="O187" s="35">
        <f t="shared" ca="1" si="39"/>
        <v>32</v>
      </c>
      <c r="P187" s="35">
        <f t="shared" si="40"/>
        <v>32</v>
      </c>
    </row>
    <row r="188" spans="1:16" x14ac:dyDescent="0.25">
      <c r="A188" s="40" t="s">
        <v>257</v>
      </c>
      <c r="B188" s="35" t="s">
        <v>258</v>
      </c>
      <c r="C188" s="35" t="s">
        <v>543</v>
      </c>
      <c r="D188" s="36" t="s">
        <v>38</v>
      </c>
      <c r="E188" s="35" t="s">
        <v>47</v>
      </c>
      <c r="F188" s="37" t="s">
        <v>11</v>
      </c>
      <c r="G188" s="62">
        <f>H187</f>
        <v>42129</v>
      </c>
      <c r="H188" s="62">
        <v>42139</v>
      </c>
      <c r="I188" s="39">
        <v>1</v>
      </c>
      <c r="J188" s="63">
        <v>1</v>
      </c>
      <c r="K188" s="40">
        <f t="shared" si="35"/>
        <v>9</v>
      </c>
      <c r="L188" s="34">
        <f t="shared" si="44"/>
        <v>72</v>
      </c>
      <c r="M188" s="34" t="s">
        <v>157</v>
      </c>
      <c r="N188" s="34" t="s">
        <v>158</v>
      </c>
      <c r="O188" s="35">
        <f t="shared" si="39"/>
        <v>72</v>
      </c>
      <c r="P188" s="35">
        <f t="shared" si="40"/>
        <v>72</v>
      </c>
    </row>
    <row r="189" spans="1:16" x14ac:dyDescent="0.25">
      <c r="A189" s="41" t="s">
        <v>257</v>
      </c>
      <c r="B189" s="42" t="s">
        <v>258</v>
      </c>
      <c r="C189" s="42" t="s">
        <v>543</v>
      </c>
      <c r="D189" s="42" t="s">
        <v>38</v>
      </c>
      <c r="E189" s="42" t="s">
        <v>47</v>
      </c>
      <c r="F189" s="42" t="s">
        <v>35</v>
      </c>
      <c r="G189" s="53">
        <f>G185</f>
        <v>42114</v>
      </c>
      <c r="H189" s="53">
        <v>42139</v>
      </c>
      <c r="I189" s="43">
        <v>1</v>
      </c>
      <c r="J189" s="43">
        <v>1</v>
      </c>
      <c r="K189" s="44">
        <f t="shared" si="35"/>
        <v>20</v>
      </c>
      <c r="L189" s="41">
        <f t="shared" si="41"/>
        <v>160</v>
      </c>
      <c r="M189" s="41" t="s">
        <v>157</v>
      </c>
      <c r="N189" s="41" t="s">
        <v>158</v>
      </c>
      <c r="O189" s="35">
        <f t="shared" si="39"/>
        <v>160</v>
      </c>
      <c r="P189" s="35">
        <f t="shared" si="40"/>
        <v>160</v>
      </c>
    </row>
    <row r="190" spans="1:16" x14ac:dyDescent="0.25">
      <c r="A190" s="40" t="s">
        <v>259</v>
      </c>
      <c r="B190" s="35" t="s">
        <v>260</v>
      </c>
      <c r="C190" s="35" t="s">
        <v>543</v>
      </c>
      <c r="D190" s="36" t="s">
        <v>38</v>
      </c>
      <c r="E190" s="35" t="s">
        <v>47</v>
      </c>
      <c r="F190" s="37" t="s">
        <v>9</v>
      </c>
      <c r="G190" s="62">
        <v>42123</v>
      </c>
      <c r="H190" s="62">
        <f>G190+2</f>
        <v>42125</v>
      </c>
      <c r="I190" s="39">
        <f t="shared" ref="I190:I195" ca="1" si="45">IF(NETWORKDAYS(G190,TODAY())/NETWORKDAYS(G190,H190,)&lt;0,0,IF(NETWORKDAYS(G190,TODAY())/NETWORKDAYS(G190,H190,)&gt;1,1,NETWORKDAYS(G190,TODAY())/NETWORKDAYS(G190,H190,)))</f>
        <v>1</v>
      </c>
      <c r="J190" s="63">
        <v>1</v>
      </c>
      <c r="K190" s="40">
        <f t="shared" si="35"/>
        <v>3</v>
      </c>
      <c r="L190" s="34">
        <f t="shared" si="41"/>
        <v>24</v>
      </c>
      <c r="M190" s="34" t="s">
        <v>136</v>
      </c>
      <c r="N190" s="34" t="s">
        <v>137</v>
      </c>
      <c r="O190" s="35">
        <f t="shared" ca="1" si="39"/>
        <v>24</v>
      </c>
      <c r="P190" s="35">
        <f t="shared" si="40"/>
        <v>24</v>
      </c>
    </row>
    <row r="191" spans="1:16" x14ac:dyDescent="0.25">
      <c r="A191" s="40" t="s">
        <v>259</v>
      </c>
      <c r="B191" s="35" t="s">
        <v>260</v>
      </c>
      <c r="C191" s="35" t="s">
        <v>543</v>
      </c>
      <c r="D191" s="36" t="s">
        <v>38</v>
      </c>
      <c r="E191" s="35" t="s">
        <v>47</v>
      </c>
      <c r="F191" s="37" t="s">
        <v>10</v>
      </c>
      <c r="G191" s="62">
        <f>H190</f>
        <v>42125</v>
      </c>
      <c r="H191" s="62">
        <f>G191+2</f>
        <v>42127</v>
      </c>
      <c r="I191" s="39">
        <f t="shared" ca="1" si="45"/>
        <v>1</v>
      </c>
      <c r="J191" s="63">
        <v>1</v>
      </c>
      <c r="K191" s="40">
        <f t="shared" si="35"/>
        <v>1</v>
      </c>
      <c r="L191" s="34">
        <f t="shared" si="41"/>
        <v>8</v>
      </c>
      <c r="M191" s="34" t="s">
        <v>136</v>
      </c>
      <c r="N191" s="34" t="s">
        <v>137</v>
      </c>
      <c r="O191" s="35">
        <f t="shared" ca="1" si="39"/>
        <v>8</v>
      </c>
      <c r="P191" s="35">
        <f t="shared" si="40"/>
        <v>8</v>
      </c>
    </row>
    <row r="192" spans="1:16" x14ac:dyDescent="0.25">
      <c r="A192" s="40" t="s">
        <v>259</v>
      </c>
      <c r="B192" s="35" t="s">
        <v>260</v>
      </c>
      <c r="C192" s="35" t="s">
        <v>543</v>
      </c>
      <c r="D192" s="36" t="s">
        <v>38</v>
      </c>
      <c r="E192" s="35" t="s">
        <v>47</v>
      </c>
      <c r="F192" s="37" t="s">
        <v>8</v>
      </c>
      <c r="G192" s="62">
        <f>H191</f>
        <v>42127</v>
      </c>
      <c r="H192" s="62">
        <f>G192+2</f>
        <v>42129</v>
      </c>
      <c r="I192" s="39">
        <f t="shared" ca="1" si="45"/>
        <v>1</v>
      </c>
      <c r="J192" s="63">
        <v>1</v>
      </c>
      <c r="K192" s="40">
        <f t="shared" si="35"/>
        <v>2</v>
      </c>
      <c r="L192" s="34">
        <f t="shared" si="41"/>
        <v>16</v>
      </c>
      <c r="M192" s="34" t="s">
        <v>136</v>
      </c>
      <c r="N192" s="34" t="s">
        <v>137</v>
      </c>
      <c r="O192" s="35">
        <f t="shared" ca="1" si="39"/>
        <v>16</v>
      </c>
      <c r="P192" s="35">
        <f t="shared" si="40"/>
        <v>16</v>
      </c>
    </row>
    <row r="193" spans="1:16" x14ac:dyDescent="0.25">
      <c r="A193" s="40" t="s">
        <v>259</v>
      </c>
      <c r="B193" s="35" t="s">
        <v>260</v>
      </c>
      <c r="C193" s="35" t="s">
        <v>543</v>
      </c>
      <c r="D193" s="36" t="s">
        <v>38</v>
      </c>
      <c r="E193" s="35" t="s">
        <v>47</v>
      </c>
      <c r="F193" s="37" t="s">
        <v>11</v>
      </c>
      <c r="G193" s="62">
        <f>H192</f>
        <v>42129</v>
      </c>
      <c r="H193" s="62">
        <v>42131</v>
      </c>
      <c r="I193" s="39">
        <f t="shared" ca="1" si="45"/>
        <v>1</v>
      </c>
      <c r="J193" s="63">
        <v>1</v>
      </c>
      <c r="K193" s="40">
        <f t="shared" si="35"/>
        <v>3</v>
      </c>
      <c r="L193" s="34">
        <f t="shared" si="41"/>
        <v>24</v>
      </c>
      <c r="M193" s="34" t="s">
        <v>136</v>
      </c>
      <c r="N193" s="34" t="s">
        <v>137</v>
      </c>
      <c r="O193" s="35">
        <f t="shared" ca="1" si="39"/>
        <v>24</v>
      </c>
      <c r="P193" s="35">
        <f t="shared" si="40"/>
        <v>24</v>
      </c>
    </row>
    <row r="194" spans="1:16" x14ac:dyDescent="0.25">
      <c r="A194" s="41" t="s">
        <v>259</v>
      </c>
      <c r="B194" s="42" t="s">
        <v>260</v>
      </c>
      <c r="C194" s="42" t="s">
        <v>543</v>
      </c>
      <c r="D194" s="42" t="s">
        <v>38</v>
      </c>
      <c r="E194" s="42" t="s">
        <v>47</v>
      </c>
      <c r="F194" s="42" t="s">
        <v>35</v>
      </c>
      <c r="G194" s="53">
        <f>G190</f>
        <v>42123</v>
      </c>
      <c r="H194" s="53">
        <v>42131</v>
      </c>
      <c r="I194" s="43">
        <f t="shared" ca="1" si="45"/>
        <v>1</v>
      </c>
      <c r="J194" s="43">
        <v>1</v>
      </c>
      <c r="K194" s="44">
        <f t="shared" si="35"/>
        <v>7</v>
      </c>
      <c r="L194" s="41">
        <f t="shared" si="41"/>
        <v>56</v>
      </c>
      <c r="M194" s="41" t="s">
        <v>136</v>
      </c>
      <c r="N194" s="41" t="s">
        <v>137</v>
      </c>
      <c r="O194" s="35">
        <f t="shared" ca="1" si="39"/>
        <v>56</v>
      </c>
      <c r="P194" s="35">
        <f t="shared" si="40"/>
        <v>56</v>
      </c>
    </row>
    <row r="195" spans="1:16" x14ac:dyDescent="0.25">
      <c r="A195" s="40" t="s">
        <v>261</v>
      </c>
      <c r="B195" s="35" t="s">
        <v>262</v>
      </c>
      <c r="C195" s="35" t="s">
        <v>543</v>
      </c>
      <c r="D195" s="36" t="s">
        <v>38</v>
      </c>
      <c r="E195" s="35" t="s">
        <v>47</v>
      </c>
      <c r="F195" s="37" t="s">
        <v>9</v>
      </c>
      <c r="G195" s="62">
        <v>42132</v>
      </c>
      <c r="H195" s="62">
        <f>G195+1</f>
        <v>42133</v>
      </c>
      <c r="I195" s="39">
        <f t="shared" ca="1" si="45"/>
        <v>1</v>
      </c>
      <c r="J195" s="63">
        <v>1</v>
      </c>
      <c r="K195" s="40">
        <f t="shared" si="35"/>
        <v>1</v>
      </c>
      <c r="L195" s="34">
        <f t="shared" si="41"/>
        <v>8</v>
      </c>
      <c r="M195" s="34" t="s">
        <v>140</v>
      </c>
      <c r="N195" s="34" t="s">
        <v>141</v>
      </c>
      <c r="O195" s="35">
        <f t="shared" ca="1" si="39"/>
        <v>8</v>
      </c>
      <c r="P195" s="35">
        <f t="shared" si="40"/>
        <v>8</v>
      </c>
    </row>
    <row r="196" spans="1:16" x14ac:dyDescent="0.25">
      <c r="A196" s="40" t="s">
        <v>261</v>
      </c>
      <c r="B196" s="35" t="s">
        <v>262</v>
      </c>
      <c r="C196" s="35" t="s">
        <v>543</v>
      </c>
      <c r="D196" s="36" t="s">
        <v>38</v>
      </c>
      <c r="E196" s="35" t="s">
        <v>47</v>
      </c>
      <c r="F196" s="37" t="s">
        <v>10</v>
      </c>
      <c r="G196" s="62">
        <f>H195</f>
        <v>42133</v>
      </c>
      <c r="H196" s="62">
        <f>G196+1</f>
        <v>42134</v>
      </c>
      <c r="I196" s="39">
        <v>1</v>
      </c>
      <c r="J196" s="63">
        <v>1</v>
      </c>
      <c r="K196" s="40">
        <f t="shared" si="35"/>
        <v>0</v>
      </c>
      <c r="L196" s="34">
        <f t="shared" si="41"/>
        <v>0</v>
      </c>
      <c r="M196" s="34" t="s">
        <v>140</v>
      </c>
      <c r="N196" s="34" t="s">
        <v>141</v>
      </c>
      <c r="O196" s="35">
        <f t="shared" si="39"/>
        <v>0</v>
      </c>
      <c r="P196" s="35">
        <f t="shared" si="40"/>
        <v>0</v>
      </c>
    </row>
    <row r="197" spans="1:16" x14ac:dyDescent="0.25">
      <c r="A197" s="40" t="s">
        <v>261</v>
      </c>
      <c r="B197" s="35" t="s">
        <v>262</v>
      </c>
      <c r="C197" s="35" t="s">
        <v>543</v>
      </c>
      <c r="D197" s="36" t="s">
        <v>38</v>
      </c>
      <c r="E197" s="35" t="s">
        <v>47</v>
      </c>
      <c r="F197" s="37" t="s">
        <v>8</v>
      </c>
      <c r="G197" s="62">
        <f>H196</f>
        <v>42134</v>
      </c>
      <c r="H197" s="62">
        <f>G197+1</f>
        <v>42135</v>
      </c>
      <c r="I197" s="39">
        <f t="shared" ref="I197:I209" ca="1" si="46">IF(NETWORKDAYS(G197,TODAY())/NETWORKDAYS(G197,H197,)&lt;0,0,IF(NETWORKDAYS(G197,TODAY())/NETWORKDAYS(G197,H197,)&gt;1,1,NETWORKDAYS(G197,TODAY())/NETWORKDAYS(G197,H197,)))</f>
        <v>1</v>
      </c>
      <c r="J197" s="63">
        <v>1</v>
      </c>
      <c r="K197" s="40">
        <f t="shared" si="35"/>
        <v>1</v>
      </c>
      <c r="L197" s="34">
        <f t="shared" si="41"/>
        <v>8</v>
      </c>
      <c r="M197" s="34" t="s">
        <v>140</v>
      </c>
      <c r="N197" s="34" t="s">
        <v>141</v>
      </c>
      <c r="O197" s="35">
        <f t="shared" ca="1" si="39"/>
        <v>8</v>
      </c>
      <c r="P197" s="35">
        <f t="shared" si="40"/>
        <v>8</v>
      </c>
    </row>
    <row r="198" spans="1:16" x14ac:dyDescent="0.25">
      <c r="A198" s="40" t="s">
        <v>261</v>
      </c>
      <c r="B198" s="35" t="s">
        <v>262</v>
      </c>
      <c r="C198" s="35" t="s">
        <v>543</v>
      </c>
      <c r="D198" s="36" t="s">
        <v>38</v>
      </c>
      <c r="E198" s="35" t="s">
        <v>47</v>
      </c>
      <c r="F198" s="37" t="s">
        <v>11</v>
      </c>
      <c r="G198" s="62">
        <f>H197</f>
        <v>42135</v>
      </c>
      <c r="H198" s="62">
        <v>42137</v>
      </c>
      <c r="I198" s="39">
        <f t="shared" ca="1" si="46"/>
        <v>1</v>
      </c>
      <c r="J198" s="63">
        <v>1</v>
      </c>
      <c r="K198" s="40">
        <f t="shared" si="35"/>
        <v>3</v>
      </c>
      <c r="L198" s="34">
        <f t="shared" si="41"/>
        <v>24</v>
      </c>
      <c r="M198" s="34" t="s">
        <v>140</v>
      </c>
      <c r="N198" s="34" t="s">
        <v>141</v>
      </c>
      <c r="O198" s="35">
        <f t="shared" ca="1" si="39"/>
        <v>24</v>
      </c>
      <c r="P198" s="35">
        <f t="shared" si="40"/>
        <v>24</v>
      </c>
    </row>
    <row r="199" spans="1:16" x14ac:dyDescent="0.25">
      <c r="A199" s="41" t="s">
        <v>261</v>
      </c>
      <c r="B199" s="42" t="s">
        <v>262</v>
      </c>
      <c r="C199" s="42" t="s">
        <v>543</v>
      </c>
      <c r="D199" s="42" t="s">
        <v>38</v>
      </c>
      <c r="E199" s="42" t="s">
        <v>47</v>
      </c>
      <c r="F199" s="42" t="s">
        <v>35</v>
      </c>
      <c r="G199" s="53">
        <f>G195</f>
        <v>42132</v>
      </c>
      <c r="H199" s="53">
        <v>42137</v>
      </c>
      <c r="I199" s="43">
        <f t="shared" ca="1" si="46"/>
        <v>1</v>
      </c>
      <c r="J199" s="43">
        <v>1</v>
      </c>
      <c r="K199" s="44">
        <f t="shared" si="35"/>
        <v>4</v>
      </c>
      <c r="L199" s="41">
        <f t="shared" si="41"/>
        <v>32</v>
      </c>
      <c r="M199" s="41" t="s">
        <v>140</v>
      </c>
      <c r="N199" s="41" t="s">
        <v>141</v>
      </c>
      <c r="O199" s="35">
        <f t="shared" ca="1" si="39"/>
        <v>32</v>
      </c>
      <c r="P199" s="35">
        <f t="shared" si="40"/>
        <v>32</v>
      </c>
    </row>
    <row r="200" spans="1:16" x14ac:dyDescent="0.25">
      <c r="A200" s="40" t="s">
        <v>263</v>
      </c>
      <c r="B200" s="35" t="s">
        <v>264</v>
      </c>
      <c r="C200" s="35" t="s">
        <v>543</v>
      </c>
      <c r="D200" s="36" t="s">
        <v>38</v>
      </c>
      <c r="E200" s="35" t="s">
        <v>47</v>
      </c>
      <c r="F200" s="37" t="s">
        <v>9</v>
      </c>
      <c r="G200" s="62">
        <v>42123</v>
      </c>
      <c r="H200" s="62">
        <f>G200+2</f>
        <v>42125</v>
      </c>
      <c r="I200" s="39">
        <f t="shared" ca="1" si="46"/>
        <v>1</v>
      </c>
      <c r="J200" s="63">
        <v>1</v>
      </c>
      <c r="K200" s="40">
        <f t="shared" si="35"/>
        <v>3</v>
      </c>
      <c r="L200" s="34">
        <f t="shared" si="41"/>
        <v>24</v>
      </c>
      <c r="M200" s="34" t="s">
        <v>127</v>
      </c>
      <c r="N200" s="34" t="s">
        <v>152</v>
      </c>
      <c r="O200" s="35">
        <f t="shared" ca="1" si="39"/>
        <v>24</v>
      </c>
      <c r="P200" s="35">
        <f t="shared" si="40"/>
        <v>24</v>
      </c>
    </row>
    <row r="201" spans="1:16" x14ac:dyDescent="0.25">
      <c r="A201" s="40" t="s">
        <v>263</v>
      </c>
      <c r="B201" s="35" t="s">
        <v>264</v>
      </c>
      <c r="C201" s="35" t="s">
        <v>543</v>
      </c>
      <c r="D201" s="36" t="s">
        <v>38</v>
      </c>
      <c r="E201" s="35" t="s">
        <v>47</v>
      </c>
      <c r="F201" s="37" t="s">
        <v>10</v>
      </c>
      <c r="G201" s="62">
        <f>H200</f>
        <v>42125</v>
      </c>
      <c r="H201" s="62">
        <f>G201+2</f>
        <v>42127</v>
      </c>
      <c r="I201" s="39">
        <f t="shared" ca="1" si="46"/>
        <v>1</v>
      </c>
      <c r="J201" s="63">
        <v>1</v>
      </c>
      <c r="K201" s="40">
        <f t="shared" si="35"/>
        <v>1</v>
      </c>
      <c r="L201" s="34">
        <f t="shared" si="41"/>
        <v>8</v>
      </c>
      <c r="M201" s="34" t="s">
        <v>127</v>
      </c>
      <c r="N201" s="34" t="s">
        <v>152</v>
      </c>
      <c r="O201" s="35">
        <f t="shared" ca="1" si="39"/>
        <v>8</v>
      </c>
      <c r="P201" s="35">
        <f t="shared" si="40"/>
        <v>8</v>
      </c>
    </row>
    <row r="202" spans="1:16" x14ac:dyDescent="0.25">
      <c r="A202" s="40" t="s">
        <v>263</v>
      </c>
      <c r="B202" s="35" t="s">
        <v>264</v>
      </c>
      <c r="C202" s="35" t="s">
        <v>543</v>
      </c>
      <c r="D202" s="36" t="s">
        <v>38</v>
      </c>
      <c r="E202" s="35" t="s">
        <v>47</v>
      </c>
      <c r="F202" s="37" t="s">
        <v>8</v>
      </c>
      <c r="G202" s="62">
        <f>H201</f>
        <v>42127</v>
      </c>
      <c r="H202" s="62">
        <f>G202+2</f>
        <v>42129</v>
      </c>
      <c r="I202" s="39">
        <f t="shared" ca="1" si="46"/>
        <v>1</v>
      </c>
      <c r="J202" s="63">
        <v>1</v>
      </c>
      <c r="K202" s="40">
        <f t="shared" si="35"/>
        <v>2</v>
      </c>
      <c r="L202" s="34">
        <f t="shared" si="41"/>
        <v>16</v>
      </c>
      <c r="M202" s="34" t="s">
        <v>127</v>
      </c>
      <c r="N202" s="34" t="s">
        <v>152</v>
      </c>
      <c r="O202" s="35">
        <f t="shared" ca="1" si="39"/>
        <v>16</v>
      </c>
      <c r="P202" s="35">
        <f t="shared" si="40"/>
        <v>16</v>
      </c>
    </row>
    <row r="203" spans="1:16" x14ac:dyDescent="0.25">
      <c r="A203" s="40" t="s">
        <v>263</v>
      </c>
      <c r="B203" s="35" t="s">
        <v>264</v>
      </c>
      <c r="C203" s="35" t="s">
        <v>543</v>
      </c>
      <c r="D203" s="36" t="s">
        <v>38</v>
      </c>
      <c r="E203" s="35" t="s">
        <v>47</v>
      </c>
      <c r="F203" s="37" t="s">
        <v>11</v>
      </c>
      <c r="G203" s="62">
        <f>H202</f>
        <v>42129</v>
      </c>
      <c r="H203" s="62">
        <v>42135</v>
      </c>
      <c r="I203" s="39">
        <f t="shared" ca="1" si="46"/>
        <v>1</v>
      </c>
      <c r="J203" s="63">
        <v>1</v>
      </c>
      <c r="K203" s="40">
        <f t="shared" si="35"/>
        <v>5</v>
      </c>
      <c r="L203" s="34">
        <f t="shared" si="41"/>
        <v>40</v>
      </c>
      <c r="M203" s="34" t="s">
        <v>127</v>
      </c>
      <c r="N203" s="34" t="s">
        <v>152</v>
      </c>
      <c r="O203" s="35">
        <f t="shared" ca="1" si="39"/>
        <v>40</v>
      </c>
      <c r="P203" s="35">
        <f t="shared" si="40"/>
        <v>40</v>
      </c>
    </row>
    <row r="204" spans="1:16" x14ac:dyDescent="0.25">
      <c r="A204" s="41" t="s">
        <v>263</v>
      </c>
      <c r="B204" s="42" t="s">
        <v>264</v>
      </c>
      <c r="C204" s="42" t="s">
        <v>543</v>
      </c>
      <c r="D204" s="42" t="s">
        <v>38</v>
      </c>
      <c r="E204" s="42" t="s">
        <v>47</v>
      </c>
      <c r="F204" s="42" t="s">
        <v>35</v>
      </c>
      <c r="G204" s="53">
        <f>G200</f>
        <v>42123</v>
      </c>
      <c r="H204" s="53">
        <v>42135</v>
      </c>
      <c r="I204" s="43">
        <f t="shared" ca="1" si="46"/>
        <v>1</v>
      </c>
      <c r="J204" s="43">
        <v>1</v>
      </c>
      <c r="K204" s="44">
        <f t="shared" si="35"/>
        <v>9</v>
      </c>
      <c r="L204" s="41">
        <f t="shared" si="41"/>
        <v>72</v>
      </c>
      <c r="M204" s="41" t="s">
        <v>127</v>
      </c>
      <c r="N204" s="41" t="s">
        <v>152</v>
      </c>
      <c r="O204" s="35">
        <f t="shared" ca="1" si="39"/>
        <v>72</v>
      </c>
      <c r="P204" s="35">
        <f t="shared" si="40"/>
        <v>72</v>
      </c>
    </row>
    <row r="205" spans="1:16" x14ac:dyDescent="0.25">
      <c r="A205" s="40" t="s">
        <v>110</v>
      </c>
      <c r="B205" s="35" t="s">
        <v>67</v>
      </c>
      <c r="C205" s="35" t="s">
        <v>543</v>
      </c>
      <c r="D205" s="36" t="s">
        <v>38</v>
      </c>
      <c r="E205" s="35" t="s">
        <v>47</v>
      </c>
      <c r="F205" s="37" t="s">
        <v>9</v>
      </c>
      <c r="G205" s="62">
        <v>42136</v>
      </c>
      <c r="H205" s="62">
        <f>G205+1</f>
        <v>42137</v>
      </c>
      <c r="I205" s="39">
        <f t="shared" ca="1" si="46"/>
        <v>1</v>
      </c>
      <c r="J205" s="63">
        <v>1</v>
      </c>
      <c r="K205" s="40">
        <f t="shared" si="35"/>
        <v>2</v>
      </c>
      <c r="L205" s="34">
        <f t="shared" si="41"/>
        <v>16</v>
      </c>
      <c r="M205" s="34" t="s">
        <v>127</v>
      </c>
      <c r="N205" s="34" t="s">
        <v>152</v>
      </c>
      <c r="O205" s="35">
        <f t="shared" ca="1" si="39"/>
        <v>16</v>
      </c>
      <c r="P205" s="35">
        <f t="shared" si="40"/>
        <v>16</v>
      </c>
    </row>
    <row r="206" spans="1:16" x14ac:dyDescent="0.25">
      <c r="A206" s="40" t="s">
        <v>110</v>
      </c>
      <c r="B206" s="35" t="s">
        <v>67</v>
      </c>
      <c r="C206" s="35" t="s">
        <v>543</v>
      </c>
      <c r="D206" s="36" t="s">
        <v>38</v>
      </c>
      <c r="E206" s="35" t="s">
        <v>47</v>
      </c>
      <c r="F206" s="37" t="s">
        <v>10</v>
      </c>
      <c r="G206" s="62">
        <f>H205</f>
        <v>42137</v>
      </c>
      <c r="H206" s="62">
        <f>G206+1</f>
        <v>42138</v>
      </c>
      <c r="I206" s="39">
        <f t="shared" ca="1" si="46"/>
        <v>1</v>
      </c>
      <c r="J206" s="63">
        <v>1</v>
      </c>
      <c r="K206" s="40">
        <f t="shared" si="35"/>
        <v>2</v>
      </c>
      <c r="L206" s="34">
        <f t="shared" si="41"/>
        <v>16</v>
      </c>
      <c r="M206" s="34" t="s">
        <v>127</v>
      </c>
      <c r="N206" s="34" t="s">
        <v>152</v>
      </c>
      <c r="O206" s="35">
        <f t="shared" ca="1" si="39"/>
        <v>16</v>
      </c>
      <c r="P206" s="35">
        <f t="shared" si="40"/>
        <v>16</v>
      </c>
    </row>
    <row r="207" spans="1:16" x14ac:dyDescent="0.25">
      <c r="A207" s="40" t="s">
        <v>110</v>
      </c>
      <c r="B207" s="35" t="s">
        <v>67</v>
      </c>
      <c r="C207" s="35" t="s">
        <v>543</v>
      </c>
      <c r="D207" s="36" t="s">
        <v>38</v>
      </c>
      <c r="E207" s="35" t="s">
        <v>47</v>
      </c>
      <c r="F207" s="37" t="s">
        <v>8</v>
      </c>
      <c r="G207" s="62">
        <f>H206</f>
        <v>42138</v>
      </c>
      <c r="H207" s="62">
        <f>G207+1</f>
        <v>42139</v>
      </c>
      <c r="I207" s="39">
        <f t="shared" ca="1" si="46"/>
        <v>1</v>
      </c>
      <c r="J207" s="63">
        <v>1</v>
      </c>
      <c r="K207" s="40">
        <f t="shared" si="35"/>
        <v>2</v>
      </c>
      <c r="L207" s="34">
        <f t="shared" si="41"/>
        <v>16</v>
      </c>
      <c r="M207" s="34" t="s">
        <v>127</v>
      </c>
      <c r="N207" s="34" t="s">
        <v>152</v>
      </c>
      <c r="O207" s="35">
        <f t="shared" ca="1" si="39"/>
        <v>16</v>
      </c>
      <c r="P207" s="35">
        <f t="shared" si="40"/>
        <v>16</v>
      </c>
    </row>
    <row r="208" spans="1:16" x14ac:dyDescent="0.25">
      <c r="A208" s="40" t="s">
        <v>110</v>
      </c>
      <c r="B208" s="35" t="s">
        <v>67</v>
      </c>
      <c r="C208" s="35" t="s">
        <v>543</v>
      </c>
      <c r="D208" s="36" t="s">
        <v>38</v>
      </c>
      <c r="E208" s="35" t="s">
        <v>47</v>
      </c>
      <c r="F208" s="37" t="s">
        <v>11</v>
      </c>
      <c r="G208" s="62">
        <f>H207</f>
        <v>42139</v>
      </c>
      <c r="H208" s="62">
        <v>42144</v>
      </c>
      <c r="I208" s="39">
        <f t="shared" ca="1" si="46"/>
        <v>1</v>
      </c>
      <c r="J208" s="63">
        <v>0.5</v>
      </c>
      <c r="K208" s="40">
        <f t="shared" si="35"/>
        <v>4</v>
      </c>
      <c r="L208" s="34">
        <f t="shared" si="41"/>
        <v>32</v>
      </c>
      <c r="M208" s="34" t="s">
        <v>127</v>
      </c>
      <c r="N208" s="34" t="s">
        <v>152</v>
      </c>
      <c r="O208" s="35">
        <f t="shared" ca="1" si="39"/>
        <v>32</v>
      </c>
      <c r="P208" s="35">
        <f t="shared" si="40"/>
        <v>16</v>
      </c>
    </row>
    <row r="209" spans="1:16" x14ac:dyDescent="0.25">
      <c r="A209" s="41" t="s">
        <v>110</v>
      </c>
      <c r="B209" s="42" t="s">
        <v>67</v>
      </c>
      <c r="C209" s="42" t="s">
        <v>543</v>
      </c>
      <c r="D209" s="42" t="s">
        <v>38</v>
      </c>
      <c r="E209" s="42" t="s">
        <v>47</v>
      </c>
      <c r="F209" s="42" t="s">
        <v>35</v>
      </c>
      <c r="G209" s="53">
        <f>G205</f>
        <v>42136</v>
      </c>
      <c r="H209" s="53">
        <v>42144</v>
      </c>
      <c r="I209" s="43">
        <f t="shared" ca="1" si="46"/>
        <v>1</v>
      </c>
      <c r="J209" s="43">
        <v>1</v>
      </c>
      <c r="K209" s="44">
        <f t="shared" si="35"/>
        <v>7</v>
      </c>
      <c r="L209" s="41">
        <f t="shared" si="41"/>
        <v>56</v>
      </c>
      <c r="M209" s="41" t="s">
        <v>127</v>
      </c>
      <c r="N209" s="41" t="s">
        <v>152</v>
      </c>
      <c r="O209" s="35">
        <f t="shared" ca="1" si="39"/>
        <v>56</v>
      </c>
      <c r="P209" s="35">
        <f t="shared" si="40"/>
        <v>56</v>
      </c>
    </row>
    <row r="210" spans="1:16" x14ac:dyDescent="0.25">
      <c r="A210" s="40" t="s">
        <v>265</v>
      </c>
      <c r="B210" s="35" t="s">
        <v>266</v>
      </c>
      <c r="C210" s="35" t="s">
        <v>543</v>
      </c>
      <c r="D210" s="36" t="s">
        <v>41</v>
      </c>
      <c r="E210" s="35" t="s">
        <v>47</v>
      </c>
      <c r="F210" s="37" t="s">
        <v>9</v>
      </c>
      <c r="G210" s="62">
        <v>42123</v>
      </c>
      <c r="H210" s="62">
        <f>G210+1</f>
        <v>42124</v>
      </c>
      <c r="I210" s="63">
        <v>1</v>
      </c>
      <c r="J210" s="63">
        <v>1</v>
      </c>
      <c r="K210" s="40">
        <f t="shared" si="35"/>
        <v>2</v>
      </c>
      <c r="L210" s="34">
        <f t="shared" si="41"/>
        <v>16</v>
      </c>
      <c r="M210" s="34" t="s">
        <v>136</v>
      </c>
      <c r="N210" s="34" t="s">
        <v>137</v>
      </c>
      <c r="O210" s="35">
        <f t="shared" si="39"/>
        <v>16</v>
      </c>
      <c r="P210" s="35">
        <f t="shared" si="40"/>
        <v>16</v>
      </c>
    </row>
    <row r="211" spans="1:16" x14ac:dyDescent="0.25">
      <c r="A211" s="40" t="s">
        <v>265</v>
      </c>
      <c r="B211" s="35" t="s">
        <v>266</v>
      </c>
      <c r="C211" s="35" t="s">
        <v>543</v>
      </c>
      <c r="D211" s="36" t="s">
        <v>41</v>
      </c>
      <c r="E211" s="35" t="s">
        <v>47</v>
      </c>
      <c r="F211" s="37" t="s">
        <v>10</v>
      </c>
      <c r="G211" s="62">
        <f>H210</f>
        <v>42124</v>
      </c>
      <c r="H211" s="62">
        <v>42124</v>
      </c>
      <c r="I211" s="63">
        <v>1</v>
      </c>
      <c r="J211" s="63">
        <v>1</v>
      </c>
      <c r="K211" s="40">
        <f t="shared" si="35"/>
        <v>1</v>
      </c>
      <c r="L211" s="34">
        <f t="shared" si="41"/>
        <v>8</v>
      </c>
      <c r="M211" s="34" t="s">
        <v>136</v>
      </c>
      <c r="N211" s="34" t="s">
        <v>137</v>
      </c>
      <c r="O211" s="35">
        <f t="shared" si="39"/>
        <v>8</v>
      </c>
      <c r="P211" s="35">
        <f t="shared" si="40"/>
        <v>8</v>
      </c>
    </row>
    <row r="212" spans="1:16" x14ac:dyDescent="0.25">
      <c r="A212" s="40" t="s">
        <v>265</v>
      </c>
      <c r="B212" s="35" t="s">
        <v>266</v>
      </c>
      <c r="C212" s="35" t="s">
        <v>543</v>
      </c>
      <c r="D212" s="36" t="s">
        <v>41</v>
      </c>
      <c r="E212" s="35" t="s">
        <v>47</v>
      </c>
      <c r="F212" s="37" t="s">
        <v>8</v>
      </c>
      <c r="G212" s="62">
        <f>H211</f>
        <v>42124</v>
      </c>
      <c r="H212" s="62">
        <v>42124</v>
      </c>
      <c r="I212" s="63">
        <v>1</v>
      </c>
      <c r="J212" s="63">
        <v>1</v>
      </c>
      <c r="K212" s="40">
        <f t="shared" si="35"/>
        <v>1</v>
      </c>
      <c r="L212" s="34">
        <f t="shared" si="41"/>
        <v>8</v>
      </c>
      <c r="M212" s="34" t="s">
        <v>136</v>
      </c>
      <c r="N212" s="34" t="s">
        <v>137</v>
      </c>
      <c r="O212" s="35">
        <f t="shared" si="39"/>
        <v>8</v>
      </c>
      <c r="P212" s="35">
        <f t="shared" si="40"/>
        <v>8</v>
      </c>
    </row>
    <row r="213" spans="1:16" x14ac:dyDescent="0.25">
      <c r="A213" s="40" t="s">
        <v>265</v>
      </c>
      <c r="B213" s="35" t="s">
        <v>266</v>
      </c>
      <c r="C213" s="35" t="s">
        <v>543</v>
      </c>
      <c r="D213" s="36" t="s">
        <v>41</v>
      </c>
      <c r="E213" s="35" t="s">
        <v>47</v>
      </c>
      <c r="F213" s="37" t="s">
        <v>11</v>
      </c>
      <c r="G213" s="62">
        <f>H212</f>
        <v>42124</v>
      </c>
      <c r="H213" s="62">
        <v>42124</v>
      </c>
      <c r="I213" s="63">
        <v>1</v>
      </c>
      <c r="J213" s="63">
        <v>1</v>
      </c>
      <c r="K213" s="40">
        <f t="shared" si="35"/>
        <v>1</v>
      </c>
      <c r="L213" s="34">
        <f t="shared" si="41"/>
        <v>8</v>
      </c>
      <c r="M213" s="34" t="s">
        <v>136</v>
      </c>
      <c r="N213" s="34" t="s">
        <v>137</v>
      </c>
      <c r="O213" s="35">
        <f t="shared" si="39"/>
        <v>8</v>
      </c>
      <c r="P213" s="35">
        <f t="shared" si="40"/>
        <v>8</v>
      </c>
    </row>
    <row r="214" spans="1:16" x14ac:dyDescent="0.25">
      <c r="A214" s="41" t="s">
        <v>265</v>
      </c>
      <c r="B214" s="42" t="s">
        <v>266</v>
      </c>
      <c r="C214" s="42" t="s">
        <v>543</v>
      </c>
      <c r="D214" s="42" t="s">
        <v>41</v>
      </c>
      <c r="E214" s="42" t="s">
        <v>47</v>
      </c>
      <c r="F214" s="42" t="s">
        <v>35</v>
      </c>
      <c r="G214" s="53">
        <f>G210</f>
        <v>42123</v>
      </c>
      <c r="H214" s="53">
        <v>42124</v>
      </c>
      <c r="I214" s="43">
        <v>1</v>
      </c>
      <c r="J214" s="43">
        <v>1</v>
      </c>
      <c r="K214" s="44">
        <f t="shared" si="35"/>
        <v>2</v>
      </c>
      <c r="L214" s="41">
        <f t="shared" si="41"/>
        <v>16</v>
      </c>
      <c r="M214" s="41" t="s">
        <v>136</v>
      </c>
      <c r="N214" s="41" t="s">
        <v>137</v>
      </c>
      <c r="O214" s="35">
        <f t="shared" si="39"/>
        <v>16</v>
      </c>
      <c r="P214" s="35">
        <f t="shared" si="40"/>
        <v>16</v>
      </c>
    </row>
    <row r="215" spans="1:16" x14ac:dyDescent="0.25">
      <c r="A215" s="40" t="s">
        <v>267</v>
      </c>
      <c r="B215" s="35" t="s">
        <v>268</v>
      </c>
      <c r="C215" s="35" t="s">
        <v>543</v>
      </c>
      <c r="D215" s="36" t="s">
        <v>38</v>
      </c>
      <c r="E215" s="35" t="s">
        <v>47</v>
      </c>
      <c r="F215" s="37" t="s">
        <v>9</v>
      </c>
      <c r="G215" s="62">
        <v>42114</v>
      </c>
      <c r="H215" s="62">
        <f>G215+2</f>
        <v>42116</v>
      </c>
      <c r="I215" s="63">
        <v>1</v>
      </c>
      <c r="J215" s="63">
        <v>1</v>
      </c>
      <c r="K215" s="40">
        <f t="shared" si="35"/>
        <v>3</v>
      </c>
      <c r="L215" s="34">
        <f t="shared" si="41"/>
        <v>24</v>
      </c>
      <c r="M215" s="34" t="s">
        <v>144</v>
      </c>
      <c r="N215" s="34" t="s">
        <v>145</v>
      </c>
      <c r="O215" s="35">
        <f t="shared" si="39"/>
        <v>24</v>
      </c>
      <c r="P215" s="35">
        <f t="shared" si="40"/>
        <v>24</v>
      </c>
    </row>
    <row r="216" spans="1:16" x14ac:dyDescent="0.25">
      <c r="A216" s="40" t="s">
        <v>267</v>
      </c>
      <c r="B216" s="35" t="s">
        <v>268</v>
      </c>
      <c r="C216" s="35" t="s">
        <v>543</v>
      </c>
      <c r="D216" s="36" t="s">
        <v>38</v>
      </c>
      <c r="E216" s="35" t="s">
        <v>47</v>
      </c>
      <c r="F216" s="37" t="s">
        <v>10</v>
      </c>
      <c r="G216" s="62">
        <f>H215</f>
        <v>42116</v>
      </c>
      <c r="H216" s="62">
        <f>G216+2</f>
        <v>42118</v>
      </c>
      <c r="I216" s="63">
        <v>1</v>
      </c>
      <c r="J216" s="63">
        <v>1</v>
      </c>
      <c r="K216" s="40">
        <f t="shared" si="35"/>
        <v>3</v>
      </c>
      <c r="L216" s="34">
        <f t="shared" si="41"/>
        <v>24</v>
      </c>
      <c r="M216" s="34" t="s">
        <v>144</v>
      </c>
      <c r="N216" s="34" t="s">
        <v>145</v>
      </c>
      <c r="O216" s="35">
        <f t="shared" si="39"/>
        <v>24</v>
      </c>
      <c r="P216" s="35">
        <f t="shared" si="40"/>
        <v>24</v>
      </c>
    </row>
    <row r="217" spans="1:16" x14ac:dyDescent="0.25">
      <c r="A217" s="40" t="s">
        <v>267</v>
      </c>
      <c r="B217" s="35" t="s">
        <v>268</v>
      </c>
      <c r="C217" s="35" t="s">
        <v>543</v>
      </c>
      <c r="D217" s="36" t="s">
        <v>38</v>
      </c>
      <c r="E217" s="35" t="s">
        <v>47</v>
      </c>
      <c r="F217" s="37" t="s">
        <v>8</v>
      </c>
      <c r="G217" s="62">
        <f>H216</f>
        <v>42118</v>
      </c>
      <c r="H217" s="62">
        <f>G217+2</f>
        <v>42120</v>
      </c>
      <c r="I217" s="63">
        <v>1</v>
      </c>
      <c r="J217" s="63">
        <v>1</v>
      </c>
      <c r="K217" s="40">
        <f t="shared" si="35"/>
        <v>1</v>
      </c>
      <c r="L217" s="34">
        <f t="shared" si="41"/>
        <v>8</v>
      </c>
      <c r="M217" s="34" t="s">
        <v>144</v>
      </c>
      <c r="N217" s="34" t="s">
        <v>145</v>
      </c>
      <c r="O217" s="35">
        <f t="shared" si="39"/>
        <v>8</v>
      </c>
      <c r="P217" s="35">
        <f t="shared" si="40"/>
        <v>8</v>
      </c>
    </row>
    <row r="218" spans="1:16" x14ac:dyDescent="0.25">
      <c r="A218" s="40" t="s">
        <v>267</v>
      </c>
      <c r="B218" s="35" t="s">
        <v>268</v>
      </c>
      <c r="C218" s="35" t="s">
        <v>543</v>
      </c>
      <c r="D218" s="36" t="s">
        <v>38</v>
      </c>
      <c r="E218" s="35" t="s">
        <v>47</v>
      </c>
      <c r="F218" s="37" t="s">
        <v>11</v>
      </c>
      <c r="G218" s="62">
        <f>H217</f>
        <v>42120</v>
      </c>
      <c r="H218" s="62">
        <v>42122</v>
      </c>
      <c r="I218" s="63">
        <v>1</v>
      </c>
      <c r="J218" s="63">
        <v>1</v>
      </c>
      <c r="K218" s="40">
        <f t="shared" si="35"/>
        <v>2</v>
      </c>
      <c r="L218" s="34">
        <f t="shared" si="41"/>
        <v>16</v>
      </c>
      <c r="M218" s="34" t="s">
        <v>144</v>
      </c>
      <c r="N218" s="34" t="s">
        <v>145</v>
      </c>
      <c r="O218" s="35">
        <f t="shared" si="39"/>
        <v>16</v>
      </c>
      <c r="P218" s="35">
        <f t="shared" si="40"/>
        <v>16</v>
      </c>
    </row>
    <row r="219" spans="1:16" x14ac:dyDescent="0.25">
      <c r="A219" s="41" t="s">
        <v>267</v>
      </c>
      <c r="B219" s="42" t="s">
        <v>268</v>
      </c>
      <c r="C219" s="42" t="s">
        <v>543</v>
      </c>
      <c r="D219" s="42" t="s">
        <v>38</v>
      </c>
      <c r="E219" s="42" t="s">
        <v>47</v>
      </c>
      <c r="F219" s="42" t="s">
        <v>35</v>
      </c>
      <c r="G219" s="53">
        <f>G215</f>
        <v>42114</v>
      </c>
      <c r="H219" s="53">
        <v>42122</v>
      </c>
      <c r="I219" s="43">
        <v>1</v>
      </c>
      <c r="J219" s="43">
        <v>1</v>
      </c>
      <c r="K219" s="44">
        <f t="shared" ref="K219:K243" si="47">NETWORKDAYS(G219,H219)</f>
        <v>7</v>
      </c>
      <c r="L219" s="41">
        <f t="shared" si="41"/>
        <v>56</v>
      </c>
      <c r="M219" s="41" t="s">
        <v>144</v>
      </c>
      <c r="N219" s="41" t="s">
        <v>145</v>
      </c>
      <c r="O219" s="35">
        <f t="shared" si="39"/>
        <v>56</v>
      </c>
      <c r="P219" s="35">
        <f t="shared" si="40"/>
        <v>56</v>
      </c>
    </row>
    <row r="220" spans="1:16" x14ac:dyDescent="0.25">
      <c r="A220" s="40" t="s">
        <v>111</v>
      </c>
      <c r="B220" s="35" t="s">
        <v>68</v>
      </c>
      <c r="C220" s="35" t="s">
        <v>543</v>
      </c>
      <c r="D220" s="36" t="s">
        <v>38</v>
      </c>
      <c r="E220" s="35" t="s">
        <v>47</v>
      </c>
      <c r="F220" s="37" t="s">
        <v>9</v>
      </c>
      <c r="G220" s="62">
        <v>42139</v>
      </c>
      <c r="H220" s="62">
        <f>G220+4</f>
        <v>42143</v>
      </c>
      <c r="I220" s="39">
        <f t="shared" ref="I220:I225" ca="1" si="48">IF(NETWORKDAYS(G220,TODAY())/NETWORKDAYS(G220,H220,)&lt;0,0,IF(NETWORKDAYS(G220,TODAY())/NETWORKDAYS(G220,H220,)&gt;1,1,NETWORKDAYS(G220,TODAY())/NETWORKDAYS(G220,H220,)))</f>
        <v>1</v>
      </c>
      <c r="J220" s="63">
        <v>1</v>
      </c>
      <c r="K220" s="40">
        <f t="shared" si="47"/>
        <v>3</v>
      </c>
      <c r="L220" s="34">
        <f t="shared" si="41"/>
        <v>24</v>
      </c>
      <c r="M220" s="34" t="s">
        <v>144</v>
      </c>
      <c r="N220" s="34" t="s">
        <v>145</v>
      </c>
      <c r="O220" s="35">
        <f t="shared" ca="1" si="39"/>
        <v>24</v>
      </c>
      <c r="P220" s="35">
        <f t="shared" si="40"/>
        <v>24</v>
      </c>
    </row>
    <row r="221" spans="1:16" x14ac:dyDescent="0.25">
      <c r="A221" s="40" t="s">
        <v>111</v>
      </c>
      <c r="B221" s="35" t="s">
        <v>68</v>
      </c>
      <c r="C221" s="35" t="s">
        <v>543</v>
      </c>
      <c r="D221" s="36" t="s">
        <v>38</v>
      </c>
      <c r="E221" s="35" t="s">
        <v>47</v>
      </c>
      <c r="F221" s="37" t="s">
        <v>10</v>
      </c>
      <c r="G221" s="62">
        <f>H220</f>
        <v>42143</v>
      </c>
      <c r="H221" s="62">
        <f>G221+2</f>
        <v>42145</v>
      </c>
      <c r="I221" s="39">
        <f t="shared" ca="1" si="48"/>
        <v>1</v>
      </c>
      <c r="J221" s="63">
        <v>1</v>
      </c>
      <c r="K221" s="40">
        <f t="shared" si="47"/>
        <v>3</v>
      </c>
      <c r="L221" s="34">
        <f t="shared" si="41"/>
        <v>24</v>
      </c>
      <c r="M221" s="34" t="s">
        <v>144</v>
      </c>
      <c r="N221" s="34" t="s">
        <v>145</v>
      </c>
      <c r="O221" s="35">
        <f t="shared" ca="1" si="39"/>
        <v>24</v>
      </c>
      <c r="P221" s="35">
        <f t="shared" si="40"/>
        <v>24</v>
      </c>
    </row>
    <row r="222" spans="1:16" x14ac:dyDescent="0.25">
      <c r="A222" s="40" t="s">
        <v>111</v>
      </c>
      <c r="B222" s="35" t="s">
        <v>68</v>
      </c>
      <c r="C222" s="35" t="s">
        <v>543</v>
      </c>
      <c r="D222" s="36" t="s">
        <v>38</v>
      </c>
      <c r="E222" s="35" t="s">
        <v>47</v>
      </c>
      <c r="F222" s="37" t="s">
        <v>8</v>
      </c>
      <c r="G222" s="62">
        <f>H221</f>
        <v>42145</v>
      </c>
      <c r="H222" s="62">
        <f>G222+2</f>
        <v>42147</v>
      </c>
      <c r="I222" s="39">
        <f t="shared" ca="1" si="48"/>
        <v>1</v>
      </c>
      <c r="J222" s="63">
        <v>1</v>
      </c>
      <c r="K222" s="40">
        <f t="shared" si="47"/>
        <v>2</v>
      </c>
      <c r="L222" s="34">
        <f t="shared" si="41"/>
        <v>16</v>
      </c>
      <c r="M222" s="34" t="s">
        <v>144</v>
      </c>
      <c r="N222" s="34" t="s">
        <v>145</v>
      </c>
      <c r="O222" s="35">
        <f t="shared" ca="1" si="39"/>
        <v>16</v>
      </c>
      <c r="P222" s="35">
        <f t="shared" si="40"/>
        <v>16</v>
      </c>
    </row>
    <row r="223" spans="1:16" x14ac:dyDescent="0.25">
      <c r="A223" s="40" t="s">
        <v>111</v>
      </c>
      <c r="B223" s="35" t="s">
        <v>68</v>
      </c>
      <c r="C223" s="35" t="s">
        <v>543</v>
      </c>
      <c r="D223" s="36" t="s">
        <v>38</v>
      </c>
      <c r="E223" s="35" t="s">
        <v>47</v>
      </c>
      <c r="F223" s="37" t="s">
        <v>11</v>
      </c>
      <c r="G223" s="62">
        <f>H222</f>
        <v>42147</v>
      </c>
      <c r="H223" s="62">
        <v>42151</v>
      </c>
      <c r="I223" s="39">
        <f t="shared" ca="1" si="48"/>
        <v>1</v>
      </c>
      <c r="J223" s="63">
        <v>0.33</v>
      </c>
      <c r="K223" s="40">
        <f t="shared" si="47"/>
        <v>3</v>
      </c>
      <c r="L223" s="34">
        <f t="shared" si="41"/>
        <v>24</v>
      </c>
      <c r="M223" s="34" t="s">
        <v>144</v>
      </c>
      <c r="N223" s="34" t="s">
        <v>145</v>
      </c>
      <c r="O223" s="35">
        <f t="shared" ca="1" si="39"/>
        <v>24</v>
      </c>
      <c r="P223" s="35">
        <f t="shared" si="40"/>
        <v>7.92</v>
      </c>
    </row>
    <row r="224" spans="1:16" x14ac:dyDescent="0.25">
      <c r="A224" s="41" t="s">
        <v>111</v>
      </c>
      <c r="B224" s="42" t="s">
        <v>68</v>
      </c>
      <c r="C224" s="42" t="s">
        <v>543</v>
      </c>
      <c r="D224" s="42" t="s">
        <v>38</v>
      </c>
      <c r="E224" s="42" t="s">
        <v>47</v>
      </c>
      <c r="F224" s="42" t="s">
        <v>35</v>
      </c>
      <c r="G224" s="53">
        <f>G220</f>
        <v>42139</v>
      </c>
      <c r="H224" s="53">
        <v>42151</v>
      </c>
      <c r="I224" s="43">
        <f t="shared" ca="1" si="48"/>
        <v>1</v>
      </c>
      <c r="J224" s="43">
        <v>0</v>
      </c>
      <c r="K224" s="44">
        <f t="shared" si="47"/>
        <v>9</v>
      </c>
      <c r="L224" s="41">
        <f t="shared" ref="L224:L233" si="49">K224*8</f>
        <v>72</v>
      </c>
      <c r="M224" s="41" t="s">
        <v>144</v>
      </c>
      <c r="N224" s="41" t="s">
        <v>145</v>
      </c>
      <c r="O224" s="35">
        <f t="shared" ref="O224:O233" ca="1" si="50">I224*L224</f>
        <v>72</v>
      </c>
      <c r="P224" s="35">
        <f t="shared" ref="P224:P233" si="51">J224*L224</f>
        <v>0</v>
      </c>
    </row>
    <row r="225" spans="1:16" x14ac:dyDescent="0.25">
      <c r="A225" s="40" t="s">
        <v>269</v>
      </c>
      <c r="B225" s="35" t="s">
        <v>270</v>
      </c>
      <c r="C225" s="35" t="s">
        <v>543</v>
      </c>
      <c r="D225" s="36" t="s">
        <v>38</v>
      </c>
      <c r="E225" s="35" t="s">
        <v>47</v>
      </c>
      <c r="F225" s="37" t="s">
        <v>9</v>
      </c>
      <c r="G225" s="62">
        <v>42132</v>
      </c>
      <c r="H225" s="62">
        <f>G225+1</f>
        <v>42133</v>
      </c>
      <c r="I225" s="39">
        <f t="shared" ca="1" si="48"/>
        <v>1</v>
      </c>
      <c r="J225" s="63">
        <v>1</v>
      </c>
      <c r="K225" s="40">
        <f t="shared" si="47"/>
        <v>1</v>
      </c>
      <c r="L225" s="34">
        <f t="shared" si="49"/>
        <v>8</v>
      </c>
      <c r="M225" s="34" t="s">
        <v>144</v>
      </c>
      <c r="N225" s="34" t="s">
        <v>145</v>
      </c>
      <c r="O225" s="35">
        <f t="shared" ca="1" si="50"/>
        <v>8</v>
      </c>
      <c r="P225" s="35">
        <f t="shared" si="51"/>
        <v>8</v>
      </c>
    </row>
    <row r="226" spans="1:16" x14ac:dyDescent="0.25">
      <c r="A226" s="40" t="s">
        <v>269</v>
      </c>
      <c r="B226" s="35" t="s">
        <v>270</v>
      </c>
      <c r="C226" s="35" t="s">
        <v>543</v>
      </c>
      <c r="D226" s="36" t="s">
        <v>38</v>
      </c>
      <c r="E226" s="35" t="s">
        <v>47</v>
      </c>
      <c r="F226" s="37" t="s">
        <v>10</v>
      </c>
      <c r="G226" s="62">
        <f>H225</f>
        <v>42133</v>
      </c>
      <c r="H226" s="62">
        <f>G226+1</f>
        <v>42134</v>
      </c>
      <c r="I226" s="39">
        <v>1</v>
      </c>
      <c r="J226" s="63">
        <v>1</v>
      </c>
      <c r="K226" s="40">
        <f t="shared" si="47"/>
        <v>0</v>
      </c>
      <c r="L226" s="34">
        <f t="shared" si="49"/>
        <v>0</v>
      </c>
      <c r="M226" s="34" t="s">
        <v>144</v>
      </c>
      <c r="N226" s="34" t="s">
        <v>145</v>
      </c>
      <c r="O226" s="35">
        <f t="shared" si="50"/>
        <v>0</v>
      </c>
      <c r="P226" s="35">
        <f t="shared" si="51"/>
        <v>0</v>
      </c>
    </row>
    <row r="227" spans="1:16" x14ac:dyDescent="0.25">
      <c r="A227" s="40" t="s">
        <v>269</v>
      </c>
      <c r="B227" s="35" t="s">
        <v>270</v>
      </c>
      <c r="C227" s="35" t="s">
        <v>543</v>
      </c>
      <c r="D227" s="36" t="s">
        <v>38</v>
      </c>
      <c r="E227" s="35" t="s">
        <v>47</v>
      </c>
      <c r="F227" s="37" t="s">
        <v>8</v>
      </c>
      <c r="G227" s="62">
        <f>H226</f>
        <v>42134</v>
      </c>
      <c r="H227" s="62">
        <f>G227+1</f>
        <v>42135</v>
      </c>
      <c r="I227" s="39">
        <f t="shared" ref="I227:I233" ca="1" si="52">IF(NETWORKDAYS(G227,TODAY())/NETWORKDAYS(G227,H227,)&lt;0,0,IF(NETWORKDAYS(G227,TODAY())/NETWORKDAYS(G227,H227,)&gt;1,1,NETWORKDAYS(G227,TODAY())/NETWORKDAYS(G227,H227,)))</f>
        <v>1</v>
      </c>
      <c r="J227" s="63">
        <v>1</v>
      </c>
      <c r="K227" s="40">
        <f t="shared" si="47"/>
        <v>1</v>
      </c>
      <c r="L227" s="34">
        <f t="shared" si="49"/>
        <v>8</v>
      </c>
      <c r="M227" s="34" t="s">
        <v>144</v>
      </c>
      <c r="N227" s="34" t="s">
        <v>145</v>
      </c>
      <c r="O227" s="35">
        <f t="shared" ca="1" si="50"/>
        <v>8</v>
      </c>
      <c r="P227" s="35">
        <f t="shared" si="51"/>
        <v>8</v>
      </c>
    </row>
    <row r="228" spans="1:16" x14ac:dyDescent="0.25">
      <c r="A228" s="40" t="s">
        <v>269</v>
      </c>
      <c r="B228" s="35" t="s">
        <v>270</v>
      </c>
      <c r="C228" s="35" t="s">
        <v>543</v>
      </c>
      <c r="D228" s="36" t="s">
        <v>38</v>
      </c>
      <c r="E228" s="35" t="s">
        <v>47</v>
      </c>
      <c r="F228" s="37" t="s">
        <v>11</v>
      </c>
      <c r="G228" s="62">
        <f>H227</f>
        <v>42135</v>
      </c>
      <c r="H228" s="62">
        <v>42138</v>
      </c>
      <c r="I228" s="39">
        <f t="shared" ca="1" si="52"/>
        <v>1</v>
      </c>
      <c r="J228" s="63">
        <v>1</v>
      </c>
      <c r="K228" s="40">
        <f t="shared" si="47"/>
        <v>4</v>
      </c>
      <c r="L228" s="34">
        <f t="shared" si="49"/>
        <v>32</v>
      </c>
      <c r="M228" s="34" t="s">
        <v>144</v>
      </c>
      <c r="N228" s="34" t="s">
        <v>145</v>
      </c>
      <c r="O228" s="35">
        <f t="shared" ca="1" si="50"/>
        <v>32</v>
      </c>
      <c r="P228" s="35">
        <f t="shared" si="51"/>
        <v>32</v>
      </c>
    </row>
    <row r="229" spans="1:16" x14ac:dyDescent="0.25">
      <c r="A229" s="41" t="s">
        <v>269</v>
      </c>
      <c r="B229" s="42" t="s">
        <v>270</v>
      </c>
      <c r="C229" s="42" t="s">
        <v>543</v>
      </c>
      <c r="D229" s="42" t="s">
        <v>38</v>
      </c>
      <c r="E229" s="42" t="s">
        <v>47</v>
      </c>
      <c r="F229" s="42" t="s">
        <v>35</v>
      </c>
      <c r="G229" s="53">
        <f>G225</f>
        <v>42132</v>
      </c>
      <c r="H229" s="53">
        <v>42138</v>
      </c>
      <c r="I229" s="43">
        <f t="shared" ca="1" si="52"/>
        <v>1</v>
      </c>
      <c r="J229" s="43">
        <v>1</v>
      </c>
      <c r="K229" s="44">
        <f t="shared" si="47"/>
        <v>5</v>
      </c>
      <c r="L229" s="41">
        <f t="shared" si="49"/>
        <v>40</v>
      </c>
      <c r="M229" s="41" t="s">
        <v>144</v>
      </c>
      <c r="N229" s="41" t="s">
        <v>145</v>
      </c>
      <c r="O229" s="35">
        <f t="shared" ca="1" si="50"/>
        <v>40</v>
      </c>
      <c r="P229" s="35">
        <f t="shared" si="51"/>
        <v>40</v>
      </c>
    </row>
    <row r="230" spans="1:16" x14ac:dyDescent="0.25">
      <c r="A230" s="40" t="s">
        <v>271</v>
      </c>
      <c r="B230" s="35" t="s">
        <v>272</v>
      </c>
      <c r="C230" s="35" t="s">
        <v>543</v>
      </c>
      <c r="D230" s="36" t="s">
        <v>38</v>
      </c>
      <c r="E230" s="35" t="s">
        <v>47</v>
      </c>
      <c r="F230" s="37" t="s">
        <v>9</v>
      </c>
      <c r="G230" s="62">
        <v>42122</v>
      </c>
      <c r="H230" s="62">
        <f>G230+2</f>
        <v>42124</v>
      </c>
      <c r="I230" s="39">
        <f t="shared" ca="1" si="52"/>
        <v>1</v>
      </c>
      <c r="J230" s="63">
        <v>1</v>
      </c>
      <c r="K230" s="40">
        <f t="shared" si="47"/>
        <v>3</v>
      </c>
      <c r="L230" s="34">
        <f t="shared" si="49"/>
        <v>24</v>
      </c>
      <c r="M230" s="34" t="s">
        <v>144</v>
      </c>
      <c r="N230" s="34" t="s">
        <v>145</v>
      </c>
      <c r="O230" s="35">
        <f t="shared" ca="1" si="50"/>
        <v>24</v>
      </c>
      <c r="P230" s="35">
        <f t="shared" si="51"/>
        <v>24</v>
      </c>
    </row>
    <row r="231" spans="1:16" x14ac:dyDescent="0.25">
      <c r="A231" s="40" t="s">
        <v>271</v>
      </c>
      <c r="B231" s="35" t="s">
        <v>272</v>
      </c>
      <c r="C231" s="35" t="s">
        <v>543</v>
      </c>
      <c r="D231" s="36" t="s">
        <v>38</v>
      </c>
      <c r="E231" s="35" t="s">
        <v>47</v>
      </c>
      <c r="F231" s="37" t="s">
        <v>10</v>
      </c>
      <c r="G231" s="62">
        <f>H230</f>
        <v>42124</v>
      </c>
      <c r="H231" s="62">
        <f>G231+2</f>
        <v>42126</v>
      </c>
      <c r="I231" s="39">
        <f t="shared" ca="1" si="52"/>
        <v>1</v>
      </c>
      <c r="J231" s="63">
        <v>1</v>
      </c>
      <c r="K231" s="40">
        <f t="shared" si="47"/>
        <v>2</v>
      </c>
      <c r="L231" s="34">
        <f t="shared" si="49"/>
        <v>16</v>
      </c>
      <c r="M231" s="34" t="s">
        <v>144</v>
      </c>
      <c r="N231" s="34" t="s">
        <v>145</v>
      </c>
      <c r="O231" s="35">
        <f t="shared" ca="1" si="50"/>
        <v>16</v>
      </c>
      <c r="P231" s="35">
        <f t="shared" si="51"/>
        <v>16</v>
      </c>
    </row>
    <row r="232" spans="1:16" x14ac:dyDescent="0.25">
      <c r="A232" s="40" t="s">
        <v>271</v>
      </c>
      <c r="B232" s="35" t="s">
        <v>272</v>
      </c>
      <c r="C232" s="35" t="s">
        <v>543</v>
      </c>
      <c r="D232" s="36" t="s">
        <v>38</v>
      </c>
      <c r="E232" s="35" t="s">
        <v>47</v>
      </c>
      <c r="F232" s="37" t="s">
        <v>8</v>
      </c>
      <c r="G232" s="62">
        <f>H231</f>
        <v>42126</v>
      </c>
      <c r="H232" s="62">
        <f>G232+2</f>
        <v>42128</v>
      </c>
      <c r="I232" s="39">
        <f t="shared" ca="1" si="52"/>
        <v>1</v>
      </c>
      <c r="J232" s="63">
        <v>1</v>
      </c>
      <c r="K232" s="40">
        <f t="shared" si="47"/>
        <v>1</v>
      </c>
      <c r="L232" s="34">
        <f t="shared" si="49"/>
        <v>8</v>
      </c>
      <c r="M232" s="34" t="s">
        <v>144</v>
      </c>
      <c r="N232" s="34" t="s">
        <v>145</v>
      </c>
      <c r="O232" s="35">
        <f t="shared" ca="1" si="50"/>
        <v>8</v>
      </c>
      <c r="P232" s="35">
        <f t="shared" si="51"/>
        <v>8</v>
      </c>
    </row>
    <row r="233" spans="1:16" x14ac:dyDescent="0.25">
      <c r="A233" s="40" t="s">
        <v>271</v>
      </c>
      <c r="B233" s="35" t="s">
        <v>272</v>
      </c>
      <c r="C233" s="35" t="s">
        <v>543</v>
      </c>
      <c r="D233" s="36" t="s">
        <v>38</v>
      </c>
      <c r="E233" s="35" t="s">
        <v>47</v>
      </c>
      <c r="F233" s="37" t="s">
        <v>11</v>
      </c>
      <c r="G233" s="62">
        <f>H232</f>
        <v>42128</v>
      </c>
      <c r="H233" s="62">
        <v>42131</v>
      </c>
      <c r="I233" s="39">
        <f t="shared" ca="1" si="52"/>
        <v>1</v>
      </c>
      <c r="J233" s="63">
        <v>1</v>
      </c>
      <c r="K233" s="40">
        <f t="shared" si="47"/>
        <v>4</v>
      </c>
      <c r="L233" s="34">
        <f t="shared" si="49"/>
        <v>32</v>
      </c>
      <c r="M233" s="34" t="s">
        <v>144</v>
      </c>
      <c r="N233" s="34" t="s">
        <v>145</v>
      </c>
      <c r="O233" s="35">
        <f t="shared" ca="1" si="50"/>
        <v>32</v>
      </c>
      <c r="P233" s="35">
        <f t="shared" si="51"/>
        <v>32</v>
      </c>
    </row>
    <row r="234" spans="1:16" x14ac:dyDescent="0.25">
      <c r="A234" s="41" t="s">
        <v>271</v>
      </c>
      <c r="B234" s="42" t="s">
        <v>272</v>
      </c>
      <c r="C234" s="42" t="s">
        <v>543</v>
      </c>
      <c r="D234" s="42" t="s">
        <v>38</v>
      </c>
      <c r="E234" s="42" t="s">
        <v>47</v>
      </c>
      <c r="F234" s="42" t="s">
        <v>35</v>
      </c>
      <c r="G234" s="53">
        <f>G230</f>
        <v>42122</v>
      </c>
      <c r="H234" s="53">
        <f>H233</f>
        <v>42131</v>
      </c>
      <c r="I234" s="43">
        <f ca="1">SUM(O230:O233)/L234</f>
        <v>1</v>
      </c>
      <c r="J234" s="43">
        <f>SUM(P230:P233)/L234</f>
        <v>1</v>
      </c>
      <c r="K234" s="44">
        <f t="shared" si="47"/>
        <v>8</v>
      </c>
      <c r="L234" s="41">
        <f>SUM(L230:L233)</f>
        <v>80</v>
      </c>
      <c r="M234" s="41" t="s">
        <v>144</v>
      </c>
      <c r="N234" s="41" t="s">
        <v>145</v>
      </c>
      <c r="O234" s="35"/>
      <c r="P234" s="35"/>
    </row>
    <row r="235" spans="1:16" x14ac:dyDescent="0.25">
      <c r="A235" s="40" t="s">
        <v>273</v>
      </c>
      <c r="B235" s="35" t="s">
        <v>274</v>
      </c>
      <c r="C235" s="35" t="s">
        <v>543</v>
      </c>
      <c r="D235" s="36" t="s">
        <v>49</v>
      </c>
      <c r="E235" s="35" t="s">
        <v>47</v>
      </c>
      <c r="F235" s="37" t="s">
        <v>9</v>
      </c>
      <c r="G235" s="62">
        <v>42118</v>
      </c>
      <c r="H235" s="62">
        <v>42118</v>
      </c>
      <c r="I235" s="63">
        <v>1</v>
      </c>
      <c r="J235" s="63">
        <v>1</v>
      </c>
      <c r="K235" s="40">
        <f t="shared" si="47"/>
        <v>1</v>
      </c>
      <c r="L235" s="34">
        <f t="shared" ref="L235:L238" si="53">K235*8</f>
        <v>8</v>
      </c>
      <c r="M235" s="34" t="s">
        <v>132</v>
      </c>
      <c r="N235" s="34" t="s">
        <v>133</v>
      </c>
      <c r="O235" s="35">
        <f>I235*L235</f>
        <v>8</v>
      </c>
      <c r="P235" s="35">
        <f>J235*L235</f>
        <v>8</v>
      </c>
    </row>
    <row r="236" spans="1:16" x14ac:dyDescent="0.25">
      <c r="A236" s="40" t="s">
        <v>273</v>
      </c>
      <c r="B236" s="35" t="s">
        <v>274</v>
      </c>
      <c r="C236" s="35" t="s">
        <v>543</v>
      </c>
      <c r="D236" s="36" t="s">
        <v>49</v>
      </c>
      <c r="E236" s="35" t="s">
        <v>47</v>
      </c>
      <c r="F236" s="37" t="s">
        <v>10</v>
      </c>
      <c r="G236" s="62">
        <v>42118</v>
      </c>
      <c r="H236" s="62">
        <v>42118</v>
      </c>
      <c r="I236" s="63">
        <v>1</v>
      </c>
      <c r="J236" s="63">
        <v>1</v>
      </c>
      <c r="K236" s="40">
        <f t="shared" si="47"/>
        <v>1</v>
      </c>
      <c r="L236" s="34">
        <f t="shared" si="53"/>
        <v>8</v>
      </c>
      <c r="M236" s="34" t="s">
        <v>132</v>
      </c>
      <c r="N236" s="34" t="s">
        <v>133</v>
      </c>
      <c r="O236" s="35">
        <f>I236*L236</f>
        <v>8</v>
      </c>
      <c r="P236" s="35">
        <f>J236*L236</f>
        <v>8</v>
      </c>
    </row>
    <row r="237" spans="1:16" x14ac:dyDescent="0.25">
      <c r="A237" s="40" t="s">
        <v>273</v>
      </c>
      <c r="B237" s="35" t="s">
        <v>274</v>
      </c>
      <c r="C237" s="35" t="s">
        <v>543</v>
      </c>
      <c r="D237" s="36" t="s">
        <v>49</v>
      </c>
      <c r="E237" s="35" t="s">
        <v>47</v>
      </c>
      <c r="F237" s="37" t="s">
        <v>8</v>
      </c>
      <c r="G237" s="62">
        <v>42118</v>
      </c>
      <c r="H237" s="62">
        <v>42118</v>
      </c>
      <c r="I237" s="63">
        <v>1</v>
      </c>
      <c r="J237" s="63">
        <v>1</v>
      </c>
      <c r="K237" s="40">
        <f t="shared" si="47"/>
        <v>1</v>
      </c>
      <c r="L237" s="34">
        <f t="shared" si="53"/>
        <v>8</v>
      </c>
      <c r="M237" s="34" t="s">
        <v>132</v>
      </c>
      <c r="N237" s="34" t="s">
        <v>133</v>
      </c>
      <c r="O237" s="35">
        <f>I237*L237</f>
        <v>8</v>
      </c>
      <c r="P237" s="35">
        <f>J237*L237</f>
        <v>8</v>
      </c>
    </row>
    <row r="238" spans="1:16" x14ac:dyDescent="0.25">
      <c r="A238" s="40" t="s">
        <v>273</v>
      </c>
      <c r="B238" s="35" t="s">
        <v>274</v>
      </c>
      <c r="C238" s="35" t="s">
        <v>543</v>
      </c>
      <c r="D238" s="36" t="s">
        <v>49</v>
      </c>
      <c r="E238" s="35" t="s">
        <v>47</v>
      </c>
      <c r="F238" s="37" t="s">
        <v>11</v>
      </c>
      <c r="G238" s="62">
        <v>42118</v>
      </c>
      <c r="H238" s="62">
        <v>42118</v>
      </c>
      <c r="I238" s="63">
        <v>1</v>
      </c>
      <c r="J238" s="63">
        <v>1</v>
      </c>
      <c r="K238" s="40">
        <f t="shared" si="47"/>
        <v>1</v>
      </c>
      <c r="L238" s="34">
        <f t="shared" si="53"/>
        <v>8</v>
      </c>
      <c r="M238" s="34" t="s">
        <v>132</v>
      </c>
      <c r="N238" s="34" t="s">
        <v>133</v>
      </c>
      <c r="O238" s="35">
        <f>I238*L238</f>
        <v>8</v>
      </c>
      <c r="P238" s="35">
        <f>J238*L238</f>
        <v>8</v>
      </c>
    </row>
    <row r="239" spans="1:16" x14ac:dyDescent="0.25">
      <c r="A239" s="41" t="s">
        <v>273</v>
      </c>
      <c r="B239" s="42" t="s">
        <v>274</v>
      </c>
      <c r="C239" s="42" t="s">
        <v>543</v>
      </c>
      <c r="D239" s="42" t="s">
        <v>49</v>
      </c>
      <c r="E239" s="42" t="s">
        <v>47</v>
      </c>
      <c r="F239" s="42" t="s">
        <v>35</v>
      </c>
      <c r="G239" s="53">
        <f>G235</f>
        <v>42118</v>
      </c>
      <c r="H239" s="53">
        <f>H238</f>
        <v>42118</v>
      </c>
      <c r="I239" s="43">
        <f>SUM(O235:O238)/L239</f>
        <v>1</v>
      </c>
      <c r="J239" s="43">
        <f>SUM(P235:P238)/L239</f>
        <v>1</v>
      </c>
      <c r="K239" s="44">
        <f t="shared" si="47"/>
        <v>1</v>
      </c>
      <c r="L239" s="41">
        <f>SUM(L235:L238)</f>
        <v>32</v>
      </c>
      <c r="M239" s="41" t="s">
        <v>132</v>
      </c>
      <c r="N239" s="41" t="s">
        <v>133</v>
      </c>
      <c r="O239" s="35"/>
      <c r="P239" s="35"/>
    </row>
    <row r="240" spans="1:16" x14ac:dyDescent="0.25">
      <c r="A240" s="40" t="s">
        <v>112</v>
      </c>
      <c r="B240" s="35" t="s">
        <v>75</v>
      </c>
      <c r="C240" s="35" t="s">
        <v>543</v>
      </c>
      <c r="D240" s="36" t="s">
        <v>49</v>
      </c>
      <c r="E240" s="35" t="s">
        <v>47</v>
      </c>
      <c r="F240" s="37" t="s">
        <v>70</v>
      </c>
      <c r="G240" s="38">
        <v>42138</v>
      </c>
      <c r="H240" s="38">
        <f>G240+2</f>
        <v>42140</v>
      </c>
      <c r="I240" s="39">
        <f ca="1">IF(NETWORKDAYS(G240,TODAY())/NETWORKDAYS(G240,H240,)&lt;0,0,IF(NETWORKDAYS(G240,TODAY())/NETWORKDAYS(G240,H240,)&gt;1,1,NETWORKDAYS(G240,TODAY())/NETWORKDAYS(G240,H240,)))</f>
        <v>1</v>
      </c>
      <c r="J240" s="39">
        <v>1</v>
      </c>
      <c r="K240" s="40">
        <f t="shared" si="47"/>
        <v>2</v>
      </c>
      <c r="L240" s="34">
        <f t="shared" ref="L240:L243" si="54">K240*8</f>
        <v>16</v>
      </c>
      <c r="M240" s="34" t="s">
        <v>127</v>
      </c>
      <c r="N240" s="34" t="s">
        <v>152</v>
      </c>
      <c r="O240" s="35">
        <f ca="1">I240*L240</f>
        <v>16</v>
      </c>
      <c r="P240" s="35">
        <f>J240*L240</f>
        <v>16</v>
      </c>
    </row>
    <row r="241" spans="1:16" x14ac:dyDescent="0.25">
      <c r="A241" s="40" t="s">
        <v>112</v>
      </c>
      <c r="B241" s="35" t="s">
        <v>75</v>
      </c>
      <c r="C241" s="35" t="s">
        <v>543</v>
      </c>
      <c r="D241" s="36" t="s">
        <v>49</v>
      </c>
      <c r="E241" s="35" t="s">
        <v>47</v>
      </c>
      <c r="F241" s="37" t="s">
        <v>70</v>
      </c>
      <c r="G241" s="38">
        <v>42142</v>
      </c>
      <c r="H241" s="38">
        <v>42144</v>
      </c>
      <c r="I241" s="39">
        <f ca="1">IF(NETWORKDAYS(G241,TODAY())/NETWORKDAYS(G241,H241,)&lt;0,0,IF(NETWORKDAYS(G241,TODAY())/NETWORKDAYS(G241,H241,)&gt;1,1,NETWORKDAYS(G241,TODAY())/NETWORKDAYS(G241,H241,)))</f>
        <v>1</v>
      </c>
      <c r="J241" s="39">
        <v>1</v>
      </c>
      <c r="K241" s="40">
        <f t="shared" si="47"/>
        <v>3</v>
      </c>
      <c r="L241" s="34">
        <f t="shared" si="54"/>
        <v>24</v>
      </c>
      <c r="M241" s="34" t="s">
        <v>127</v>
      </c>
      <c r="N241" s="34" t="s">
        <v>152</v>
      </c>
      <c r="O241" s="35">
        <f ca="1">I241*L241</f>
        <v>24</v>
      </c>
      <c r="P241" s="35">
        <f>J241*L241</f>
        <v>24</v>
      </c>
    </row>
    <row r="242" spans="1:16" x14ac:dyDescent="0.25">
      <c r="A242" s="40" t="s">
        <v>112</v>
      </c>
      <c r="B242" s="35" t="s">
        <v>75</v>
      </c>
      <c r="C242" s="35" t="s">
        <v>543</v>
      </c>
      <c r="D242" s="36" t="s">
        <v>49</v>
      </c>
      <c r="E242" s="35" t="s">
        <v>47</v>
      </c>
      <c r="F242" s="64" t="s">
        <v>71</v>
      </c>
      <c r="G242" s="38">
        <v>42145</v>
      </c>
      <c r="H242" s="38">
        <v>42145</v>
      </c>
      <c r="I242" s="39">
        <f ca="1">IF(NETWORKDAYS(G242,TODAY())/NETWORKDAYS(G242,H242,)&lt;0,0,IF(NETWORKDAYS(G242,TODAY())/NETWORKDAYS(G242,H242,)&gt;1,1,NETWORKDAYS(G242,TODAY())/NETWORKDAYS(G242,H242,)))</f>
        <v>1</v>
      </c>
      <c r="J242" s="39">
        <v>1</v>
      </c>
      <c r="K242" s="40">
        <f t="shared" si="47"/>
        <v>1</v>
      </c>
      <c r="L242" s="34">
        <f t="shared" si="54"/>
        <v>8</v>
      </c>
      <c r="M242" s="34" t="s">
        <v>127</v>
      </c>
      <c r="N242" s="34" t="s">
        <v>152</v>
      </c>
      <c r="O242" s="35">
        <f ca="1">I242*L242</f>
        <v>8</v>
      </c>
      <c r="P242" s="35">
        <f>J242*L242</f>
        <v>8</v>
      </c>
    </row>
    <row r="243" spans="1:16" x14ac:dyDescent="0.25">
      <c r="A243" s="40" t="s">
        <v>112</v>
      </c>
      <c r="B243" s="35" t="s">
        <v>75</v>
      </c>
      <c r="C243" s="35" t="s">
        <v>543</v>
      </c>
      <c r="D243" s="36" t="s">
        <v>49</v>
      </c>
      <c r="E243" s="35" t="s">
        <v>47</v>
      </c>
      <c r="F243" s="37" t="s">
        <v>72</v>
      </c>
      <c r="G243" s="38">
        <v>42145</v>
      </c>
      <c r="H243" s="38">
        <v>42151</v>
      </c>
      <c r="I243" s="39">
        <f ca="1">IF(NETWORKDAYS(G243,TODAY())/NETWORKDAYS(G243,H243,)&lt;0,0,IF(NETWORKDAYS(G243,TODAY())/NETWORKDAYS(G243,H243,)&gt;1,1,NETWORKDAYS(G243,TODAY())/NETWORKDAYS(G243,H243,)))</f>
        <v>1</v>
      </c>
      <c r="J243" s="39">
        <v>0.6</v>
      </c>
      <c r="K243" s="40">
        <f t="shared" si="47"/>
        <v>5</v>
      </c>
      <c r="L243" s="34">
        <f t="shared" si="54"/>
        <v>40</v>
      </c>
      <c r="M243" s="34" t="s">
        <v>127</v>
      </c>
      <c r="N243" s="34" t="s">
        <v>152</v>
      </c>
      <c r="O243" s="35">
        <f ca="1">I243*L243</f>
        <v>40</v>
      </c>
      <c r="P243" s="35">
        <f>J243*L243</f>
        <v>24</v>
      </c>
    </row>
    <row r="244" spans="1:16" x14ac:dyDescent="0.25">
      <c r="A244" s="44" t="s">
        <v>112</v>
      </c>
      <c r="B244" s="42" t="s">
        <v>75</v>
      </c>
      <c r="C244" s="42" t="s">
        <v>544</v>
      </c>
      <c r="D244" s="42" t="s">
        <v>49</v>
      </c>
      <c r="E244" s="42" t="s">
        <v>47</v>
      </c>
      <c r="F244" s="42" t="s">
        <v>35</v>
      </c>
      <c r="G244" s="53">
        <f>G240</f>
        <v>42138</v>
      </c>
      <c r="H244" s="53">
        <f>H243</f>
        <v>42151</v>
      </c>
      <c r="I244" s="43">
        <f ca="1">SUM(O240:O243)/L244</f>
        <v>1</v>
      </c>
      <c r="J244" s="43">
        <f>SUM(P240:P243)/L244</f>
        <v>0.81818181818181823</v>
      </c>
      <c r="K244" s="44">
        <f>SUM(K240:K243)</f>
        <v>11</v>
      </c>
      <c r="L244" s="41">
        <f>SUM(L240:L243)</f>
        <v>88</v>
      </c>
      <c r="M244" s="41" t="s">
        <v>127</v>
      </c>
      <c r="N244" s="41" t="s">
        <v>152</v>
      </c>
      <c r="O244" s="35"/>
      <c r="P244" s="35"/>
    </row>
    <row r="245" spans="1:16" x14ac:dyDescent="0.25">
      <c r="A245" s="34" t="s">
        <v>275</v>
      </c>
      <c r="B245" s="35" t="s">
        <v>276</v>
      </c>
      <c r="C245" s="35" t="s">
        <v>543</v>
      </c>
      <c r="D245" s="35" t="s">
        <v>41</v>
      </c>
      <c r="E245" s="36" t="s">
        <v>39</v>
      </c>
      <c r="F245" s="37" t="s">
        <v>9</v>
      </c>
      <c r="G245" s="38">
        <v>42058</v>
      </c>
      <c r="H245" s="38">
        <v>42062</v>
      </c>
      <c r="I245" s="39">
        <f ca="1">IF(NETWORKDAYS(G245,TODAY())/NETWORKDAYS(G245,H245,)&lt;0,0,IF(NETWORKDAYS(G245,TODAY())/NETWORKDAYS(G245,H245,)&gt;1,1,NETWORKDAYS(G245,TODAY())/NETWORKDAYS(G245,H245,)))</f>
        <v>1</v>
      </c>
      <c r="J245" s="39">
        <v>1</v>
      </c>
      <c r="K245" s="40">
        <f t="shared" ref="K245:K251" si="55">NETWORKDAYS(G245,H245)</f>
        <v>5</v>
      </c>
      <c r="L245" s="34">
        <f t="shared" ref="L245:L248" si="56">K245*8</f>
        <v>40</v>
      </c>
      <c r="M245" s="34" t="s">
        <v>136</v>
      </c>
      <c r="N245" s="34" t="s">
        <v>137</v>
      </c>
      <c r="O245" s="35">
        <f ca="1">I245*L245</f>
        <v>40</v>
      </c>
      <c r="P245" s="35">
        <f>J245*L245</f>
        <v>40</v>
      </c>
    </row>
    <row r="246" spans="1:16" x14ac:dyDescent="0.25">
      <c r="A246" s="34" t="s">
        <v>275</v>
      </c>
      <c r="B246" s="35" t="s">
        <v>276</v>
      </c>
      <c r="C246" s="35" t="s">
        <v>543</v>
      </c>
      <c r="D246" s="35" t="s">
        <v>41</v>
      </c>
      <c r="E246" s="36" t="s">
        <v>39</v>
      </c>
      <c r="F246" s="37" t="s">
        <v>277</v>
      </c>
      <c r="G246" s="52">
        <v>42065</v>
      </c>
      <c r="H246" s="52">
        <v>42081</v>
      </c>
      <c r="I246" s="39">
        <f ca="1">IF(NETWORKDAYS(G246,TODAY())/NETWORKDAYS(G246,H246,)&lt;0,0,IF(NETWORKDAYS(G246,TODAY())/NETWORKDAYS(G246,H246,)&gt;1,1,NETWORKDAYS(G246,TODAY())/NETWORKDAYS(G246,H246,)))</f>
        <v>1</v>
      </c>
      <c r="J246" s="39">
        <v>1</v>
      </c>
      <c r="K246" s="40">
        <f t="shared" si="55"/>
        <v>13</v>
      </c>
      <c r="L246" s="34">
        <f t="shared" si="56"/>
        <v>104</v>
      </c>
      <c r="M246" s="34" t="s">
        <v>136</v>
      </c>
      <c r="N246" s="34" t="s">
        <v>137</v>
      </c>
      <c r="O246" s="35">
        <f ca="1">I246*L246</f>
        <v>104</v>
      </c>
      <c r="P246" s="35">
        <f>J246*L246</f>
        <v>104</v>
      </c>
    </row>
    <row r="247" spans="1:16" x14ac:dyDescent="0.25">
      <c r="A247" s="34" t="s">
        <v>275</v>
      </c>
      <c r="B247" s="35" t="s">
        <v>276</v>
      </c>
      <c r="C247" s="35" t="s">
        <v>543</v>
      </c>
      <c r="D247" s="35" t="s">
        <v>41</v>
      </c>
      <c r="E247" s="36" t="s">
        <v>39</v>
      </c>
      <c r="F247" s="37" t="s">
        <v>278</v>
      </c>
      <c r="G247" s="52">
        <v>42068</v>
      </c>
      <c r="H247" s="52">
        <v>42086</v>
      </c>
      <c r="I247" s="39">
        <f ca="1">IF(NETWORKDAYS(G247,TODAY())/NETWORKDAYS(G247,H247,)&lt;0,0,IF(NETWORKDAYS(G247,TODAY())/NETWORKDAYS(G247,H247,)&gt;1,1,NETWORKDAYS(G247,TODAY())/NETWORKDAYS(G247,H247,)))</f>
        <v>1</v>
      </c>
      <c r="J247" s="39">
        <v>1</v>
      </c>
      <c r="K247" s="40">
        <f t="shared" si="55"/>
        <v>13</v>
      </c>
      <c r="L247" s="34">
        <f t="shared" si="56"/>
        <v>104</v>
      </c>
      <c r="M247" s="34" t="s">
        <v>136</v>
      </c>
      <c r="N247" s="34" t="s">
        <v>137</v>
      </c>
      <c r="O247" s="35">
        <f ca="1">I247*L247</f>
        <v>104</v>
      </c>
      <c r="P247" s="35">
        <f>J247*L247</f>
        <v>104</v>
      </c>
    </row>
    <row r="248" spans="1:16" x14ac:dyDescent="0.25">
      <c r="A248" s="34" t="s">
        <v>275</v>
      </c>
      <c r="B248" s="35" t="s">
        <v>279</v>
      </c>
      <c r="C248" s="35" t="s">
        <v>543</v>
      </c>
      <c r="D248" s="35" t="s">
        <v>41</v>
      </c>
      <c r="E248" s="36" t="s">
        <v>39</v>
      </c>
      <c r="F248" s="37" t="s">
        <v>280</v>
      </c>
      <c r="G248" s="52">
        <v>42087</v>
      </c>
      <c r="H248" s="52">
        <v>42104</v>
      </c>
      <c r="I248" s="39">
        <f ca="1">IF(NETWORKDAYS(G248,TODAY())/NETWORKDAYS(G248,H248,)&lt;0,0,IF(NETWORKDAYS(G248,TODAY())/NETWORKDAYS(G248,H248,)&gt;1,1,NETWORKDAYS(G248,TODAY())/NETWORKDAYS(G248,H248,)))</f>
        <v>1</v>
      </c>
      <c r="J248" s="39">
        <v>1</v>
      </c>
      <c r="K248" s="40">
        <f t="shared" si="55"/>
        <v>14</v>
      </c>
      <c r="L248" s="34">
        <f t="shared" si="56"/>
        <v>112</v>
      </c>
      <c r="M248" s="34" t="s">
        <v>136</v>
      </c>
      <c r="N248" s="34" t="s">
        <v>137</v>
      </c>
      <c r="O248" s="35">
        <f ca="1">I248*L248</f>
        <v>112</v>
      </c>
      <c r="P248" s="35">
        <f>J248*L248</f>
        <v>112</v>
      </c>
    </row>
    <row r="249" spans="1:16" x14ac:dyDescent="0.25">
      <c r="A249" s="41" t="s">
        <v>275</v>
      </c>
      <c r="B249" s="42" t="s">
        <v>279</v>
      </c>
      <c r="C249" s="42" t="s">
        <v>543</v>
      </c>
      <c r="D249" s="42" t="s">
        <v>41</v>
      </c>
      <c r="E249" s="42" t="s">
        <v>47</v>
      </c>
      <c r="F249" s="48" t="s">
        <v>35</v>
      </c>
      <c r="G249" s="53">
        <v>42058</v>
      </c>
      <c r="H249" s="53">
        <f>H248</f>
        <v>42104</v>
      </c>
      <c r="I249" s="43">
        <f ca="1">SUM(O245:O248)/L249</f>
        <v>1</v>
      </c>
      <c r="J249" s="43">
        <f>SUM(P245:P248)/L249</f>
        <v>1</v>
      </c>
      <c r="K249" s="44">
        <f t="shared" si="55"/>
        <v>35</v>
      </c>
      <c r="L249" s="41">
        <f>SUM(L245:L248)</f>
        <v>360</v>
      </c>
      <c r="M249" s="41" t="s">
        <v>136</v>
      </c>
      <c r="N249" s="41" t="s">
        <v>137</v>
      </c>
      <c r="O249" s="35"/>
      <c r="P249" s="35"/>
    </row>
    <row r="250" spans="1:16" x14ac:dyDescent="0.25">
      <c r="A250" s="34" t="s">
        <v>281</v>
      </c>
      <c r="B250" s="35" t="s">
        <v>282</v>
      </c>
      <c r="C250" s="35" t="s">
        <v>543</v>
      </c>
      <c r="D250" s="35" t="s">
        <v>49</v>
      </c>
      <c r="E250" s="36" t="s">
        <v>47</v>
      </c>
      <c r="F250" s="37" t="s">
        <v>9</v>
      </c>
      <c r="G250" s="38">
        <v>42065</v>
      </c>
      <c r="H250" s="38">
        <v>42068</v>
      </c>
      <c r="I250" s="39">
        <f ca="1">IF(NETWORKDAYS(G250,TODAY())/NETWORKDAYS(G250,H250,)&lt;0,0,IF(NETWORKDAYS(G250,TODAY())/NETWORKDAYS(G250,H250,)&gt;1,1,NETWORKDAYS(G250,TODAY())/NETWORKDAYS(G250,H250,)))</f>
        <v>1</v>
      </c>
      <c r="J250" s="39">
        <v>1</v>
      </c>
      <c r="K250" s="40">
        <f t="shared" si="55"/>
        <v>4</v>
      </c>
      <c r="L250" s="34">
        <f t="shared" ref="L250:L253" si="57">K250*8</f>
        <v>32</v>
      </c>
      <c r="M250" s="34" t="s">
        <v>132</v>
      </c>
      <c r="N250" s="34" t="s">
        <v>133</v>
      </c>
      <c r="O250" s="35">
        <f ca="1">I250*L250</f>
        <v>32</v>
      </c>
      <c r="P250" s="35">
        <f>J250*L250</f>
        <v>32</v>
      </c>
    </row>
    <row r="251" spans="1:16" x14ac:dyDescent="0.25">
      <c r="A251" s="34" t="s">
        <v>281</v>
      </c>
      <c r="B251" s="35" t="s">
        <v>282</v>
      </c>
      <c r="C251" s="35" t="s">
        <v>543</v>
      </c>
      <c r="D251" s="35" t="s">
        <v>49</v>
      </c>
      <c r="E251" s="36" t="s">
        <v>47</v>
      </c>
      <c r="F251" s="37" t="s">
        <v>10</v>
      </c>
      <c r="G251" s="52">
        <v>42069</v>
      </c>
      <c r="H251" s="84">
        <v>42096</v>
      </c>
      <c r="I251" s="39">
        <f ca="1">IF(NETWORKDAYS(G251,TODAY())/NETWORKDAYS(G251,H251,)&lt;0,0,IF(NETWORKDAYS(G251,TODAY())/NETWORKDAYS(G251,H251,)&gt;1,1,NETWORKDAYS(G251,TODAY())/NETWORKDAYS(G251,H251,)))</f>
        <v>1</v>
      </c>
      <c r="J251" s="39">
        <v>1</v>
      </c>
      <c r="K251" s="40">
        <f t="shared" si="55"/>
        <v>20</v>
      </c>
      <c r="L251" s="34">
        <f t="shared" si="57"/>
        <v>160</v>
      </c>
      <c r="M251" s="34" t="s">
        <v>132</v>
      </c>
      <c r="N251" s="34" t="s">
        <v>133</v>
      </c>
      <c r="O251" s="35">
        <f ca="1">I251*L251</f>
        <v>160</v>
      </c>
      <c r="P251" s="35">
        <f>J251*L251</f>
        <v>160</v>
      </c>
    </row>
    <row r="252" spans="1:16" x14ac:dyDescent="0.25">
      <c r="A252" s="34" t="s">
        <v>281</v>
      </c>
      <c r="B252" s="35" t="s">
        <v>282</v>
      </c>
      <c r="C252" s="35" t="s">
        <v>543</v>
      </c>
      <c r="D252" s="35" t="s">
        <v>49</v>
      </c>
      <c r="E252" s="36" t="s">
        <v>47</v>
      </c>
      <c r="F252" s="37" t="s">
        <v>8</v>
      </c>
      <c r="G252" s="52" t="s">
        <v>13</v>
      </c>
      <c r="H252" s="52" t="s">
        <v>13</v>
      </c>
      <c r="I252" s="39">
        <v>0</v>
      </c>
      <c r="J252" s="39">
        <v>0</v>
      </c>
      <c r="K252" s="40"/>
      <c r="L252" s="34">
        <f t="shared" si="57"/>
        <v>0</v>
      </c>
      <c r="M252" s="34" t="s">
        <v>132</v>
      </c>
      <c r="N252" s="34" t="s">
        <v>133</v>
      </c>
      <c r="O252" s="35">
        <f>I252*L252</f>
        <v>0</v>
      </c>
      <c r="P252" s="35">
        <f>J252*L252</f>
        <v>0</v>
      </c>
    </row>
    <row r="253" spans="1:16" x14ac:dyDescent="0.25">
      <c r="A253" s="34" t="s">
        <v>281</v>
      </c>
      <c r="B253" s="35" t="s">
        <v>282</v>
      </c>
      <c r="C253" s="35" t="s">
        <v>543</v>
      </c>
      <c r="D253" s="35" t="s">
        <v>49</v>
      </c>
      <c r="E253" s="36" t="s">
        <v>47</v>
      </c>
      <c r="F253" s="37" t="s">
        <v>11</v>
      </c>
      <c r="G253" s="52" t="s">
        <v>13</v>
      </c>
      <c r="H253" s="52" t="s">
        <v>13</v>
      </c>
      <c r="I253" s="39">
        <v>0</v>
      </c>
      <c r="J253" s="39">
        <v>0</v>
      </c>
      <c r="K253" s="40"/>
      <c r="L253" s="34">
        <f t="shared" si="57"/>
        <v>0</v>
      </c>
      <c r="M253" s="34" t="s">
        <v>132</v>
      </c>
      <c r="N253" s="34" t="s">
        <v>133</v>
      </c>
      <c r="O253" s="35">
        <f>I253*L253</f>
        <v>0</v>
      </c>
      <c r="P253" s="35">
        <f>J253*L253</f>
        <v>0</v>
      </c>
    </row>
    <row r="254" spans="1:16" x14ac:dyDescent="0.25">
      <c r="A254" s="41" t="s">
        <v>281</v>
      </c>
      <c r="B254" s="42" t="s">
        <v>283</v>
      </c>
      <c r="C254" s="42" t="s">
        <v>543</v>
      </c>
      <c r="D254" s="42" t="s">
        <v>49</v>
      </c>
      <c r="E254" s="42" t="s">
        <v>47</v>
      </c>
      <c r="F254" s="42" t="s">
        <v>35</v>
      </c>
      <c r="G254" s="53">
        <v>42065</v>
      </c>
      <c r="H254" s="53">
        <v>42097</v>
      </c>
      <c r="I254" s="43">
        <f ca="1">SUM(O250:O253)/L254</f>
        <v>1</v>
      </c>
      <c r="J254" s="43">
        <f>SUM(P250:P253)/L254</f>
        <v>1</v>
      </c>
      <c r="K254" s="44">
        <f>SUM(K250:K253)</f>
        <v>24</v>
      </c>
      <c r="L254" s="41">
        <f>SUM(L250:L253)</f>
        <v>192</v>
      </c>
      <c r="M254" s="43" t="s">
        <v>132</v>
      </c>
      <c r="N254" s="43" t="s">
        <v>133</v>
      </c>
      <c r="O254" s="35"/>
      <c r="P254" s="35"/>
    </row>
    <row r="255" spans="1:16" x14ac:dyDescent="0.25">
      <c r="A255" s="34" t="s">
        <v>284</v>
      </c>
      <c r="B255" s="35" t="s">
        <v>285</v>
      </c>
      <c r="C255" s="35" t="s">
        <v>543</v>
      </c>
      <c r="D255" s="35" t="s">
        <v>49</v>
      </c>
      <c r="E255" s="36" t="s">
        <v>47</v>
      </c>
      <c r="F255" s="37" t="s">
        <v>7</v>
      </c>
      <c r="G255" s="38">
        <v>42086</v>
      </c>
      <c r="H255" s="38">
        <v>42087</v>
      </c>
      <c r="I255" s="39">
        <f ca="1">IF(NETWORKDAYS(G255,TODAY())/NETWORKDAYS(G255,H255,)&lt;0,0,IF(NETWORKDAYS(G255,TODAY())/NETWORKDAYS(G255,H255,)&gt;1,1,NETWORKDAYS(G255,TODAY())/NETWORKDAYS(G255,H255,)))</f>
        <v>1</v>
      </c>
      <c r="J255" s="39">
        <v>1</v>
      </c>
      <c r="K255" s="40">
        <f>NETWORKDAYS(G255,H255)</f>
        <v>2</v>
      </c>
      <c r="L255" s="34">
        <f t="shared" ref="L255:L258" si="58">K255*8</f>
        <v>16</v>
      </c>
      <c r="M255" s="34" t="s">
        <v>140</v>
      </c>
      <c r="N255" s="34" t="s">
        <v>141</v>
      </c>
      <c r="O255" s="35">
        <f ca="1">I255*L255</f>
        <v>16</v>
      </c>
      <c r="P255" s="35">
        <f>J255*L255</f>
        <v>16</v>
      </c>
    </row>
    <row r="256" spans="1:16" x14ac:dyDescent="0.25">
      <c r="A256" s="34" t="s">
        <v>284</v>
      </c>
      <c r="B256" s="35" t="s">
        <v>285</v>
      </c>
      <c r="C256" s="35" t="s">
        <v>543</v>
      </c>
      <c r="D256" s="35" t="s">
        <v>49</v>
      </c>
      <c r="E256" s="36" t="s">
        <v>47</v>
      </c>
      <c r="F256" s="37" t="s">
        <v>10</v>
      </c>
      <c r="G256" s="38">
        <v>42088</v>
      </c>
      <c r="H256" s="38">
        <v>42093</v>
      </c>
      <c r="I256" s="39">
        <f ca="1">IF(NETWORKDAYS(G256,TODAY())/NETWORKDAYS(G256,H256,)&lt;0,0,IF(NETWORKDAYS(G256,TODAY())/NETWORKDAYS(G256,H256,)&gt;1,1,NETWORKDAYS(G256,TODAY())/NETWORKDAYS(G256,H256,)))</f>
        <v>1</v>
      </c>
      <c r="J256" s="39">
        <v>1</v>
      </c>
      <c r="K256" s="40">
        <f>NETWORKDAYS(G256,H256)</f>
        <v>4</v>
      </c>
      <c r="L256" s="34">
        <f t="shared" si="58"/>
        <v>32</v>
      </c>
      <c r="M256" s="34" t="s">
        <v>140</v>
      </c>
      <c r="N256" s="34" t="s">
        <v>141</v>
      </c>
      <c r="O256" s="35">
        <f ca="1">I256*L256</f>
        <v>32</v>
      </c>
      <c r="P256" s="35">
        <f>J256*L256</f>
        <v>32</v>
      </c>
    </row>
    <row r="257" spans="1:16" x14ac:dyDescent="0.25">
      <c r="A257" s="34" t="s">
        <v>284</v>
      </c>
      <c r="B257" s="35" t="s">
        <v>285</v>
      </c>
      <c r="C257" s="35" t="s">
        <v>543</v>
      </c>
      <c r="D257" s="35" t="s">
        <v>49</v>
      </c>
      <c r="E257" s="36" t="s">
        <v>47</v>
      </c>
      <c r="F257" s="37" t="s">
        <v>8</v>
      </c>
      <c r="G257" s="38">
        <v>42094</v>
      </c>
      <c r="H257" s="38">
        <v>42094</v>
      </c>
      <c r="I257" s="39">
        <f ca="1">IF(NETWORKDAYS(G257,TODAY())/NETWORKDAYS(G257,H257,)&lt;0,0,IF(NETWORKDAYS(G257,TODAY())/NETWORKDAYS(G257,H257,)&gt;1,1,NETWORKDAYS(G257,TODAY())/NETWORKDAYS(G257,H257,)))</f>
        <v>1</v>
      </c>
      <c r="J257" s="39">
        <v>1</v>
      </c>
      <c r="K257" s="40">
        <f>NETWORKDAYS(G257,H257)</f>
        <v>1</v>
      </c>
      <c r="L257" s="34">
        <f t="shared" si="58"/>
        <v>8</v>
      </c>
      <c r="M257" s="34" t="s">
        <v>140</v>
      </c>
      <c r="N257" s="34" t="s">
        <v>141</v>
      </c>
      <c r="O257" s="35">
        <f ca="1">I257*L257</f>
        <v>8</v>
      </c>
      <c r="P257" s="35">
        <f>J257*L257</f>
        <v>8</v>
      </c>
    </row>
    <row r="258" spans="1:16" x14ac:dyDescent="0.25">
      <c r="A258" s="34" t="s">
        <v>284</v>
      </c>
      <c r="B258" s="35" t="s">
        <v>285</v>
      </c>
      <c r="C258" s="35" t="s">
        <v>543</v>
      </c>
      <c r="D258" s="35" t="s">
        <v>49</v>
      </c>
      <c r="E258" s="36" t="s">
        <v>47</v>
      </c>
      <c r="F258" s="37" t="s">
        <v>11</v>
      </c>
      <c r="G258" s="38">
        <v>42095</v>
      </c>
      <c r="H258" s="38">
        <v>42095</v>
      </c>
      <c r="I258" s="39">
        <f ca="1">IF(NETWORKDAYS(G258,TODAY())/NETWORKDAYS(G258,H258,)&lt;0,0,IF(NETWORKDAYS(G258,TODAY())/NETWORKDAYS(G258,H258,)&gt;1,1,NETWORKDAYS(G258,TODAY())/NETWORKDAYS(G258,H258,)))</f>
        <v>1</v>
      </c>
      <c r="J258" s="39">
        <v>1</v>
      </c>
      <c r="K258" s="40">
        <f>NETWORKDAYS(G258,H258)</f>
        <v>1</v>
      </c>
      <c r="L258" s="34">
        <f t="shared" si="58"/>
        <v>8</v>
      </c>
      <c r="M258" s="34" t="s">
        <v>140</v>
      </c>
      <c r="N258" s="34" t="s">
        <v>141</v>
      </c>
      <c r="O258" s="35">
        <f ca="1">I258*L258</f>
        <v>8</v>
      </c>
      <c r="P258" s="35">
        <f>J258*L258</f>
        <v>8</v>
      </c>
    </row>
    <row r="259" spans="1:16" x14ac:dyDescent="0.25">
      <c r="A259" s="41" t="s">
        <v>284</v>
      </c>
      <c r="B259" s="42" t="s">
        <v>285</v>
      </c>
      <c r="C259" s="42" t="s">
        <v>543</v>
      </c>
      <c r="D259" s="42" t="s">
        <v>49</v>
      </c>
      <c r="E259" s="42" t="s">
        <v>47</v>
      </c>
      <c r="F259" s="42" t="s">
        <v>35</v>
      </c>
      <c r="G259" s="53">
        <v>42086</v>
      </c>
      <c r="H259" s="53">
        <v>42095</v>
      </c>
      <c r="I259" s="43">
        <f ca="1">SUM(O255:O258)/L259</f>
        <v>1</v>
      </c>
      <c r="J259" s="43">
        <f>SUM(P255:P258)/L259</f>
        <v>1</v>
      </c>
      <c r="K259" s="44">
        <f>SUM(K255:K257)</f>
        <v>7</v>
      </c>
      <c r="L259" s="41">
        <f>SUM(L255:L258)</f>
        <v>64</v>
      </c>
      <c r="M259" s="43" t="s">
        <v>140</v>
      </c>
      <c r="N259" s="43" t="s">
        <v>141</v>
      </c>
      <c r="O259" s="35"/>
      <c r="P259" s="45"/>
    </row>
    <row r="260" spans="1:16" x14ac:dyDescent="0.25">
      <c r="A260" s="40" t="s">
        <v>113</v>
      </c>
      <c r="B260" s="35" t="s">
        <v>69</v>
      </c>
      <c r="C260" s="35" t="s">
        <v>543</v>
      </c>
      <c r="D260" s="36" t="s">
        <v>74</v>
      </c>
      <c r="E260" s="35" t="s">
        <v>73</v>
      </c>
      <c r="F260" s="37" t="s">
        <v>70</v>
      </c>
      <c r="G260" s="38">
        <v>42096</v>
      </c>
      <c r="H260" s="38">
        <v>42107</v>
      </c>
      <c r="I260" s="39">
        <f ca="1">IF(NETWORKDAYS(G260,TODAY())/NETWORKDAYS(G260,H260,)&lt;0,0,IF(NETWORKDAYS(G260,TODAY())/NETWORKDAYS(G260,H260,)&gt;1,1,NETWORKDAYS(G260,TODAY())/NETWORKDAYS(G260,H260,)))</f>
        <v>1</v>
      </c>
      <c r="J260" s="39">
        <v>1</v>
      </c>
      <c r="K260" s="40">
        <f>NETWORKDAYS(G260,H260)</f>
        <v>8</v>
      </c>
      <c r="L260" s="34">
        <f t="shared" ref="L260:L263" si="59">K260*8</f>
        <v>64</v>
      </c>
      <c r="M260" s="34" t="s">
        <v>159</v>
      </c>
      <c r="N260" s="34" t="s">
        <v>160</v>
      </c>
      <c r="O260" s="35">
        <f ca="1">I260*L260</f>
        <v>64</v>
      </c>
      <c r="P260" s="35">
        <f>J260*L260</f>
        <v>64</v>
      </c>
    </row>
    <row r="261" spans="1:16" x14ac:dyDescent="0.25">
      <c r="A261" s="40" t="s">
        <v>113</v>
      </c>
      <c r="B261" s="35" t="s">
        <v>69</v>
      </c>
      <c r="C261" s="35" t="s">
        <v>543</v>
      </c>
      <c r="D261" s="36" t="s">
        <v>74</v>
      </c>
      <c r="E261" s="35" t="s">
        <v>73</v>
      </c>
      <c r="F261" s="37" t="s">
        <v>70</v>
      </c>
      <c r="G261" s="38">
        <v>42108</v>
      </c>
      <c r="H261" s="38">
        <v>42137</v>
      </c>
      <c r="I261" s="39">
        <f ca="1">IF(NETWORKDAYS(G261,TODAY())/NETWORKDAYS(G261,H261,)&lt;0,0,IF(NETWORKDAYS(G261,TODAY())/NETWORKDAYS(G261,H261,)&gt;1,1,NETWORKDAYS(G261,TODAY())/NETWORKDAYS(G261,H261,)))</f>
        <v>1</v>
      </c>
      <c r="J261" s="39">
        <v>1</v>
      </c>
      <c r="K261" s="40">
        <f>NETWORKDAYS(G261,H261)</f>
        <v>22</v>
      </c>
      <c r="L261" s="34">
        <f t="shared" si="59"/>
        <v>176</v>
      </c>
      <c r="M261" s="34" t="s">
        <v>159</v>
      </c>
      <c r="N261" s="34" t="s">
        <v>160</v>
      </c>
      <c r="O261" s="35">
        <f ca="1">I261*L261</f>
        <v>176</v>
      </c>
      <c r="P261" s="35">
        <f>J261*L261</f>
        <v>176</v>
      </c>
    </row>
    <row r="262" spans="1:16" x14ac:dyDescent="0.25">
      <c r="A262" s="40" t="s">
        <v>113</v>
      </c>
      <c r="B262" s="35" t="s">
        <v>69</v>
      </c>
      <c r="C262" s="35" t="s">
        <v>543</v>
      </c>
      <c r="D262" s="36" t="s">
        <v>74</v>
      </c>
      <c r="E262" s="35" t="s">
        <v>73</v>
      </c>
      <c r="F262" s="64" t="s">
        <v>71</v>
      </c>
      <c r="G262" s="38">
        <v>42138</v>
      </c>
      <c r="H262" s="38">
        <v>42149</v>
      </c>
      <c r="I262" s="39">
        <f ca="1">IF(NETWORKDAYS(G262,TODAY())/NETWORKDAYS(G262,H262,)&lt;0,0,IF(NETWORKDAYS(G262,TODAY())/NETWORKDAYS(G262,H262,)&gt;1,1,NETWORKDAYS(G262,TODAY())/NETWORKDAYS(G262,H262,)))</f>
        <v>1</v>
      </c>
      <c r="J262" s="39">
        <v>0.5</v>
      </c>
      <c r="K262" s="40">
        <f>NETWORKDAYS(G262,H262)</f>
        <v>8</v>
      </c>
      <c r="L262" s="34">
        <f t="shared" si="59"/>
        <v>64</v>
      </c>
      <c r="M262" s="34" t="s">
        <v>159</v>
      </c>
      <c r="N262" s="34" t="s">
        <v>160</v>
      </c>
      <c r="O262" s="35">
        <f ca="1">I262*L262</f>
        <v>64</v>
      </c>
      <c r="P262" s="35">
        <f>J262*L262</f>
        <v>32</v>
      </c>
    </row>
    <row r="263" spans="1:16" x14ac:dyDescent="0.25">
      <c r="A263" s="40" t="s">
        <v>113</v>
      </c>
      <c r="B263" s="35" t="s">
        <v>69</v>
      </c>
      <c r="C263" s="35" t="s">
        <v>543</v>
      </c>
      <c r="D263" s="36" t="s">
        <v>74</v>
      </c>
      <c r="E263" s="35" t="s">
        <v>73</v>
      </c>
      <c r="F263" s="37" t="s">
        <v>72</v>
      </c>
      <c r="G263" s="38">
        <v>42150</v>
      </c>
      <c r="H263" s="38">
        <v>42156</v>
      </c>
      <c r="I263" s="39">
        <f ca="1">IF(NETWORKDAYS(G263,TODAY())/NETWORKDAYS(G263,H263,)&lt;0,0,IF(NETWORKDAYS(G263,TODAY())/NETWORKDAYS(G263,H263,)&gt;1,1,NETWORKDAYS(G263,TODAY())/NETWORKDAYS(G263,H263,)))</f>
        <v>0.6</v>
      </c>
      <c r="J263" s="39">
        <v>0</v>
      </c>
      <c r="K263" s="40">
        <f>NETWORKDAYS(G263,H263)</f>
        <v>5</v>
      </c>
      <c r="L263" s="34">
        <f t="shared" si="59"/>
        <v>40</v>
      </c>
      <c r="M263" s="34" t="s">
        <v>159</v>
      </c>
      <c r="N263" s="34" t="s">
        <v>160</v>
      </c>
      <c r="O263" s="35">
        <f ca="1">I263*L263</f>
        <v>24</v>
      </c>
      <c r="P263" s="35">
        <f>J263*L263</f>
        <v>0</v>
      </c>
    </row>
    <row r="264" spans="1:16" x14ac:dyDescent="0.25">
      <c r="A264" s="44" t="s">
        <v>113</v>
      </c>
      <c r="B264" s="42" t="s">
        <v>69</v>
      </c>
      <c r="C264" s="42" t="s">
        <v>543</v>
      </c>
      <c r="D264" s="42" t="s">
        <v>74</v>
      </c>
      <c r="E264" s="42" t="s">
        <v>73</v>
      </c>
      <c r="F264" s="42" t="s">
        <v>35</v>
      </c>
      <c r="G264" s="53">
        <f>G260</f>
        <v>42096</v>
      </c>
      <c r="H264" s="53">
        <f>H263</f>
        <v>42156</v>
      </c>
      <c r="I264" s="43">
        <f ca="1">SUM(O260:O263)/L264</f>
        <v>0.95348837209302328</v>
      </c>
      <c r="J264" s="43">
        <f>SUM(P260:P263)/L264</f>
        <v>0.79069767441860461</v>
      </c>
      <c r="K264" s="44">
        <f>SUM(K260:K263)</f>
        <v>43</v>
      </c>
      <c r="L264" s="41">
        <f>SUM(L260:L263)</f>
        <v>344</v>
      </c>
      <c r="M264" s="41" t="s">
        <v>159</v>
      </c>
      <c r="N264" s="41" t="s">
        <v>160</v>
      </c>
      <c r="O264" s="35"/>
      <c r="P264" s="35"/>
    </row>
    <row r="265" spans="1:16" x14ac:dyDescent="0.25">
      <c r="A265" s="34" t="s">
        <v>286</v>
      </c>
      <c r="B265" s="35" t="s">
        <v>287</v>
      </c>
      <c r="C265" s="35" t="s">
        <v>543</v>
      </c>
      <c r="D265" s="35" t="s">
        <v>38</v>
      </c>
      <c r="E265" s="36" t="s">
        <v>47</v>
      </c>
      <c r="F265" s="37" t="s">
        <v>70</v>
      </c>
      <c r="G265" s="38">
        <v>42136</v>
      </c>
      <c r="H265" s="38">
        <v>42136</v>
      </c>
      <c r="I265" s="39">
        <f ca="1">IF(NETWORKDAYS(G265,TODAY())/NETWORKDAYS(G265,H265,)&lt;0,0,IF(NETWORKDAYS(G265,TODAY())/NETWORKDAYS(G265,H265,)&gt;1,1,NETWORKDAYS(G265,TODAY())/NETWORKDAYS(G265,H265,)))</f>
        <v>1</v>
      </c>
      <c r="J265" s="39">
        <v>1</v>
      </c>
      <c r="K265" s="40">
        <f t="shared" ref="K265:K328" si="60">NETWORKDAYS(G265,H265)</f>
        <v>1</v>
      </c>
      <c r="L265" s="34">
        <f t="shared" ref="L265:L268" si="61">K265*8</f>
        <v>8</v>
      </c>
      <c r="M265" s="34" t="s">
        <v>136</v>
      </c>
      <c r="N265" s="34" t="s">
        <v>137</v>
      </c>
      <c r="O265" s="35">
        <f ca="1">I265*L265</f>
        <v>8</v>
      </c>
      <c r="P265" s="35">
        <f>J265*L265</f>
        <v>8</v>
      </c>
    </row>
    <row r="266" spans="1:16" x14ac:dyDescent="0.25">
      <c r="A266" s="34" t="s">
        <v>286</v>
      </c>
      <c r="B266" s="35" t="s">
        <v>287</v>
      </c>
      <c r="C266" s="35" t="s">
        <v>543</v>
      </c>
      <c r="D266" s="35" t="s">
        <v>38</v>
      </c>
      <c r="E266" s="36" t="s">
        <v>47</v>
      </c>
      <c r="F266" s="37" t="s">
        <v>70</v>
      </c>
      <c r="G266" s="38">
        <v>42136</v>
      </c>
      <c r="H266" s="38">
        <v>42136</v>
      </c>
      <c r="I266" s="39">
        <f t="shared" ref="I266:I268" ca="1" si="62">IF(NETWORKDAYS(G266,TODAY())/NETWORKDAYS(G266,H266,)&lt;0,0,IF(NETWORKDAYS(G266,TODAY())/NETWORKDAYS(G266,H266,)&gt;1,1,NETWORKDAYS(G266,TODAY())/NETWORKDAYS(G266,H266,)))</f>
        <v>1</v>
      </c>
      <c r="J266" s="39">
        <v>1</v>
      </c>
      <c r="K266" s="40">
        <f t="shared" si="60"/>
        <v>1</v>
      </c>
      <c r="L266" s="34">
        <f t="shared" si="61"/>
        <v>8</v>
      </c>
      <c r="M266" s="34" t="s">
        <v>136</v>
      </c>
      <c r="N266" s="34" t="s">
        <v>137</v>
      </c>
      <c r="O266" s="35">
        <f ca="1">I266*L266</f>
        <v>8</v>
      </c>
      <c r="P266" s="35">
        <f>J266*L266</f>
        <v>8</v>
      </c>
    </row>
    <row r="267" spans="1:16" x14ac:dyDescent="0.25">
      <c r="A267" s="34" t="s">
        <v>286</v>
      </c>
      <c r="B267" s="35" t="s">
        <v>287</v>
      </c>
      <c r="C267" s="35" t="s">
        <v>543</v>
      </c>
      <c r="D267" s="35" t="s">
        <v>38</v>
      </c>
      <c r="E267" s="35" t="s">
        <v>47</v>
      </c>
      <c r="F267" s="64" t="s">
        <v>71</v>
      </c>
      <c r="G267" s="38">
        <v>42136</v>
      </c>
      <c r="H267" s="38">
        <v>42136</v>
      </c>
      <c r="I267" s="39">
        <f t="shared" ca="1" si="62"/>
        <v>1</v>
      </c>
      <c r="J267" s="39">
        <v>1</v>
      </c>
      <c r="K267" s="40">
        <f t="shared" si="60"/>
        <v>1</v>
      </c>
      <c r="L267" s="34">
        <f t="shared" si="61"/>
        <v>8</v>
      </c>
      <c r="M267" s="34" t="s">
        <v>136</v>
      </c>
      <c r="N267" s="34" t="s">
        <v>137</v>
      </c>
      <c r="O267" s="35">
        <f ca="1">I267*L267</f>
        <v>8</v>
      </c>
      <c r="P267" s="35">
        <f>J267*L267</f>
        <v>8</v>
      </c>
    </row>
    <row r="268" spans="1:16" x14ac:dyDescent="0.25">
      <c r="A268" s="34" t="s">
        <v>286</v>
      </c>
      <c r="B268" s="35" t="s">
        <v>287</v>
      </c>
      <c r="C268" s="35" t="s">
        <v>543</v>
      </c>
      <c r="D268" s="35" t="s">
        <v>38</v>
      </c>
      <c r="E268" s="35" t="s">
        <v>47</v>
      </c>
      <c r="F268" s="37" t="s">
        <v>72</v>
      </c>
      <c r="G268" s="38">
        <v>42136</v>
      </c>
      <c r="H268" s="38">
        <f>H267</f>
        <v>42136</v>
      </c>
      <c r="I268" s="39">
        <f t="shared" ca="1" si="62"/>
        <v>1</v>
      </c>
      <c r="J268" s="39">
        <v>1</v>
      </c>
      <c r="K268" s="40">
        <f t="shared" si="60"/>
        <v>1</v>
      </c>
      <c r="L268" s="34">
        <f t="shared" si="61"/>
        <v>8</v>
      </c>
      <c r="M268" s="34" t="s">
        <v>136</v>
      </c>
      <c r="N268" s="34" t="s">
        <v>137</v>
      </c>
      <c r="O268" s="35">
        <f ca="1">I268*L268</f>
        <v>8</v>
      </c>
      <c r="P268" s="35">
        <f>J268*L268</f>
        <v>8</v>
      </c>
    </row>
    <row r="269" spans="1:16" x14ac:dyDescent="0.25">
      <c r="A269" s="41" t="s">
        <v>286</v>
      </c>
      <c r="B269" s="42" t="s">
        <v>287</v>
      </c>
      <c r="C269" s="42" t="s">
        <v>543</v>
      </c>
      <c r="D269" s="42" t="s">
        <v>38</v>
      </c>
      <c r="E269" s="42" t="s">
        <v>47</v>
      </c>
      <c r="F269" s="42" t="s">
        <v>35</v>
      </c>
      <c r="G269" s="53">
        <f>G265</f>
        <v>42136</v>
      </c>
      <c r="H269" s="53">
        <f>H268</f>
        <v>42136</v>
      </c>
      <c r="I269" s="43">
        <f ca="1">SUM(O265:O268)/L269</f>
        <v>1</v>
      </c>
      <c r="J269" s="43">
        <f>SUM(P265:P268)/L269</f>
        <v>1</v>
      </c>
      <c r="K269" s="44">
        <f t="shared" si="60"/>
        <v>1</v>
      </c>
      <c r="L269" s="41">
        <f>SUM(L265:L268)</f>
        <v>32</v>
      </c>
      <c r="M269" s="43" t="s">
        <v>136</v>
      </c>
      <c r="N269" s="43" t="s">
        <v>137</v>
      </c>
      <c r="O269" s="35"/>
      <c r="P269" s="35"/>
    </row>
    <row r="270" spans="1:16" x14ac:dyDescent="0.25">
      <c r="A270" s="40" t="s">
        <v>114</v>
      </c>
      <c r="B270" s="35" t="s">
        <v>76</v>
      </c>
      <c r="C270" s="35" t="s">
        <v>543</v>
      </c>
      <c r="D270" s="36" t="s">
        <v>74</v>
      </c>
      <c r="E270" s="35" t="s">
        <v>73</v>
      </c>
      <c r="F270" s="37" t="s">
        <v>77</v>
      </c>
      <c r="G270" s="38">
        <v>42130</v>
      </c>
      <c r="H270" s="38">
        <v>42130</v>
      </c>
      <c r="I270" s="39">
        <f t="shared" ref="I270:I277" ca="1" si="63">IF(NETWORKDAYS(G270,TODAY())/NETWORKDAYS(G270,H270,)&lt;0,0,IF(NETWORKDAYS(G270,TODAY())/NETWORKDAYS(G270,H270,)&gt;1,1,NETWORKDAYS(G270,TODAY())/NETWORKDAYS(G270,H270,)))</f>
        <v>1</v>
      </c>
      <c r="J270" s="39">
        <v>1</v>
      </c>
      <c r="K270" s="40">
        <f t="shared" si="60"/>
        <v>1</v>
      </c>
      <c r="L270" s="34">
        <f t="shared" ref="L270:L277" si="64">K270*8</f>
        <v>8</v>
      </c>
      <c r="M270" s="34" t="s">
        <v>138</v>
      </c>
      <c r="N270" s="34" t="s">
        <v>139</v>
      </c>
      <c r="O270" s="35">
        <f t="shared" ref="O270:O282" ca="1" si="65">I270*L270</f>
        <v>8</v>
      </c>
      <c r="P270" s="35">
        <f t="shared" ref="P270:P282" si="66">J270*L270</f>
        <v>8</v>
      </c>
    </row>
    <row r="271" spans="1:16" x14ac:dyDescent="0.25">
      <c r="A271" s="40" t="s">
        <v>114</v>
      </c>
      <c r="B271" s="35" t="s">
        <v>76</v>
      </c>
      <c r="C271" s="35" t="s">
        <v>543</v>
      </c>
      <c r="D271" s="36" t="s">
        <v>74</v>
      </c>
      <c r="E271" s="35" t="s">
        <v>73</v>
      </c>
      <c r="F271" s="37" t="s">
        <v>78</v>
      </c>
      <c r="G271" s="38">
        <v>42131</v>
      </c>
      <c r="H271" s="38">
        <v>42132</v>
      </c>
      <c r="I271" s="39">
        <f t="shared" ca="1" si="63"/>
        <v>1</v>
      </c>
      <c r="J271" s="39">
        <v>1</v>
      </c>
      <c r="K271" s="40">
        <f t="shared" si="60"/>
        <v>2</v>
      </c>
      <c r="L271" s="34">
        <f t="shared" si="64"/>
        <v>16</v>
      </c>
      <c r="M271" s="34" t="s">
        <v>138</v>
      </c>
      <c r="N271" s="34" t="s">
        <v>139</v>
      </c>
      <c r="O271" s="35">
        <f t="shared" ca="1" si="65"/>
        <v>16</v>
      </c>
      <c r="P271" s="35">
        <f t="shared" si="66"/>
        <v>16</v>
      </c>
    </row>
    <row r="272" spans="1:16" x14ac:dyDescent="0.25">
      <c r="A272" s="40" t="s">
        <v>114</v>
      </c>
      <c r="B272" s="35" t="s">
        <v>76</v>
      </c>
      <c r="C272" s="35" t="s">
        <v>543</v>
      </c>
      <c r="D272" s="36" t="s">
        <v>74</v>
      </c>
      <c r="E272" s="35" t="s">
        <v>73</v>
      </c>
      <c r="F272" s="64" t="s">
        <v>79</v>
      </c>
      <c r="G272" s="38">
        <v>42135</v>
      </c>
      <c r="H272" s="38">
        <v>42139</v>
      </c>
      <c r="I272" s="39">
        <f t="shared" ca="1" si="63"/>
        <v>1</v>
      </c>
      <c r="J272" s="39">
        <v>1</v>
      </c>
      <c r="K272" s="40">
        <f t="shared" si="60"/>
        <v>5</v>
      </c>
      <c r="L272" s="34">
        <f t="shared" si="64"/>
        <v>40</v>
      </c>
      <c r="M272" s="34" t="s">
        <v>138</v>
      </c>
      <c r="N272" s="34" t="s">
        <v>139</v>
      </c>
      <c r="O272" s="35">
        <f t="shared" ca="1" si="65"/>
        <v>40</v>
      </c>
      <c r="P272" s="35">
        <f t="shared" si="66"/>
        <v>40</v>
      </c>
    </row>
    <row r="273" spans="1:16" x14ac:dyDescent="0.25">
      <c r="A273" s="40" t="s">
        <v>114</v>
      </c>
      <c r="B273" s="35" t="s">
        <v>76</v>
      </c>
      <c r="C273" s="35" t="s">
        <v>543</v>
      </c>
      <c r="D273" s="36" t="s">
        <v>74</v>
      </c>
      <c r="E273" s="35" t="s">
        <v>73</v>
      </c>
      <c r="F273" s="64" t="s">
        <v>71</v>
      </c>
      <c r="G273" s="38">
        <v>42142</v>
      </c>
      <c r="H273" s="38">
        <v>42143</v>
      </c>
      <c r="I273" s="39">
        <f t="shared" ca="1" si="63"/>
        <v>1</v>
      </c>
      <c r="J273" s="39">
        <v>1</v>
      </c>
      <c r="K273" s="40">
        <f t="shared" si="60"/>
        <v>2</v>
      </c>
      <c r="L273" s="34">
        <f t="shared" si="64"/>
        <v>16</v>
      </c>
      <c r="M273" s="34" t="s">
        <v>138</v>
      </c>
      <c r="N273" s="34" t="s">
        <v>139</v>
      </c>
      <c r="O273" s="35">
        <f t="shared" ca="1" si="65"/>
        <v>16</v>
      </c>
      <c r="P273" s="35">
        <f t="shared" si="66"/>
        <v>16</v>
      </c>
    </row>
    <row r="274" spans="1:16" x14ac:dyDescent="0.25">
      <c r="A274" s="40" t="s">
        <v>114</v>
      </c>
      <c r="B274" s="35" t="s">
        <v>76</v>
      </c>
      <c r="C274" s="35" t="s">
        <v>543</v>
      </c>
      <c r="D274" s="36" t="s">
        <v>74</v>
      </c>
      <c r="E274" s="35" t="s">
        <v>73</v>
      </c>
      <c r="F274" s="64" t="s">
        <v>80</v>
      </c>
      <c r="G274" s="38">
        <v>42150</v>
      </c>
      <c r="H274" s="38">
        <v>42153</v>
      </c>
      <c r="I274" s="39">
        <f t="shared" ca="1" si="63"/>
        <v>0.75</v>
      </c>
      <c r="J274" s="39">
        <v>0</v>
      </c>
      <c r="K274" s="40">
        <f t="shared" si="60"/>
        <v>4</v>
      </c>
      <c r="L274" s="34">
        <f t="shared" si="64"/>
        <v>32</v>
      </c>
      <c r="M274" s="34" t="s">
        <v>138</v>
      </c>
      <c r="N274" s="34" t="s">
        <v>139</v>
      </c>
      <c r="O274" s="35">
        <f t="shared" ca="1" si="65"/>
        <v>24</v>
      </c>
      <c r="P274" s="35">
        <f t="shared" si="66"/>
        <v>0</v>
      </c>
    </row>
    <row r="275" spans="1:16" x14ac:dyDescent="0.25">
      <c r="A275" s="40" t="s">
        <v>114</v>
      </c>
      <c r="B275" s="35" t="s">
        <v>76</v>
      </c>
      <c r="C275" s="35" t="s">
        <v>543</v>
      </c>
      <c r="D275" s="36" t="s">
        <v>74</v>
      </c>
      <c r="E275" s="35" t="s">
        <v>73</v>
      </c>
      <c r="F275" s="64" t="s">
        <v>81</v>
      </c>
      <c r="G275" s="38">
        <v>42156</v>
      </c>
      <c r="H275" s="38">
        <v>42167</v>
      </c>
      <c r="I275" s="39">
        <f t="shared" ca="1" si="63"/>
        <v>0</v>
      </c>
      <c r="J275" s="39">
        <v>0</v>
      </c>
      <c r="K275" s="40">
        <f t="shared" si="60"/>
        <v>10</v>
      </c>
      <c r="L275" s="34">
        <f t="shared" si="64"/>
        <v>80</v>
      </c>
      <c r="M275" s="34" t="s">
        <v>138</v>
      </c>
      <c r="N275" s="34" t="s">
        <v>139</v>
      </c>
      <c r="O275" s="35">
        <f t="shared" ca="1" si="65"/>
        <v>0</v>
      </c>
      <c r="P275" s="35">
        <f t="shared" si="66"/>
        <v>0</v>
      </c>
    </row>
    <row r="276" spans="1:16" x14ac:dyDescent="0.25">
      <c r="A276" s="40" t="s">
        <v>114</v>
      </c>
      <c r="B276" s="35" t="s">
        <v>76</v>
      </c>
      <c r="C276" s="35" t="s">
        <v>543</v>
      </c>
      <c r="D276" s="36" t="s">
        <v>74</v>
      </c>
      <c r="E276" s="35" t="s">
        <v>73</v>
      </c>
      <c r="F276" s="64" t="s">
        <v>71</v>
      </c>
      <c r="G276" s="38">
        <v>42170</v>
      </c>
      <c r="H276" s="38">
        <v>42172</v>
      </c>
      <c r="I276" s="39">
        <f t="shared" ca="1" si="63"/>
        <v>0</v>
      </c>
      <c r="J276" s="39">
        <v>0</v>
      </c>
      <c r="K276" s="40">
        <f t="shared" si="60"/>
        <v>3</v>
      </c>
      <c r="L276" s="34">
        <f t="shared" si="64"/>
        <v>24</v>
      </c>
      <c r="M276" s="34" t="s">
        <v>138</v>
      </c>
      <c r="N276" s="34" t="s">
        <v>139</v>
      </c>
      <c r="O276" s="35">
        <f t="shared" ca="1" si="65"/>
        <v>0</v>
      </c>
      <c r="P276" s="35">
        <f t="shared" si="66"/>
        <v>0</v>
      </c>
    </row>
    <row r="277" spans="1:16" x14ac:dyDescent="0.25">
      <c r="A277" s="40" t="s">
        <v>114</v>
      </c>
      <c r="B277" s="35" t="s">
        <v>76</v>
      </c>
      <c r="C277" s="35" t="s">
        <v>543</v>
      </c>
      <c r="D277" s="36" t="s">
        <v>74</v>
      </c>
      <c r="E277" s="35" t="s">
        <v>73</v>
      </c>
      <c r="F277" s="37" t="s">
        <v>72</v>
      </c>
      <c r="G277" s="38">
        <v>42173</v>
      </c>
      <c r="H277" s="38">
        <v>42177</v>
      </c>
      <c r="I277" s="39">
        <f t="shared" ca="1" si="63"/>
        <v>0</v>
      </c>
      <c r="J277" s="39">
        <v>0</v>
      </c>
      <c r="K277" s="40">
        <f t="shared" si="60"/>
        <v>3</v>
      </c>
      <c r="L277" s="34">
        <f t="shared" si="64"/>
        <v>24</v>
      </c>
      <c r="M277" s="34" t="s">
        <v>138</v>
      </c>
      <c r="N277" s="34" t="s">
        <v>139</v>
      </c>
      <c r="O277" s="35">
        <f t="shared" ca="1" si="65"/>
        <v>0</v>
      </c>
      <c r="P277" s="35">
        <f t="shared" si="66"/>
        <v>0</v>
      </c>
    </row>
    <row r="278" spans="1:16" x14ac:dyDescent="0.25">
      <c r="A278" s="51" t="s">
        <v>114</v>
      </c>
      <c r="B278" s="47" t="s">
        <v>76</v>
      </c>
      <c r="C278" s="47" t="s">
        <v>544</v>
      </c>
      <c r="D278" s="47" t="s">
        <v>74</v>
      </c>
      <c r="E278" s="47" t="s">
        <v>73</v>
      </c>
      <c r="F278" s="42" t="s">
        <v>35</v>
      </c>
      <c r="G278" s="55">
        <f>G270</f>
        <v>42130</v>
      </c>
      <c r="H278" s="55">
        <f>H277</f>
        <v>42177</v>
      </c>
      <c r="I278" s="43">
        <f ca="1">SUM(O270:O277)/L278</f>
        <v>0.38235294117647056</v>
      </c>
      <c r="J278" s="43">
        <f>SUM(P270:P277)/L278</f>
        <v>0.29411764705882354</v>
      </c>
      <c r="K278" s="51">
        <f t="shared" si="60"/>
        <v>34</v>
      </c>
      <c r="L278" s="46">
        <f t="shared" ref="L278:L282" si="67">K278*8</f>
        <v>272</v>
      </c>
      <c r="M278" s="46" t="s">
        <v>138</v>
      </c>
      <c r="N278" s="46" t="s">
        <v>139</v>
      </c>
      <c r="O278" s="35"/>
      <c r="P278" s="35"/>
    </row>
    <row r="279" spans="1:16" x14ac:dyDescent="0.25">
      <c r="A279" s="40" t="s">
        <v>115</v>
      </c>
      <c r="B279" s="35" t="s">
        <v>86</v>
      </c>
      <c r="C279" s="35" t="s">
        <v>543</v>
      </c>
      <c r="D279" s="36" t="s">
        <v>82</v>
      </c>
      <c r="E279" s="35" t="s">
        <v>73</v>
      </c>
      <c r="F279" s="37" t="s">
        <v>77</v>
      </c>
      <c r="G279" s="38">
        <v>42132</v>
      </c>
      <c r="H279" s="38">
        <v>42135</v>
      </c>
      <c r="I279" s="39">
        <f ca="1">IF(NETWORKDAYS(G279,TODAY())/NETWORKDAYS(G279,H279,)&lt;0,0,IF(NETWORKDAYS(G279,TODAY())/NETWORKDAYS(G279,H279,)&gt;1,1,NETWORKDAYS(G279,TODAY())/NETWORKDAYS(G279,H279,)))</f>
        <v>1</v>
      </c>
      <c r="J279" s="39">
        <v>1</v>
      </c>
      <c r="K279" s="40">
        <f t="shared" si="60"/>
        <v>2</v>
      </c>
      <c r="L279" s="34">
        <f t="shared" si="67"/>
        <v>16</v>
      </c>
      <c r="M279" s="34" t="s">
        <v>130</v>
      </c>
      <c r="N279" s="34" t="s">
        <v>131</v>
      </c>
      <c r="O279" s="35">
        <f t="shared" ca="1" si="65"/>
        <v>16</v>
      </c>
      <c r="P279" s="35">
        <f t="shared" si="66"/>
        <v>16</v>
      </c>
    </row>
    <row r="280" spans="1:16" x14ac:dyDescent="0.25">
      <c r="A280" s="40" t="s">
        <v>115</v>
      </c>
      <c r="B280" s="35" t="s">
        <v>86</v>
      </c>
      <c r="C280" s="35" t="s">
        <v>543</v>
      </c>
      <c r="D280" s="36" t="s">
        <v>82</v>
      </c>
      <c r="E280" s="35" t="s">
        <v>73</v>
      </c>
      <c r="F280" s="37" t="s">
        <v>85</v>
      </c>
      <c r="G280" s="38">
        <v>42136</v>
      </c>
      <c r="H280" s="38">
        <v>42142</v>
      </c>
      <c r="I280" s="39">
        <f ca="1">IF(NETWORKDAYS(G280,TODAY())/NETWORKDAYS(G280,H280,)&lt;0,0,IF(NETWORKDAYS(G280,TODAY())/NETWORKDAYS(G280,H280,)&gt;1,1,NETWORKDAYS(G280,TODAY())/NETWORKDAYS(G280,H280,)))</f>
        <v>1</v>
      </c>
      <c r="J280" s="39">
        <v>1</v>
      </c>
      <c r="K280" s="40">
        <f t="shared" si="60"/>
        <v>5</v>
      </c>
      <c r="L280" s="34">
        <f t="shared" si="67"/>
        <v>40</v>
      </c>
      <c r="M280" s="34" t="s">
        <v>130</v>
      </c>
      <c r="N280" s="34" t="s">
        <v>131</v>
      </c>
      <c r="O280" s="35">
        <f t="shared" ca="1" si="65"/>
        <v>40</v>
      </c>
      <c r="P280" s="35">
        <f t="shared" si="66"/>
        <v>40</v>
      </c>
    </row>
    <row r="281" spans="1:16" x14ac:dyDescent="0.25">
      <c r="A281" s="40" t="s">
        <v>115</v>
      </c>
      <c r="B281" s="35" t="s">
        <v>86</v>
      </c>
      <c r="C281" s="35" t="s">
        <v>543</v>
      </c>
      <c r="D281" s="36" t="s">
        <v>82</v>
      </c>
      <c r="E281" s="35" t="s">
        <v>73</v>
      </c>
      <c r="F281" s="64" t="s">
        <v>71</v>
      </c>
      <c r="G281" s="38">
        <v>42143</v>
      </c>
      <c r="H281" s="38">
        <v>42143</v>
      </c>
      <c r="I281" s="39">
        <f ca="1">IF(NETWORKDAYS(G281,TODAY())/NETWORKDAYS(G281,H281,)&lt;0,0,IF(NETWORKDAYS(G281,TODAY())/NETWORKDAYS(G281,H281,)&gt;1,1,NETWORKDAYS(G281,TODAY())/NETWORKDAYS(G281,H281,)))</f>
        <v>1</v>
      </c>
      <c r="J281" s="39">
        <v>1</v>
      </c>
      <c r="K281" s="40">
        <f t="shared" si="60"/>
        <v>1</v>
      </c>
      <c r="L281" s="34">
        <f t="shared" si="67"/>
        <v>8</v>
      </c>
      <c r="M281" s="34" t="s">
        <v>130</v>
      </c>
      <c r="N281" s="34" t="s">
        <v>131</v>
      </c>
      <c r="O281" s="35">
        <f t="shared" ca="1" si="65"/>
        <v>8</v>
      </c>
      <c r="P281" s="35">
        <f t="shared" si="66"/>
        <v>8</v>
      </c>
    </row>
    <row r="282" spans="1:16" x14ac:dyDescent="0.25">
      <c r="A282" s="40" t="s">
        <v>115</v>
      </c>
      <c r="B282" s="35" t="s">
        <v>86</v>
      </c>
      <c r="C282" s="35" t="s">
        <v>543</v>
      </c>
      <c r="D282" s="36" t="s">
        <v>82</v>
      </c>
      <c r="E282" s="35" t="s">
        <v>73</v>
      </c>
      <c r="F282" s="37" t="s">
        <v>72</v>
      </c>
      <c r="G282" s="38">
        <v>42144</v>
      </c>
      <c r="H282" s="38">
        <v>42145</v>
      </c>
      <c r="I282" s="39">
        <f ca="1">IF(NETWORKDAYS(G282,TODAY())/NETWORKDAYS(G282,H282,)&lt;0,0,IF(NETWORKDAYS(G282,TODAY())/NETWORKDAYS(G282,H282,)&gt;1,1,NETWORKDAYS(G282,TODAY())/NETWORKDAYS(G282,H282,)))</f>
        <v>1</v>
      </c>
      <c r="J282" s="39">
        <v>1</v>
      </c>
      <c r="K282" s="40">
        <f t="shared" si="60"/>
        <v>2</v>
      </c>
      <c r="L282" s="34">
        <f t="shared" si="67"/>
        <v>16</v>
      </c>
      <c r="M282" s="34" t="s">
        <v>130</v>
      </c>
      <c r="N282" s="34" t="s">
        <v>131</v>
      </c>
      <c r="O282" s="35">
        <f t="shared" ca="1" si="65"/>
        <v>16</v>
      </c>
      <c r="P282" s="35">
        <f t="shared" si="66"/>
        <v>16</v>
      </c>
    </row>
    <row r="283" spans="1:16" x14ac:dyDescent="0.25">
      <c r="A283" s="51" t="s">
        <v>115</v>
      </c>
      <c r="B283" s="47" t="s">
        <v>86</v>
      </c>
      <c r="C283" s="47" t="s">
        <v>543</v>
      </c>
      <c r="D283" s="47" t="s">
        <v>82</v>
      </c>
      <c r="E283" s="47" t="s">
        <v>73</v>
      </c>
      <c r="F283" s="42" t="s">
        <v>35</v>
      </c>
      <c r="G283" s="55">
        <f>G279</f>
        <v>42132</v>
      </c>
      <c r="H283" s="55">
        <f>H282</f>
        <v>42145</v>
      </c>
      <c r="I283" s="43">
        <f ca="1">SUM(O279:O282)/L283</f>
        <v>1</v>
      </c>
      <c r="J283" s="43">
        <f>SUM(P279:P282)/L283</f>
        <v>1</v>
      </c>
      <c r="K283" s="51">
        <f t="shared" si="60"/>
        <v>10</v>
      </c>
      <c r="L283" s="46">
        <f>K283*8</f>
        <v>80</v>
      </c>
      <c r="M283" s="46" t="s">
        <v>130</v>
      </c>
      <c r="N283" s="46" t="s">
        <v>131</v>
      </c>
      <c r="O283" s="35"/>
      <c r="P283" s="35"/>
    </row>
    <row r="284" spans="1:16" x14ac:dyDescent="0.25">
      <c r="A284" s="40" t="s">
        <v>116</v>
      </c>
      <c r="B284" s="35" t="s">
        <v>87</v>
      </c>
      <c r="C284" s="35" t="s">
        <v>543</v>
      </c>
      <c r="D284" s="36" t="s">
        <v>82</v>
      </c>
      <c r="E284" s="35" t="s">
        <v>73</v>
      </c>
      <c r="F284" s="37" t="s">
        <v>77</v>
      </c>
      <c r="G284" s="38">
        <v>42082</v>
      </c>
      <c r="H284" s="38">
        <v>42082</v>
      </c>
      <c r="I284" s="39">
        <f t="shared" ref="I284:I289" ca="1" si="68">IF(NETWORKDAYS(G284,TODAY())/NETWORKDAYS(G284,H284,)&lt;0,0,IF(NETWORKDAYS(G284,TODAY())/NETWORKDAYS(G284,H284,)&gt;1,1,NETWORKDAYS(G284,TODAY())/NETWORKDAYS(G284,H284,)))</f>
        <v>1</v>
      </c>
      <c r="J284" s="39">
        <v>1</v>
      </c>
      <c r="K284" s="40">
        <f t="shared" si="60"/>
        <v>1</v>
      </c>
      <c r="L284" s="34">
        <f t="shared" ref="L284:L289" si="69">K284*8</f>
        <v>8</v>
      </c>
      <c r="M284" s="34" t="s">
        <v>146</v>
      </c>
      <c r="N284" s="34" t="s">
        <v>147</v>
      </c>
      <c r="O284" s="35">
        <f t="shared" ref="O284:O289" ca="1" si="70">I284*L284</f>
        <v>8</v>
      </c>
      <c r="P284" s="35">
        <f t="shared" ref="P284:P289" si="71">J284*L284</f>
        <v>8</v>
      </c>
    </row>
    <row r="285" spans="1:16" x14ac:dyDescent="0.25">
      <c r="A285" s="40" t="s">
        <v>116</v>
      </c>
      <c r="B285" s="35" t="s">
        <v>87</v>
      </c>
      <c r="C285" s="35" t="s">
        <v>543</v>
      </c>
      <c r="D285" s="36" t="str">
        <f>D284</f>
        <v>Patrimonio</v>
      </c>
      <c r="E285" s="35" t="s">
        <v>73</v>
      </c>
      <c r="F285" s="37" t="s">
        <v>83</v>
      </c>
      <c r="G285" s="38">
        <v>42074</v>
      </c>
      <c r="H285" s="38">
        <v>42081</v>
      </c>
      <c r="I285" s="39">
        <f t="shared" ca="1" si="68"/>
        <v>1</v>
      </c>
      <c r="J285" s="39">
        <v>1</v>
      </c>
      <c r="K285" s="40">
        <f t="shared" si="60"/>
        <v>6</v>
      </c>
      <c r="L285" s="34">
        <f t="shared" si="69"/>
        <v>48</v>
      </c>
      <c r="M285" s="34" t="s">
        <v>146</v>
      </c>
      <c r="N285" s="34" t="s">
        <v>147</v>
      </c>
      <c r="O285" s="35">
        <f t="shared" ca="1" si="70"/>
        <v>48</v>
      </c>
      <c r="P285" s="35">
        <f t="shared" si="71"/>
        <v>48</v>
      </c>
    </row>
    <row r="286" spans="1:16" x14ac:dyDescent="0.25">
      <c r="A286" s="40" t="s">
        <v>116</v>
      </c>
      <c r="B286" s="35" t="s">
        <v>87</v>
      </c>
      <c r="C286" s="35" t="s">
        <v>543</v>
      </c>
      <c r="D286" s="36" t="str">
        <f t="shared" ref="D286:D289" si="72">D285</f>
        <v>Patrimonio</v>
      </c>
      <c r="E286" s="35" t="s">
        <v>73</v>
      </c>
      <c r="F286" s="37" t="s">
        <v>84</v>
      </c>
      <c r="G286" s="38">
        <v>42135</v>
      </c>
      <c r="H286" s="38">
        <v>42139</v>
      </c>
      <c r="I286" s="39">
        <f t="shared" ca="1" si="68"/>
        <v>1</v>
      </c>
      <c r="J286" s="39">
        <v>1</v>
      </c>
      <c r="K286" s="40">
        <f t="shared" si="60"/>
        <v>5</v>
      </c>
      <c r="L286" s="34">
        <f t="shared" si="69"/>
        <v>40</v>
      </c>
      <c r="M286" s="34" t="s">
        <v>146</v>
      </c>
      <c r="N286" s="34" t="s">
        <v>147</v>
      </c>
      <c r="O286" s="35">
        <f t="shared" ca="1" si="70"/>
        <v>40</v>
      </c>
      <c r="P286" s="35">
        <f t="shared" si="71"/>
        <v>40</v>
      </c>
    </row>
    <row r="287" spans="1:16" x14ac:dyDescent="0.25">
      <c r="A287" s="40" t="s">
        <v>116</v>
      </c>
      <c r="B287" s="35" t="s">
        <v>87</v>
      </c>
      <c r="C287" s="35" t="s">
        <v>543</v>
      </c>
      <c r="D287" s="36" t="str">
        <f t="shared" si="72"/>
        <v>Patrimonio</v>
      </c>
      <c r="E287" s="35" t="s">
        <v>73</v>
      </c>
      <c r="F287" s="37" t="s">
        <v>85</v>
      </c>
      <c r="G287" s="38">
        <v>42142</v>
      </c>
      <c r="H287" s="38">
        <v>42151</v>
      </c>
      <c r="I287" s="39">
        <f t="shared" ca="1" si="68"/>
        <v>1</v>
      </c>
      <c r="J287" s="39">
        <v>0.75</v>
      </c>
      <c r="K287" s="40">
        <f t="shared" si="60"/>
        <v>8</v>
      </c>
      <c r="L287" s="34">
        <f t="shared" si="69"/>
        <v>64</v>
      </c>
      <c r="M287" s="34" t="s">
        <v>146</v>
      </c>
      <c r="N287" s="34" t="s">
        <v>147</v>
      </c>
      <c r="O287" s="35">
        <f t="shared" ca="1" si="70"/>
        <v>64</v>
      </c>
      <c r="P287" s="35">
        <f t="shared" si="71"/>
        <v>48</v>
      </c>
    </row>
    <row r="288" spans="1:16" x14ac:dyDescent="0.25">
      <c r="A288" s="40" t="s">
        <v>116</v>
      </c>
      <c r="B288" s="35" t="s">
        <v>87</v>
      </c>
      <c r="C288" s="35" t="s">
        <v>543</v>
      </c>
      <c r="D288" s="36" t="str">
        <f t="shared" si="72"/>
        <v>Patrimonio</v>
      </c>
      <c r="E288" s="35" t="s">
        <v>73</v>
      </c>
      <c r="F288" s="64" t="s">
        <v>71</v>
      </c>
      <c r="G288" s="38">
        <v>42152</v>
      </c>
      <c r="H288" s="38">
        <v>42152</v>
      </c>
      <c r="I288" s="39">
        <f t="shared" ca="1" si="68"/>
        <v>1</v>
      </c>
      <c r="J288" s="39">
        <v>0</v>
      </c>
      <c r="K288" s="40">
        <f t="shared" si="60"/>
        <v>1</v>
      </c>
      <c r="L288" s="34">
        <f t="shared" si="69"/>
        <v>8</v>
      </c>
      <c r="M288" s="34" t="s">
        <v>146</v>
      </c>
      <c r="N288" s="34" t="s">
        <v>147</v>
      </c>
      <c r="O288" s="35">
        <f t="shared" ca="1" si="70"/>
        <v>8</v>
      </c>
      <c r="P288" s="35">
        <f t="shared" si="71"/>
        <v>0</v>
      </c>
    </row>
    <row r="289" spans="1:16" x14ac:dyDescent="0.25">
      <c r="A289" s="40" t="s">
        <v>116</v>
      </c>
      <c r="B289" s="35" t="s">
        <v>87</v>
      </c>
      <c r="C289" s="35" t="s">
        <v>543</v>
      </c>
      <c r="D289" s="36" t="str">
        <f t="shared" si="72"/>
        <v>Patrimonio</v>
      </c>
      <c r="E289" s="35" t="s">
        <v>73</v>
      </c>
      <c r="F289" s="37" t="s">
        <v>72</v>
      </c>
      <c r="G289" s="38">
        <v>42153</v>
      </c>
      <c r="H289" s="38">
        <v>42157</v>
      </c>
      <c r="I289" s="39">
        <f t="shared" ca="1" si="68"/>
        <v>0</v>
      </c>
      <c r="J289" s="39">
        <v>0</v>
      </c>
      <c r="K289" s="40">
        <f t="shared" si="60"/>
        <v>3</v>
      </c>
      <c r="L289" s="34">
        <f t="shared" si="69"/>
        <v>24</v>
      </c>
      <c r="M289" s="34" t="s">
        <v>146</v>
      </c>
      <c r="N289" s="34" t="s">
        <v>147</v>
      </c>
      <c r="O289" s="35">
        <f t="shared" ca="1" si="70"/>
        <v>0</v>
      </c>
      <c r="P289" s="35">
        <f t="shared" si="71"/>
        <v>0</v>
      </c>
    </row>
    <row r="290" spans="1:16" x14ac:dyDescent="0.25">
      <c r="A290" s="51" t="s">
        <v>116</v>
      </c>
      <c r="B290" s="47" t="s">
        <v>87</v>
      </c>
      <c r="C290" s="47" t="s">
        <v>543</v>
      </c>
      <c r="D290" s="47" t="str">
        <f>D289</f>
        <v>Patrimonio</v>
      </c>
      <c r="E290" s="47" t="s">
        <v>73</v>
      </c>
      <c r="F290" s="42" t="s">
        <v>35</v>
      </c>
      <c r="G290" s="55">
        <f>G284</f>
        <v>42082</v>
      </c>
      <c r="H290" s="55">
        <f>H289</f>
        <v>42157</v>
      </c>
      <c r="I290" s="43">
        <f ca="1">SUM(O284:O289)/L290</f>
        <v>0.3888888888888889</v>
      </c>
      <c r="J290" s="43">
        <f>SUM(P284:P289)/L290</f>
        <v>0.33333333333333331</v>
      </c>
      <c r="K290" s="51">
        <f t="shared" si="60"/>
        <v>54</v>
      </c>
      <c r="L290" s="46">
        <f t="shared" ref="L290:L294" si="73">K290*8</f>
        <v>432</v>
      </c>
      <c r="M290" s="46" t="s">
        <v>146</v>
      </c>
      <c r="N290" s="46" t="s">
        <v>147</v>
      </c>
      <c r="O290" s="35"/>
      <c r="P290" s="35"/>
    </row>
    <row r="291" spans="1:16" ht="14.25" customHeight="1" x14ac:dyDescent="0.25">
      <c r="A291" s="34" t="s">
        <v>117</v>
      </c>
      <c r="B291" s="60" t="s">
        <v>88</v>
      </c>
      <c r="C291" s="60" t="s">
        <v>543</v>
      </c>
      <c r="D291" s="35" t="s">
        <v>89</v>
      </c>
      <c r="E291" s="35" t="s">
        <v>73</v>
      </c>
      <c r="F291" s="37" t="s">
        <v>70</v>
      </c>
      <c r="G291" s="38">
        <v>41974</v>
      </c>
      <c r="H291" s="38">
        <f>G291+6</f>
        <v>41980</v>
      </c>
      <c r="I291" s="39">
        <f ca="1">IF(NETWORKDAYS(G291,TODAY())/NETWORKDAYS(G291,H291,)&lt;0,0,IF(NETWORKDAYS(G291,TODAY())/NETWORKDAYS(G291,H291,)&gt;1,1,NETWORKDAYS(G291,TODAY())/NETWORKDAYS(G291,H291,)))</f>
        <v>1</v>
      </c>
      <c r="J291" s="39">
        <v>1</v>
      </c>
      <c r="K291" s="40">
        <f t="shared" si="60"/>
        <v>5</v>
      </c>
      <c r="L291" s="34">
        <f t="shared" si="73"/>
        <v>40</v>
      </c>
      <c r="M291" s="34" t="s">
        <v>148</v>
      </c>
      <c r="N291" s="34" t="s">
        <v>149</v>
      </c>
      <c r="O291" s="35">
        <f ca="1">I291*L291</f>
        <v>40</v>
      </c>
      <c r="P291" s="35">
        <f>J291*L291</f>
        <v>40</v>
      </c>
    </row>
    <row r="292" spans="1:16" ht="15.75" customHeight="1" x14ac:dyDescent="0.25">
      <c r="A292" s="34" t="s">
        <v>117</v>
      </c>
      <c r="B292" s="60" t="s">
        <v>88</v>
      </c>
      <c r="C292" s="60" t="s">
        <v>543</v>
      </c>
      <c r="D292" s="35" t="s">
        <v>89</v>
      </c>
      <c r="E292" s="35" t="s">
        <v>73</v>
      </c>
      <c r="F292" s="37" t="s">
        <v>70</v>
      </c>
      <c r="G292" s="38">
        <f>H291</f>
        <v>41980</v>
      </c>
      <c r="H292" s="38">
        <v>42136</v>
      </c>
      <c r="I292" s="39">
        <f t="shared" ref="I292:I294" ca="1" si="74">IF(NETWORKDAYS(G292,TODAY())/NETWORKDAYS(G292,H292,)&lt;0,0,IF(NETWORKDAYS(G292,TODAY())/NETWORKDAYS(G292,H292,)&gt;1,1,NETWORKDAYS(G292,TODAY())/NETWORKDAYS(G292,H292,)))</f>
        <v>1</v>
      </c>
      <c r="J292" s="39">
        <v>1</v>
      </c>
      <c r="K292" s="40">
        <f t="shared" si="60"/>
        <v>112</v>
      </c>
      <c r="L292" s="34">
        <f t="shared" si="73"/>
        <v>896</v>
      </c>
      <c r="M292" s="34" t="s">
        <v>148</v>
      </c>
      <c r="N292" s="34" t="s">
        <v>149</v>
      </c>
      <c r="O292" s="35">
        <f ca="1">I292*L292</f>
        <v>896</v>
      </c>
      <c r="P292" s="35">
        <f>J292*L292</f>
        <v>896</v>
      </c>
    </row>
    <row r="293" spans="1:16" ht="14.25" customHeight="1" x14ac:dyDescent="0.25">
      <c r="A293" s="34" t="s">
        <v>117</v>
      </c>
      <c r="B293" s="60" t="s">
        <v>88</v>
      </c>
      <c r="C293" s="60" t="s">
        <v>543</v>
      </c>
      <c r="D293" s="35" t="s">
        <v>89</v>
      </c>
      <c r="E293" s="35" t="s">
        <v>73</v>
      </c>
      <c r="F293" s="64" t="s">
        <v>71</v>
      </c>
      <c r="G293" s="38">
        <f t="shared" ref="G293:G294" si="75">H292</f>
        <v>42136</v>
      </c>
      <c r="H293" s="38">
        <f>G293+7</f>
        <v>42143</v>
      </c>
      <c r="I293" s="39">
        <f t="shared" ca="1" si="74"/>
        <v>1</v>
      </c>
      <c r="J293" s="39">
        <v>1</v>
      </c>
      <c r="K293" s="40">
        <f t="shared" si="60"/>
        <v>6</v>
      </c>
      <c r="L293" s="34">
        <f t="shared" si="73"/>
        <v>48</v>
      </c>
      <c r="M293" s="34" t="s">
        <v>148</v>
      </c>
      <c r="N293" s="34" t="s">
        <v>149</v>
      </c>
      <c r="O293" s="35">
        <f ca="1">I293*L293</f>
        <v>48</v>
      </c>
      <c r="P293" s="35">
        <f>J293*L293</f>
        <v>48</v>
      </c>
    </row>
    <row r="294" spans="1:16" ht="14.25" customHeight="1" x14ac:dyDescent="0.25">
      <c r="A294" s="34" t="s">
        <v>117</v>
      </c>
      <c r="B294" s="60" t="s">
        <v>88</v>
      </c>
      <c r="C294" s="60" t="s">
        <v>543</v>
      </c>
      <c r="D294" s="35" t="s">
        <v>89</v>
      </c>
      <c r="E294" s="35" t="s">
        <v>73</v>
      </c>
      <c r="F294" s="37" t="s">
        <v>72</v>
      </c>
      <c r="G294" s="38">
        <f t="shared" si="75"/>
        <v>42143</v>
      </c>
      <c r="H294" s="38">
        <v>42153</v>
      </c>
      <c r="I294" s="39">
        <f t="shared" ca="1" si="74"/>
        <v>0.88888888888888884</v>
      </c>
      <c r="J294" s="39">
        <v>0.56000000000000005</v>
      </c>
      <c r="K294" s="40">
        <f t="shared" si="60"/>
        <v>9</v>
      </c>
      <c r="L294" s="34">
        <f t="shared" si="73"/>
        <v>72</v>
      </c>
      <c r="M294" s="34" t="s">
        <v>148</v>
      </c>
      <c r="N294" s="34" t="s">
        <v>149</v>
      </c>
      <c r="O294" s="35">
        <f ca="1">I294*L294</f>
        <v>64</v>
      </c>
      <c r="P294" s="35">
        <f>J294*L294</f>
        <v>40.320000000000007</v>
      </c>
    </row>
    <row r="295" spans="1:16" ht="14.25" customHeight="1" x14ac:dyDescent="0.25">
      <c r="A295" s="41" t="s">
        <v>117</v>
      </c>
      <c r="B295" s="61" t="s">
        <v>88</v>
      </c>
      <c r="C295" s="61" t="s">
        <v>302</v>
      </c>
      <c r="D295" s="42" t="s">
        <v>89</v>
      </c>
      <c r="E295" s="42" t="s">
        <v>73</v>
      </c>
      <c r="F295" s="42" t="s">
        <v>35</v>
      </c>
      <c r="G295" s="53">
        <f>G291</f>
        <v>41974</v>
      </c>
      <c r="H295" s="53">
        <f>H294</f>
        <v>42153</v>
      </c>
      <c r="I295" s="43">
        <f ca="1">SUM(O291:O294)/L295</f>
        <v>0.99242424242424243</v>
      </c>
      <c r="J295" s="43">
        <f>SUM(P291:P294)/L295</f>
        <v>0.97</v>
      </c>
      <c r="K295" s="44">
        <f t="shared" si="60"/>
        <v>130</v>
      </c>
      <c r="L295" s="41">
        <f>SUM(L291:L294)</f>
        <v>1056</v>
      </c>
      <c r="M295" s="43" t="s">
        <v>148</v>
      </c>
      <c r="N295" s="43" t="s">
        <v>149</v>
      </c>
      <c r="O295" s="35"/>
      <c r="P295" s="35"/>
    </row>
    <row r="296" spans="1:16" ht="14.25" customHeight="1" x14ac:dyDescent="0.25">
      <c r="A296" s="34" t="s">
        <v>118</v>
      </c>
      <c r="B296" s="60" t="s">
        <v>90</v>
      </c>
      <c r="C296" s="60" t="s">
        <v>543</v>
      </c>
      <c r="D296" s="35" t="s">
        <v>89</v>
      </c>
      <c r="E296" s="35" t="s">
        <v>73</v>
      </c>
      <c r="F296" s="37" t="s">
        <v>70</v>
      </c>
      <c r="G296" s="38">
        <v>42122</v>
      </c>
      <c r="H296" s="38">
        <f>G296+3</f>
        <v>42125</v>
      </c>
      <c r="I296" s="39">
        <f ca="1">IF(NETWORKDAYS(G296,TODAY())/NETWORKDAYS(G296,H296,)&lt;0,0,IF(NETWORKDAYS(G296,TODAY())/NETWORKDAYS(G296,H296,)&gt;1,1,NETWORKDAYS(G296,TODAY())/NETWORKDAYS(G296,H296,)))</f>
        <v>1</v>
      </c>
      <c r="J296" s="39">
        <v>1</v>
      </c>
      <c r="K296" s="40">
        <f t="shared" si="60"/>
        <v>4</v>
      </c>
      <c r="L296" s="34">
        <f t="shared" ref="L296:L299" si="76">K296*8</f>
        <v>32</v>
      </c>
      <c r="M296" s="34" t="s">
        <v>134</v>
      </c>
      <c r="N296" s="34" t="s">
        <v>135</v>
      </c>
      <c r="O296" s="35">
        <f ca="1">I296*L296</f>
        <v>32</v>
      </c>
      <c r="P296" s="35">
        <f>J296*L296</f>
        <v>32</v>
      </c>
    </row>
    <row r="297" spans="1:16" ht="15.75" customHeight="1" x14ac:dyDescent="0.25">
      <c r="A297" s="34" t="s">
        <v>118</v>
      </c>
      <c r="B297" s="60" t="s">
        <v>90</v>
      </c>
      <c r="C297" s="60" t="s">
        <v>543</v>
      </c>
      <c r="D297" s="35" t="s">
        <v>89</v>
      </c>
      <c r="E297" s="35" t="s">
        <v>73</v>
      </c>
      <c r="F297" s="37" t="s">
        <v>70</v>
      </c>
      <c r="G297" s="38">
        <f>H296</f>
        <v>42125</v>
      </c>
      <c r="H297" s="38">
        <f>G297+9</f>
        <v>42134</v>
      </c>
      <c r="I297" s="39">
        <f t="shared" ref="I297:I299" ca="1" si="77">IF(NETWORKDAYS(G297,TODAY())/NETWORKDAYS(G297,H297,)&lt;0,0,IF(NETWORKDAYS(G297,TODAY())/NETWORKDAYS(G297,H297,)&gt;1,1,NETWORKDAYS(G297,TODAY())/NETWORKDAYS(G297,H297,)))</f>
        <v>1</v>
      </c>
      <c r="J297" s="39">
        <v>1</v>
      </c>
      <c r="K297" s="40">
        <f t="shared" si="60"/>
        <v>6</v>
      </c>
      <c r="L297" s="34">
        <f t="shared" si="76"/>
        <v>48</v>
      </c>
      <c r="M297" s="34" t="s">
        <v>134</v>
      </c>
      <c r="N297" s="34" t="s">
        <v>135</v>
      </c>
      <c r="O297" s="35">
        <f ca="1">I297*L297</f>
        <v>48</v>
      </c>
      <c r="P297" s="35">
        <f>J297*L297</f>
        <v>48</v>
      </c>
    </row>
    <row r="298" spans="1:16" ht="14.25" customHeight="1" x14ac:dyDescent="0.25">
      <c r="A298" s="34" t="s">
        <v>118</v>
      </c>
      <c r="B298" s="60" t="s">
        <v>90</v>
      </c>
      <c r="C298" s="60" t="s">
        <v>543</v>
      </c>
      <c r="D298" s="35" t="s">
        <v>89</v>
      </c>
      <c r="E298" s="35" t="s">
        <v>73</v>
      </c>
      <c r="F298" s="64" t="s">
        <v>71</v>
      </c>
      <c r="G298" s="38">
        <f>H297</f>
        <v>42134</v>
      </c>
      <c r="H298" s="38">
        <f>G298+5</f>
        <v>42139</v>
      </c>
      <c r="I298" s="39">
        <f t="shared" ca="1" si="77"/>
        <v>1</v>
      </c>
      <c r="J298" s="39">
        <v>1</v>
      </c>
      <c r="K298" s="40">
        <f t="shared" si="60"/>
        <v>5</v>
      </c>
      <c r="L298" s="34">
        <f t="shared" si="76"/>
        <v>40</v>
      </c>
      <c r="M298" s="34" t="s">
        <v>134</v>
      </c>
      <c r="N298" s="34" t="s">
        <v>135</v>
      </c>
      <c r="O298" s="35">
        <f ca="1">I298*L298</f>
        <v>40</v>
      </c>
      <c r="P298" s="35">
        <f>J298*L298</f>
        <v>40</v>
      </c>
    </row>
    <row r="299" spans="1:16" ht="14.25" customHeight="1" x14ac:dyDescent="0.25">
      <c r="A299" s="34" t="s">
        <v>118</v>
      </c>
      <c r="B299" s="60" t="s">
        <v>90</v>
      </c>
      <c r="C299" s="60" t="s">
        <v>543</v>
      </c>
      <c r="D299" s="35" t="s">
        <v>89</v>
      </c>
      <c r="E299" s="35" t="s">
        <v>73</v>
      </c>
      <c r="F299" s="37" t="s">
        <v>72</v>
      </c>
      <c r="G299" s="38">
        <f t="shared" ref="G299" si="78">H298</f>
        <v>42139</v>
      </c>
      <c r="H299" s="38">
        <v>42146</v>
      </c>
      <c r="I299" s="39">
        <f t="shared" ca="1" si="77"/>
        <v>1</v>
      </c>
      <c r="J299" s="39">
        <v>0.99</v>
      </c>
      <c r="K299" s="40">
        <f t="shared" si="60"/>
        <v>6</v>
      </c>
      <c r="L299" s="34">
        <f t="shared" si="76"/>
        <v>48</v>
      </c>
      <c r="M299" s="34" t="s">
        <v>134</v>
      </c>
      <c r="N299" s="34" t="s">
        <v>135</v>
      </c>
      <c r="O299" s="35">
        <f ca="1">I299*L299</f>
        <v>48</v>
      </c>
      <c r="P299" s="35">
        <f>J299*L299</f>
        <v>47.519999999999996</v>
      </c>
    </row>
    <row r="300" spans="1:16" ht="14.25" customHeight="1" x14ac:dyDescent="0.25">
      <c r="A300" s="41" t="s">
        <v>118</v>
      </c>
      <c r="B300" s="61" t="s">
        <v>90</v>
      </c>
      <c r="C300" s="61" t="s">
        <v>543</v>
      </c>
      <c r="D300" s="42" t="s">
        <v>89</v>
      </c>
      <c r="E300" s="42" t="s">
        <v>73</v>
      </c>
      <c r="F300" s="42" t="s">
        <v>35</v>
      </c>
      <c r="G300" s="53">
        <f>G296</f>
        <v>42122</v>
      </c>
      <c r="H300" s="53">
        <f>H299</f>
        <v>42146</v>
      </c>
      <c r="I300" s="43">
        <f ca="1">SUM(O296:O299)/L300</f>
        <v>1</v>
      </c>
      <c r="J300" s="43">
        <f>SUM(P296:P299)/L300</f>
        <v>0.997142857142857</v>
      </c>
      <c r="K300" s="44">
        <f t="shared" si="60"/>
        <v>19</v>
      </c>
      <c r="L300" s="41">
        <f>SUM(L296:L299)</f>
        <v>168</v>
      </c>
      <c r="M300" s="43" t="s">
        <v>134</v>
      </c>
      <c r="N300" s="43" t="s">
        <v>135</v>
      </c>
      <c r="O300" s="35"/>
      <c r="P300" s="35"/>
    </row>
    <row r="301" spans="1:16" ht="14.25" customHeight="1" x14ac:dyDescent="0.25">
      <c r="A301" s="34" t="s">
        <v>119</v>
      </c>
      <c r="B301" s="60" t="s">
        <v>91</v>
      </c>
      <c r="C301" s="60" t="s">
        <v>543</v>
      </c>
      <c r="D301" s="35" t="s">
        <v>89</v>
      </c>
      <c r="E301" s="35" t="s">
        <v>73</v>
      </c>
      <c r="F301" s="37" t="s">
        <v>70</v>
      </c>
      <c r="G301" s="38">
        <v>42130</v>
      </c>
      <c r="H301" s="38">
        <f>G301+5</f>
        <v>42135</v>
      </c>
      <c r="I301" s="39">
        <f ca="1">IF(NETWORKDAYS(G301,TODAY())/NETWORKDAYS(G301,H301,)&lt;0,0,IF(NETWORKDAYS(G301,TODAY())/NETWORKDAYS(G301,H301,)&gt;1,1,NETWORKDAYS(G301,TODAY())/NETWORKDAYS(G301,H301,)))</f>
        <v>1</v>
      </c>
      <c r="J301" s="39">
        <v>1</v>
      </c>
      <c r="K301" s="40">
        <f t="shared" si="60"/>
        <v>4</v>
      </c>
      <c r="L301" s="34">
        <f t="shared" ref="L301:L304" si="79">K301*8</f>
        <v>32</v>
      </c>
      <c r="M301" s="34" t="s">
        <v>128</v>
      </c>
      <c r="N301" s="34" t="s">
        <v>129</v>
      </c>
      <c r="O301" s="35">
        <f ca="1">I301*L301</f>
        <v>32</v>
      </c>
      <c r="P301" s="35">
        <f>J301*L301</f>
        <v>32</v>
      </c>
    </row>
    <row r="302" spans="1:16" ht="15.75" customHeight="1" x14ac:dyDescent="0.25">
      <c r="A302" s="34" t="s">
        <v>119</v>
      </c>
      <c r="B302" s="60" t="s">
        <v>91</v>
      </c>
      <c r="C302" s="60" t="s">
        <v>543</v>
      </c>
      <c r="D302" s="35" t="s">
        <v>89</v>
      </c>
      <c r="E302" s="35" t="s">
        <v>73</v>
      </c>
      <c r="F302" s="37" t="s">
        <v>70</v>
      </c>
      <c r="G302" s="38">
        <f>H301</f>
        <v>42135</v>
      </c>
      <c r="H302" s="38">
        <f>G302+9</f>
        <v>42144</v>
      </c>
      <c r="I302" s="39">
        <f t="shared" ref="I302:I304" ca="1" si="80">IF(NETWORKDAYS(G302,TODAY())/NETWORKDAYS(G302,H302,)&lt;0,0,IF(NETWORKDAYS(G302,TODAY())/NETWORKDAYS(G302,H302,)&gt;1,1,NETWORKDAYS(G302,TODAY())/NETWORKDAYS(G302,H302,)))</f>
        <v>1</v>
      </c>
      <c r="J302" s="39">
        <v>0.75</v>
      </c>
      <c r="K302" s="40">
        <f t="shared" si="60"/>
        <v>8</v>
      </c>
      <c r="L302" s="34">
        <f t="shared" si="79"/>
        <v>64</v>
      </c>
      <c r="M302" s="34" t="s">
        <v>128</v>
      </c>
      <c r="N302" s="34" t="s">
        <v>129</v>
      </c>
      <c r="O302" s="35">
        <f ca="1">I302*L302</f>
        <v>64</v>
      </c>
      <c r="P302" s="35">
        <f>J302*L302</f>
        <v>48</v>
      </c>
    </row>
    <row r="303" spans="1:16" ht="14.25" customHeight="1" x14ac:dyDescent="0.25">
      <c r="A303" s="34" t="s">
        <v>119</v>
      </c>
      <c r="B303" s="60" t="s">
        <v>91</v>
      </c>
      <c r="C303" s="60" t="s">
        <v>543</v>
      </c>
      <c r="D303" s="35" t="s">
        <v>89</v>
      </c>
      <c r="E303" s="35" t="s">
        <v>73</v>
      </c>
      <c r="F303" s="64" t="s">
        <v>71</v>
      </c>
      <c r="G303" s="38">
        <f>H302</f>
        <v>42144</v>
      </c>
      <c r="H303" s="38">
        <f>G303+5</f>
        <v>42149</v>
      </c>
      <c r="I303" s="39">
        <f t="shared" ca="1" si="80"/>
        <v>1</v>
      </c>
      <c r="J303" s="39">
        <v>0</v>
      </c>
      <c r="K303" s="40">
        <f t="shared" si="60"/>
        <v>4</v>
      </c>
      <c r="L303" s="34">
        <f t="shared" si="79"/>
        <v>32</v>
      </c>
      <c r="M303" s="34" t="s">
        <v>128</v>
      </c>
      <c r="N303" s="34" t="s">
        <v>129</v>
      </c>
      <c r="O303" s="35">
        <f ca="1">I303*L303</f>
        <v>32</v>
      </c>
      <c r="P303" s="35">
        <f>J303*L303</f>
        <v>0</v>
      </c>
    </row>
    <row r="304" spans="1:16" ht="14.25" customHeight="1" x14ac:dyDescent="0.25">
      <c r="A304" s="34" t="s">
        <v>119</v>
      </c>
      <c r="B304" s="60" t="s">
        <v>91</v>
      </c>
      <c r="C304" s="60" t="s">
        <v>543</v>
      </c>
      <c r="D304" s="35" t="s">
        <v>89</v>
      </c>
      <c r="E304" s="35" t="s">
        <v>73</v>
      </c>
      <c r="F304" s="37" t="s">
        <v>72</v>
      </c>
      <c r="G304" s="38">
        <f t="shared" ref="G304" si="81">H303</f>
        <v>42149</v>
      </c>
      <c r="H304" s="38">
        <v>42149</v>
      </c>
      <c r="I304" s="39">
        <f t="shared" ca="1" si="80"/>
        <v>1</v>
      </c>
      <c r="J304" s="39">
        <v>0</v>
      </c>
      <c r="K304" s="40">
        <f t="shared" si="60"/>
        <v>1</v>
      </c>
      <c r="L304" s="34">
        <f t="shared" si="79"/>
        <v>8</v>
      </c>
      <c r="M304" s="34" t="s">
        <v>128</v>
      </c>
      <c r="N304" s="34" t="s">
        <v>129</v>
      </c>
      <c r="O304" s="35">
        <f ca="1">I304*L304</f>
        <v>8</v>
      </c>
      <c r="P304" s="35">
        <f>J304*L304</f>
        <v>0</v>
      </c>
    </row>
    <row r="305" spans="1:16" ht="14.25" customHeight="1" x14ac:dyDescent="0.25">
      <c r="A305" s="41" t="s">
        <v>119</v>
      </c>
      <c r="B305" s="61" t="s">
        <v>91</v>
      </c>
      <c r="C305" s="61" t="s">
        <v>543</v>
      </c>
      <c r="D305" s="42" t="s">
        <v>89</v>
      </c>
      <c r="E305" s="42" t="s">
        <v>73</v>
      </c>
      <c r="F305" s="42" t="s">
        <v>35</v>
      </c>
      <c r="G305" s="53">
        <f>G301</f>
        <v>42130</v>
      </c>
      <c r="H305" s="53">
        <f>H304</f>
        <v>42149</v>
      </c>
      <c r="I305" s="43">
        <f ca="1">SUM(O301:O304)/L305</f>
        <v>1</v>
      </c>
      <c r="J305" s="43">
        <f>SUM(P301:P304)/L305</f>
        <v>0.58823529411764708</v>
      </c>
      <c r="K305" s="44">
        <f t="shared" si="60"/>
        <v>14</v>
      </c>
      <c r="L305" s="41">
        <f>SUM(L301:L304)</f>
        <v>136</v>
      </c>
      <c r="M305" s="43" t="s">
        <v>128</v>
      </c>
      <c r="N305" s="43" t="s">
        <v>129</v>
      </c>
      <c r="O305" s="35"/>
      <c r="P305" s="35"/>
    </row>
    <row r="306" spans="1:16" ht="14.25" customHeight="1" x14ac:dyDescent="0.25">
      <c r="A306" s="34" t="s">
        <v>120</v>
      </c>
      <c r="B306" s="60" t="s">
        <v>92</v>
      </c>
      <c r="C306" s="60" t="s">
        <v>543</v>
      </c>
      <c r="D306" s="35" t="s">
        <v>89</v>
      </c>
      <c r="E306" s="35" t="s">
        <v>73</v>
      </c>
      <c r="F306" s="37" t="s">
        <v>70</v>
      </c>
      <c r="G306" s="38">
        <v>42135</v>
      </c>
      <c r="H306" s="38">
        <f>G306+6</f>
        <v>42141</v>
      </c>
      <c r="I306" s="39">
        <f ca="1">IF(NETWORKDAYS(G306,TODAY())/NETWORKDAYS(G306,H306,)&lt;0,0,IF(NETWORKDAYS(G306,TODAY())/NETWORKDAYS(G306,H306,)&gt;1,1,NETWORKDAYS(G306,TODAY())/NETWORKDAYS(G306,H306,)))</f>
        <v>1</v>
      </c>
      <c r="J306" s="39">
        <v>1</v>
      </c>
      <c r="K306" s="40">
        <f t="shared" si="60"/>
        <v>5</v>
      </c>
      <c r="L306" s="34">
        <f t="shared" ref="L306:L309" si="82">K306*8</f>
        <v>40</v>
      </c>
      <c r="M306" s="34" t="s">
        <v>288</v>
      </c>
      <c r="N306" s="34" t="s">
        <v>289</v>
      </c>
      <c r="O306" s="35">
        <f ca="1">I306*L306</f>
        <v>40</v>
      </c>
      <c r="P306" s="35">
        <f>J306*L306</f>
        <v>40</v>
      </c>
    </row>
    <row r="307" spans="1:16" ht="15.75" customHeight="1" x14ac:dyDescent="0.25">
      <c r="A307" s="34" t="s">
        <v>120</v>
      </c>
      <c r="B307" s="60" t="s">
        <v>92</v>
      </c>
      <c r="C307" s="60" t="s">
        <v>543</v>
      </c>
      <c r="D307" s="35" t="s">
        <v>89</v>
      </c>
      <c r="E307" s="35" t="s">
        <v>73</v>
      </c>
      <c r="F307" s="37" t="s">
        <v>70</v>
      </c>
      <c r="G307" s="38">
        <f>H306</f>
        <v>42141</v>
      </c>
      <c r="H307" s="38">
        <f>G307+9</f>
        <v>42150</v>
      </c>
      <c r="I307" s="39">
        <f t="shared" ref="I307:I309" ca="1" si="83">IF(NETWORKDAYS(G307,TODAY())/NETWORKDAYS(G307,H307,)&lt;0,0,IF(NETWORKDAYS(G307,TODAY())/NETWORKDAYS(G307,H307,)&gt;1,1,NETWORKDAYS(G307,TODAY())/NETWORKDAYS(G307,H307,)))</f>
        <v>1</v>
      </c>
      <c r="J307" s="39">
        <v>0.86</v>
      </c>
      <c r="K307" s="40">
        <f t="shared" si="60"/>
        <v>7</v>
      </c>
      <c r="L307" s="34">
        <f t="shared" si="82"/>
        <v>56</v>
      </c>
      <c r="M307" s="34" t="s">
        <v>288</v>
      </c>
      <c r="N307" s="34" t="s">
        <v>289</v>
      </c>
      <c r="O307" s="35">
        <f ca="1">I307*L307</f>
        <v>56</v>
      </c>
      <c r="P307" s="35">
        <f>J307*L307</f>
        <v>48.16</v>
      </c>
    </row>
    <row r="308" spans="1:16" ht="14.25" customHeight="1" x14ac:dyDescent="0.25">
      <c r="A308" s="34" t="s">
        <v>120</v>
      </c>
      <c r="B308" s="60" t="s">
        <v>92</v>
      </c>
      <c r="C308" s="60" t="s">
        <v>543</v>
      </c>
      <c r="D308" s="35" t="s">
        <v>89</v>
      </c>
      <c r="E308" s="35" t="s">
        <v>73</v>
      </c>
      <c r="F308" s="64" t="s">
        <v>71</v>
      </c>
      <c r="G308" s="38">
        <f>H307</f>
        <v>42150</v>
      </c>
      <c r="H308" s="38">
        <f>G308+5</f>
        <v>42155</v>
      </c>
      <c r="I308" s="39">
        <f t="shared" ca="1" si="83"/>
        <v>0.75</v>
      </c>
      <c r="J308" s="39">
        <v>0</v>
      </c>
      <c r="K308" s="40">
        <f t="shared" si="60"/>
        <v>4</v>
      </c>
      <c r="L308" s="34">
        <f t="shared" si="82"/>
        <v>32</v>
      </c>
      <c r="M308" s="34" t="s">
        <v>288</v>
      </c>
      <c r="N308" s="34" t="s">
        <v>289</v>
      </c>
      <c r="O308" s="35">
        <f ca="1">I308*L308</f>
        <v>24</v>
      </c>
      <c r="P308" s="35">
        <f>J308*L308</f>
        <v>0</v>
      </c>
    </row>
    <row r="309" spans="1:16" ht="14.25" customHeight="1" x14ac:dyDescent="0.25">
      <c r="A309" s="34" t="s">
        <v>120</v>
      </c>
      <c r="B309" s="60" t="s">
        <v>92</v>
      </c>
      <c r="C309" s="60" t="s">
        <v>543</v>
      </c>
      <c r="D309" s="35" t="s">
        <v>89</v>
      </c>
      <c r="E309" s="35" t="s">
        <v>73</v>
      </c>
      <c r="F309" s="37" t="s">
        <v>72</v>
      </c>
      <c r="G309" s="38">
        <f t="shared" ref="G309" si="84">H308</f>
        <v>42155</v>
      </c>
      <c r="H309" s="38">
        <v>42160</v>
      </c>
      <c r="I309" s="39">
        <f t="shared" ca="1" si="83"/>
        <v>0</v>
      </c>
      <c r="J309" s="39">
        <v>0</v>
      </c>
      <c r="K309" s="40">
        <f t="shared" si="60"/>
        <v>5</v>
      </c>
      <c r="L309" s="34">
        <f t="shared" si="82"/>
        <v>40</v>
      </c>
      <c r="M309" s="34" t="s">
        <v>288</v>
      </c>
      <c r="N309" s="34" t="s">
        <v>289</v>
      </c>
      <c r="O309" s="35">
        <f ca="1">I309*L309</f>
        <v>0</v>
      </c>
      <c r="P309" s="35">
        <f>J309*L309</f>
        <v>0</v>
      </c>
    </row>
    <row r="310" spans="1:16" ht="14.25" customHeight="1" x14ac:dyDescent="0.25">
      <c r="A310" s="41" t="s">
        <v>120</v>
      </c>
      <c r="B310" s="61" t="s">
        <v>92</v>
      </c>
      <c r="C310" s="61" t="s">
        <v>543</v>
      </c>
      <c r="D310" s="42" t="s">
        <v>89</v>
      </c>
      <c r="E310" s="42" t="s">
        <v>73</v>
      </c>
      <c r="F310" s="42" t="s">
        <v>35</v>
      </c>
      <c r="G310" s="53">
        <f>G306</f>
        <v>42135</v>
      </c>
      <c r="H310" s="53">
        <f>H309</f>
        <v>42160</v>
      </c>
      <c r="I310" s="43">
        <f ca="1">SUM(O306:O309)/L310</f>
        <v>0.7142857142857143</v>
      </c>
      <c r="J310" s="43">
        <f>SUM(P306:P309)/L310</f>
        <v>0.52476190476190476</v>
      </c>
      <c r="K310" s="44">
        <f t="shared" si="60"/>
        <v>20</v>
      </c>
      <c r="L310" s="41">
        <f>SUM(L306:L309)</f>
        <v>168</v>
      </c>
      <c r="M310" s="43" t="s">
        <v>288</v>
      </c>
      <c r="N310" s="43" t="s">
        <v>289</v>
      </c>
      <c r="O310" s="35"/>
      <c r="P310" s="35"/>
    </row>
    <row r="311" spans="1:16" ht="14.25" customHeight="1" x14ac:dyDescent="0.25">
      <c r="A311" s="34" t="s">
        <v>121</v>
      </c>
      <c r="B311" s="60" t="s">
        <v>93</v>
      </c>
      <c r="C311" s="60" t="s">
        <v>543</v>
      </c>
      <c r="D311" s="35" t="s">
        <v>89</v>
      </c>
      <c r="E311" s="35" t="s">
        <v>73</v>
      </c>
      <c r="F311" s="37" t="s">
        <v>70</v>
      </c>
      <c r="G311" s="38">
        <v>42150</v>
      </c>
      <c r="H311" s="38">
        <f>G311+1</f>
        <v>42151</v>
      </c>
      <c r="I311" s="39">
        <f ca="1">IF(NETWORKDAYS(G311,TODAY())/NETWORKDAYS(G311,H311,)&lt;0,0,IF(NETWORKDAYS(G311,TODAY())/NETWORKDAYS(G311,H311,)&gt;1,1,NETWORKDAYS(G311,TODAY())/NETWORKDAYS(G311,H311,)))</f>
        <v>1</v>
      </c>
      <c r="J311" s="39">
        <v>0</v>
      </c>
      <c r="K311" s="40">
        <f t="shared" si="60"/>
        <v>2</v>
      </c>
      <c r="L311" s="34">
        <f t="shared" ref="L311:L314" si="85">K311*8</f>
        <v>16</v>
      </c>
      <c r="M311" s="34" t="s">
        <v>128</v>
      </c>
      <c r="N311" s="34" t="s">
        <v>129</v>
      </c>
      <c r="O311" s="35">
        <f ca="1">I311*L311</f>
        <v>16</v>
      </c>
      <c r="P311" s="35">
        <f>J311*L311</f>
        <v>0</v>
      </c>
    </row>
    <row r="312" spans="1:16" ht="15.75" customHeight="1" x14ac:dyDescent="0.25">
      <c r="A312" s="34" t="s">
        <v>121</v>
      </c>
      <c r="B312" s="60" t="s">
        <v>93</v>
      </c>
      <c r="C312" s="60" t="s">
        <v>543</v>
      </c>
      <c r="D312" s="35" t="s">
        <v>89</v>
      </c>
      <c r="E312" s="35" t="s">
        <v>73</v>
      </c>
      <c r="F312" s="37" t="s">
        <v>70</v>
      </c>
      <c r="G312" s="38">
        <f>H311</f>
        <v>42151</v>
      </c>
      <c r="H312" s="38">
        <f>G312+2</f>
        <v>42153</v>
      </c>
      <c r="I312" s="39">
        <f t="shared" ref="I312:I314" ca="1" si="86">IF(NETWORKDAYS(G312,TODAY())/NETWORKDAYS(G312,H312,)&lt;0,0,IF(NETWORKDAYS(G312,TODAY())/NETWORKDAYS(G312,H312,)&gt;1,1,NETWORKDAYS(G312,TODAY())/NETWORKDAYS(G312,H312,)))</f>
        <v>0.66666666666666663</v>
      </c>
      <c r="J312" s="39">
        <v>0</v>
      </c>
      <c r="K312" s="40">
        <f t="shared" si="60"/>
        <v>3</v>
      </c>
      <c r="L312" s="34">
        <f t="shared" si="85"/>
        <v>24</v>
      </c>
      <c r="M312" s="34" t="s">
        <v>128</v>
      </c>
      <c r="N312" s="34" t="s">
        <v>129</v>
      </c>
      <c r="O312" s="35">
        <f ca="1">I312*L312</f>
        <v>16</v>
      </c>
      <c r="P312" s="35">
        <f>J312*L312</f>
        <v>0</v>
      </c>
    </row>
    <row r="313" spans="1:16" ht="14.25" customHeight="1" x14ac:dyDescent="0.25">
      <c r="A313" s="34" t="s">
        <v>121</v>
      </c>
      <c r="B313" s="60" t="s">
        <v>93</v>
      </c>
      <c r="C313" s="60" t="s">
        <v>543</v>
      </c>
      <c r="D313" s="35" t="s">
        <v>89</v>
      </c>
      <c r="E313" s="35" t="s">
        <v>73</v>
      </c>
      <c r="F313" s="64" t="s">
        <v>71</v>
      </c>
      <c r="G313" s="38">
        <f>H312</f>
        <v>42153</v>
      </c>
      <c r="H313" s="38">
        <f>G313+5</f>
        <v>42158</v>
      </c>
      <c r="I313" s="39">
        <f t="shared" ca="1" si="86"/>
        <v>0</v>
      </c>
      <c r="J313" s="39">
        <v>0</v>
      </c>
      <c r="K313" s="40">
        <f t="shared" si="60"/>
        <v>4</v>
      </c>
      <c r="L313" s="34">
        <f t="shared" si="85"/>
        <v>32</v>
      </c>
      <c r="M313" s="34" t="s">
        <v>128</v>
      </c>
      <c r="N313" s="34" t="s">
        <v>129</v>
      </c>
      <c r="O313" s="35">
        <f ca="1">I313*L313</f>
        <v>0</v>
      </c>
      <c r="P313" s="35">
        <f>J313*L313</f>
        <v>0</v>
      </c>
    </row>
    <row r="314" spans="1:16" ht="14.25" customHeight="1" x14ac:dyDescent="0.25">
      <c r="A314" s="34" t="s">
        <v>121</v>
      </c>
      <c r="B314" s="60" t="s">
        <v>93</v>
      </c>
      <c r="C314" s="60" t="s">
        <v>543</v>
      </c>
      <c r="D314" s="35" t="s">
        <v>89</v>
      </c>
      <c r="E314" s="35" t="s">
        <v>73</v>
      </c>
      <c r="F314" s="37" t="s">
        <v>72</v>
      </c>
      <c r="G314" s="38">
        <f t="shared" ref="G314" si="87">H313</f>
        <v>42158</v>
      </c>
      <c r="H314" s="38">
        <v>42160</v>
      </c>
      <c r="I314" s="39">
        <f t="shared" ca="1" si="86"/>
        <v>0</v>
      </c>
      <c r="J314" s="39">
        <v>0</v>
      </c>
      <c r="K314" s="40">
        <f t="shared" si="60"/>
        <v>3</v>
      </c>
      <c r="L314" s="34">
        <f t="shared" si="85"/>
        <v>24</v>
      </c>
      <c r="M314" s="34" t="s">
        <v>128</v>
      </c>
      <c r="N314" s="34" t="s">
        <v>129</v>
      </c>
      <c r="O314" s="35">
        <f ca="1">I314*L314</f>
        <v>0</v>
      </c>
      <c r="P314" s="35">
        <f>J314*L314</f>
        <v>0</v>
      </c>
    </row>
    <row r="315" spans="1:16" ht="14.25" customHeight="1" x14ac:dyDescent="0.25">
      <c r="A315" s="41" t="s">
        <v>121</v>
      </c>
      <c r="B315" s="61" t="s">
        <v>94</v>
      </c>
      <c r="C315" s="61" t="s">
        <v>544</v>
      </c>
      <c r="D315" s="42" t="s">
        <v>89</v>
      </c>
      <c r="E315" s="42" t="s">
        <v>73</v>
      </c>
      <c r="F315" s="42" t="s">
        <v>35</v>
      </c>
      <c r="G315" s="53">
        <f>G311</f>
        <v>42150</v>
      </c>
      <c r="H315" s="53">
        <f>H314</f>
        <v>42160</v>
      </c>
      <c r="I315" s="43">
        <f ca="1">SUM(O311:O314)/L315</f>
        <v>0.33333333333333331</v>
      </c>
      <c r="J315" s="43">
        <f>SUM(P311:P314)/L315</f>
        <v>0</v>
      </c>
      <c r="K315" s="44">
        <f t="shared" si="60"/>
        <v>9</v>
      </c>
      <c r="L315" s="41">
        <f>SUM(L311:L314)</f>
        <v>96</v>
      </c>
      <c r="M315" s="43" t="s">
        <v>128</v>
      </c>
      <c r="N315" s="43" t="s">
        <v>129</v>
      </c>
      <c r="O315" s="35"/>
      <c r="P315" s="35"/>
    </row>
    <row r="316" spans="1:16" ht="14.25" customHeight="1" x14ac:dyDescent="0.25">
      <c r="A316" s="34" t="s">
        <v>122</v>
      </c>
      <c r="B316" s="60" t="s">
        <v>95</v>
      </c>
      <c r="C316" s="60" t="s">
        <v>543</v>
      </c>
      <c r="D316" s="35" t="s">
        <v>89</v>
      </c>
      <c r="E316" s="35" t="s">
        <v>73</v>
      </c>
      <c r="F316" s="37" t="s">
        <v>70</v>
      </c>
      <c r="G316" s="38">
        <v>42149</v>
      </c>
      <c r="H316" s="38">
        <f>G316+2</f>
        <v>42151</v>
      </c>
      <c r="I316" s="39">
        <f ca="1">IF(NETWORKDAYS(G316,TODAY())/NETWORKDAYS(G316,H316,)&lt;0,0,IF(NETWORKDAYS(G316,TODAY())/NETWORKDAYS(G316,H316,)&gt;1,1,NETWORKDAYS(G316,TODAY())/NETWORKDAYS(G316,H316,)))</f>
        <v>1</v>
      </c>
      <c r="J316" s="39">
        <v>0</v>
      </c>
      <c r="K316" s="40">
        <f t="shared" si="60"/>
        <v>3</v>
      </c>
      <c r="L316" s="34">
        <f t="shared" ref="L316:L319" si="88">K316*8</f>
        <v>24</v>
      </c>
      <c r="M316" s="34" t="s">
        <v>140</v>
      </c>
      <c r="N316" s="34" t="s">
        <v>141</v>
      </c>
      <c r="O316" s="35">
        <f ca="1">I316*L316</f>
        <v>24</v>
      </c>
      <c r="P316" s="35">
        <f>J316*L316</f>
        <v>0</v>
      </c>
    </row>
    <row r="317" spans="1:16" ht="15.75" customHeight="1" x14ac:dyDescent="0.25">
      <c r="A317" s="34" t="s">
        <v>122</v>
      </c>
      <c r="B317" s="60" t="s">
        <v>95</v>
      </c>
      <c r="C317" s="60" t="s">
        <v>543</v>
      </c>
      <c r="D317" s="35" t="s">
        <v>89</v>
      </c>
      <c r="E317" s="35" t="s">
        <v>73</v>
      </c>
      <c r="F317" s="37" t="s">
        <v>70</v>
      </c>
      <c r="G317" s="38">
        <f>H316</f>
        <v>42151</v>
      </c>
      <c r="H317" s="38">
        <f>G317+10</f>
        <v>42161</v>
      </c>
      <c r="I317" s="39">
        <f t="shared" ref="I317:I319" ca="1" si="89">IF(NETWORKDAYS(G317,TODAY())/NETWORKDAYS(G317,H317,)&lt;0,0,IF(NETWORKDAYS(G317,TODAY())/NETWORKDAYS(G317,H317,)&gt;1,1,NETWORKDAYS(G317,TODAY())/NETWORKDAYS(G317,H317,)))</f>
        <v>0.25</v>
      </c>
      <c r="J317" s="39">
        <v>0</v>
      </c>
      <c r="K317" s="40">
        <f t="shared" si="60"/>
        <v>8</v>
      </c>
      <c r="L317" s="34">
        <f t="shared" si="88"/>
        <v>64</v>
      </c>
      <c r="M317" s="34" t="s">
        <v>140</v>
      </c>
      <c r="N317" s="34" t="s">
        <v>141</v>
      </c>
      <c r="O317" s="35">
        <f ca="1">I317*L317</f>
        <v>16</v>
      </c>
      <c r="P317" s="35">
        <f>J317*L317</f>
        <v>0</v>
      </c>
    </row>
    <row r="318" spans="1:16" ht="14.25" customHeight="1" x14ac:dyDescent="0.25">
      <c r="A318" s="34" t="s">
        <v>122</v>
      </c>
      <c r="B318" s="60" t="s">
        <v>95</v>
      </c>
      <c r="C318" s="60" t="s">
        <v>543</v>
      </c>
      <c r="D318" s="35" t="s">
        <v>89</v>
      </c>
      <c r="E318" s="35" t="s">
        <v>73</v>
      </c>
      <c r="F318" s="64" t="s">
        <v>71</v>
      </c>
      <c r="G318" s="38">
        <f>H317</f>
        <v>42161</v>
      </c>
      <c r="H318" s="38">
        <f>G318+5</f>
        <v>42166</v>
      </c>
      <c r="I318" s="39">
        <f t="shared" ca="1" si="89"/>
        <v>0</v>
      </c>
      <c r="J318" s="39">
        <v>0</v>
      </c>
      <c r="K318" s="40">
        <f t="shared" si="60"/>
        <v>4</v>
      </c>
      <c r="L318" s="34">
        <f t="shared" si="88"/>
        <v>32</v>
      </c>
      <c r="M318" s="34" t="s">
        <v>140</v>
      </c>
      <c r="N318" s="34" t="s">
        <v>141</v>
      </c>
      <c r="O318" s="35">
        <f ca="1">I318*L318</f>
        <v>0</v>
      </c>
      <c r="P318" s="35">
        <f>J318*L318</f>
        <v>0</v>
      </c>
    </row>
    <row r="319" spans="1:16" ht="14.25" customHeight="1" x14ac:dyDescent="0.25">
      <c r="A319" s="34" t="s">
        <v>122</v>
      </c>
      <c r="B319" s="60" t="s">
        <v>95</v>
      </c>
      <c r="C319" s="60" t="s">
        <v>543</v>
      </c>
      <c r="D319" s="35" t="s">
        <v>89</v>
      </c>
      <c r="E319" s="35" t="s">
        <v>73</v>
      </c>
      <c r="F319" s="37" t="s">
        <v>72</v>
      </c>
      <c r="G319" s="38">
        <f t="shared" ref="G319" si="90">H318</f>
        <v>42166</v>
      </c>
      <c r="H319" s="38">
        <v>42167</v>
      </c>
      <c r="I319" s="39">
        <f t="shared" ca="1" si="89"/>
        <v>0</v>
      </c>
      <c r="J319" s="39">
        <v>0</v>
      </c>
      <c r="K319" s="40">
        <f t="shared" si="60"/>
        <v>2</v>
      </c>
      <c r="L319" s="34">
        <f t="shared" si="88"/>
        <v>16</v>
      </c>
      <c r="M319" s="34" t="s">
        <v>140</v>
      </c>
      <c r="N319" s="34" t="s">
        <v>141</v>
      </c>
      <c r="O319" s="35">
        <f ca="1">I319*L319</f>
        <v>0</v>
      </c>
      <c r="P319" s="35">
        <f>J319*L319</f>
        <v>0</v>
      </c>
    </row>
    <row r="320" spans="1:16" ht="14.25" customHeight="1" x14ac:dyDescent="0.25">
      <c r="A320" s="41" t="s">
        <v>122</v>
      </c>
      <c r="B320" s="61" t="s">
        <v>94</v>
      </c>
      <c r="C320" s="61" t="s">
        <v>543</v>
      </c>
      <c r="D320" s="42" t="s">
        <v>89</v>
      </c>
      <c r="E320" s="42" t="s">
        <v>73</v>
      </c>
      <c r="F320" s="42" t="s">
        <v>35</v>
      </c>
      <c r="G320" s="53">
        <f>G316</f>
        <v>42149</v>
      </c>
      <c r="H320" s="53">
        <f>H319</f>
        <v>42167</v>
      </c>
      <c r="I320" s="43">
        <f ca="1">SUM(O316:O319)/L320</f>
        <v>0.29411764705882354</v>
      </c>
      <c r="J320" s="43">
        <f>SUM(P316:P319)/L320</f>
        <v>0</v>
      </c>
      <c r="K320" s="44">
        <f t="shared" si="60"/>
        <v>15</v>
      </c>
      <c r="L320" s="41">
        <f>SUM(L316:L319)</f>
        <v>136</v>
      </c>
      <c r="M320" s="43" t="s">
        <v>140</v>
      </c>
      <c r="N320" s="43" t="s">
        <v>141</v>
      </c>
      <c r="O320" s="35"/>
      <c r="P320" s="35"/>
    </row>
    <row r="321" spans="1:16" ht="14.25" customHeight="1" x14ac:dyDescent="0.25">
      <c r="A321" s="34" t="s">
        <v>169</v>
      </c>
      <c r="B321" s="60" t="s">
        <v>168</v>
      </c>
      <c r="C321" s="60" t="s">
        <v>543</v>
      </c>
      <c r="D321" s="35" t="s">
        <v>89</v>
      </c>
      <c r="E321" s="35" t="s">
        <v>73</v>
      </c>
      <c r="F321" s="37" t="s">
        <v>70</v>
      </c>
      <c r="G321" s="38">
        <v>42143</v>
      </c>
      <c r="H321" s="38">
        <f>G321+1</f>
        <v>42144</v>
      </c>
      <c r="I321" s="39">
        <f ca="1">IF(NETWORKDAYS(G321,TODAY())/NETWORKDAYS(G321,H321,)&lt;0,0,IF(NETWORKDAYS(G321,TODAY())/NETWORKDAYS(G321,H321,)&gt;1,1,NETWORKDAYS(G321,TODAY())/NETWORKDAYS(G321,H321,)))</f>
        <v>1</v>
      </c>
      <c r="J321" s="39">
        <v>1</v>
      </c>
      <c r="K321" s="40">
        <f t="shared" si="60"/>
        <v>2</v>
      </c>
      <c r="L321" s="34">
        <f t="shared" ref="L321:L324" si="91">K321*8</f>
        <v>16</v>
      </c>
      <c r="M321" s="34" t="s">
        <v>157</v>
      </c>
      <c r="N321" s="34" t="s">
        <v>158</v>
      </c>
      <c r="O321" s="35">
        <f ca="1">I321*L321</f>
        <v>16</v>
      </c>
      <c r="P321" s="35">
        <f>J321*L321</f>
        <v>16</v>
      </c>
    </row>
    <row r="322" spans="1:16" ht="15.75" customHeight="1" x14ac:dyDescent="0.25">
      <c r="A322" s="34" t="s">
        <v>169</v>
      </c>
      <c r="B322" s="60" t="s">
        <v>168</v>
      </c>
      <c r="C322" s="60" t="s">
        <v>543</v>
      </c>
      <c r="D322" s="35" t="s">
        <v>89</v>
      </c>
      <c r="E322" s="35" t="s">
        <v>73</v>
      </c>
      <c r="F322" s="37" t="s">
        <v>70</v>
      </c>
      <c r="G322" s="38">
        <f>H321</f>
        <v>42144</v>
      </c>
      <c r="H322" s="38">
        <f>G322+3</f>
        <v>42147</v>
      </c>
      <c r="I322" s="39">
        <f t="shared" ref="I322:I324" ca="1" si="92">IF(NETWORKDAYS(G322,TODAY())/NETWORKDAYS(G322,H322,)&lt;0,0,IF(NETWORKDAYS(G322,TODAY())/NETWORKDAYS(G322,H322,)&gt;1,1,NETWORKDAYS(G322,TODAY())/NETWORKDAYS(G322,H322,)))</f>
        <v>1</v>
      </c>
      <c r="J322" s="39">
        <v>0.33</v>
      </c>
      <c r="K322" s="40">
        <f t="shared" si="60"/>
        <v>3</v>
      </c>
      <c r="L322" s="34">
        <f t="shared" si="91"/>
        <v>24</v>
      </c>
      <c r="M322" s="34" t="s">
        <v>157</v>
      </c>
      <c r="N322" s="34" t="s">
        <v>158</v>
      </c>
      <c r="O322" s="35">
        <f ca="1">I322*L322</f>
        <v>24</v>
      </c>
      <c r="P322" s="35">
        <f>J322*L322</f>
        <v>7.92</v>
      </c>
    </row>
    <row r="323" spans="1:16" ht="14.25" customHeight="1" x14ac:dyDescent="0.25">
      <c r="A323" s="34" t="s">
        <v>169</v>
      </c>
      <c r="B323" s="60" t="s">
        <v>168</v>
      </c>
      <c r="C323" s="60" t="s">
        <v>543</v>
      </c>
      <c r="D323" s="35" t="s">
        <v>89</v>
      </c>
      <c r="E323" s="35" t="s">
        <v>73</v>
      </c>
      <c r="F323" s="64" t="s">
        <v>71</v>
      </c>
      <c r="G323" s="38">
        <f t="shared" ref="G323:G324" si="93">H322</f>
        <v>42147</v>
      </c>
      <c r="H323" s="38">
        <f>G323+4</f>
        <v>42151</v>
      </c>
      <c r="I323" s="39">
        <f t="shared" ca="1" si="92"/>
        <v>1</v>
      </c>
      <c r="J323" s="39">
        <v>0</v>
      </c>
      <c r="K323" s="40">
        <f t="shared" si="60"/>
        <v>3</v>
      </c>
      <c r="L323" s="34">
        <f t="shared" si="91"/>
        <v>24</v>
      </c>
      <c r="M323" s="34" t="s">
        <v>157</v>
      </c>
      <c r="N323" s="34" t="s">
        <v>158</v>
      </c>
      <c r="O323" s="35">
        <f ca="1">I323*L323</f>
        <v>24</v>
      </c>
      <c r="P323" s="35">
        <f>J323*L323</f>
        <v>0</v>
      </c>
    </row>
    <row r="324" spans="1:16" ht="14.25" customHeight="1" x14ac:dyDescent="0.25">
      <c r="A324" s="34" t="s">
        <v>169</v>
      </c>
      <c r="B324" s="60" t="s">
        <v>168</v>
      </c>
      <c r="C324" s="60" t="s">
        <v>543</v>
      </c>
      <c r="D324" s="35" t="s">
        <v>89</v>
      </c>
      <c r="E324" s="35" t="s">
        <v>73</v>
      </c>
      <c r="F324" s="37" t="s">
        <v>72</v>
      </c>
      <c r="G324" s="38">
        <f t="shared" si="93"/>
        <v>42151</v>
      </c>
      <c r="H324" s="38">
        <v>42153</v>
      </c>
      <c r="I324" s="39">
        <f t="shared" ca="1" si="92"/>
        <v>0.66666666666666663</v>
      </c>
      <c r="J324" s="39">
        <v>0</v>
      </c>
      <c r="K324" s="40">
        <f t="shared" si="60"/>
        <v>3</v>
      </c>
      <c r="L324" s="34">
        <f t="shared" si="91"/>
        <v>24</v>
      </c>
      <c r="M324" s="34" t="s">
        <v>157</v>
      </c>
      <c r="N324" s="34" t="s">
        <v>158</v>
      </c>
      <c r="O324" s="35">
        <f ca="1">I324*L324</f>
        <v>16</v>
      </c>
      <c r="P324" s="35">
        <f>J324*L324</f>
        <v>0</v>
      </c>
    </row>
    <row r="325" spans="1:16" ht="14.25" customHeight="1" x14ac:dyDescent="0.25">
      <c r="A325" s="41" t="s">
        <v>169</v>
      </c>
      <c r="B325" s="61" t="s">
        <v>168</v>
      </c>
      <c r="C325" s="61" t="s">
        <v>543</v>
      </c>
      <c r="D325" s="42" t="s">
        <v>89</v>
      </c>
      <c r="E325" s="42" t="s">
        <v>73</v>
      </c>
      <c r="F325" s="42" t="s">
        <v>35</v>
      </c>
      <c r="G325" s="53">
        <f>G321</f>
        <v>42143</v>
      </c>
      <c r="H325" s="53">
        <f>H324</f>
        <v>42153</v>
      </c>
      <c r="I325" s="43">
        <f ca="1">SUM(O321:O324)/L325</f>
        <v>0.90909090909090906</v>
      </c>
      <c r="J325" s="43">
        <f>SUM(P321:P324)/L325</f>
        <v>0.27181818181818185</v>
      </c>
      <c r="K325" s="44">
        <f t="shared" si="60"/>
        <v>9</v>
      </c>
      <c r="L325" s="41">
        <f>SUM(L321:L324)</f>
        <v>88</v>
      </c>
      <c r="M325" s="43" t="s">
        <v>157</v>
      </c>
      <c r="N325" s="43" t="s">
        <v>158</v>
      </c>
      <c r="O325" s="35"/>
      <c r="P325" s="35"/>
    </row>
    <row r="326" spans="1:16" ht="14.25" customHeight="1" x14ac:dyDescent="0.25">
      <c r="A326" s="34" t="s">
        <v>290</v>
      </c>
      <c r="B326" s="60" t="s">
        <v>291</v>
      </c>
      <c r="C326" s="60" t="s">
        <v>543</v>
      </c>
      <c r="D326" s="35" t="s">
        <v>89</v>
      </c>
      <c r="E326" s="35" t="s">
        <v>73</v>
      </c>
      <c r="F326" s="37" t="s">
        <v>70</v>
      </c>
      <c r="G326" s="38">
        <v>42156</v>
      </c>
      <c r="H326" s="38">
        <f>G326+2</f>
        <v>42158</v>
      </c>
      <c r="I326" s="39">
        <f ca="1">IF(NETWORKDAYS(G326,TODAY())/NETWORKDAYS(G326,H326,)&lt;0,0,IF(NETWORKDAYS(G326,TODAY())/NETWORKDAYS(G326,H326,)&gt;1,1,NETWORKDAYS(G326,TODAY())/NETWORKDAYS(G326,H326,)))</f>
        <v>0</v>
      </c>
      <c r="J326" s="39">
        <v>0</v>
      </c>
      <c r="K326" s="40">
        <f t="shared" si="60"/>
        <v>3</v>
      </c>
      <c r="L326" s="34">
        <f t="shared" ref="L326:L329" si="94">K326*8</f>
        <v>24</v>
      </c>
      <c r="M326" s="34" t="s">
        <v>157</v>
      </c>
      <c r="N326" s="34" t="s">
        <v>158</v>
      </c>
      <c r="O326" s="35">
        <f ca="1">I326*L326</f>
        <v>0</v>
      </c>
      <c r="P326" s="35">
        <f>J326*L326</f>
        <v>0</v>
      </c>
    </row>
    <row r="327" spans="1:16" ht="15.75" customHeight="1" x14ac:dyDescent="0.25">
      <c r="A327" s="34" t="s">
        <v>290</v>
      </c>
      <c r="B327" s="60" t="s">
        <v>291</v>
      </c>
      <c r="C327" s="60" t="s">
        <v>543</v>
      </c>
      <c r="D327" s="35" t="s">
        <v>89</v>
      </c>
      <c r="E327" s="35" t="s">
        <v>73</v>
      </c>
      <c r="F327" s="37" t="s">
        <v>70</v>
      </c>
      <c r="G327" s="38">
        <f>H326</f>
        <v>42158</v>
      </c>
      <c r="H327" s="38">
        <f>G327+5</f>
        <v>42163</v>
      </c>
      <c r="I327" s="39">
        <f t="shared" ref="I327:I329" ca="1" si="95">IF(NETWORKDAYS(G327,TODAY())/NETWORKDAYS(G327,H327,)&lt;0,0,IF(NETWORKDAYS(G327,TODAY())/NETWORKDAYS(G327,H327,)&gt;1,1,NETWORKDAYS(G327,TODAY())/NETWORKDAYS(G327,H327,)))</f>
        <v>0</v>
      </c>
      <c r="J327" s="39">
        <v>0</v>
      </c>
      <c r="K327" s="40">
        <f t="shared" si="60"/>
        <v>4</v>
      </c>
      <c r="L327" s="34">
        <f t="shared" si="94"/>
        <v>32</v>
      </c>
      <c r="M327" s="34" t="s">
        <v>157</v>
      </c>
      <c r="N327" s="34" t="s">
        <v>158</v>
      </c>
      <c r="O327" s="35">
        <f ca="1">I327*L327</f>
        <v>0</v>
      </c>
      <c r="P327" s="35">
        <f>J327*L327</f>
        <v>0</v>
      </c>
    </row>
    <row r="328" spans="1:16" ht="14.25" customHeight="1" x14ac:dyDescent="0.25">
      <c r="A328" s="34" t="s">
        <v>290</v>
      </c>
      <c r="B328" s="60" t="s">
        <v>291</v>
      </c>
      <c r="C328" s="60" t="s">
        <v>543</v>
      </c>
      <c r="D328" s="35" t="s">
        <v>89</v>
      </c>
      <c r="E328" s="35" t="s">
        <v>73</v>
      </c>
      <c r="F328" s="64" t="s">
        <v>71</v>
      </c>
      <c r="G328" s="38">
        <f t="shared" ref="G328:G329" si="96">H327</f>
        <v>42163</v>
      </c>
      <c r="H328" s="38">
        <f>G328+1</f>
        <v>42164</v>
      </c>
      <c r="I328" s="39">
        <f t="shared" ca="1" si="95"/>
        <v>0</v>
      </c>
      <c r="J328" s="39">
        <v>0</v>
      </c>
      <c r="K328" s="40">
        <f t="shared" si="60"/>
        <v>2</v>
      </c>
      <c r="L328" s="34">
        <f t="shared" si="94"/>
        <v>16</v>
      </c>
      <c r="M328" s="34" t="s">
        <v>157</v>
      </c>
      <c r="N328" s="34" t="s">
        <v>158</v>
      </c>
      <c r="O328" s="35">
        <f ca="1">I328*L328</f>
        <v>0</v>
      </c>
      <c r="P328" s="35">
        <f>J328*L328</f>
        <v>0</v>
      </c>
    </row>
    <row r="329" spans="1:16" ht="14.25" customHeight="1" x14ac:dyDescent="0.25">
      <c r="A329" s="34" t="s">
        <v>290</v>
      </c>
      <c r="B329" s="60" t="s">
        <v>291</v>
      </c>
      <c r="C329" s="60" t="s">
        <v>543</v>
      </c>
      <c r="D329" s="35" t="s">
        <v>89</v>
      </c>
      <c r="E329" s="35" t="s">
        <v>73</v>
      </c>
      <c r="F329" s="37" t="s">
        <v>72</v>
      </c>
      <c r="G329" s="38">
        <f t="shared" si="96"/>
        <v>42164</v>
      </c>
      <c r="H329" s="38">
        <v>42165</v>
      </c>
      <c r="I329" s="39">
        <f t="shared" ca="1" si="95"/>
        <v>0</v>
      </c>
      <c r="J329" s="39">
        <v>0</v>
      </c>
      <c r="K329" s="40">
        <f t="shared" ref="K329:K345" si="97">NETWORKDAYS(G329,H329)</f>
        <v>2</v>
      </c>
      <c r="L329" s="34">
        <f t="shared" si="94"/>
        <v>16</v>
      </c>
      <c r="M329" s="34" t="s">
        <v>157</v>
      </c>
      <c r="N329" s="34" t="s">
        <v>158</v>
      </c>
      <c r="O329" s="35">
        <f ca="1">I329*L329</f>
        <v>0</v>
      </c>
      <c r="P329" s="35">
        <f>J329*L329</f>
        <v>0</v>
      </c>
    </row>
    <row r="330" spans="1:16" ht="14.25" customHeight="1" x14ac:dyDescent="0.25">
      <c r="A330" s="41" t="s">
        <v>290</v>
      </c>
      <c r="B330" s="61" t="s">
        <v>291</v>
      </c>
      <c r="C330" s="61" t="s">
        <v>302</v>
      </c>
      <c r="D330" s="42" t="s">
        <v>89</v>
      </c>
      <c r="E330" s="42" t="s">
        <v>73</v>
      </c>
      <c r="F330" s="42" t="s">
        <v>35</v>
      </c>
      <c r="G330" s="53">
        <f>G326</f>
        <v>42156</v>
      </c>
      <c r="H330" s="53">
        <f>H329</f>
        <v>42165</v>
      </c>
      <c r="I330" s="43">
        <f ca="1">SUM(O326:O329)/L330</f>
        <v>0</v>
      </c>
      <c r="J330" s="43">
        <f>SUM(P326:P329)/L330</f>
        <v>0</v>
      </c>
      <c r="K330" s="44">
        <f t="shared" si="97"/>
        <v>8</v>
      </c>
      <c r="L330" s="41">
        <f>SUM(L326:L329)</f>
        <v>88</v>
      </c>
      <c r="M330" s="43" t="s">
        <v>157</v>
      </c>
      <c r="N330" s="43" t="s">
        <v>158</v>
      </c>
      <c r="O330" s="35"/>
      <c r="P330" s="35"/>
    </row>
    <row r="331" spans="1:16" ht="14.25" customHeight="1" x14ac:dyDescent="0.25">
      <c r="A331" s="34" t="s">
        <v>292</v>
      </c>
      <c r="B331" s="60" t="s">
        <v>293</v>
      </c>
      <c r="C331" s="60" t="s">
        <v>543</v>
      </c>
      <c r="D331" s="35" t="s">
        <v>89</v>
      </c>
      <c r="E331" s="35" t="s">
        <v>294</v>
      </c>
      <c r="F331" s="37" t="s">
        <v>70</v>
      </c>
      <c r="G331" s="38">
        <v>42149</v>
      </c>
      <c r="H331" s="38">
        <f>G331+2</f>
        <v>42151</v>
      </c>
      <c r="I331" s="39">
        <f ca="1">IF(NETWORKDAYS(G331,TODAY())/NETWORKDAYS(G331,H331,)&lt;0,0,IF(NETWORKDAYS(G331,TODAY())/NETWORKDAYS(G331,H331,)&gt;1,1,NETWORKDAYS(G331,TODAY())/NETWORKDAYS(G331,H331,)))</f>
        <v>1</v>
      </c>
      <c r="J331" s="39">
        <v>0.33</v>
      </c>
      <c r="K331" s="40">
        <f t="shared" si="97"/>
        <v>3</v>
      </c>
      <c r="L331" s="34">
        <f t="shared" ref="L331:L334" si="98">K331*8</f>
        <v>24</v>
      </c>
      <c r="M331" s="34" t="s">
        <v>127</v>
      </c>
      <c r="N331" s="34" t="s">
        <v>152</v>
      </c>
      <c r="O331" s="35">
        <f ca="1">I331*L331</f>
        <v>24</v>
      </c>
      <c r="P331" s="35">
        <f>J331*L331</f>
        <v>7.92</v>
      </c>
    </row>
    <row r="332" spans="1:16" ht="15.75" customHeight="1" x14ac:dyDescent="0.25">
      <c r="A332" s="34" t="s">
        <v>292</v>
      </c>
      <c r="B332" s="60" t="s">
        <v>293</v>
      </c>
      <c r="C332" s="60" t="s">
        <v>543</v>
      </c>
      <c r="D332" s="35" t="s">
        <v>89</v>
      </c>
      <c r="E332" s="35" t="s">
        <v>294</v>
      </c>
      <c r="F332" s="37" t="s">
        <v>70</v>
      </c>
      <c r="G332" s="38">
        <f>H331</f>
        <v>42151</v>
      </c>
      <c r="H332" s="38">
        <f>G332+5</f>
        <v>42156</v>
      </c>
      <c r="I332" s="39">
        <f t="shared" ref="I332:I334" ca="1" si="99">IF(NETWORKDAYS(G332,TODAY())/NETWORKDAYS(G332,H332,)&lt;0,0,IF(NETWORKDAYS(G332,TODAY())/NETWORKDAYS(G332,H332,)&gt;1,1,NETWORKDAYS(G332,TODAY())/NETWORKDAYS(G332,H332,)))</f>
        <v>0.5</v>
      </c>
      <c r="J332" s="39">
        <v>0</v>
      </c>
      <c r="K332" s="40">
        <f t="shared" si="97"/>
        <v>4</v>
      </c>
      <c r="L332" s="34">
        <f t="shared" si="98"/>
        <v>32</v>
      </c>
      <c r="M332" s="34" t="s">
        <v>127</v>
      </c>
      <c r="N332" s="34" t="s">
        <v>152</v>
      </c>
      <c r="O332" s="35">
        <f ca="1">I332*L332</f>
        <v>16</v>
      </c>
      <c r="P332" s="35">
        <f>J332*L332</f>
        <v>0</v>
      </c>
    </row>
    <row r="333" spans="1:16" ht="14.25" customHeight="1" x14ac:dyDescent="0.25">
      <c r="A333" s="34" t="s">
        <v>292</v>
      </c>
      <c r="B333" s="60" t="s">
        <v>293</v>
      </c>
      <c r="C333" s="60" t="s">
        <v>543</v>
      </c>
      <c r="D333" s="35" t="s">
        <v>89</v>
      </c>
      <c r="E333" s="35" t="s">
        <v>294</v>
      </c>
      <c r="F333" s="64" t="s">
        <v>71</v>
      </c>
      <c r="G333" s="38">
        <f t="shared" ref="G333:G334" si="100">H332</f>
        <v>42156</v>
      </c>
      <c r="H333" s="38">
        <f>G333+2</f>
        <v>42158</v>
      </c>
      <c r="I333" s="39">
        <f t="shared" ca="1" si="99"/>
        <v>0</v>
      </c>
      <c r="J333" s="39">
        <v>0</v>
      </c>
      <c r="K333" s="40">
        <f t="shared" si="97"/>
        <v>3</v>
      </c>
      <c r="L333" s="34">
        <f t="shared" si="98"/>
        <v>24</v>
      </c>
      <c r="M333" s="34" t="s">
        <v>127</v>
      </c>
      <c r="N333" s="34" t="s">
        <v>152</v>
      </c>
      <c r="O333" s="35">
        <f ca="1">I333*L333</f>
        <v>0</v>
      </c>
      <c r="P333" s="35">
        <f>J333*L333</f>
        <v>0</v>
      </c>
    </row>
    <row r="334" spans="1:16" ht="14.25" customHeight="1" x14ac:dyDescent="0.25">
      <c r="A334" s="34" t="s">
        <v>292</v>
      </c>
      <c r="B334" s="60" t="s">
        <v>293</v>
      </c>
      <c r="C334" s="60" t="s">
        <v>543</v>
      </c>
      <c r="D334" s="35" t="s">
        <v>89</v>
      </c>
      <c r="E334" s="35" t="s">
        <v>294</v>
      </c>
      <c r="F334" s="37" t="s">
        <v>72</v>
      </c>
      <c r="G334" s="38">
        <f t="shared" si="100"/>
        <v>42158</v>
      </c>
      <c r="H334" s="38">
        <v>42160</v>
      </c>
      <c r="I334" s="39">
        <f t="shared" ca="1" si="99"/>
        <v>0</v>
      </c>
      <c r="J334" s="39">
        <v>0</v>
      </c>
      <c r="K334" s="40">
        <f t="shared" si="97"/>
        <v>3</v>
      </c>
      <c r="L334" s="34">
        <f t="shared" si="98"/>
        <v>24</v>
      </c>
      <c r="M334" s="34" t="s">
        <v>127</v>
      </c>
      <c r="N334" s="34" t="s">
        <v>152</v>
      </c>
      <c r="O334" s="35">
        <f ca="1">I334*L334</f>
        <v>0</v>
      </c>
      <c r="P334" s="35">
        <f>J334*L334</f>
        <v>0</v>
      </c>
    </row>
    <row r="335" spans="1:16" ht="14.25" customHeight="1" x14ac:dyDescent="0.25">
      <c r="A335" s="41" t="s">
        <v>292</v>
      </c>
      <c r="B335" s="61" t="s">
        <v>293</v>
      </c>
      <c r="C335" s="61" t="s">
        <v>543</v>
      </c>
      <c r="D335" s="42" t="s">
        <v>89</v>
      </c>
      <c r="E335" s="42" t="s">
        <v>294</v>
      </c>
      <c r="F335" s="42" t="s">
        <v>35</v>
      </c>
      <c r="G335" s="53">
        <f>G331</f>
        <v>42149</v>
      </c>
      <c r="H335" s="53">
        <f>H334</f>
        <v>42160</v>
      </c>
      <c r="I335" s="43">
        <f ca="1">SUM(O331:O334)/L335</f>
        <v>0.38461538461538464</v>
      </c>
      <c r="J335" s="43">
        <f>SUM(P331:P334)/L335</f>
        <v>7.6153846153846155E-2</v>
      </c>
      <c r="K335" s="44">
        <f t="shared" si="97"/>
        <v>10</v>
      </c>
      <c r="L335" s="41">
        <f>SUM(L331:L334)</f>
        <v>104</v>
      </c>
      <c r="M335" s="43" t="s">
        <v>127</v>
      </c>
      <c r="N335" s="43" t="s">
        <v>152</v>
      </c>
      <c r="O335" s="35"/>
      <c r="P335" s="35"/>
    </row>
    <row r="336" spans="1:16" ht="14.25" customHeight="1" x14ac:dyDescent="0.25">
      <c r="A336" s="34" t="s">
        <v>295</v>
      </c>
      <c r="B336" s="60" t="s">
        <v>98</v>
      </c>
      <c r="C336" s="60" t="s">
        <v>543</v>
      </c>
      <c r="D336" s="35" t="s">
        <v>89</v>
      </c>
      <c r="E336" s="35" t="s">
        <v>73</v>
      </c>
      <c r="F336" s="37" t="s">
        <v>70</v>
      </c>
      <c r="G336" s="38">
        <v>42149</v>
      </c>
      <c r="H336" s="38">
        <f>G336</f>
        <v>42149</v>
      </c>
      <c r="I336" s="39">
        <f ca="1">IF(NETWORKDAYS(G336,TODAY())/NETWORKDAYS(G336,H336,)&lt;0,0,IF(NETWORKDAYS(G336,TODAY())/NETWORKDAYS(G336,H336,)&gt;1,1,NETWORKDAYS(G336,TODAY())/NETWORKDAYS(G336,H336,)))</f>
        <v>1</v>
      </c>
      <c r="J336" s="39">
        <v>0</v>
      </c>
      <c r="K336" s="40">
        <f t="shared" si="97"/>
        <v>1</v>
      </c>
      <c r="L336" s="34">
        <f t="shared" ref="L336:L339" si="101">K336*8</f>
        <v>8</v>
      </c>
      <c r="M336" s="34" t="s">
        <v>134</v>
      </c>
      <c r="N336" s="34" t="s">
        <v>135</v>
      </c>
      <c r="O336" s="35">
        <f ca="1">I336*L336</f>
        <v>8</v>
      </c>
      <c r="P336" s="35">
        <f>J336*L336</f>
        <v>0</v>
      </c>
    </row>
    <row r="337" spans="1:16" ht="15.75" customHeight="1" x14ac:dyDescent="0.25">
      <c r="A337" s="34" t="s">
        <v>295</v>
      </c>
      <c r="B337" s="60" t="s">
        <v>98</v>
      </c>
      <c r="C337" s="60" t="s">
        <v>543</v>
      </c>
      <c r="D337" s="35" t="s">
        <v>89</v>
      </c>
      <c r="E337" s="35" t="s">
        <v>73</v>
      </c>
      <c r="F337" s="37" t="s">
        <v>70</v>
      </c>
      <c r="G337" s="38">
        <f>H336</f>
        <v>42149</v>
      </c>
      <c r="H337" s="38">
        <f>G337+7</f>
        <v>42156</v>
      </c>
      <c r="I337" s="39">
        <f t="shared" ref="I337:I339" ca="1" si="102">IF(NETWORKDAYS(G337,TODAY())/NETWORKDAYS(G337,H337,)&lt;0,0,IF(NETWORKDAYS(G337,TODAY())/NETWORKDAYS(G337,H337,)&gt;1,1,NETWORKDAYS(G337,TODAY())/NETWORKDAYS(G337,H337,)))</f>
        <v>0.66666666666666663</v>
      </c>
      <c r="J337" s="39">
        <v>0</v>
      </c>
      <c r="K337" s="40">
        <f t="shared" si="97"/>
        <v>6</v>
      </c>
      <c r="L337" s="34">
        <f t="shared" si="101"/>
        <v>48</v>
      </c>
      <c r="M337" s="34" t="s">
        <v>134</v>
      </c>
      <c r="N337" s="34" t="s">
        <v>135</v>
      </c>
      <c r="O337" s="35">
        <f ca="1">I337*L337</f>
        <v>32</v>
      </c>
      <c r="P337" s="35">
        <f>J337*L337</f>
        <v>0</v>
      </c>
    </row>
    <row r="338" spans="1:16" ht="14.25" customHeight="1" x14ac:dyDescent="0.25">
      <c r="A338" s="34" t="s">
        <v>295</v>
      </c>
      <c r="B338" s="60" t="s">
        <v>98</v>
      </c>
      <c r="C338" s="60" t="s">
        <v>543</v>
      </c>
      <c r="D338" s="35" t="s">
        <v>89</v>
      </c>
      <c r="E338" s="35" t="s">
        <v>73</v>
      </c>
      <c r="F338" s="64" t="s">
        <v>71</v>
      </c>
      <c r="G338" s="38">
        <f t="shared" ref="G338:G339" si="103">H337</f>
        <v>42156</v>
      </c>
      <c r="H338" s="38">
        <f>G338+1</f>
        <v>42157</v>
      </c>
      <c r="I338" s="39">
        <f t="shared" ca="1" si="102"/>
        <v>0</v>
      </c>
      <c r="J338" s="39">
        <v>0</v>
      </c>
      <c r="K338" s="40">
        <f t="shared" si="97"/>
        <v>2</v>
      </c>
      <c r="L338" s="34">
        <f t="shared" si="101"/>
        <v>16</v>
      </c>
      <c r="M338" s="34" t="s">
        <v>134</v>
      </c>
      <c r="N338" s="34" t="s">
        <v>135</v>
      </c>
      <c r="O338" s="35">
        <f ca="1">I338*L338</f>
        <v>0</v>
      </c>
      <c r="P338" s="35">
        <f>J338*L338</f>
        <v>0</v>
      </c>
    </row>
    <row r="339" spans="1:16" ht="14.25" customHeight="1" x14ac:dyDescent="0.25">
      <c r="A339" s="34" t="s">
        <v>295</v>
      </c>
      <c r="B339" s="60" t="s">
        <v>98</v>
      </c>
      <c r="C339" s="60" t="s">
        <v>543</v>
      </c>
      <c r="D339" s="35" t="s">
        <v>89</v>
      </c>
      <c r="E339" s="35" t="s">
        <v>73</v>
      </c>
      <c r="F339" s="37" t="s">
        <v>72</v>
      </c>
      <c r="G339" s="38">
        <f t="shared" si="103"/>
        <v>42157</v>
      </c>
      <c r="H339" s="38">
        <v>42159</v>
      </c>
      <c r="I339" s="39">
        <f t="shared" ca="1" si="102"/>
        <v>0</v>
      </c>
      <c r="J339" s="39">
        <v>0</v>
      </c>
      <c r="K339" s="40">
        <f t="shared" si="97"/>
        <v>3</v>
      </c>
      <c r="L339" s="34">
        <f t="shared" si="101"/>
        <v>24</v>
      </c>
      <c r="M339" s="34" t="s">
        <v>134</v>
      </c>
      <c r="N339" s="34" t="s">
        <v>135</v>
      </c>
      <c r="O339" s="35">
        <f ca="1">I339*L339</f>
        <v>0</v>
      </c>
      <c r="P339" s="35">
        <f>J339*L339</f>
        <v>0</v>
      </c>
    </row>
    <row r="340" spans="1:16" ht="14.25" customHeight="1" x14ac:dyDescent="0.25">
      <c r="A340" s="41" t="s">
        <v>295</v>
      </c>
      <c r="B340" s="61" t="s">
        <v>98</v>
      </c>
      <c r="C340" s="61" t="s">
        <v>543</v>
      </c>
      <c r="D340" s="42" t="s">
        <v>89</v>
      </c>
      <c r="E340" s="42" t="s">
        <v>73</v>
      </c>
      <c r="F340" s="42" t="s">
        <v>35</v>
      </c>
      <c r="G340" s="53">
        <f>G336</f>
        <v>42149</v>
      </c>
      <c r="H340" s="53">
        <f>H339</f>
        <v>42159</v>
      </c>
      <c r="I340" s="43">
        <f ca="1">SUM(O336:O339)/L340</f>
        <v>0.41666666666666669</v>
      </c>
      <c r="J340" s="43">
        <f>SUM(P336:P339)/L340</f>
        <v>0</v>
      </c>
      <c r="K340" s="44">
        <f t="shared" si="97"/>
        <v>9</v>
      </c>
      <c r="L340" s="41">
        <f>SUM(L336:L339)</f>
        <v>96</v>
      </c>
      <c r="M340" s="43" t="s">
        <v>134</v>
      </c>
      <c r="N340" s="43" t="s">
        <v>135</v>
      </c>
      <c r="O340" s="35"/>
      <c r="P340" s="35"/>
    </row>
    <row r="341" spans="1:16" ht="14.25" customHeight="1" x14ac:dyDescent="0.25">
      <c r="A341" s="34" t="s">
        <v>296</v>
      </c>
      <c r="B341" s="60" t="s">
        <v>99</v>
      </c>
      <c r="C341" s="60" t="s">
        <v>543</v>
      </c>
      <c r="D341" s="35" t="s">
        <v>89</v>
      </c>
      <c r="E341" s="35" t="s">
        <v>73</v>
      </c>
      <c r="F341" s="37" t="s">
        <v>70</v>
      </c>
      <c r="G341" s="38">
        <v>42160</v>
      </c>
      <c r="H341" s="38">
        <f>G341+1</f>
        <v>42161</v>
      </c>
      <c r="I341" s="39">
        <f ca="1">IF(NETWORKDAYS(G341,TODAY())/NETWORKDAYS(G341,H341,)&lt;0,0,IF(NETWORKDAYS(G341,TODAY())/NETWORKDAYS(G341,H341,)&gt;1,1,NETWORKDAYS(G341,TODAY())/NETWORKDAYS(G341,H341,)))</f>
        <v>0</v>
      </c>
      <c r="J341" s="39">
        <v>0</v>
      </c>
      <c r="K341" s="40">
        <f t="shared" si="97"/>
        <v>1</v>
      </c>
      <c r="L341" s="34">
        <f t="shared" ref="L341:L344" si="104">K341*8</f>
        <v>8</v>
      </c>
      <c r="M341" s="34" t="s">
        <v>134</v>
      </c>
      <c r="N341" s="34" t="s">
        <v>135</v>
      </c>
      <c r="O341" s="35">
        <f ca="1">I341*L341</f>
        <v>0</v>
      </c>
      <c r="P341" s="35">
        <f>J341*L341</f>
        <v>0</v>
      </c>
    </row>
    <row r="342" spans="1:16" ht="15.75" customHeight="1" x14ac:dyDescent="0.25">
      <c r="A342" s="34" t="s">
        <v>296</v>
      </c>
      <c r="B342" s="60" t="s">
        <v>99</v>
      </c>
      <c r="C342" s="60" t="s">
        <v>543</v>
      </c>
      <c r="D342" s="35" t="s">
        <v>89</v>
      </c>
      <c r="E342" s="35" t="s">
        <v>73</v>
      </c>
      <c r="F342" s="37" t="s">
        <v>70</v>
      </c>
      <c r="G342" s="38">
        <f>H341</f>
        <v>42161</v>
      </c>
      <c r="H342" s="38">
        <f>G342+7</f>
        <v>42168</v>
      </c>
      <c r="I342" s="39">
        <f t="shared" ref="I342:I344" ca="1" si="105">IF(NETWORKDAYS(G342,TODAY())/NETWORKDAYS(G342,H342,)&lt;0,0,IF(NETWORKDAYS(G342,TODAY())/NETWORKDAYS(G342,H342,)&gt;1,1,NETWORKDAYS(G342,TODAY())/NETWORKDAYS(G342,H342,)))</f>
        <v>0</v>
      </c>
      <c r="J342" s="39">
        <v>0</v>
      </c>
      <c r="K342" s="40">
        <f t="shared" si="97"/>
        <v>5</v>
      </c>
      <c r="L342" s="34">
        <f t="shared" si="104"/>
        <v>40</v>
      </c>
      <c r="M342" s="34" t="s">
        <v>134</v>
      </c>
      <c r="N342" s="34" t="s">
        <v>135</v>
      </c>
      <c r="O342" s="35">
        <f ca="1">I342*L342</f>
        <v>0</v>
      </c>
      <c r="P342" s="35">
        <f>J342*L342</f>
        <v>0</v>
      </c>
    </row>
    <row r="343" spans="1:16" ht="14.25" customHeight="1" x14ac:dyDescent="0.25">
      <c r="A343" s="34" t="s">
        <v>296</v>
      </c>
      <c r="B343" s="60" t="s">
        <v>99</v>
      </c>
      <c r="C343" s="60" t="s">
        <v>543</v>
      </c>
      <c r="D343" s="35" t="s">
        <v>89</v>
      </c>
      <c r="E343" s="35" t="s">
        <v>73</v>
      </c>
      <c r="F343" s="64" t="s">
        <v>71</v>
      </c>
      <c r="G343" s="38">
        <f t="shared" ref="G343:G344" si="106">H342</f>
        <v>42168</v>
      </c>
      <c r="H343" s="38">
        <f>G343+2</f>
        <v>42170</v>
      </c>
      <c r="I343" s="39">
        <f t="shared" ca="1" si="105"/>
        <v>0</v>
      </c>
      <c r="J343" s="39">
        <v>0</v>
      </c>
      <c r="K343" s="40">
        <f t="shared" si="97"/>
        <v>1</v>
      </c>
      <c r="L343" s="34">
        <f t="shared" si="104"/>
        <v>8</v>
      </c>
      <c r="M343" s="34" t="s">
        <v>134</v>
      </c>
      <c r="N343" s="34" t="s">
        <v>135</v>
      </c>
      <c r="O343" s="35">
        <f ca="1">I343*L343</f>
        <v>0</v>
      </c>
      <c r="P343" s="35">
        <f>J343*L343</f>
        <v>0</v>
      </c>
    </row>
    <row r="344" spans="1:16" ht="14.25" customHeight="1" x14ac:dyDescent="0.25">
      <c r="A344" s="34" t="s">
        <v>296</v>
      </c>
      <c r="B344" s="60" t="s">
        <v>99</v>
      </c>
      <c r="C344" s="60" t="s">
        <v>543</v>
      </c>
      <c r="D344" s="35" t="s">
        <v>89</v>
      </c>
      <c r="E344" s="35" t="s">
        <v>73</v>
      </c>
      <c r="F344" s="37" t="s">
        <v>72</v>
      </c>
      <c r="G344" s="38">
        <f t="shared" si="106"/>
        <v>42170</v>
      </c>
      <c r="H344" s="38">
        <v>42172</v>
      </c>
      <c r="I344" s="39">
        <f t="shared" ca="1" si="105"/>
        <v>0</v>
      </c>
      <c r="J344" s="39">
        <v>0</v>
      </c>
      <c r="K344" s="40">
        <f t="shared" si="97"/>
        <v>3</v>
      </c>
      <c r="L344" s="34">
        <f t="shared" si="104"/>
        <v>24</v>
      </c>
      <c r="M344" s="34" t="s">
        <v>134</v>
      </c>
      <c r="N344" s="34" t="s">
        <v>135</v>
      </c>
      <c r="O344" s="35">
        <f ca="1">I344*L344</f>
        <v>0</v>
      </c>
      <c r="P344" s="35">
        <f>J344*L344</f>
        <v>0</v>
      </c>
    </row>
    <row r="345" spans="1:16" ht="14.25" customHeight="1" x14ac:dyDescent="0.25">
      <c r="A345" s="41" t="s">
        <v>296</v>
      </c>
      <c r="B345" s="61" t="s">
        <v>99</v>
      </c>
      <c r="C345" s="61" t="s">
        <v>302</v>
      </c>
      <c r="D345" s="42" t="s">
        <v>89</v>
      </c>
      <c r="E345" s="42" t="s">
        <v>73</v>
      </c>
      <c r="F345" s="42" t="s">
        <v>35</v>
      </c>
      <c r="G345" s="53">
        <f>G341</f>
        <v>42160</v>
      </c>
      <c r="H345" s="53">
        <f>H344</f>
        <v>42172</v>
      </c>
      <c r="I345" s="43">
        <f ca="1">SUM(O341:O344)/L345</f>
        <v>0</v>
      </c>
      <c r="J345" s="43">
        <f>SUM(P341:P344)/L345</f>
        <v>0</v>
      </c>
      <c r="K345" s="44">
        <f t="shared" si="97"/>
        <v>9</v>
      </c>
      <c r="L345" s="41">
        <f>SUM(L341:L344)</f>
        <v>80</v>
      </c>
      <c r="M345" s="43" t="s">
        <v>134</v>
      </c>
      <c r="N345" s="43" t="s">
        <v>135</v>
      </c>
      <c r="O345" s="35"/>
      <c r="P345" s="35"/>
    </row>
    <row r="346" spans="1:16" ht="14.25" customHeight="1" x14ac:dyDescent="0.25">
      <c r="A346" s="34" t="s">
        <v>300</v>
      </c>
      <c r="B346" s="60" t="s">
        <v>297</v>
      </c>
      <c r="C346" s="60" t="s">
        <v>543</v>
      </c>
      <c r="D346" s="35" t="s">
        <v>38</v>
      </c>
      <c r="E346" s="35" t="s">
        <v>47</v>
      </c>
      <c r="F346" s="37" t="s">
        <v>9</v>
      </c>
      <c r="G346" s="38">
        <v>42146</v>
      </c>
      <c r="H346" s="38">
        <v>42147</v>
      </c>
      <c r="I346" s="39">
        <f ca="1">IF(NETWORKDAYS(G346,TODAY())/NETWORKDAYS(G346,H346,)&lt;0,0,IF(NETWORKDAYS(G346,TODAY())/NETWORKDAYS(G346,H346,)&gt;1,1,NETWORKDAYS(G346,TODAY())/NETWORKDAYS(G346,H346,)))</f>
        <v>1</v>
      </c>
      <c r="J346" s="39">
        <v>0</v>
      </c>
      <c r="K346" s="40">
        <f>NETWORKDAYS(G346,H346)</f>
        <v>1</v>
      </c>
      <c r="L346" s="34">
        <f t="shared" ref="L346:L349" si="107">K346*8</f>
        <v>8</v>
      </c>
      <c r="M346" s="34" t="s">
        <v>136</v>
      </c>
      <c r="N346" s="34" t="s">
        <v>137</v>
      </c>
      <c r="O346" s="35">
        <f ca="1">I346*L346</f>
        <v>8</v>
      </c>
      <c r="P346" s="35">
        <f>J346*L346</f>
        <v>0</v>
      </c>
    </row>
    <row r="347" spans="1:16" ht="14.25" customHeight="1" x14ac:dyDescent="0.25">
      <c r="A347" s="34" t="s">
        <v>300</v>
      </c>
      <c r="B347" s="60" t="s">
        <v>297</v>
      </c>
      <c r="C347" s="60" t="s">
        <v>543</v>
      </c>
      <c r="D347" s="35" t="s">
        <v>38</v>
      </c>
      <c r="E347" s="35" t="s">
        <v>47</v>
      </c>
      <c r="F347" s="37" t="s">
        <v>10</v>
      </c>
      <c r="G347" s="38">
        <v>42149</v>
      </c>
      <c r="H347" s="38">
        <v>42150</v>
      </c>
      <c r="I347" s="39">
        <f ca="1">IF(NETWORKDAYS(G347,TODAY())/NETWORKDAYS(G347,H347,)&lt;0,0,IF(NETWORKDAYS(G347,TODAY())/NETWORKDAYS(G347,H347,)&gt;1,1,NETWORKDAYS(G347,TODAY())/NETWORKDAYS(G347,H347,)))</f>
        <v>1</v>
      </c>
      <c r="J347" s="39">
        <v>0</v>
      </c>
      <c r="K347" s="40">
        <f>NETWORKDAYS(G347,H347)</f>
        <v>2</v>
      </c>
      <c r="L347" s="34">
        <f t="shared" si="107"/>
        <v>16</v>
      </c>
      <c r="M347" s="34" t="s">
        <v>136</v>
      </c>
      <c r="N347" s="34" t="s">
        <v>137</v>
      </c>
      <c r="O347" s="35">
        <f ca="1">I347*L347</f>
        <v>16</v>
      </c>
      <c r="P347" s="35">
        <f>J347*L347</f>
        <v>0</v>
      </c>
    </row>
    <row r="348" spans="1:16" ht="14.25" customHeight="1" x14ac:dyDescent="0.25">
      <c r="A348" s="34" t="s">
        <v>300</v>
      </c>
      <c r="B348" s="60" t="s">
        <v>297</v>
      </c>
      <c r="C348" s="60" t="s">
        <v>543</v>
      </c>
      <c r="D348" s="35" t="s">
        <v>38</v>
      </c>
      <c r="E348" s="35" t="s">
        <v>47</v>
      </c>
      <c r="F348" s="37" t="s">
        <v>8</v>
      </c>
      <c r="G348" s="38">
        <v>42151</v>
      </c>
      <c r="H348" s="38">
        <v>42152</v>
      </c>
      <c r="I348" s="39">
        <f t="shared" ref="I348:I349" ca="1" si="108">IF(NETWORKDAYS(G348,TODAY())/NETWORKDAYS(G348,H348,)&lt;0,0,IF(NETWORKDAYS(G348,TODAY())/NETWORKDAYS(G348,H348,)&gt;1,1,NETWORKDAYS(G348,TODAY())/NETWORKDAYS(G348,H348,)))</f>
        <v>1</v>
      </c>
      <c r="J348" s="39">
        <v>0</v>
      </c>
      <c r="K348" s="40">
        <f>NETWORKDAYS(G348,H348)</f>
        <v>2</v>
      </c>
      <c r="L348" s="34">
        <f t="shared" si="107"/>
        <v>16</v>
      </c>
      <c r="M348" s="34" t="s">
        <v>136</v>
      </c>
      <c r="N348" s="34" t="s">
        <v>137</v>
      </c>
      <c r="O348" s="35">
        <f ca="1">I348*L348</f>
        <v>16</v>
      </c>
      <c r="P348" s="35">
        <f>J348*L348</f>
        <v>0</v>
      </c>
    </row>
    <row r="349" spans="1:16" ht="14.25" customHeight="1" x14ac:dyDescent="0.25">
      <c r="A349" s="34" t="s">
        <v>300</v>
      </c>
      <c r="B349" s="60" t="s">
        <v>297</v>
      </c>
      <c r="C349" s="60" t="s">
        <v>543</v>
      </c>
      <c r="D349" s="35" t="s">
        <v>38</v>
      </c>
      <c r="E349" s="35" t="s">
        <v>47</v>
      </c>
      <c r="F349" s="37" t="s">
        <v>11</v>
      </c>
      <c r="G349" s="38">
        <v>42153</v>
      </c>
      <c r="H349" s="38" t="s">
        <v>298</v>
      </c>
      <c r="I349" s="39">
        <f t="shared" ca="1" si="108"/>
        <v>0</v>
      </c>
      <c r="J349" s="39">
        <v>0</v>
      </c>
      <c r="K349" s="40">
        <f>NETWORKDAYS(G349,H349)</f>
        <v>1</v>
      </c>
      <c r="L349" s="34">
        <f t="shared" si="107"/>
        <v>8</v>
      </c>
      <c r="M349" s="34" t="s">
        <v>136</v>
      </c>
      <c r="N349" s="34" t="s">
        <v>137</v>
      </c>
      <c r="O349" s="35">
        <f ca="1">I349*L349</f>
        <v>0</v>
      </c>
      <c r="P349" s="35">
        <f>J349*L349</f>
        <v>0</v>
      </c>
    </row>
    <row r="350" spans="1:16" ht="14.25" customHeight="1" x14ac:dyDescent="0.25">
      <c r="A350" s="41" t="s">
        <v>300</v>
      </c>
      <c r="B350" s="61" t="s">
        <v>297</v>
      </c>
      <c r="C350" s="61" t="s">
        <v>543</v>
      </c>
      <c r="D350" s="42" t="s">
        <v>38</v>
      </c>
      <c r="E350" s="42" t="s">
        <v>47</v>
      </c>
      <c r="F350" s="42" t="s">
        <v>35</v>
      </c>
      <c r="G350" s="53" t="s">
        <v>299</v>
      </c>
      <c r="H350" s="53" t="s">
        <v>298</v>
      </c>
      <c r="I350" s="43">
        <f ca="1">SUM(O346:O349)/L350</f>
        <v>0.83333333333333337</v>
      </c>
      <c r="J350" s="43">
        <f>SUM(P346:P349)/L350</f>
        <v>0</v>
      </c>
      <c r="K350" s="44">
        <f>NETWORKDAYS(G350,H350)</f>
        <v>6</v>
      </c>
      <c r="L350" s="41">
        <f>SUM(L346:L349)</f>
        <v>48</v>
      </c>
      <c r="M350" s="43" t="s">
        <v>136</v>
      </c>
      <c r="N350" s="43" t="s">
        <v>137</v>
      </c>
      <c r="O350" s="35"/>
      <c r="P350" s="35"/>
    </row>
  </sheetData>
  <pageMargins left="1.4960629921259843" right="0.51181102362204722" top="0.78740157480314965" bottom="0.78740157480314965" header="0.31496062992125984" footer="0.31496062992125984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8"/>
  <sheetViews>
    <sheetView workbookViewId="0">
      <selection activeCell="D9" sqref="D9"/>
    </sheetView>
  </sheetViews>
  <sheetFormatPr defaultRowHeight="15" x14ac:dyDescent="0.25"/>
  <cols>
    <col min="1" max="1" width="9.140625" style="76"/>
    <col min="2" max="2" width="55.42578125" customWidth="1"/>
    <col min="3" max="3" width="15.5703125" customWidth="1"/>
  </cols>
  <sheetData>
    <row r="1" spans="1:12" s="71" customFormat="1" x14ac:dyDescent="0.25">
      <c r="A1" s="75" t="s">
        <v>31</v>
      </c>
      <c r="B1" s="73" t="s">
        <v>30</v>
      </c>
      <c r="C1" s="73" t="s">
        <v>36</v>
      </c>
      <c r="D1" s="73" t="s">
        <v>37</v>
      </c>
      <c r="K1"/>
      <c r="L1"/>
    </row>
    <row r="2" spans="1:12" x14ac:dyDescent="0.25">
      <c r="A2" s="74" t="s">
        <v>97</v>
      </c>
      <c r="B2" t="s">
        <v>96</v>
      </c>
      <c r="C2" t="s">
        <v>89</v>
      </c>
      <c r="D2" t="s">
        <v>73</v>
      </c>
    </row>
    <row r="3" spans="1:12" x14ac:dyDescent="0.25">
      <c r="A3" s="74" t="s">
        <v>100</v>
      </c>
      <c r="B3" t="s">
        <v>98</v>
      </c>
      <c r="C3" s="1" t="s">
        <v>89</v>
      </c>
      <c r="D3" s="1" t="s">
        <v>73</v>
      </c>
    </row>
    <row r="4" spans="1:12" x14ac:dyDescent="0.25">
      <c r="A4" s="74" t="s">
        <v>101</v>
      </c>
      <c r="B4" s="31" t="s">
        <v>186</v>
      </c>
      <c r="C4" s="1" t="s">
        <v>89</v>
      </c>
      <c r="D4" s="1" t="s">
        <v>73</v>
      </c>
    </row>
    <row r="5" spans="1:12" x14ac:dyDescent="0.25">
      <c r="A5" s="74" t="s">
        <v>102</v>
      </c>
      <c r="B5" s="31" t="s">
        <v>187</v>
      </c>
      <c r="C5" s="1" t="s">
        <v>89</v>
      </c>
      <c r="D5" s="1" t="s">
        <v>73</v>
      </c>
    </row>
    <row r="6" spans="1:12" x14ac:dyDescent="0.25">
      <c r="A6" s="74" t="s">
        <v>188</v>
      </c>
      <c r="B6" s="31" t="s">
        <v>103</v>
      </c>
      <c r="C6" s="1" t="s">
        <v>89</v>
      </c>
      <c r="D6" s="1" t="s">
        <v>73</v>
      </c>
    </row>
    <row r="7" spans="1:12" x14ac:dyDescent="0.25">
      <c r="A7" s="74" t="s">
        <v>189</v>
      </c>
      <c r="B7" s="31" t="s">
        <v>104</v>
      </c>
      <c r="C7" s="1" t="s">
        <v>89</v>
      </c>
      <c r="D7" s="1" t="s">
        <v>73</v>
      </c>
    </row>
    <row r="8" spans="1:12" x14ac:dyDescent="0.25">
      <c r="B8" s="3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BP17"/>
  <sheetViews>
    <sheetView showGridLines="0" showRowColHeaders="0" zoomScaleNormal="100" workbookViewId="0">
      <selection activeCell="C2" sqref="C2:BL2"/>
    </sheetView>
  </sheetViews>
  <sheetFormatPr defaultRowHeight="15" x14ac:dyDescent="0.25"/>
  <cols>
    <col min="1" max="1" width="2.7109375" customWidth="1"/>
    <col min="2" max="2" width="11.7109375" bestFit="1" customWidth="1"/>
    <col min="3" max="3" width="29.7109375" customWidth="1"/>
    <col min="4" max="63" width="2.85546875" customWidth="1"/>
    <col min="64" max="64" width="6.5703125" customWidth="1"/>
    <col min="65" max="142" width="10.7109375" customWidth="1"/>
    <col min="143" max="143" width="7.28515625" customWidth="1"/>
    <col min="144" max="144" width="11.28515625" customWidth="1"/>
    <col min="145" max="145" width="12.5703125" customWidth="1"/>
    <col min="146" max="146" width="10.7109375" customWidth="1"/>
    <col min="147" max="147" width="15.7109375" customWidth="1"/>
    <col min="148" max="148" width="12.5703125" customWidth="1"/>
    <col min="149" max="152" width="10.7109375" customWidth="1"/>
    <col min="153" max="153" width="15.7109375" customWidth="1"/>
    <col min="154" max="154" width="12.5703125" customWidth="1"/>
    <col min="155" max="157" width="10.7109375" customWidth="1"/>
    <col min="158" max="158" width="15.7109375" customWidth="1"/>
    <col min="159" max="159" width="12.5703125" customWidth="1"/>
    <col min="160" max="162" width="10.7109375" customWidth="1"/>
    <col min="163" max="163" width="15.7109375" customWidth="1"/>
    <col min="164" max="164" width="12.5703125" customWidth="1"/>
    <col min="165" max="165" width="15.7109375" customWidth="1"/>
    <col min="166" max="166" width="12.5703125" customWidth="1"/>
    <col min="167" max="172" width="10.7109375" customWidth="1"/>
    <col min="173" max="173" width="15.7109375" customWidth="1"/>
    <col min="174" max="174" width="12.5703125" customWidth="1"/>
    <col min="175" max="175" width="15.7109375" customWidth="1"/>
    <col min="176" max="176" width="12.5703125" customWidth="1"/>
    <col min="177" max="177" width="15.7109375" customWidth="1"/>
    <col min="178" max="178" width="12.5703125" customWidth="1"/>
    <col min="179" max="179" width="15.7109375" customWidth="1"/>
    <col min="180" max="180" width="12.5703125" customWidth="1"/>
    <col min="181" max="181" width="15.7109375" customWidth="1"/>
    <col min="182" max="182" width="12.5703125" customWidth="1"/>
    <col min="183" max="184" width="10.7109375" customWidth="1"/>
    <col min="185" max="185" width="15.7109375" customWidth="1"/>
    <col min="186" max="186" width="12.5703125" customWidth="1"/>
    <col min="187" max="189" width="10.7109375" customWidth="1"/>
    <col min="190" max="190" width="15.7109375" bestFit="1" customWidth="1"/>
    <col min="191" max="191" width="12.5703125" customWidth="1"/>
    <col min="192" max="194" width="10.7109375" customWidth="1"/>
    <col min="195" max="195" width="15.7109375" customWidth="1"/>
    <col min="196" max="196" width="12.5703125" customWidth="1"/>
    <col min="197" max="198" width="10.7109375" customWidth="1"/>
    <col min="199" max="199" width="15.7109375" customWidth="1"/>
    <col min="200" max="200" width="12.5703125" customWidth="1"/>
    <col min="201" max="202" width="10.7109375" customWidth="1"/>
    <col min="203" max="203" width="15.7109375" customWidth="1"/>
    <col min="204" max="204" width="12.5703125" customWidth="1"/>
    <col min="205" max="205" width="15.7109375" customWidth="1"/>
    <col min="206" max="206" width="12.5703125" customWidth="1"/>
    <col min="207" max="208" width="10.7109375" customWidth="1"/>
    <col min="209" max="209" width="15.7109375" customWidth="1"/>
    <col min="210" max="210" width="12.5703125" customWidth="1"/>
    <col min="211" max="211" width="15.7109375" customWidth="1"/>
    <col min="212" max="212" width="12.5703125" customWidth="1"/>
    <col min="213" max="218" width="10.7109375" customWidth="1"/>
    <col min="219" max="219" width="15.7109375" customWidth="1"/>
    <col min="220" max="220" width="12.5703125" customWidth="1"/>
    <col min="221" max="221" width="10.7109375" customWidth="1"/>
    <col min="222" max="222" width="15.7109375" bestFit="1" customWidth="1"/>
    <col min="223" max="223" width="12.5703125" customWidth="1"/>
    <col min="224" max="225" width="10.7109375" customWidth="1"/>
    <col min="226" max="226" width="15.7109375" bestFit="1" customWidth="1"/>
    <col min="227" max="227" width="12.5703125" customWidth="1"/>
    <col min="228" max="228" width="10.7109375" customWidth="1"/>
    <col min="229" max="229" width="15.7109375" customWidth="1"/>
    <col min="230" max="230" width="12.5703125" customWidth="1"/>
    <col min="231" max="231" width="15.7109375" customWidth="1"/>
    <col min="232" max="232" width="12.5703125" customWidth="1"/>
    <col min="233" max="233" width="10.7109375" customWidth="1"/>
    <col min="234" max="234" width="15.7109375" bestFit="1" customWidth="1"/>
    <col min="235" max="235" width="12.5703125" customWidth="1"/>
    <col min="236" max="236" width="15.7109375" bestFit="1" customWidth="1"/>
    <col min="237" max="237" width="12.5703125" customWidth="1"/>
    <col min="238" max="240" width="10.7109375" customWidth="1"/>
    <col min="241" max="241" width="15.7109375" customWidth="1"/>
    <col min="242" max="242" width="12.5703125" customWidth="1"/>
    <col min="243" max="244" width="10.7109375" customWidth="1"/>
    <col min="245" max="246" width="10.7109375" bestFit="1" customWidth="1"/>
    <col min="247" max="247" width="15.7109375" bestFit="1" customWidth="1"/>
    <col min="248" max="248" width="12.5703125" bestFit="1" customWidth="1"/>
    <col min="249" max="250" width="10.7109375" bestFit="1" customWidth="1"/>
    <col min="251" max="251" width="15.7109375" bestFit="1" customWidth="1"/>
    <col min="252" max="252" width="12.5703125" bestFit="1" customWidth="1"/>
    <col min="253" max="253" width="10.7109375" bestFit="1" customWidth="1"/>
    <col min="254" max="254" width="15.7109375" bestFit="1" customWidth="1"/>
    <col min="255" max="255" width="12.5703125" bestFit="1" customWidth="1"/>
    <col min="256" max="256" width="15.7109375" bestFit="1" customWidth="1"/>
    <col min="257" max="257" width="12.5703125" bestFit="1" customWidth="1"/>
    <col min="258" max="258" width="15.7109375" bestFit="1" customWidth="1"/>
    <col min="259" max="259" width="12.5703125" bestFit="1" customWidth="1"/>
    <col min="260" max="261" width="10.7109375" bestFit="1" customWidth="1"/>
    <col min="262" max="262" width="15.7109375" bestFit="1" customWidth="1"/>
    <col min="263" max="263" width="12.5703125" bestFit="1" customWidth="1"/>
    <col min="264" max="265" width="10.7109375" bestFit="1" customWidth="1"/>
    <col min="266" max="266" width="15.7109375" bestFit="1" customWidth="1"/>
    <col min="267" max="267" width="12.5703125" bestFit="1" customWidth="1"/>
    <col min="268" max="271" width="10.7109375" bestFit="1" customWidth="1"/>
    <col min="272" max="272" width="15.7109375" bestFit="1" customWidth="1"/>
    <col min="273" max="273" width="12.5703125" bestFit="1" customWidth="1"/>
    <col min="274" max="275" width="10.7109375" bestFit="1" customWidth="1"/>
    <col min="276" max="276" width="15.7109375" bestFit="1" customWidth="1"/>
    <col min="277" max="277" width="12.5703125" bestFit="1" customWidth="1"/>
    <col min="278" max="282" width="10.7109375" bestFit="1" customWidth="1"/>
    <col min="283" max="283" width="15.7109375" bestFit="1" customWidth="1"/>
    <col min="284" max="284" width="12.5703125" bestFit="1" customWidth="1"/>
    <col min="285" max="286" width="10.7109375" bestFit="1" customWidth="1"/>
    <col min="287" max="287" width="15.7109375" bestFit="1" customWidth="1"/>
    <col min="288" max="288" width="12.5703125" bestFit="1" customWidth="1"/>
    <col min="289" max="289" width="10.7109375" bestFit="1" customWidth="1"/>
    <col min="290" max="290" width="15.7109375" bestFit="1" customWidth="1"/>
    <col min="291" max="291" width="12.5703125" bestFit="1" customWidth="1"/>
    <col min="292" max="296" width="10.7109375" bestFit="1" customWidth="1"/>
    <col min="297" max="297" width="15.7109375" bestFit="1" customWidth="1"/>
    <col min="298" max="298" width="12.5703125" bestFit="1" customWidth="1"/>
    <col min="299" max="302" width="10.7109375" bestFit="1" customWidth="1"/>
    <col min="303" max="303" width="15.7109375" bestFit="1" customWidth="1"/>
    <col min="304" max="304" width="12.5703125" bestFit="1" customWidth="1"/>
    <col min="305" max="305" width="10.7109375" bestFit="1" customWidth="1"/>
    <col min="306" max="306" width="15.7109375" bestFit="1" customWidth="1"/>
    <col min="307" max="307" width="12.5703125" bestFit="1" customWidth="1"/>
    <col min="308" max="311" width="10.7109375" bestFit="1" customWidth="1"/>
    <col min="312" max="312" width="15.7109375" bestFit="1" customWidth="1"/>
    <col min="313" max="313" width="12.5703125" bestFit="1" customWidth="1"/>
    <col min="314" max="317" width="10.7109375" bestFit="1" customWidth="1"/>
    <col min="318" max="318" width="15.7109375" bestFit="1" customWidth="1"/>
    <col min="319" max="319" width="12.5703125" bestFit="1" customWidth="1"/>
    <col min="320" max="320" width="15.7109375" bestFit="1" customWidth="1"/>
    <col min="321" max="321" width="12.5703125" bestFit="1" customWidth="1"/>
    <col min="322" max="323" width="10.7109375" bestFit="1" customWidth="1"/>
    <col min="324" max="324" width="15.7109375" bestFit="1" customWidth="1"/>
    <col min="325" max="325" width="12.5703125" bestFit="1" customWidth="1"/>
    <col min="326" max="327" width="10.7109375" bestFit="1" customWidth="1"/>
    <col min="328" max="328" width="15.7109375" bestFit="1" customWidth="1"/>
    <col min="329" max="329" width="12.5703125" bestFit="1" customWidth="1"/>
    <col min="330" max="330" width="10.7109375" bestFit="1" customWidth="1"/>
    <col min="331" max="331" width="15.7109375" bestFit="1" customWidth="1"/>
    <col min="332" max="332" width="12.5703125" bestFit="1" customWidth="1"/>
    <col min="333" max="334" width="10.7109375" bestFit="1" customWidth="1"/>
    <col min="335" max="335" width="15.7109375" bestFit="1" customWidth="1"/>
    <col min="336" max="336" width="12.5703125" bestFit="1" customWidth="1"/>
    <col min="337" max="337" width="15.7109375" bestFit="1" customWidth="1"/>
    <col min="338" max="338" width="12.5703125" bestFit="1" customWidth="1"/>
    <col min="339" max="340" width="10.7109375" bestFit="1" customWidth="1"/>
    <col min="341" max="341" width="15.7109375" bestFit="1" customWidth="1"/>
    <col min="342" max="342" width="12.5703125" bestFit="1" customWidth="1"/>
    <col min="343" max="345" width="10.7109375" bestFit="1" customWidth="1"/>
    <col min="346" max="346" width="15.7109375" bestFit="1" customWidth="1"/>
    <col min="347" max="347" width="12.5703125" bestFit="1" customWidth="1"/>
    <col min="348" max="348" width="10.7109375" bestFit="1" customWidth="1"/>
    <col min="349" max="349" width="15.7109375" bestFit="1" customWidth="1"/>
    <col min="350" max="350" width="12.5703125" bestFit="1" customWidth="1"/>
    <col min="351" max="351" width="10.7109375" bestFit="1" customWidth="1"/>
    <col min="352" max="352" width="15.7109375" bestFit="1" customWidth="1"/>
    <col min="353" max="353" width="12.5703125" bestFit="1" customWidth="1"/>
    <col min="354" max="354" width="10.7109375" bestFit="1" customWidth="1"/>
    <col min="355" max="355" width="15.7109375" bestFit="1" customWidth="1"/>
    <col min="356" max="356" width="12.5703125" bestFit="1" customWidth="1"/>
    <col min="357" max="357" width="15.7109375" bestFit="1" customWidth="1"/>
    <col min="358" max="358" width="12.5703125" bestFit="1" customWidth="1"/>
    <col min="359" max="359" width="15.7109375" bestFit="1" customWidth="1"/>
    <col min="360" max="360" width="12.5703125" bestFit="1" customWidth="1"/>
    <col min="361" max="361" width="15.7109375" bestFit="1" customWidth="1"/>
    <col min="362" max="362" width="12.5703125" bestFit="1" customWidth="1"/>
    <col min="363" max="363" width="15.7109375" bestFit="1" customWidth="1"/>
    <col min="364" max="364" width="12.5703125" bestFit="1" customWidth="1"/>
    <col min="365" max="365" width="15.7109375" bestFit="1" customWidth="1"/>
    <col min="366" max="366" width="12.5703125" bestFit="1" customWidth="1"/>
    <col min="367" max="367" width="15.7109375" bestFit="1" customWidth="1"/>
    <col min="369" max="369" width="12.140625" bestFit="1" customWidth="1"/>
    <col min="370" max="370" width="11.28515625" bestFit="1" customWidth="1"/>
  </cols>
  <sheetData>
    <row r="1" spans="2:68" s="1" customFormat="1" ht="15.75" thickBot="1" x14ac:dyDescent="0.3"/>
    <row r="2" spans="2:68" s="1" customFormat="1" ht="16.5" thickBot="1" x14ac:dyDescent="0.3">
      <c r="C2" s="93" t="s">
        <v>161</v>
      </c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5"/>
    </row>
    <row r="3" spans="2:68" s="1" customFormat="1" ht="16.5" thickBot="1" x14ac:dyDescent="0.3">
      <c r="C3" s="79"/>
      <c r="D3" s="96">
        <v>42142</v>
      </c>
      <c r="E3" s="97"/>
      <c r="F3" s="97"/>
      <c r="G3" s="97"/>
      <c r="H3" s="98"/>
      <c r="I3" s="96">
        <v>42149</v>
      </c>
      <c r="J3" s="97"/>
      <c r="K3" s="97"/>
      <c r="L3" s="97"/>
      <c r="M3" s="98"/>
      <c r="N3" s="96">
        <v>42156</v>
      </c>
      <c r="O3" s="97"/>
      <c r="P3" s="97"/>
      <c r="Q3" s="97"/>
      <c r="R3" s="98"/>
      <c r="S3" s="96">
        <v>42163</v>
      </c>
      <c r="T3" s="97"/>
      <c r="U3" s="97"/>
      <c r="V3" s="97"/>
      <c r="W3" s="98"/>
      <c r="X3" s="96">
        <v>42170</v>
      </c>
      <c r="Y3" s="97"/>
      <c r="Z3" s="97"/>
      <c r="AA3" s="97"/>
      <c r="AB3" s="98"/>
      <c r="AC3" s="96">
        <v>42177</v>
      </c>
      <c r="AD3" s="97"/>
      <c r="AE3" s="97"/>
      <c r="AF3" s="97"/>
      <c r="AG3" s="98"/>
      <c r="AH3" s="96">
        <v>42184</v>
      </c>
      <c r="AI3" s="97"/>
      <c r="AJ3" s="97"/>
      <c r="AK3" s="97"/>
      <c r="AL3" s="98"/>
      <c r="AM3" s="96">
        <v>42191</v>
      </c>
      <c r="AN3" s="97"/>
      <c r="AO3" s="97"/>
      <c r="AP3" s="97"/>
      <c r="AQ3" s="98"/>
      <c r="AR3" s="96">
        <v>42198</v>
      </c>
      <c r="AS3" s="97"/>
      <c r="AT3" s="97"/>
      <c r="AU3" s="97"/>
      <c r="AV3" s="98"/>
      <c r="AW3" s="96">
        <v>42205</v>
      </c>
      <c r="AX3" s="97"/>
      <c r="AY3" s="97"/>
      <c r="AZ3" s="97"/>
      <c r="BA3" s="98"/>
      <c r="BB3" s="96">
        <v>42212</v>
      </c>
      <c r="BC3" s="97"/>
      <c r="BD3" s="97"/>
      <c r="BE3" s="97"/>
      <c r="BF3" s="98"/>
      <c r="BG3" s="96">
        <v>42219</v>
      </c>
      <c r="BH3" s="97"/>
      <c r="BI3" s="97"/>
      <c r="BJ3" s="97"/>
      <c r="BK3" s="98"/>
      <c r="BL3" s="72"/>
    </row>
    <row r="4" spans="2:68" s="1" customFormat="1" ht="48" customHeight="1" thickBot="1" x14ac:dyDescent="0.3">
      <c r="C4" s="87" t="s">
        <v>190</v>
      </c>
      <c r="D4" s="88">
        <v>42142</v>
      </c>
      <c r="E4" s="89">
        <v>42143</v>
      </c>
      <c r="F4" s="89">
        <v>42144</v>
      </c>
      <c r="G4" s="89">
        <v>42145</v>
      </c>
      <c r="H4" s="90">
        <v>42146</v>
      </c>
      <c r="I4" s="91">
        <v>42149</v>
      </c>
      <c r="J4" s="89">
        <v>42150</v>
      </c>
      <c r="K4" s="89">
        <v>42151</v>
      </c>
      <c r="L4" s="89">
        <v>42152</v>
      </c>
      <c r="M4" s="90">
        <v>42153</v>
      </c>
      <c r="N4" s="88">
        <v>42156</v>
      </c>
      <c r="O4" s="89">
        <v>42157</v>
      </c>
      <c r="P4" s="89">
        <v>42158</v>
      </c>
      <c r="Q4" s="89">
        <v>42159</v>
      </c>
      <c r="R4" s="90">
        <v>42160</v>
      </c>
      <c r="S4" s="91">
        <v>42163</v>
      </c>
      <c r="T4" s="89">
        <v>42164</v>
      </c>
      <c r="U4" s="89">
        <v>42165</v>
      </c>
      <c r="V4" s="89">
        <v>42166</v>
      </c>
      <c r="W4" s="90">
        <v>42167</v>
      </c>
      <c r="X4" s="88">
        <v>42170</v>
      </c>
      <c r="Y4" s="89">
        <v>42171</v>
      </c>
      <c r="Z4" s="89">
        <v>42172</v>
      </c>
      <c r="AA4" s="89">
        <v>42173</v>
      </c>
      <c r="AB4" s="90">
        <v>42174</v>
      </c>
      <c r="AC4" s="91">
        <v>42177</v>
      </c>
      <c r="AD4" s="89">
        <v>42178</v>
      </c>
      <c r="AE4" s="89">
        <v>42179</v>
      </c>
      <c r="AF4" s="89">
        <v>42180</v>
      </c>
      <c r="AG4" s="90">
        <v>42181</v>
      </c>
      <c r="AH4" s="88">
        <v>42184</v>
      </c>
      <c r="AI4" s="89">
        <v>42185</v>
      </c>
      <c r="AJ4" s="89">
        <v>42186</v>
      </c>
      <c r="AK4" s="89">
        <v>42187</v>
      </c>
      <c r="AL4" s="90">
        <v>42188</v>
      </c>
      <c r="AM4" s="91">
        <v>42191</v>
      </c>
      <c r="AN4" s="89">
        <v>42192</v>
      </c>
      <c r="AO4" s="89">
        <v>42193</v>
      </c>
      <c r="AP4" s="89">
        <v>42194</v>
      </c>
      <c r="AQ4" s="90">
        <v>42195</v>
      </c>
      <c r="AR4" s="88">
        <v>42198</v>
      </c>
      <c r="AS4" s="89">
        <v>42199</v>
      </c>
      <c r="AT4" s="89">
        <v>42200</v>
      </c>
      <c r="AU4" s="89">
        <v>42201</v>
      </c>
      <c r="AV4" s="90">
        <v>42202</v>
      </c>
      <c r="AW4" s="88">
        <v>42205</v>
      </c>
      <c r="AX4" s="89">
        <v>42206</v>
      </c>
      <c r="AY4" s="89">
        <v>42207</v>
      </c>
      <c r="AZ4" s="89">
        <v>42208</v>
      </c>
      <c r="BA4" s="90">
        <v>42209</v>
      </c>
      <c r="BB4" s="88">
        <v>42212</v>
      </c>
      <c r="BC4" s="89">
        <v>42213</v>
      </c>
      <c r="BD4" s="89">
        <v>42214</v>
      </c>
      <c r="BE4" s="89">
        <v>42215</v>
      </c>
      <c r="BF4" s="90">
        <v>42216</v>
      </c>
      <c r="BG4" s="91">
        <v>42219</v>
      </c>
      <c r="BH4" s="89">
        <v>42220</v>
      </c>
      <c r="BI4" s="89">
        <v>42221</v>
      </c>
      <c r="BJ4" s="89">
        <v>42222</v>
      </c>
      <c r="BK4" s="90">
        <v>42223</v>
      </c>
      <c r="BL4" s="92" t="s">
        <v>162</v>
      </c>
      <c r="BM4" s="70"/>
      <c r="BN4" s="70"/>
      <c r="BO4" s="70"/>
      <c r="BP4" s="70"/>
    </row>
    <row r="5" spans="2:68" ht="15.75" thickTop="1" x14ac:dyDescent="0.25">
      <c r="B5" s="107" t="s">
        <v>543</v>
      </c>
      <c r="C5" s="108" t="s">
        <v>152</v>
      </c>
      <c r="D5" s="121"/>
      <c r="E5" s="110"/>
      <c r="F5" s="110"/>
      <c r="G5" s="110"/>
      <c r="H5" s="111"/>
      <c r="I5" s="109">
        <v>8</v>
      </c>
      <c r="J5" s="110">
        <v>8</v>
      </c>
      <c r="K5" s="110">
        <v>8</v>
      </c>
      <c r="L5" s="110">
        <v>8</v>
      </c>
      <c r="M5" s="111">
        <v>8</v>
      </c>
      <c r="N5" s="109">
        <v>8</v>
      </c>
      <c r="O5" s="110">
        <v>8</v>
      </c>
      <c r="P5" s="110">
        <v>8</v>
      </c>
      <c r="Q5" s="112"/>
      <c r="R5" s="111">
        <v>8</v>
      </c>
      <c r="S5" s="109"/>
      <c r="T5" s="110"/>
      <c r="U5" s="110"/>
      <c r="V5" s="110"/>
      <c r="W5" s="111"/>
      <c r="X5" s="109"/>
      <c r="Y5" s="110"/>
      <c r="Z5" s="110"/>
      <c r="AA5" s="110"/>
      <c r="AB5" s="111"/>
      <c r="AC5" s="109"/>
      <c r="AD5" s="110"/>
      <c r="AE5" s="110"/>
      <c r="AF5" s="110"/>
      <c r="AG5" s="111"/>
      <c r="AH5" s="109"/>
      <c r="AI5" s="110"/>
      <c r="AJ5" s="110"/>
      <c r="AK5" s="110"/>
      <c r="AL5" s="111"/>
      <c r="AM5" s="109"/>
      <c r="AN5" s="110"/>
      <c r="AO5" s="110"/>
      <c r="AP5" s="110"/>
      <c r="AQ5" s="111"/>
      <c r="AR5" s="109"/>
      <c r="AS5" s="110"/>
      <c r="AT5" s="110"/>
      <c r="AU5" s="110"/>
      <c r="AV5" s="111"/>
      <c r="AW5" s="109"/>
      <c r="AX5" s="110"/>
      <c r="AY5" s="110"/>
      <c r="AZ5" s="110"/>
      <c r="BA5" s="111"/>
      <c r="BB5" s="109"/>
      <c r="BC5" s="110"/>
      <c r="BD5" s="110"/>
      <c r="BE5" s="110"/>
      <c r="BF5" s="111"/>
      <c r="BG5" s="109"/>
      <c r="BH5" s="110"/>
      <c r="BI5" s="110"/>
      <c r="BJ5" s="110"/>
      <c r="BK5" s="111"/>
      <c r="BL5" s="113">
        <f>SUM(D5:BK5)</f>
        <v>72</v>
      </c>
    </row>
    <row r="6" spans="2:68" x14ac:dyDescent="0.25">
      <c r="B6" s="105"/>
      <c r="C6" s="103" t="s">
        <v>289</v>
      </c>
      <c r="D6" s="101">
        <v>8</v>
      </c>
      <c r="E6" s="99">
        <v>8</v>
      </c>
      <c r="F6" s="99">
        <v>8</v>
      </c>
      <c r="G6" s="99">
        <v>8</v>
      </c>
      <c r="H6" s="104">
        <v>8</v>
      </c>
      <c r="I6" s="102">
        <v>8</v>
      </c>
      <c r="J6" s="99">
        <v>8</v>
      </c>
      <c r="K6" s="99">
        <v>8</v>
      </c>
      <c r="L6" s="99">
        <v>8</v>
      </c>
      <c r="M6" s="104">
        <v>8</v>
      </c>
      <c r="N6" s="102">
        <v>8</v>
      </c>
      <c r="O6" s="99">
        <v>8</v>
      </c>
      <c r="P6" s="99">
        <v>8</v>
      </c>
      <c r="Q6" s="100"/>
      <c r="R6" s="104">
        <v>8</v>
      </c>
      <c r="S6" s="102"/>
      <c r="T6" s="99"/>
      <c r="U6" s="99"/>
      <c r="V6" s="99"/>
      <c r="W6" s="104"/>
      <c r="X6" s="102"/>
      <c r="Y6" s="99"/>
      <c r="Z6" s="99"/>
      <c r="AA6" s="99"/>
      <c r="AB6" s="104"/>
      <c r="AC6" s="102"/>
      <c r="AD6" s="99"/>
      <c r="AE6" s="99"/>
      <c r="AF6" s="99"/>
      <c r="AG6" s="104"/>
      <c r="AH6" s="102"/>
      <c r="AI6" s="99"/>
      <c r="AJ6" s="99"/>
      <c r="AK6" s="99"/>
      <c r="AL6" s="104"/>
      <c r="AM6" s="102"/>
      <c r="AN6" s="99"/>
      <c r="AO6" s="99"/>
      <c r="AP6" s="99"/>
      <c r="AQ6" s="104"/>
      <c r="AR6" s="102"/>
      <c r="AS6" s="99"/>
      <c r="AT6" s="99"/>
      <c r="AU6" s="99"/>
      <c r="AV6" s="104"/>
      <c r="AW6" s="102"/>
      <c r="AX6" s="99"/>
      <c r="AY6" s="99"/>
      <c r="AZ6" s="99"/>
      <c r="BA6" s="104"/>
      <c r="BB6" s="102"/>
      <c r="BC6" s="99"/>
      <c r="BD6" s="99"/>
      <c r="BE6" s="99"/>
      <c r="BF6" s="104"/>
      <c r="BG6" s="102"/>
      <c r="BH6" s="99"/>
      <c r="BI6" s="99"/>
      <c r="BJ6" s="99"/>
      <c r="BK6" s="104"/>
      <c r="BL6" s="106">
        <f>SUM(D6:BK6)</f>
        <v>112</v>
      </c>
    </row>
    <row r="7" spans="2:68" x14ac:dyDescent="0.25">
      <c r="B7" s="105"/>
      <c r="C7" s="103" t="s">
        <v>499</v>
      </c>
      <c r="D7" s="101"/>
      <c r="E7" s="99">
        <v>8</v>
      </c>
      <c r="F7" s="99">
        <v>8</v>
      </c>
      <c r="G7" s="99">
        <v>8</v>
      </c>
      <c r="H7" s="104">
        <v>8</v>
      </c>
      <c r="I7" s="102">
        <v>8</v>
      </c>
      <c r="J7" s="99">
        <v>8</v>
      </c>
      <c r="K7" s="99">
        <v>8</v>
      </c>
      <c r="L7" s="99">
        <v>8</v>
      </c>
      <c r="M7" s="104">
        <v>8</v>
      </c>
      <c r="N7" s="102"/>
      <c r="O7" s="99"/>
      <c r="P7" s="99"/>
      <c r="Q7" s="100"/>
      <c r="R7" s="104"/>
      <c r="S7" s="102"/>
      <c r="T7" s="99"/>
      <c r="U7" s="99"/>
      <c r="V7" s="99"/>
      <c r="W7" s="104"/>
      <c r="X7" s="102"/>
      <c r="Y7" s="99"/>
      <c r="Z7" s="99"/>
      <c r="AA7" s="99"/>
      <c r="AB7" s="104"/>
      <c r="AC7" s="102"/>
      <c r="AD7" s="99"/>
      <c r="AE7" s="99"/>
      <c r="AF7" s="99"/>
      <c r="AG7" s="104"/>
      <c r="AH7" s="102"/>
      <c r="AI7" s="99"/>
      <c r="AJ7" s="99"/>
      <c r="AK7" s="99"/>
      <c r="AL7" s="104"/>
      <c r="AM7" s="102"/>
      <c r="AN7" s="99"/>
      <c r="AO7" s="99"/>
      <c r="AP7" s="99"/>
      <c r="AQ7" s="104"/>
      <c r="AR7" s="102"/>
      <c r="AS7" s="99"/>
      <c r="AT7" s="99"/>
      <c r="AU7" s="99"/>
      <c r="AV7" s="104"/>
      <c r="AW7" s="102"/>
      <c r="AX7" s="99"/>
      <c r="AY7" s="99"/>
      <c r="AZ7" s="99"/>
      <c r="BA7" s="104"/>
      <c r="BB7" s="102"/>
      <c r="BC7" s="99"/>
      <c r="BD7" s="99"/>
      <c r="BE7" s="99"/>
      <c r="BF7" s="104"/>
      <c r="BG7" s="102"/>
      <c r="BH7" s="99"/>
      <c r="BI7" s="99"/>
      <c r="BJ7" s="99"/>
      <c r="BK7" s="104"/>
      <c r="BL7" s="106">
        <f>SUM(D7:BK7)</f>
        <v>72</v>
      </c>
    </row>
    <row r="8" spans="2:68" x14ac:dyDescent="0.25">
      <c r="B8" s="105"/>
      <c r="C8" s="103" t="s">
        <v>129</v>
      </c>
      <c r="D8" s="101">
        <v>8</v>
      </c>
      <c r="E8" s="99">
        <v>8</v>
      </c>
      <c r="F8" s="99">
        <v>8</v>
      </c>
      <c r="G8" s="99">
        <v>8</v>
      </c>
      <c r="H8" s="104">
        <v>8</v>
      </c>
      <c r="I8" s="102">
        <v>8</v>
      </c>
      <c r="J8" s="99"/>
      <c r="K8" s="99"/>
      <c r="L8" s="99"/>
      <c r="M8" s="104"/>
      <c r="N8" s="102"/>
      <c r="O8" s="99"/>
      <c r="P8" s="99"/>
      <c r="Q8" s="100"/>
      <c r="R8" s="104"/>
      <c r="S8" s="102"/>
      <c r="T8" s="99"/>
      <c r="U8" s="99"/>
      <c r="V8" s="99"/>
      <c r="W8" s="104"/>
      <c r="X8" s="102"/>
      <c r="Y8" s="99"/>
      <c r="Z8" s="99"/>
      <c r="AA8" s="99"/>
      <c r="AB8" s="104"/>
      <c r="AC8" s="102"/>
      <c r="AD8" s="99"/>
      <c r="AE8" s="99"/>
      <c r="AF8" s="99"/>
      <c r="AG8" s="104"/>
      <c r="AH8" s="102"/>
      <c r="AI8" s="99"/>
      <c r="AJ8" s="99"/>
      <c r="AK8" s="99"/>
      <c r="AL8" s="104"/>
      <c r="AM8" s="102"/>
      <c r="AN8" s="99"/>
      <c r="AO8" s="99"/>
      <c r="AP8" s="99"/>
      <c r="AQ8" s="104"/>
      <c r="AR8" s="102"/>
      <c r="AS8" s="99"/>
      <c r="AT8" s="99"/>
      <c r="AU8" s="99"/>
      <c r="AV8" s="104"/>
      <c r="AW8" s="102"/>
      <c r="AX8" s="99"/>
      <c r="AY8" s="99"/>
      <c r="AZ8" s="99"/>
      <c r="BA8" s="104"/>
      <c r="BB8" s="102"/>
      <c r="BC8" s="99"/>
      <c r="BD8" s="99"/>
      <c r="BE8" s="99"/>
      <c r="BF8" s="104"/>
      <c r="BG8" s="102"/>
      <c r="BH8" s="99"/>
      <c r="BI8" s="99"/>
      <c r="BJ8" s="99"/>
      <c r="BK8" s="104"/>
      <c r="BL8" s="106">
        <f>SUM(D8:BK8)</f>
        <v>48</v>
      </c>
    </row>
    <row r="9" spans="2:68" x14ac:dyDescent="0.25">
      <c r="B9" s="105"/>
      <c r="C9" s="103" t="s">
        <v>135</v>
      </c>
      <c r="D9" s="101">
        <v>8</v>
      </c>
      <c r="E9" s="99">
        <v>8</v>
      </c>
      <c r="F9" s="99">
        <v>8</v>
      </c>
      <c r="G9" s="99">
        <v>8</v>
      </c>
      <c r="H9" s="104">
        <v>8</v>
      </c>
      <c r="I9" s="102">
        <v>8</v>
      </c>
      <c r="J9" s="99">
        <v>8</v>
      </c>
      <c r="K9" s="99">
        <v>8</v>
      </c>
      <c r="L9" s="99">
        <v>8</v>
      </c>
      <c r="M9" s="104">
        <v>8</v>
      </c>
      <c r="N9" s="102">
        <v>8</v>
      </c>
      <c r="O9" s="99">
        <v>8</v>
      </c>
      <c r="P9" s="99">
        <v>8</v>
      </c>
      <c r="Q9" s="100"/>
      <c r="R9" s="104"/>
      <c r="S9" s="102"/>
      <c r="T9" s="99"/>
      <c r="U9" s="99"/>
      <c r="V9" s="99"/>
      <c r="W9" s="104"/>
      <c r="X9" s="102"/>
      <c r="Y9" s="99"/>
      <c r="Z9" s="99"/>
      <c r="AA9" s="99"/>
      <c r="AB9" s="104"/>
      <c r="AC9" s="102"/>
      <c r="AD9" s="99"/>
      <c r="AE9" s="99"/>
      <c r="AF9" s="99"/>
      <c r="AG9" s="104"/>
      <c r="AH9" s="102"/>
      <c r="AI9" s="99"/>
      <c r="AJ9" s="99"/>
      <c r="AK9" s="99"/>
      <c r="AL9" s="104"/>
      <c r="AM9" s="102"/>
      <c r="AN9" s="99"/>
      <c r="AO9" s="99"/>
      <c r="AP9" s="99"/>
      <c r="AQ9" s="104"/>
      <c r="AR9" s="102"/>
      <c r="AS9" s="99"/>
      <c r="AT9" s="99"/>
      <c r="AU9" s="99"/>
      <c r="AV9" s="104"/>
      <c r="AW9" s="102"/>
      <c r="AX9" s="99"/>
      <c r="AY9" s="99"/>
      <c r="AZ9" s="99"/>
      <c r="BA9" s="104"/>
      <c r="BB9" s="102"/>
      <c r="BC9" s="99"/>
      <c r="BD9" s="99"/>
      <c r="BE9" s="99"/>
      <c r="BF9" s="104"/>
      <c r="BG9" s="102"/>
      <c r="BH9" s="99"/>
      <c r="BI9" s="99"/>
      <c r="BJ9" s="99"/>
      <c r="BK9" s="104"/>
      <c r="BL9" s="106">
        <f>SUM(D9:BK9)</f>
        <v>104</v>
      </c>
    </row>
    <row r="10" spans="2:68" x14ac:dyDescent="0.25">
      <c r="B10" s="105"/>
      <c r="C10" s="103" t="s">
        <v>158</v>
      </c>
      <c r="D10" s="101"/>
      <c r="E10" s="99">
        <v>8</v>
      </c>
      <c r="F10" s="99">
        <v>8</v>
      </c>
      <c r="G10" s="99">
        <v>8</v>
      </c>
      <c r="H10" s="104">
        <v>8</v>
      </c>
      <c r="I10" s="102">
        <v>8</v>
      </c>
      <c r="J10" s="99">
        <v>8</v>
      </c>
      <c r="K10" s="99">
        <v>8</v>
      </c>
      <c r="L10" s="99">
        <v>8</v>
      </c>
      <c r="M10" s="104">
        <v>8</v>
      </c>
      <c r="N10" s="102"/>
      <c r="O10" s="99"/>
      <c r="P10" s="99"/>
      <c r="Q10" s="100"/>
      <c r="R10" s="104"/>
      <c r="S10" s="102"/>
      <c r="T10" s="99"/>
      <c r="U10" s="99"/>
      <c r="V10" s="99"/>
      <c r="W10" s="104"/>
      <c r="X10" s="102"/>
      <c r="Y10" s="99"/>
      <c r="Z10" s="99"/>
      <c r="AA10" s="99"/>
      <c r="AB10" s="104"/>
      <c r="AC10" s="102"/>
      <c r="AD10" s="99"/>
      <c r="AE10" s="99"/>
      <c r="AF10" s="99"/>
      <c r="AG10" s="104"/>
      <c r="AH10" s="102"/>
      <c r="AI10" s="99"/>
      <c r="AJ10" s="99"/>
      <c r="AK10" s="99"/>
      <c r="AL10" s="104"/>
      <c r="AM10" s="102"/>
      <c r="AN10" s="99"/>
      <c r="AO10" s="99"/>
      <c r="AP10" s="99"/>
      <c r="AQ10" s="104"/>
      <c r="AR10" s="102"/>
      <c r="AS10" s="99"/>
      <c r="AT10" s="99"/>
      <c r="AU10" s="99"/>
      <c r="AV10" s="104"/>
      <c r="AW10" s="102"/>
      <c r="AX10" s="99"/>
      <c r="AY10" s="99"/>
      <c r="AZ10" s="99"/>
      <c r="BA10" s="104"/>
      <c r="BB10" s="102"/>
      <c r="BC10" s="99"/>
      <c r="BD10" s="99"/>
      <c r="BE10" s="99"/>
      <c r="BF10" s="104"/>
      <c r="BG10" s="102"/>
      <c r="BH10" s="99"/>
      <c r="BI10" s="99"/>
      <c r="BJ10" s="99"/>
      <c r="BK10" s="104"/>
      <c r="BL10" s="106">
        <f>SUM(D10:BK10)</f>
        <v>72</v>
      </c>
    </row>
    <row r="11" spans="2:68" x14ac:dyDescent="0.25">
      <c r="B11" s="105"/>
      <c r="C11" s="103" t="s">
        <v>137</v>
      </c>
      <c r="D11" s="101"/>
      <c r="E11" s="99"/>
      <c r="F11" s="99"/>
      <c r="G11" s="99"/>
      <c r="H11" s="104">
        <v>8</v>
      </c>
      <c r="I11" s="102">
        <v>8</v>
      </c>
      <c r="J11" s="99">
        <v>8</v>
      </c>
      <c r="K11" s="99">
        <v>8</v>
      </c>
      <c r="L11" s="99">
        <v>8</v>
      </c>
      <c r="M11" s="104">
        <v>8</v>
      </c>
      <c r="N11" s="102"/>
      <c r="O11" s="99"/>
      <c r="P11" s="99"/>
      <c r="Q11" s="100"/>
      <c r="R11" s="104"/>
      <c r="S11" s="102"/>
      <c r="T11" s="99"/>
      <c r="U11" s="99"/>
      <c r="V11" s="99"/>
      <c r="W11" s="104"/>
      <c r="X11" s="102"/>
      <c r="Y11" s="99"/>
      <c r="Z11" s="99"/>
      <c r="AA11" s="99"/>
      <c r="AB11" s="104"/>
      <c r="AC11" s="102"/>
      <c r="AD11" s="99"/>
      <c r="AE11" s="99"/>
      <c r="AF11" s="99"/>
      <c r="AG11" s="104"/>
      <c r="AH11" s="102"/>
      <c r="AI11" s="99"/>
      <c r="AJ11" s="99"/>
      <c r="AK11" s="99"/>
      <c r="AL11" s="104"/>
      <c r="AM11" s="102"/>
      <c r="AN11" s="99"/>
      <c r="AO11" s="99"/>
      <c r="AP11" s="99"/>
      <c r="AQ11" s="104"/>
      <c r="AR11" s="102"/>
      <c r="AS11" s="99"/>
      <c r="AT11" s="99"/>
      <c r="AU11" s="99"/>
      <c r="AV11" s="104"/>
      <c r="AW11" s="102"/>
      <c r="AX11" s="99"/>
      <c r="AY11" s="99"/>
      <c r="AZ11" s="99"/>
      <c r="BA11" s="104"/>
      <c r="BB11" s="102"/>
      <c r="BC11" s="99"/>
      <c r="BD11" s="99"/>
      <c r="BE11" s="99"/>
      <c r="BF11" s="104"/>
      <c r="BG11" s="102"/>
      <c r="BH11" s="99"/>
      <c r="BI11" s="99"/>
      <c r="BJ11" s="99"/>
      <c r="BK11" s="104"/>
      <c r="BL11" s="106">
        <f>SUM(D11:BK11)</f>
        <v>48</v>
      </c>
    </row>
    <row r="12" spans="2:68" x14ac:dyDescent="0.25">
      <c r="B12" s="105"/>
      <c r="C12" s="103" t="s">
        <v>151</v>
      </c>
      <c r="D12" s="101">
        <v>8</v>
      </c>
      <c r="E12" s="99">
        <v>8</v>
      </c>
      <c r="F12" s="99">
        <v>8</v>
      </c>
      <c r="G12" s="99">
        <v>8</v>
      </c>
      <c r="H12" s="104">
        <v>8</v>
      </c>
      <c r="I12" s="102"/>
      <c r="J12" s="99"/>
      <c r="K12" s="99"/>
      <c r="L12" s="99"/>
      <c r="M12" s="104"/>
      <c r="N12" s="102"/>
      <c r="O12" s="99"/>
      <c r="P12" s="99"/>
      <c r="Q12" s="100"/>
      <c r="R12" s="104"/>
      <c r="S12" s="102"/>
      <c r="T12" s="99"/>
      <c r="U12" s="99"/>
      <c r="V12" s="99"/>
      <c r="W12" s="104"/>
      <c r="X12" s="102"/>
      <c r="Y12" s="99"/>
      <c r="Z12" s="99"/>
      <c r="AA12" s="99"/>
      <c r="AB12" s="104"/>
      <c r="AC12" s="102"/>
      <c r="AD12" s="99"/>
      <c r="AE12" s="99"/>
      <c r="AF12" s="99"/>
      <c r="AG12" s="104"/>
      <c r="AH12" s="102"/>
      <c r="AI12" s="99"/>
      <c r="AJ12" s="99"/>
      <c r="AK12" s="99"/>
      <c r="AL12" s="104"/>
      <c r="AM12" s="102"/>
      <c r="AN12" s="99"/>
      <c r="AO12" s="99"/>
      <c r="AP12" s="99"/>
      <c r="AQ12" s="104"/>
      <c r="AR12" s="102"/>
      <c r="AS12" s="99"/>
      <c r="AT12" s="99"/>
      <c r="AU12" s="99"/>
      <c r="AV12" s="104"/>
      <c r="AW12" s="102"/>
      <c r="AX12" s="99"/>
      <c r="AY12" s="99"/>
      <c r="AZ12" s="99"/>
      <c r="BA12" s="104"/>
      <c r="BB12" s="102"/>
      <c r="BC12" s="99"/>
      <c r="BD12" s="99"/>
      <c r="BE12" s="99"/>
      <c r="BF12" s="104"/>
      <c r="BG12" s="102"/>
      <c r="BH12" s="99"/>
      <c r="BI12" s="99"/>
      <c r="BJ12" s="99"/>
      <c r="BK12" s="104"/>
      <c r="BL12" s="106">
        <f>SUM(D12:BK12)</f>
        <v>40</v>
      </c>
    </row>
    <row r="13" spans="2:68" x14ac:dyDescent="0.25">
      <c r="B13" s="105"/>
      <c r="C13" s="103" t="s">
        <v>141</v>
      </c>
      <c r="D13" s="101"/>
      <c r="E13" s="99"/>
      <c r="F13" s="99"/>
      <c r="G13" s="99"/>
      <c r="H13" s="104"/>
      <c r="I13" s="102">
        <v>8</v>
      </c>
      <c r="J13" s="99">
        <v>8</v>
      </c>
      <c r="K13" s="99">
        <v>8</v>
      </c>
      <c r="L13" s="99">
        <v>8</v>
      </c>
      <c r="M13" s="104">
        <v>8</v>
      </c>
      <c r="N13" s="102">
        <v>8</v>
      </c>
      <c r="O13" s="99">
        <v>8</v>
      </c>
      <c r="P13" s="99">
        <v>8</v>
      </c>
      <c r="Q13" s="100"/>
      <c r="R13" s="104">
        <v>8</v>
      </c>
      <c r="S13" s="102">
        <v>8</v>
      </c>
      <c r="T13" s="99">
        <v>8</v>
      </c>
      <c r="U13" s="99">
        <v>8</v>
      </c>
      <c r="V13" s="99">
        <v>8</v>
      </c>
      <c r="W13" s="104">
        <v>8</v>
      </c>
      <c r="X13" s="102"/>
      <c r="Y13" s="99"/>
      <c r="Z13" s="99"/>
      <c r="AA13" s="99"/>
      <c r="AB13" s="104"/>
      <c r="AC13" s="102"/>
      <c r="AD13" s="99"/>
      <c r="AE13" s="99"/>
      <c r="AF13" s="99"/>
      <c r="AG13" s="104"/>
      <c r="AH13" s="102"/>
      <c r="AI13" s="99"/>
      <c r="AJ13" s="99"/>
      <c r="AK13" s="99"/>
      <c r="AL13" s="104"/>
      <c r="AM13" s="102"/>
      <c r="AN13" s="99"/>
      <c r="AO13" s="99"/>
      <c r="AP13" s="99"/>
      <c r="AQ13" s="104"/>
      <c r="AR13" s="102"/>
      <c r="AS13" s="99"/>
      <c r="AT13" s="99"/>
      <c r="AU13" s="99"/>
      <c r="AV13" s="104"/>
      <c r="AW13" s="102"/>
      <c r="AX13" s="99"/>
      <c r="AY13" s="99"/>
      <c r="AZ13" s="99"/>
      <c r="BA13" s="104"/>
      <c r="BB13" s="102"/>
      <c r="BC13" s="99"/>
      <c r="BD13" s="99"/>
      <c r="BE13" s="99"/>
      <c r="BF13" s="104"/>
      <c r="BG13" s="102"/>
      <c r="BH13" s="99"/>
      <c r="BI13" s="99"/>
      <c r="BJ13" s="99"/>
      <c r="BK13" s="104"/>
      <c r="BL13" s="106">
        <f>SUM(D13:BK13)</f>
        <v>112</v>
      </c>
    </row>
    <row r="14" spans="2:68" x14ac:dyDescent="0.25">
      <c r="B14" s="105"/>
      <c r="C14" s="103" t="s">
        <v>145</v>
      </c>
      <c r="D14" s="101">
        <v>8</v>
      </c>
      <c r="E14" s="99">
        <v>8</v>
      </c>
      <c r="F14" s="99">
        <v>8</v>
      </c>
      <c r="G14" s="99">
        <v>8</v>
      </c>
      <c r="H14" s="104">
        <v>8</v>
      </c>
      <c r="I14" s="102">
        <v>8</v>
      </c>
      <c r="J14" s="99">
        <v>8</v>
      </c>
      <c r="K14" s="99">
        <v>8</v>
      </c>
      <c r="L14" s="99"/>
      <c r="M14" s="104"/>
      <c r="N14" s="102"/>
      <c r="O14" s="99"/>
      <c r="P14" s="99"/>
      <c r="Q14" s="100"/>
      <c r="R14" s="104"/>
      <c r="S14" s="102"/>
      <c r="T14" s="99"/>
      <c r="U14" s="99"/>
      <c r="V14" s="99"/>
      <c r="W14" s="104"/>
      <c r="X14" s="102"/>
      <c r="Y14" s="99"/>
      <c r="Z14" s="99"/>
      <c r="AA14" s="99"/>
      <c r="AB14" s="104"/>
      <c r="AC14" s="102"/>
      <c r="AD14" s="99"/>
      <c r="AE14" s="99"/>
      <c r="AF14" s="99"/>
      <c r="AG14" s="104"/>
      <c r="AH14" s="102"/>
      <c r="AI14" s="99"/>
      <c r="AJ14" s="99"/>
      <c r="AK14" s="99"/>
      <c r="AL14" s="104"/>
      <c r="AM14" s="102"/>
      <c r="AN14" s="99"/>
      <c r="AO14" s="99"/>
      <c r="AP14" s="99"/>
      <c r="AQ14" s="104"/>
      <c r="AR14" s="102"/>
      <c r="AS14" s="99"/>
      <c r="AT14" s="99"/>
      <c r="AU14" s="99"/>
      <c r="AV14" s="104"/>
      <c r="AW14" s="102"/>
      <c r="AX14" s="99"/>
      <c r="AY14" s="99"/>
      <c r="AZ14" s="99"/>
      <c r="BA14" s="104"/>
      <c r="BB14" s="102"/>
      <c r="BC14" s="99"/>
      <c r="BD14" s="99"/>
      <c r="BE14" s="99"/>
      <c r="BF14" s="104"/>
      <c r="BG14" s="102"/>
      <c r="BH14" s="99"/>
      <c r="BI14" s="99"/>
      <c r="BJ14" s="99"/>
      <c r="BK14" s="104"/>
      <c r="BL14" s="106">
        <f>SUM(D14:BK14)</f>
        <v>64</v>
      </c>
    </row>
    <row r="15" spans="2:68" x14ac:dyDescent="0.25">
      <c r="B15" s="105"/>
      <c r="C15" s="103" t="s">
        <v>147</v>
      </c>
      <c r="D15" s="101">
        <v>8</v>
      </c>
      <c r="E15" s="99">
        <v>8</v>
      </c>
      <c r="F15" s="99">
        <v>8</v>
      </c>
      <c r="G15" s="99">
        <v>8</v>
      </c>
      <c r="H15" s="104">
        <v>8</v>
      </c>
      <c r="I15" s="102">
        <v>8</v>
      </c>
      <c r="J15" s="99">
        <v>8</v>
      </c>
      <c r="K15" s="99">
        <v>8</v>
      </c>
      <c r="L15" s="99">
        <v>8</v>
      </c>
      <c r="M15" s="104">
        <v>8</v>
      </c>
      <c r="N15" s="102">
        <v>8</v>
      </c>
      <c r="O15" s="99">
        <v>8</v>
      </c>
      <c r="P15" s="99"/>
      <c r="Q15" s="100"/>
      <c r="R15" s="104"/>
      <c r="S15" s="102"/>
      <c r="T15" s="99"/>
      <c r="U15" s="99"/>
      <c r="V15" s="99"/>
      <c r="W15" s="104"/>
      <c r="X15" s="102"/>
      <c r="Y15" s="99"/>
      <c r="Z15" s="99"/>
      <c r="AA15" s="99"/>
      <c r="AB15" s="104"/>
      <c r="AC15" s="102"/>
      <c r="AD15" s="99"/>
      <c r="AE15" s="99"/>
      <c r="AF15" s="99"/>
      <c r="AG15" s="104"/>
      <c r="AH15" s="102"/>
      <c r="AI15" s="99"/>
      <c r="AJ15" s="99"/>
      <c r="AK15" s="99"/>
      <c r="AL15" s="104"/>
      <c r="AM15" s="102"/>
      <c r="AN15" s="99"/>
      <c r="AO15" s="99"/>
      <c r="AP15" s="99"/>
      <c r="AQ15" s="104"/>
      <c r="AR15" s="102"/>
      <c r="AS15" s="99"/>
      <c r="AT15" s="99"/>
      <c r="AU15" s="99"/>
      <c r="AV15" s="104"/>
      <c r="AW15" s="102"/>
      <c r="AX15" s="99"/>
      <c r="AY15" s="99"/>
      <c r="AZ15" s="99"/>
      <c r="BA15" s="104"/>
      <c r="BB15" s="102"/>
      <c r="BC15" s="99"/>
      <c r="BD15" s="99"/>
      <c r="BE15" s="99"/>
      <c r="BF15" s="104"/>
      <c r="BG15" s="102"/>
      <c r="BH15" s="99"/>
      <c r="BI15" s="99"/>
      <c r="BJ15" s="99"/>
      <c r="BK15" s="104"/>
      <c r="BL15" s="106">
        <f>SUM(D15:BK15)</f>
        <v>96</v>
      </c>
    </row>
    <row r="16" spans="2:68" ht="15.75" thickBot="1" x14ac:dyDescent="0.3">
      <c r="B16" s="114"/>
      <c r="C16" s="115" t="s">
        <v>160</v>
      </c>
      <c r="D16" s="122">
        <v>8</v>
      </c>
      <c r="E16" s="117">
        <v>8</v>
      </c>
      <c r="F16" s="117">
        <v>8</v>
      </c>
      <c r="G16" s="117">
        <v>8</v>
      </c>
      <c r="H16" s="118">
        <v>8</v>
      </c>
      <c r="I16" s="116">
        <v>8</v>
      </c>
      <c r="J16" s="117">
        <v>8</v>
      </c>
      <c r="K16" s="117">
        <v>8</v>
      </c>
      <c r="L16" s="117">
        <v>8</v>
      </c>
      <c r="M16" s="118">
        <v>8</v>
      </c>
      <c r="N16" s="116">
        <v>8</v>
      </c>
      <c r="O16" s="117"/>
      <c r="P16" s="117"/>
      <c r="Q16" s="119"/>
      <c r="R16" s="118"/>
      <c r="S16" s="116"/>
      <c r="T16" s="117"/>
      <c r="U16" s="117"/>
      <c r="V16" s="117"/>
      <c r="W16" s="118"/>
      <c r="X16" s="116"/>
      <c r="Y16" s="117"/>
      <c r="Z16" s="117"/>
      <c r="AA16" s="117"/>
      <c r="AB16" s="118"/>
      <c r="AC16" s="116"/>
      <c r="AD16" s="117"/>
      <c r="AE16" s="117"/>
      <c r="AF16" s="117"/>
      <c r="AG16" s="118"/>
      <c r="AH16" s="116"/>
      <c r="AI16" s="117"/>
      <c r="AJ16" s="117"/>
      <c r="AK16" s="117"/>
      <c r="AL16" s="118"/>
      <c r="AM16" s="116"/>
      <c r="AN16" s="117"/>
      <c r="AO16" s="117"/>
      <c r="AP16" s="117"/>
      <c r="AQ16" s="118"/>
      <c r="AR16" s="116"/>
      <c r="AS16" s="117"/>
      <c r="AT16" s="117"/>
      <c r="AU16" s="117"/>
      <c r="AV16" s="118"/>
      <c r="AW16" s="116"/>
      <c r="AX16" s="117"/>
      <c r="AY16" s="117"/>
      <c r="AZ16" s="117"/>
      <c r="BA16" s="118"/>
      <c r="BB16" s="116"/>
      <c r="BC16" s="117"/>
      <c r="BD16" s="117"/>
      <c r="BE16" s="117"/>
      <c r="BF16" s="118"/>
      <c r="BG16" s="116"/>
      <c r="BH16" s="117"/>
      <c r="BI16" s="117"/>
      <c r="BJ16" s="117"/>
      <c r="BK16" s="118"/>
      <c r="BL16" s="120">
        <f>SUM(D16:BK16)</f>
        <v>88</v>
      </c>
    </row>
    <row r="17" ht="15.75" thickTop="1" x14ac:dyDescent="0.25"/>
  </sheetData>
  <mergeCells count="14">
    <mergeCell ref="B5:B16"/>
    <mergeCell ref="C2:BL2"/>
    <mergeCell ref="D3:H3"/>
    <mergeCell ref="I3:M3"/>
    <mergeCell ref="N3:R3"/>
    <mergeCell ref="BG3:BK3"/>
    <mergeCell ref="S3:W3"/>
    <mergeCell ref="X3:AB3"/>
    <mergeCell ref="AC3:AG3"/>
    <mergeCell ref="AH3:AL3"/>
    <mergeCell ref="AM3:AQ3"/>
    <mergeCell ref="AR3:AV3"/>
    <mergeCell ref="AW3:BA3"/>
    <mergeCell ref="BB3:BF3"/>
  </mergeCells>
  <conditionalFormatting sqref="D4:AV4 BG4:BK4">
    <cfRule type="cellIs" dxfId="44" priority="14779" operator="equal">
      <formula>24</formula>
    </cfRule>
    <cfRule type="cellIs" dxfId="43" priority="14780" operator="equal">
      <formula>16</formula>
    </cfRule>
    <cfRule type="cellIs" dxfId="42" priority="14781" operator="equal">
      <formula>8</formula>
    </cfRule>
  </conditionalFormatting>
  <conditionalFormatting sqref="AW4:BA4">
    <cfRule type="cellIs" dxfId="41" priority="3067" operator="equal">
      <formula>24</formula>
    </cfRule>
    <cfRule type="cellIs" dxfId="40" priority="3068" operator="equal">
      <formula>16</formula>
    </cfRule>
    <cfRule type="cellIs" dxfId="39" priority="3069" operator="equal">
      <formula>8</formula>
    </cfRule>
  </conditionalFormatting>
  <conditionalFormatting sqref="BB4:BF4">
    <cfRule type="cellIs" dxfId="38" priority="3064" operator="equal">
      <formula>24</formula>
    </cfRule>
    <cfRule type="cellIs" dxfId="37" priority="3065" operator="equal">
      <formula>16</formula>
    </cfRule>
    <cfRule type="cellIs" dxfId="36" priority="3066" operator="equal">
      <formula>8</formula>
    </cfRule>
  </conditionalFormatting>
  <conditionalFormatting sqref="D5:BK5">
    <cfRule type="cellIs" dxfId="35" priority="34" operator="equal">
      <formula>24</formula>
    </cfRule>
    <cfRule type="cellIs" dxfId="34" priority="35" operator="equal">
      <formula>16</formula>
    </cfRule>
    <cfRule type="cellIs" dxfId="33" priority="36" operator="equal">
      <formula>8</formula>
    </cfRule>
  </conditionalFormatting>
  <conditionalFormatting sqref="D6:BK6">
    <cfRule type="cellIs" dxfId="32" priority="31" operator="equal">
      <formula>24</formula>
    </cfRule>
    <cfRule type="cellIs" dxfId="31" priority="32" operator="equal">
      <formula>16</formula>
    </cfRule>
    <cfRule type="cellIs" dxfId="30" priority="33" operator="equal">
      <formula>8</formula>
    </cfRule>
  </conditionalFormatting>
  <conditionalFormatting sqref="D7:BK7">
    <cfRule type="cellIs" dxfId="29" priority="28" operator="equal">
      <formula>24</formula>
    </cfRule>
    <cfRule type="cellIs" dxfId="28" priority="29" operator="equal">
      <formula>16</formula>
    </cfRule>
    <cfRule type="cellIs" dxfId="27" priority="30" operator="equal">
      <formula>8</formula>
    </cfRule>
  </conditionalFormatting>
  <conditionalFormatting sqref="D8:BK8">
    <cfRule type="cellIs" dxfId="26" priority="25" operator="equal">
      <formula>24</formula>
    </cfRule>
    <cfRule type="cellIs" dxfId="25" priority="26" operator="equal">
      <formula>16</formula>
    </cfRule>
    <cfRule type="cellIs" dxfId="24" priority="27" operator="equal">
      <formula>8</formula>
    </cfRule>
  </conditionalFormatting>
  <conditionalFormatting sqref="D9:BK9">
    <cfRule type="cellIs" dxfId="23" priority="22" operator="equal">
      <formula>24</formula>
    </cfRule>
    <cfRule type="cellIs" dxfId="22" priority="23" operator="equal">
      <formula>16</formula>
    </cfRule>
    <cfRule type="cellIs" dxfId="21" priority="24" operator="equal">
      <formula>8</formula>
    </cfRule>
  </conditionalFormatting>
  <conditionalFormatting sqref="D10:BK10">
    <cfRule type="cellIs" dxfId="20" priority="19" operator="equal">
      <formula>24</formula>
    </cfRule>
    <cfRule type="cellIs" dxfId="19" priority="20" operator="equal">
      <formula>16</formula>
    </cfRule>
    <cfRule type="cellIs" dxfId="18" priority="21" operator="equal">
      <formula>8</formula>
    </cfRule>
  </conditionalFormatting>
  <conditionalFormatting sqref="D11:BK11">
    <cfRule type="cellIs" dxfId="17" priority="16" operator="equal">
      <formula>24</formula>
    </cfRule>
    <cfRule type="cellIs" dxfId="16" priority="17" operator="equal">
      <formula>16</formula>
    </cfRule>
    <cfRule type="cellIs" dxfId="15" priority="18" operator="equal">
      <formula>8</formula>
    </cfRule>
  </conditionalFormatting>
  <conditionalFormatting sqref="D12:BK12">
    <cfRule type="cellIs" dxfId="14" priority="13" operator="equal">
      <formula>24</formula>
    </cfRule>
    <cfRule type="cellIs" dxfId="13" priority="14" operator="equal">
      <formula>16</formula>
    </cfRule>
    <cfRule type="cellIs" dxfId="12" priority="15" operator="equal">
      <formula>8</formula>
    </cfRule>
  </conditionalFormatting>
  <conditionalFormatting sqref="D13:BK13">
    <cfRule type="cellIs" dxfId="11" priority="10" operator="equal">
      <formula>24</formula>
    </cfRule>
    <cfRule type="cellIs" dxfId="10" priority="11" operator="equal">
      <formula>16</formula>
    </cfRule>
    <cfRule type="cellIs" dxfId="9" priority="12" operator="equal">
      <formula>8</formula>
    </cfRule>
  </conditionalFormatting>
  <conditionalFormatting sqref="D14:BK14">
    <cfRule type="cellIs" dxfId="8" priority="7" operator="equal">
      <formula>24</formula>
    </cfRule>
    <cfRule type="cellIs" dxfId="7" priority="8" operator="equal">
      <formula>16</formula>
    </cfRule>
    <cfRule type="cellIs" dxfId="6" priority="9" operator="equal">
      <formula>8</formula>
    </cfRule>
  </conditionalFormatting>
  <conditionalFormatting sqref="D15:BK15">
    <cfRule type="cellIs" dxfId="5" priority="4" operator="equal">
      <formula>24</formula>
    </cfRule>
    <cfRule type="cellIs" dxfId="4" priority="5" operator="equal">
      <formula>16</formula>
    </cfRule>
    <cfRule type="cellIs" dxfId="3" priority="6" operator="equal">
      <formula>8</formula>
    </cfRule>
  </conditionalFormatting>
  <conditionalFormatting sqref="D16:BK16">
    <cfRule type="cellIs" dxfId="2" priority="1" operator="equal">
      <formula>24</formula>
    </cfRule>
    <cfRule type="cellIs" dxfId="1" priority="2" operator="equal">
      <formula>16</formula>
    </cfRule>
    <cfRule type="cellIs" dxfId="0" priority="3" operator="equal">
      <formula>8</formula>
    </cfRule>
  </conditionalFormatting>
  <dataValidations count="3">
    <dataValidation type="list" allowBlank="1" showInputMessage="1" showErrorMessage="1" sqref="AR4 N4 X4 AH4">
      <formula1>"04/mai,11/mai,18/mai,25/mai,01/jun,08/jun,15/jun"</formula1>
    </dataValidation>
    <dataValidation type="list" allowBlank="1" showInputMessage="1" showErrorMessage="1" sqref="D3">
      <formula1>"27/abr,04/mai,11/mai,18/mai,25/mai,01/jun,08/jun,15/jun,22/jun"</formula1>
    </dataValidation>
    <dataValidation type="list" allowBlank="1" showInputMessage="1" showErrorMessage="1" sqref="E3:H3">
      <formula1>"ws"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7"/>
  <sheetViews>
    <sheetView workbookViewId="0">
      <selection activeCell="B22" sqref="B22"/>
    </sheetView>
  </sheetViews>
  <sheetFormatPr defaultColWidth="9.42578125" defaultRowHeight="15" x14ac:dyDescent="0.25"/>
  <cols>
    <col min="1" max="1" width="9.42578125" style="29"/>
    <col min="2" max="2" width="55.5703125" style="9" bestFit="1" customWidth="1"/>
    <col min="3" max="4" width="10.7109375" style="9" bestFit="1" customWidth="1"/>
    <col min="5" max="6" width="5.5703125" style="9" bestFit="1" customWidth="1"/>
    <col min="7" max="7" width="3.5703125" style="9" bestFit="1" customWidth="1"/>
    <col min="8" max="8" width="9.42578125" style="9"/>
    <col min="9" max="9" width="7.5703125" style="9" bestFit="1" customWidth="1"/>
    <col min="10" max="16384" width="9.42578125" style="9"/>
  </cols>
  <sheetData>
    <row r="1" spans="1:9" x14ac:dyDescent="0.25">
      <c r="A1" s="30">
        <v>51</v>
      </c>
      <c r="B1" s="4" t="s">
        <v>50</v>
      </c>
      <c r="C1" s="5">
        <v>42102</v>
      </c>
      <c r="D1" s="5">
        <v>42103</v>
      </c>
      <c r="E1" s="6">
        <v>1</v>
      </c>
      <c r="F1" s="6">
        <v>1</v>
      </c>
      <c r="G1" s="6">
        <v>0</v>
      </c>
      <c r="H1" s="7"/>
      <c r="I1" s="8" t="s">
        <v>48</v>
      </c>
    </row>
    <row r="2" spans="1:9" x14ac:dyDescent="0.25">
      <c r="A2" s="30">
        <v>52</v>
      </c>
      <c r="B2" s="10" t="s">
        <v>51</v>
      </c>
      <c r="C2" s="11">
        <v>42102</v>
      </c>
      <c r="D2" s="11">
        <v>42103</v>
      </c>
      <c r="E2" s="12">
        <v>1</v>
      </c>
      <c r="F2" s="12">
        <v>1</v>
      </c>
      <c r="G2" s="12">
        <v>0</v>
      </c>
      <c r="H2" s="13"/>
      <c r="I2" s="14" t="s">
        <v>48</v>
      </c>
    </row>
    <row r="3" spans="1:9" x14ac:dyDescent="0.25">
      <c r="A3" s="30">
        <v>53</v>
      </c>
      <c r="B3" s="4" t="s">
        <v>52</v>
      </c>
      <c r="C3" s="5">
        <v>42102</v>
      </c>
      <c r="D3" s="5">
        <v>42103</v>
      </c>
      <c r="E3" s="6">
        <v>1</v>
      </c>
      <c r="F3" s="6">
        <v>1</v>
      </c>
      <c r="G3" s="6">
        <v>0</v>
      </c>
      <c r="H3" s="7"/>
      <c r="I3" s="8" t="s">
        <v>44</v>
      </c>
    </row>
    <row r="4" spans="1:9" x14ac:dyDescent="0.25">
      <c r="A4" s="30">
        <v>54</v>
      </c>
      <c r="B4" s="10" t="s">
        <v>53</v>
      </c>
      <c r="C4" s="15">
        <v>42114</v>
      </c>
      <c r="D4" s="16">
        <v>42128</v>
      </c>
      <c r="E4" s="12">
        <v>1</v>
      </c>
      <c r="F4" s="12">
        <v>1</v>
      </c>
      <c r="G4" s="12">
        <v>0</v>
      </c>
      <c r="H4" s="10"/>
      <c r="I4" s="14" t="s">
        <v>29</v>
      </c>
    </row>
    <row r="5" spans="1:9" x14ac:dyDescent="0.25">
      <c r="A5" s="30">
        <v>60</v>
      </c>
      <c r="B5" s="4" t="s">
        <v>54</v>
      </c>
      <c r="C5" s="17">
        <v>42114</v>
      </c>
      <c r="D5" s="17">
        <v>42110</v>
      </c>
      <c r="E5" s="6">
        <v>1</v>
      </c>
      <c r="F5" s="6">
        <v>1</v>
      </c>
      <c r="G5" s="6">
        <v>0</v>
      </c>
      <c r="H5" s="18"/>
      <c r="I5" s="8" t="s">
        <v>46</v>
      </c>
    </row>
    <row r="6" spans="1:9" x14ac:dyDescent="0.25">
      <c r="A6" s="30">
        <v>61</v>
      </c>
      <c r="B6" s="10" t="s">
        <v>55</v>
      </c>
      <c r="C6" s="16">
        <v>42132</v>
      </c>
      <c r="D6" s="16">
        <v>42139</v>
      </c>
      <c r="E6" s="12">
        <v>0</v>
      </c>
      <c r="F6" s="12">
        <v>0</v>
      </c>
      <c r="G6" s="12">
        <v>0</v>
      </c>
      <c r="H6" s="19"/>
      <c r="I6" s="14" t="s">
        <v>12</v>
      </c>
    </row>
    <row r="7" spans="1:9" x14ac:dyDescent="0.25">
      <c r="A7" s="30">
        <v>62</v>
      </c>
      <c r="B7" s="4" t="s">
        <v>56</v>
      </c>
      <c r="C7" s="20">
        <v>42114</v>
      </c>
      <c r="D7" s="20">
        <v>42139</v>
      </c>
      <c r="E7" s="6">
        <v>0.6</v>
      </c>
      <c r="F7" s="6">
        <v>0.6</v>
      </c>
      <c r="G7" s="6">
        <v>0</v>
      </c>
      <c r="H7" s="21"/>
      <c r="I7" s="8" t="s">
        <v>14</v>
      </c>
    </row>
    <row r="8" spans="1:9" x14ac:dyDescent="0.25">
      <c r="A8" s="30">
        <v>63</v>
      </c>
      <c r="B8" s="10" t="s">
        <v>57</v>
      </c>
      <c r="C8" s="22">
        <v>42123</v>
      </c>
      <c r="D8" s="22">
        <v>42131</v>
      </c>
      <c r="E8" s="12">
        <v>0.2</v>
      </c>
      <c r="F8" s="12">
        <v>0.2</v>
      </c>
      <c r="G8" s="12">
        <v>0</v>
      </c>
      <c r="H8" s="23"/>
      <c r="I8" s="14" t="s">
        <v>12</v>
      </c>
    </row>
    <row r="9" spans="1:9" x14ac:dyDescent="0.25">
      <c r="A9" s="30">
        <v>64</v>
      </c>
      <c r="B9" s="4" t="s">
        <v>58</v>
      </c>
      <c r="C9" s="17">
        <v>42132</v>
      </c>
      <c r="D9" s="17">
        <v>42137</v>
      </c>
      <c r="E9" s="6">
        <v>0</v>
      </c>
      <c r="F9" s="6">
        <v>0</v>
      </c>
      <c r="G9" s="6">
        <v>0</v>
      </c>
      <c r="H9" s="18"/>
      <c r="I9" s="8" t="s">
        <v>48</v>
      </c>
    </row>
    <row r="10" spans="1:9" x14ac:dyDescent="0.25">
      <c r="A10" s="30">
        <v>65</v>
      </c>
      <c r="B10" s="10" t="s">
        <v>59</v>
      </c>
      <c r="C10" s="22">
        <v>42123</v>
      </c>
      <c r="D10" s="22">
        <v>42135</v>
      </c>
      <c r="E10" s="12">
        <v>0.3</v>
      </c>
      <c r="F10" s="12">
        <v>0.3</v>
      </c>
      <c r="G10" s="12">
        <v>0</v>
      </c>
      <c r="H10" s="23"/>
      <c r="I10" s="14" t="s">
        <v>29</v>
      </c>
    </row>
    <row r="11" spans="1:9" x14ac:dyDescent="0.25">
      <c r="A11" s="30">
        <v>66</v>
      </c>
      <c r="B11" s="4" t="s">
        <v>60</v>
      </c>
      <c r="C11" s="17">
        <v>42136</v>
      </c>
      <c r="D11" s="17">
        <v>42144</v>
      </c>
      <c r="E11" s="6">
        <v>0</v>
      </c>
      <c r="F11" s="6">
        <v>0</v>
      </c>
      <c r="G11" s="6">
        <v>0</v>
      </c>
      <c r="H11" s="18"/>
      <c r="I11" s="8" t="s">
        <v>29</v>
      </c>
    </row>
    <row r="12" spans="1:9" x14ac:dyDescent="0.25">
      <c r="A12" s="30">
        <v>67</v>
      </c>
      <c r="B12" s="10" t="s">
        <v>61</v>
      </c>
      <c r="C12" s="22">
        <v>42123</v>
      </c>
      <c r="D12" s="22">
        <v>42124</v>
      </c>
      <c r="E12" s="12">
        <v>1</v>
      </c>
      <c r="F12" s="12">
        <v>1</v>
      </c>
      <c r="G12" s="12">
        <v>0</v>
      </c>
      <c r="H12" s="23"/>
      <c r="I12" s="14" t="s">
        <v>12</v>
      </c>
    </row>
    <row r="13" spans="1:9" x14ac:dyDescent="0.25">
      <c r="A13" s="30">
        <v>68</v>
      </c>
      <c r="B13" s="4" t="s">
        <v>62</v>
      </c>
      <c r="C13" s="17">
        <v>42114</v>
      </c>
      <c r="D13" s="17">
        <v>42122</v>
      </c>
      <c r="E13" s="6">
        <v>1</v>
      </c>
      <c r="F13" s="6">
        <v>1</v>
      </c>
      <c r="G13" s="6">
        <v>0</v>
      </c>
      <c r="H13" s="18"/>
      <c r="I13" s="8" t="s">
        <v>15</v>
      </c>
    </row>
    <row r="14" spans="1:9" x14ac:dyDescent="0.25">
      <c r="A14" s="30">
        <v>69</v>
      </c>
      <c r="B14" s="10" t="s">
        <v>63</v>
      </c>
      <c r="C14" s="2">
        <v>42139</v>
      </c>
      <c r="D14" s="2">
        <v>42151</v>
      </c>
      <c r="E14" s="12">
        <v>0</v>
      </c>
      <c r="F14" s="12">
        <v>0</v>
      </c>
      <c r="G14" s="12">
        <v>0</v>
      </c>
      <c r="H14" s="23"/>
      <c r="I14" s="14" t="s">
        <v>15</v>
      </c>
    </row>
    <row r="15" spans="1:9" x14ac:dyDescent="0.25">
      <c r="A15" s="30">
        <v>70</v>
      </c>
      <c r="B15" s="4" t="s">
        <v>64</v>
      </c>
      <c r="C15" s="3">
        <v>42132</v>
      </c>
      <c r="D15" s="3">
        <v>42138</v>
      </c>
      <c r="E15" s="6">
        <v>0</v>
      </c>
      <c r="F15" s="6">
        <v>0</v>
      </c>
      <c r="G15" s="6">
        <v>0</v>
      </c>
      <c r="H15" s="18"/>
      <c r="I15" s="8" t="s">
        <v>15</v>
      </c>
    </row>
    <row r="16" spans="1:9" x14ac:dyDescent="0.25">
      <c r="A16" s="30">
        <v>71</v>
      </c>
      <c r="B16" s="10" t="s">
        <v>65</v>
      </c>
      <c r="C16" s="2">
        <v>42122</v>
      </c>
      <c r="D16" s="2">
        <v>42131</v>
      </c>
      <c r="E16" s="12">
        <v>0.2</v>
      </c>
      <c r="F16" s="12">
        <v>0.2</v>
      </c>
      <c r="G16" s="12">
        <v>0</v>
      </c>
      <c r="H16" s="23"/>
      <c r="I16" s="14" t="s">
        <v>15</v>
      </c>
    </row>
    <row r="17" spans="1:9" x14ac:dyDescent="0.25">
      <c r="A17" s="30">
        <v>72</v>
      </c>
      <c r="B17" s="24" t="s">
        <v>66</v>
      </c>
      <c r="C17" s="25">
        <v>42118</v>
      </c>
      <c r="D17" s="25">
        <v>42118</v>
      </c>
      <c r="E17" s="26">
        <v>1</v>
      </c>
      <c r="F17" s="26">
        <v>1</v>
      </c>
      <c r="G17" s="26">
        <v>0</v>
      </c>
      <c r="H17" s="27"/>
      <c r="I17" s="28" t="s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1"/>
  <sheetViews>
    <sheetView workbookViewId="0">
      <pane ySplit="1" topLeftCell="A2" activePane="bottomLeft" state="frozen"/>
      <selection pane="bottomLeft" activeCell="K6" sqref="K6"/>
    </sheetView>
  </sheetViews>
  <sheetFormatPr defaultRowHeight="15" x14ac:dyDescent="0.25"/>
  <cols>
    <col min="1" max="1" width="28.5703125" style="32" bestFit="1" customWidth="1"/>
    <col min="2" max="2" width="20.42578125" style="32" bestFit="1" customWidth="1"/>
    <col min="3" max="3" width="10" bestFit="1" customWidth="1"/>
    <col min="4" max="4" width="10.28515625" bestFit="1" customWidth="1"/>
    <col min="5" max="5" width="9.42578125" bestFit="1" customWidth="1"/>
    <col min="6" max="6" width="11.5703125" bestFit="1" customWidth="1"/>
    <col min="7" max="7" width="25.5703125" bestFit="1" customWidth="1"/>
    <col min="8" max="8" width="9" bestFit="1" customWidth="1"/>
    <col min="9" max="9" width="27.42578125" bestFit="1" customWidth="1"/>
    <col min="10" max="10" width="12.5703125" bestFit="1" customWidth="1"/>
    <col min="11" max="11" width="12.5703125" style="1" bestFit="1" customWidth="1"/>
    <col min="12" max="12" width="10" bestFit="1" customWidth="1"/>
    <col min="13" max="13" width="7.42578125" bestFit="1" customWidth="1"/>
    <col min="14" max="14" width="11.28515625" bestFit="1" customWidth="1"/>
    <col min="15" max="15" width="12.85546875" bestFit="1" customWidth="1"/>
  </cols>
  <sheetData>
    <row r="1" spans="1:15" x14ac:dyDescent="0.25">
      <c r="A1" s="68" t="s">
        <v>170</v>
      </c>
      <c r="B1" s="68" t="s">
        <v>171</v>
      </c>
      <c r="C1" s="68" t="s">
        <v>303</v>
      </c>
      <c r="D1" s="68" t="s">
        <v>301</v>
      </c>
      <c r="E1" s="68" t="s">
        <v>305</v>
      </c>
      <c r="F1" s="68" t="s">
        <v>306</v>
      </c>
      <c r="G1" s="68" t="s">
        <v>307</v>
      </c>
      <c r="H1" s="68" t="s">
        <v>308</v>
      </c>
      <c r="I1" s="68" t="s">
        <v>309</v>
      </c>
      <c r="J1" s="68" t="s">
        <v>310</v>
      </c>
      <c r="K1" s="68" t="s">
        <v>311</v>
      </c>
      <c r="L1" s="68" t="s">
        <v>312</v>
      </c>
      <c r="M1" s="68" t="s">
        <v>313</v>
      </c>
      <c r="N1" s="68" t="s">
        <v>314</v>
      </c>
      <c r="O1" s="68" t="s">
        <v>315</v>
      </c>
    </row>
    <row r="2" spans="1:15" x14ac:dyDescent="0.25">
      <c r="A2" s="57" t="s">
        <v>539</v>
      </c>
      <c r="B2" s="57" t="s">
        <v>485</v>
      </c>
      <c r="C2" s="57" t="s">
        <v>304</v>
      </c>
      <c r="D2" s="57"/>
      <c r="E2" s="57" t="s">
        <v>364</v>
      </c>
      <c r="F2" s="57"/>
      <c r="G2" s="57"/>
      <c r="H2" s="57"/>
      <c r="I2" s="57"/>
      <c r="J2" s="57"/>
      <c r="K2" s="57"/>
      <c r="L2" s="57"/>
      <c r="M2" s="57"/>
      <c r="N2" s="57"/>
      <c r="O2" s="57"/>
    </row>
    <row r="3" spans="1:15" x14ac:dyDescent="0.25">
      <c r="A3" s="57" t="s">
        <v>152</v>
      </c>
      <c r="B3" s="57" t="s">
        <v>127</v>
      </c>
      <c r="C3" s="57" t="s">
        <v>304</v>
      </c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15" x14ac:dyDescent="0.25">
      <c r="A4" s="57" t="s">
        <v>527</v>
      </c>
      <c r="B4" s="57" t="s">
        <v>472</v>
      </c>
      <c r="C4" s="57" t="s">
        <v>304</v>
      </c>
      <c r="D4" s="57" t="s">
        <v>421</v>
      </c>
      <c r="E4" s="57" t="s">
        <v>398</v>
      </c>
      <c r="F4" s="57" t="s">
        <v>473</v>
      </c>
      <c r="G4" s="57" t="s">
        <v>474</v>
      </c>
      <c r="H4" s="57"/>
      <c r="I4" s="57"/>
      <c r="J4" s="57"/>
      <c r="K4" s="57"/>
      <c r="L4" s="57"/>
      <c r="M4" s="57"/>
      <c r="N4" s="57"/>
      <c r="O4" s="57"/>
    </row>
    <row r="5" spans="1:15" x14ac:dyDescent="0.25">
      <c r="A5" s="57" t="s">
        <v>501</v>
      </c>
      <c r="B5" s="57" t="s">
        <v>381</v>
      </c>
      <c r="C5" s="57" t="s">
        <v>304</v>
      </c>
      <c r="D5" s="57" t="s">
        <v>448</v>
      </c>
      <c r="E5" s="57">
        <v>10063519</v>
      </c>
      <c r="F5" s="57" t="s">
        <v>382</v>
      </c>
      <c r="G5" s="57" t="s">
        <v>383</v>
      </c>
      <c r="H5" s="57"/>
      <c r="I5" s="57" t="s">
        <v>384</v>
      </c>
      <c r="J5" s="57" t="s">
        <v>385</v>
      </c>
      <c r="K5" s="57"/>
      <c r="L5" s="57" t="s">
        <v>327</v>
      </c>
      <c r="M5" s="57" t="s">
        <v>322</v>
      </c>
      <c r="N5" s="57" t="s">
        <v>328</v>
      </c>
      <c r="O5" s="57" t="s">
        <v>329</v>
      </c>
    </row>
    <row r="6" spans="1:15" x14ac:dyDescent="0.25">
      <c r="A6" s="57" t="s">
        <v>289</v>
      </c>
      <c r="B6" s="57" t="s">
        <v>288</v>
      </c>
      <c r="C6" s="57" t="s">
        <v>304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</row>
    <row r="7" spans="1:15" x14ac:dyDescent="0.25">
      <c r="A7" s="57" t="s">
        <v>535</v>
      </c>
      <c r="B7" s="57" t="s">
        <v>481</v>
      </c>
      <c r="C7" s="57" t="s">
        <v>304</v>
      </c>
      <c r="D7" s="57"/>
      <c r="E7" s="57" t="s">
        <v>364</v>
      </c>
      <c r="F7" s="57"/>
      <c r="G7" s="57"/>
      <c r="H7" s="57"/>
      <c r="I7" s="57"/>
      <c r="J7" s="57"/>
      <c r="K7" s="57"/>
      <c r="L7" s="57"/>
      <c r="M7" s="57"/>
      <c r="N7" s="57"/>
      <c r="O7" s="57"/>
    </row>
    <row r="8" spans="1:15" x14ac:dyDescent="0.25">
      <c r="A8" s="57" t="s">
        <v>156</v>
      </c>
      <c r="B8" s="57" t="s">
        <v>155</v>
      </c>
      <c r="C8" s="57" t="s">
        <v>304</v>
      </c>
      <c r="D8" s="57" t="s">
        <v>448</v>
      </c>
      <c r="E8" s="57" t="s">
        <v>364</v>
      </c>
      <c r="F8" s="57" t="s">
        <v>402</v>
      </c>
      <c r="G8" s="57" t="s">
        <v>403</v>
      </c>
      <c r="H8" s="57"/>
      <c r="I8" s="57"/>
      <c r="J8" s="57"/>
      <c r="K8" s="57"/>
      <c r="L8" s="57"/>
      <c r="M8" s="57"/>
      <c r="N8" s="57"/>
      <c r="O8" s="57"/>
    </row>
    <row r="9" spans="1:15" x14ac:dyDescent="0.25">
      <c r="A9" s="57" t="s">
        <v>494</v>
      </c>
      <c r="B9" s="57" t="s">
        <v>332</v>
      </c>
      <c r="C9" s="57" t="s">
        <v>490</v>
      </c>
      <c r="D9" s="57"/>
      <c r="E9" s="57">
        <v>10686459</v>
      </c>
      <c r="F9" s="57" t="s">
        <v>333</v>
      </c>
      <c r="G9" s="57" t="s">
        <v>334</v>
      </c>
      <c r="H9" s="57"/>
      <c r="I9" s="57" t="s">
        <v>335</v>
      </c>
      <c r="J9" s="57" t="s">
        <v>320</v>
      </c>
      <c r="K9" s="57"/>
      <c r="L9" s="57" t="s">
        <v>327</v>
      </c>
      <c r="M9" s="57" t="s">
        <v>322</v>
      </c>
      <c r="N9" s="57" t="s">
        <v>322</v>
      </c>
      <c r="O9" s="57" t="s">
        <v>322</v>
      </c>
    </row>
    <row r="10" spans="1:15" x14ac:dyDescent="0.25">
      <c r="A10" s="57" t="s">
        <v>522</v>
      </c>
      <c r="B10" s="57" t="s">
        <v>457</v>
      </c>
      <c r="C10" s="57" t="s">
        <v>304</v>
      </c>
      <c r="D10" s="57" t="s">
        <v>448</v>
      </c>
      <c r="E10" s="57" t="s">
        <v>364</v>
      </c>
      <c r="F10" s="57" t="s">
        <v>458</v>
      </c>
      <c r="G10" s="57" t="s">
        <v>459</v>
      </c>
      <c r="H10" s="57"/>
      <c r="I10" s="57"/>
      <c r="J10" s="57"/>
      <c r="K10" s="57"/>
      <c r="L10" s="57"/>
      <c r="M10" s="57"/>
      <c r="N10" s="57"/>
      <c r="O10" s="57"/>
    </row>
    <row r="11" spans="1:15" x14ac:dyDescent="0.25">
      <c r="A11" s="57" t="s">
        <v>505</v>
      </c>
      <c r="B11" s="57" t="s">
        <v>412</v>
      </c>
      <c r="C11" s="57" t="s">
        <v>304</v>
      </c>
      <c r="D11" s="57" t="s">
        <v>448</v>
      </c>
      <c r="E11" s="57" t="s">
        <v>363</v>
      </c>
      <c r="F11" s="57" t="s">
        <v>413</v>
      </c>
      <c r="G11" s="57" t="s">
        <v>414</v>
      </c>
      <c r="H11" s="57"/>
      <c r="I11" s="57"/>
      <c r="J11" s="57"/>
      <c r="K11" s="57"/>
      <c r="L11" s="57"/>
      <c r="M11" s="57"/>
      <c r="N11" s="57"/>
      <c r="O11" s="57"/>
    </row>
    <row r="12" spans="1:15" x14ac:dyDescent="0.25">
      <c r="A12" s="57" t="s">
        <v>499</v>
      </c>
      <c r="B12" s="57" t="s">
        <v>372</v>
      </c>
      <c r="C12" s="57" t="s">
        <v>304</v>
      </c>
      <c r="D12" s="57" t="s">
        <v>448</v>
      </c>
      <c r="E12" s="57">
        <v>10639445</v>
      </c>
      <c r="F12" s="57" t="s">
        <v>373</v>
      </c>
      <c r="G12" s="57" t="s">
        <v>374</v>
      </c>
      <c r="H12" s="57"/>
      <c r="I12" s="57" t="s">
        <v>375</v>
      </c>
      <c r="J12" s="57" t="s">
        <v>376</v>
      </c>
      <c r="K12" s="57"/>
      <c r="L12" s="57" t="s">
        <v>327</v>
      </c>
      <c r="M12" s="57" t="s">
        <v>322</v>
      </c>
      <c r="N12" s="57" t="s">
        <v>322</v>
      </c>
      <c r="O12" s="57" t="s">
        <v>322</v>
      </c>
    </row>
    <row r="13" spans="1:15" x14ac:dyDescent="0.25">
      <c r="A13" s="57" t="s">
        <v>500</v>
      </c>
      <c r="B13" s="57" t="s">
        <v>377</v>
      </c>
      <c r="C13" s="57" t="s">
        <v>304</v>
      </c>
      <c r="D13" s="57" t="s">
        <v>448</v>
      </c>
      <c r="E13" s="57">
        <v>10063519</v>
      </c>
      <c r="F13" s="57" t="s">
        <v>378</v>
      </c>
      <c r="G13" s="57" t="s">
        <v>379</v>
      </c>
      <c r="H13" s="57"/>
      <c r="I13" s="57" t="s">
        <v>380</v>
      </c>
      <c r="J13" s="57" t="s">
        <v>376</v>
      </c>
      <c r="K13" s="57"/>
      <c r="L13" s="57" t="s">
        <v>327</v>
      </c>
      <c r="M13" s="57" t="s">
        <v>322</v>
      </c>
      <c r="N13" s="57" t="s">
        <v>322</v>
      </c>
      <c r="O13" s="57" t="s">
        <v>322</v>
      </c>
    </row>
    <row r="14" spans="1:15" x14ac:dyDescent="0.25">
      <c r="A14" s="57" t="s">
        <v>129</v>
      </c>
      <c r="B14" s="57" t="s">
        <v>128</v>
      </c>
      <c r="C14" s="57" t="s">
        <v>304</v>
      </c>
      <c r="D14" s="57" t="s">
        <v>448</v>
      </c>
      <c r="E14" s="57" t="s">
        <v>364</v>
      </c>
      <c r="F14" s="57" t="s">
        <v>404</v>
      </c>
      <c r="G14" s="57" t="s">
        <v>405</v>
      </c>
      <c r="H14" s="57"/>
      <c r="I14" s="57"/>
      <c r="J14" s="57"/>
      <c r="K14" s="57"/>
      <c r="L14" s="57"/>
      <c r="M14" s="57"/>
      <c r="N14" s="57"/>
      <c r="O14" s="57"/>
    </row>
    <row r="15" spans="1:15" x14ac:dyDescent="0.25">
      <c r="A15" s="57" t="s">
        <v>131</v>
      </c>
      <c r="B15" s="57" t="s">
        <v>130</v>
      </c>
      <c r="C15" s="57" t="s">
        <v>304</v>
      </c>
      <c r="D15" s="57" t="s">
        <v>448</v>
      </c>
      <c r="E15" s="57" t="s">
        <v>342</v>
      </c>
      <c r="F15" s="57" t="s">
        <v>343</v>
      </c>
      <c r="G15" s="57" t="s">
        <v>344</v>
      </c>
      <c r="H15" s="57">
        <v>80349946</v>
      </c>
      <c r="I15" s="57" t="s">
        <v>345</v>
      </c>
      <c r="J15" s="57" t="s">
        <v>320</v>
      </c>
      <c r="K15" s="57"/>
      <c r="L15" s="57" t="s">
        <v>321</v>
      </c>
      <c r="M15" s="57" t="s">
        <v>322</v>
      </c>
      <c r="N15" s="57" t="s">
        <v>322</v>
      </c>
      <c r="O15" s="57" t="s">
        <v>322</v>
      </c>
    </row>
    <row r="16" spans="1:15" x14ac:dyDescent="0.25">
      <c r="A16" s="57" t="s">
        <v>514</v>
      </c>
      <c r="B16" s="57" t="s">
        <v>438</v>
      </c>
      <c r="C16" s="57" t="s">
        <v>304</v>
      </c>
      <c r="D16" s="57" t="s">
        <v>448</v>
      </c>
      <c r="E16" s="57" t="s">
        <v>364</v>
      </c>
      <c r="F16" s="57" t="s">
        <v>439</v>
      </c>
      <c r="G16" s="57" t="s">
        <v>440</v>
      </c>
      <c r="H16" s="57"/>
      <c r="I16" s="57"/>
      <c r="J16" s="57"/>
      <c r="K16" s="57"/>
      <c r="L16" s="57"/>
      <c r="M16" s="57"/>
      <c r="N16" s="57"/>
      <c r="O16" s="57"/>
    </row>
    <row r="17" spans="1:15" x14ac:dyDescent="0.25">
      <c r="A17" s="57" t="s">
        <v>167</v>
      </c>
      <c r="B17" s="57" t="s">
        <v>166</v>
      </c>
      <c r="C17" s="57" t="s">
        <v>304</v>
      </c>
      <c r="D17" s="57" t="s">
        <v>448</v>
      </c>
      <c r="E17" s="57" t="s">
        <v>353</v>
      </c>
      <c r="F17" s="57" t="s">
        <v>354</v>
      </c>
      <c r="G17" s="57" t="s">
        <v>355</v>
      </c>
      <c r="H17" s="57"/>
      <c r="I17" s="57" t="s">
        <v>356</v>
      </c>
      <c r="J17" s="57" t="s">
        <v>320</v>
      </c>
      <c r="K17" s="57"/>
      <c r="L17" s="57" t="s">
        <v>321</v>
      </c>
      <c r="M17" s="57" t="s">
        <v>322</v>
      </c>
      <c r="N17" s="57" t="s">
        <v>322</v>
      </c>
      <c r="O17" s="57" t="s">
        <v>322</v>
      </c>
    </row>
    <row r="18" spans="1:15" x14ac:dyDescent="0.25">
      <c r="A18" s="57" t="s">
        <v>538</v>
      </c>
      <c r="B18" s="57" t="s">
        <v>484</v>
      </c>
      <c r="C18" s="57" t="s">
        <v>304</v>
      </c>
      <c r="D18" s="57"/>
      <c r="E18" s="57" t="s">
        <v>364</v>
      </c>
      <c r="F18" s="57"/>
      <c r="G18" s="57"/>
      <c r="H18" s="57"/>
      <c r="I18" s="57"/>
      <c r="J18" s="57"/>
      <c r="K18" s="57"/>
      <c r="L18" s="57"/>
      <c r="M18" s="57"/>
      <c r="N18" s="57"/>
      <c r="O18" s="57"/>
    </row>
    <row r="19" spans="1:15" x14ac:dyDescent="0.25">
      <c r="A19" s="57" t="s">
        <v>510</v>
      </c>
      <c r="B19" s="57" t="s">
        <v>427</v>
      </c>
      <c r="C19" s="57" t="s">
        <v>304</v>
      </c>
      <c r="D19" s="57" t="s">
        <v>424</v>
      </c>
      <c r="E19" s="57" t="s">
        <v>364</v>
      </c>
      <c r="F19" s="57" t="s">
        <v>428</v>
      </c>
      <c r="G19" s="57" t="s">
        <v>414</v>
      </c>
      <c r="H19" s="57"/>
      <c r="I19" s="57"/>
      <c r="J19" s="57"/>
      <c r="K19" s="57"/>
      <c r="L19" s="57"/>
      <c r="M19" s="57"/>
      <c r="N19" s="57"/>
      <c r="O19" s="57"/>
    </row>
    <row r="20" spans="1:15" x14ac:dyDescent="0.25">
      <c r="A20" s="57" t="s">
        <v>537</v>
      </c>
      <c r="B20" s="57" t="s">
        <v>483</v>
      </c>
      <c r="C20" s="57" t="s">
        <v>304</v>
      </c>
      <c r="D20" s="57"/>
      <c r="E20" s="57" t="s">
        <v>364</v>
      </c>
      <c r="F20" s="57"/>
      <c r="G20" s="57"/>
      <c r="H20" s="57"/>
      <c r="I20" s="57"/>
      <c r="J20" s="57"/>
      <c r="K20" s="57"/>
      <c r="L20" s="57"/>
      <c r="M20" s="57"/>
      <c r="N20" s="57"/>
      <c r="O20" s="57"/>
    </row>
    <row r="21" spans="1:15" x14ac:dyDescent="0.25">
      <c r="A21" s="57" t="s">
        <v>498</v>
      </c>
      <c r="B21" s="57" t="s">
        <v>368</v>
      </c>
      <c r="C21" s="57" t="s">
        <v>490</v>
      </c>
      <c r="D21" s="57"/>
      <c r="E21" s="57" t="s">
        <v>369</v>
      </c>
      <c r="F21" s="57" t="s">
        <v>370</v>
      </c>
      <c r="G21" s="57" t="s">
        <v>325</v>
      </c>
      <c r="H21" s="57"/>
      <c r="I21" s="57" t="s">
        <v>371</v>
      </c>
      <c r="J21" s="57" t="s">
        <v>320</v>
      </c>
      <c r="K21" s="57"/>
      <c r="L21" s="57" t="s">
        <v>321</v>
      </c>
      <c r="M21" s="57" t="s">
        <v>322</v>
      </c>
      <c r="N21" s="57" t="s">
        <v>322</v>
      </c>
      <c r="O21" s="57" t="s">
        <v>322</v>
      </c>
    </row>
    <row r="22" spans="1:15" x14ac:dyDescent="0.25">
      <c r="A22" s="57" t="s">
        <v>495</v>
      </c>
      <c r="B22" s="57" t="s">
        <v>336</v>
      </c>
      <c r="C22" s="57" t="s">
        <v>304</v>
      </c>
      <c r="D22" s="57" t="s">
        <v>448</v>
      </c>
      <c r="E22" s="57">
        <v>10406083</v>
      </c>
      <c r="F22" s="57" t="s">
        <v>338</v>
      </c>
      <c r="G22" s="57" t="s">
        <v>339</v>
      </c>
      <c r="H22" s="57">
        <v>80332812</v>
      </c>
      <c r="I22" s="57" t="s">
        <v>340</v>
      </c>
      <c r="J22" s="57" t="s">
        <v>341</v>
      </c>
      <c r="K22" s="57"/>
      <c r="L22" s="57" t="s">
        <v>327</v>
      </c>
      <c r="M22" s="57" t="s">
        <v>322</v>
      </c>
      <c r="N22" s="57" t="s">
        <v>322</v>
      </c>
      <c r="O22" s="57" t="s">
        <v>322</v>
      </c>
    </row>
    <row r="23" spans="1:15" x14ac:dyDescent="0.25">
      <c r="A23" s="57" t="s">
        <v>524</v>
      </c>
      <c r="B23" s="57" t="s">
        <v>463</v>
      </c>
      <c r="C23" s="57" t="s">
        <v>304</v>
      </c>
      <c r="D23" s="57" t="s">
        <v>448</v>
      </c>
      <c r="E23" s="57" t="s">
        <v>364</v>
      </c>
      <c r="F23" s="57" t="s">
        <v>464</v>
      </c>
      <c r="G23" s="57" t="s">
        <v>465</v>
      </c>
      <c r="H23" s="57"/>
      <c r="I23" s="57"/>
      <c r="J23" s="57"/>
      <c r="K23" s="57"/>
      <c r="L23" s="57"/>
      <c r="M23" s="57"/>
      <c r="N23" s="57"/>
      <c r="O23" s="57"/>
    </row>
    <row r="24" spans="1:15" x14ac:dyDescent="0.25">
      <c r="A24" s="57" t="s">
        <v>133</v>
      </c>
      <c r="B24" s="57" t="s">
        <v>132</v>
      </c>
      <c r="C24" s="57" t="s">
        <v>304</v>
      </c>
      <c r="D24" s="57" t="s">
        <v>448</v>
      </c>
      <c r="E24" s="57" t="s">
        <v>398</v>
      </c>
      <c r="F24" s="57" t="s">
        <v>44</v>
      </c>
      <c r="G24" s="57" t="s">
        <v>408</v>
      </c>
      <c r="H24" s="57"/>
      <c r="I24" s="57"/>
      <c r="J24" s="57"/>
      <c r="K24" s="57"/>
      <c r="L24" s="57"/>
      <c r="M24" s="57"/>
      <c r="N24" s="57"/>
      <c r="O24" s="57"/>
    </row>
    <row r="25" spans="1:15" x14ac:dyDescent="0.25">
      <c r="A25" s="57" t="s">
        <v>497</v>
      </c>
      <c r="B25" s="57" t="s">
        <v>360</v>
      </c>
      <c r="C25" s="57" t="s">
        <v>490</v>
      </c>
      <c r="D25" s="57"/>
      <c r="E25" s="57">
        <v>10933617</v>
      </c>
      <c r="F25" s="57" t="s">
        <v>361</v>
      </c>
      <c r="G25" s="57" t="s">
        <v>362</v>
      </c>
      <c r="H25" s="57"/>
      <c r="I25" s="57"/>
      <c r="J25" s="57" t="s">
        <v>320</v>
      </c>
      <c r="K25" s="57"/>
      <c r="L25" s="57" t="s">
        <v>363</v>
      </c>
      <c r="M25" s="57" t="s">
        <v>322</v>
      </c>
      <c r="N25" s="57" t="s">
        <v>322</v>
      </c>
      <c r="O25" s="57"/>
    </row>
    <row r="26" spans="1:15" x14ac:dyDescent="0.25">
      <c r="A26" s="57" t="s">
        <v>135</v>
      </c>
      <c r="B26" s="57" t="s">
        <v>134</v>
      </c>
      <c r="C26" s="57" t="s">
        <v>304</v>
      </c>
      <c r="D26" s="57" t="s">
        <v>448</v>
      </c>
      <c r="E26" s="57">
        <v>10874885</v>
      </c>
      <c r="F26" s="57" t="s">
        <v>14</v>
      </c>
      <c r="G26" s="57" t="s">
        <v>330</v>
      </c>
      <c r="H26" s="57"/>
      <c r="I26" s="57" t="s">
        <v>331</v>
      </c>
      <c r="J26" s="57" t="s">
        <v>320</v>
      </c>
      <c r="K26" s="57"/>
      <c r="L26" s="57" t="s">
        <v>327</v>
      </c>
      <c r="M26" s="57" t="s">
        <v>322</v>
      </c>
      <c r="N26" s="57" t="s">
        <v>322</v>
      </c>
      <c r="O26" s="57" t="s">
        <v>322</v>
      </c>
    </row>
    <row r="27" spans="1:15" x14ac:dyDescent="0.25">
      <c r="A27" s="57" t="s">
        <v>158</v>
      </c>
      <c r="B27" s="57" t="s">
        <v>157</v>
      </c>
      <c r="C27" s="57" t="s">
        <v>304</v>
      </c>
      <c r="D27" s="57" t="s">
        <v>448</v>
      </c>
      <c r="E27" s="57" t="s">
        <v>398</v>
      </c>
      <c r="F27" s="57" t="s">
        <v>410</v>
      </c>
      <c r="G27" s="57" t="s">
        <v>411</v>
      </c>
      <c r="H27" s="57"/>
      <c r="I27" s="57"/>
      <c r="J27" s="57"/>
      <c r="K27" s="57"/>
      <c r="L27" s="57"/>
      <c r="M27" s="57"/>
      <c r="N27" s="57"/>
      <c r="O27" s="57"/>
    </row>
    <row r="28" spans="1:15" x14ac:dyDescent="0.25">
      <c r="A28" s="57" t="s">
        <v>521</v>
      </c>
      <c r="B28" s="57" t="s">
        <v>455</v>
      </c>
      <c r="C28" s="57" t="s">
        <v>304</v>
      </c>
      <c r="D28" s="57" t="s">
        <v>448</v>
      </c>
      <c r="E28" s="57" t="s">
        <v>364</v>
      </c>
      <c r="F28" s="57" t="s">
        <v>14</v>
      </c>
      <c r="G28" s="57" t="s">
        <v>456</v>
      </c>
      <c r="H28" s="57"/>
      <c r="I28" s="57"/>
      <c r="J28" s="57"/>
      <c r="K28" s="57"/>
      <c r="L28" s="57"/>
      <c r="M28" s="57"/>
      <c r="N28" s="57"/>
      <c r="O28" s="57"/>
    </row>
    <row r="29" spans="1:15" x14ac:dyDescent="0.25">
      <c r="A29" s="57" t="s">
        <v>143</v>
      </c>
      <c r="B29" s="57" t="s">
        <v>142</v>
      </c>
      <c r="C29" s="57" t="s">
        <v>304</v>
      </c>
      <c r="D29" s="57" t="s">
        <v>448</v>
      </c>
      <c r="E29" s="57">
        <v>10448724</v>
      </c>
      <c r="F29" s="57" t="s">
        <v>14</v>
      </c>
      <c r="G29" s="57" t="s">
        <v>397</v>
      </c>
      <c r="H29" s="57"/>
      <c r="I29" s="57"/>
      <c r="J29" s="57"/>
      <c r="K29" s="57"/>
      <c r="L29" s="57"/>
      <c r="M29" s="57"/>
      <c r="N29" s="57"/>
      <c r="O29" s="57"/>
    </row>
    <row r="30" spans="1:15" x14ac:dyDescent="0.25">
      <c r="A30" s="57" t="s">
        <v>507</v>
      </c>
      <c r="B30" s="57" t="s">
        <v>418</v>
      </c>
      <c r="C30" s="57" t="s">
        <v>304</v>
      </c>
      <c r="D30" s="57" t="s">
        <v>448</v>
      </c>
      <c r="E30" s="57" t="s">
        <v>363</v>
      </c>
      <c r="F30" s="57" t="s">
        <v>416</v>
      </c>
      <c r="G30" s="57" t="s">
        <v>419</v>
      </c>
      <c r="H30" s="57"/>
      <c r="I30" s="57"/>
      <c r="J30" s="57"/>
      <c r="K30" s="57"/>
      <c r="L30" s="57"/>
      <c r="M30" s="57"/>
      <c r="N30" s="57"/>
      <c r="O30" s="57"/>
    </row>
    <row r="31" spans="1:15" x14ac:dyDescent="0.25">
      <c r="A31" s="57" t="s">
        <v>506</v>
      </c>
      <c r="B31" s="57" t="s">
        <v>415</v>
      </c>
      <c r="C31" s="57" t="s">
        <v>304</v>
      </c>
      <c r="D31" s="57" t="s">
        <v>448</v>
      </c>
      <c r="E31" s="57" t="s">
        <v>363</v>
      </c>
      <c r="F31" s="57" t="s">
        <v>416</v>
      </c>
      <c r="G31" s="57" t="s">
        <v>417</v>
      </c>
      <c r="H31" s="57"/>
      <c r="I31" s="57"/>
      <c r="J31" s="57"/>
      <c r="K31" s="57"/>
      <c r="L31" s="57"/>
      <c r="M31" s="57"/>
      <c r="N31" s="57"/>
      <c r="O31" s="57"/>
    </row>
    <row r="32" spans="1:15" x14ac:dyDescent="0.25">
      <c r="A32" s="57" t="s">
        <v>492</v>
      </c>
      <c r="B32" s="57" t="s">
        <v>316</v>
      </c>
      <c r="C32" s="57" t="s">
        <v>490</v>
      </c>
      <c r="D32" s="57"/>
      <c r="E32" s="57" t="s">
        <v>317</v>
      </c>
      <c r="F32" s="57" t="s">
        <v>491</v>
      </c>
      <c r="G32" s="57" t="s">
        <v>318</v>
      </c>
      <c r="H32" s="57"/>
      <c r="I32" s="57" t="s">
        <v>319</v>
      </c>
      <c r="J32" s="57" t="s">
        <v>320</v>
      </c>
      <c r="K32" s="57"/>
      <c r="L32" s="57" t="s">
        <v>321</v>
      </c>
      <c r="M32" s="57" t="s">
        <v>322</v>
      </c>
      <c r="N32" s="57" t="s">
        <v>322</v>
      </c>
      <c r="O32" s="57"/>
    </row>
    <row r="33" spans="1:15" x14ac:dyDescent="0.25">
      <c r="A33" s="57" t="s">
        <v>523</v>
      </c>
      <c r="B33" s="57" t="s">
        <v>460</v>
      </c>
      <c r="C33" s="57" t="s">
        <v>304</v>
      </c>
      <c r="D33" s="57" t="s">
        <v>448</v>
      </c>
      <c r="E33" s="57" t="s">
        <v>364</v>
      </c>
      <c r="F33" s="57" t="s">
        <v>461</v>
      </c>
      <c r="G33" s="57" t="s">
        <v>462</v>
      </c>
      <c r="H33" s="57"/>
      <c r="I33" s="57"/>
      <c r="J33" s="57"/>
      <c r="K33" s="57"/>
      <c r="L33" s="57"/>
      <c r="M33" s="57"/>
      <c r="N33" s="57"/>
      <c r="O33" s="57"/>
    </row>
    <row r="34" spans="1:15" x14ac:dyDescent="0.25">
      <c r="A34" s="57" t="s">
        <v>520</v>
      </c>
      <c r="B34" s="57" t="s">
        <v>452</v>
      </c>
      <c r="C34" s="57" t="s">
        <v>304</v>
      </c>
      <c r="D34" s="57" t="s">
        <v>448</v>
      </c>
      <c r="E34" s="57" t="s">
        <v>364</v>
      </c>
      <c r="F34" s="57" t="s">
        <v>453</v>
      </c>
      <c r="G34" s="57" t="s">
        <v>454</v>
      </c>
      <c r="H34" s="57"/>
      <c r="I34" s="57"/>
      <c r="J34" s="57"/>
      <c r="K34" s="57"/>
      <c r="L34" s="57"/>
      <c r="M34" s="57"/>
      <c r="N34" s="57"/>
      <c r="O34" s="57"/>
    </row>
    <row r="35" spans="1:15" x14ac:dyDescent="0.25">
      <c r="A35" s="57" t="s">
        <v>536</v>
      </c>
      <c r="B35" s="57" t="s">
        <v>482</v>
      </c>
      <c r="C35" s="57" t="s">
        <v>304</v>
      </c>
      <c r="D35" s="57"/>
      <c r="E35" s="57" t="s">
        <v>364</v>
      </c>
      <c r="F35" s="57"/>
      <c r="G35" s="57"/>
      <c r="H35" s="57"/>
      <c r="I35" s="57"/>
      <c r="J35" s="57"/>
      <c r="K35" s="57"/>
      <c r="L35" s="57"/>
      <c r="M35" s="57"/>
      <c r="N35" s="57"/>
      <c r="O35" s="57"/>
    </row>
    <row r="36" spans="1:15" x14ac:dyDescent="0.25">
      <c r="A36" s="57" t="s">
        <v>526</v>
      </c>
      <c r="B36" s="57" t="s">
        <v>469</v>
      </c>
      <c r="C36" s="57" t="s">
        <v>304</v>
      </c>
      <c r="D36" s="57" t="s">
        <v>337</v>
      </c>
      <c r="E36" s="57" t="s">
        <v>364</v>
      </c>
      <c r="F36" s="57" t="s">
        <v>470</v>
      </c>
      <c r="G36" s="57" t="s">
        <v>471</v>
      </c>
      <c r="H36" s="57"/>
      <c r="I36" s="57"/>
      <c r="J36" s="57"/>
      <c r="K36" s="57"/>
      <c r="L36" s="57"/>
      <c r="M36" s="57"/>
      <c r="N36" s="57"/>
      <c r="O36" s="57"/>
    </row>
    <row r="37" spans="1:15" x14ac:dyDescent="0.25">
      <c r="A37" s="57" t="s">
        <v>149</v>
      </c>
      <c r="B37" s="57" t="s">
        <v>148</v>
      </c>
      <c r="C37" s="57" t="s">
        <v>304</v>
      </c>
      <c r="D37" s="57" t="s">
        <v>448</v>
      </c>
      <c r="E37" s="57">
        <v>10725630</v>
      </c>
      <c r="F37" s="57" t="s">
        <v>350</v>
      </c>
      <c r="G37" s="57" t="s">
        <v>351</v>
      </c>
      <c r="H37" s="57"/>
      <c r="I37" s="57" t="s">
        <v>352</v>
      </c>
      <c r="J37" s="57" t="s">
        <v>320</v>
      </c>
      <c r="K37" s="57"/>
      <c r="L37" s="57" t="s">
        <v>327</v>
      </c>
      <c r="M37" s="57" t="s">
        <v>322</v>
      </c>
      <c r="N37" s="57" t="s">
        <v>322</v>
      </c>
      <c r="O37" s="57" t="s">
        <v>322</v>
      </c>
    </row>
    <row r="38" spans="1:15" x14ac:dyDescent="0.25">
      <c r="A38" s="57" t="s">
        <v>518</v>
      </c>
      <c r="B38" s="57" t="s">
        <v>447</v>
      </c>
      <c r="C38" s="57" t="s">
        <v>304</v>
      </c>
      <c r="D38" s="57" t="s">
        <v>448</v>
      </c>
      <c r="E38" s="57" t="s">
        <v>364</v>
      </c>
      <c r="F38" s="57" t="s">
        <v>449</v>
      </c>
      <c r="G38" s="57" t="s">
        <v>450</v>
      </c>
      <c r="H38" s="57"/>
      <c r="I38" s="57"/>
      <c r="J38" s="57"/>
      <c r="K38" s="57"/>
      <c r="L38" s="57"/>
      <c r="M38" s="57"/>
      <c r="N38" s="57"/>
      <c r="O38" s="57"/>
    </row>
    <row r="39" spans="1:15" x14ac:dyDescent="0.25">
      <c r="A39" s="57" t="s">
        <v>529</v>
      </c>
      <c r="B39" s="57" t="s">
        <v>476</v>
      </c>
      <c r="C39" s="57" t="s">
        <v>304</v>
      </c>
      <c r="D39" s="57"/>
      <c r="E39" s="57" t="s">
        <v>364</v>
      </c>
      <c r="F39" s="57"/>
      <c r="G39" s="57"/>
      <c r="H39" s="57"/>
      <c r="I39" s="57"/>
      <c r="J39" s="57"/>
      <c r="K39" s="57"/>
      <c r="L39" s="57"/>
      <c r="M39" s="57"/>
      <c r="N39" s="57"/>
      <c r="O39" s="57"/>
    </row>
    <row r="40" spans="1:15" x14ac:dyDescent="0.25">
      <c r="A40" s="57" t="s">
        <v>512</v>
      </c>
      <c r="B40" s="57" t="s">
        <v>432</v>
      </c>
      <c r="C40" s="57" t="s">
        <v>304</v>
      </c>
      <c r="D40" s="57" t="s">
        <v>448</v>
      </c>
      <c r="E40" s="57" t="s">
        <v>364</v>
      </c>
      <c r="F40" s="57" t="s">
        <v>433</v>
      </c>
      <c r="G40" s="57" t="s">
        <v>434</v>
      </c>
      <c r="H40" s="57"/>
      <c r="I40" s="57"/>
      <c r="J40" s="57"/>
      <c r="K40" s="57"/>
      <c r="L40" s="57"/>
      <c r="M40" s="57"/>
      <c r="N40" s="57"/>
      <c r="O40" s="57"/>
    </row>
    <row r="41" spans="1:15" x14ac:dyDescent="0.25">
      <c r="A41" s="57" t="s">
        <v>508</v>
      </c>
      <c r="B41" s="57" t="s">
        <v>420</v>
      </c>
      <c r="C41" s="57" t="s">
        <v>304</v>
      </c>
      <c r="D41" s="57" t="s">
        <v>421</v>
      </c>
      <c r="E41" s="57" t="s">
        <v>363</v>
      </c>
      <c r="F41" s="57" t="s">
        <v>12</v>
      </c>
      <c r="G41" s="57" t="s">
        <v>422</v>
      </c>
      <c r="H41" s="57"/>
      <c r="I41" s="57"/>
      <c r="J41" s="57"/>
      <c r="K41" s="57"/>
      <c r="L41" s="57"/>
      <c r="M41" s="57"/>
      <c r="N41" s="57"/>
      <c r="O41" s="57"/>
    </row>
    <row r="42" spans="1:15" x14ac:dyDescent="0.25">
      <c r="A42" s="57" t="s">
        <v>137</v>
      </c>
      <c r="B42" s="57" t="s">
        <v>136</v>
      </c>
      <c r="C42" s="57" t="s">
        <v>304</v>
      </c>
      <c r="D42" s="57" t="s">
        <v>448</v>
      </c>
      <c r="E42" s="57" t="s">
        <v>398</v>
      </c>
      <c r="F42" s="57" t="s">
        <v>12</v>
      </c>
      <c r="G42" s="57" t="s">
        <v>399</v>
      </c>
      <c r="H42" s="57"/>
      <c r="I42" s="57"/>
      <c r="J42" s="57"/>
      <c r="K42" s="57"/>
      <c r="L42" s="57"/>
      <c r="M42" s="57"/>
      <c r="N42" s="57"/>
      <c r="O42" s="57"/>
    </row>
    <row r="43" spans="1:15" x14ac:dyDescent="0.25">
      <c r="A43" s="57" t="s">
        <v>528</v>
      </c>
      <c r="B43" s="57" t="s">
        <v>475</v>
      </c>
      <c r="C43" s="57" t="s">
        <v>304</v>
      </c>
      <c r="D43" s="57"/>
      <c r="E43" s="57" t="s">
        <v>364</v>
      </c>
      <c r="F43" s="57"/>
      <c r="G43" s="57"/>
      <c r="H43" s="57"/>
      <c r="I43" s="57"/>
      <c r="J43" s="57"/>
      <c r="K43" s="57"/>
      <c r="L43" s="57"/>
      <c r="M43" s="57"/>
      <c r="N43" s="57"/>
      <c r="O43" s="57"/>
    </row>
    <row r="44" spans="1:15" x14ac:dyDescent="0.25">
      <c r="A44" s="57" t="s">
        <v>542</v>
      </c>
      <c r="B44" s="57" t="s">
        <v>488</v>
      </c>
      <c r="C44" s="57" t="s">
        <v>304</v>
      </c>
      <c r="D44" s="57"/>
      <c r="E44" s="57" t="s">
        <v>489</v>
      </c>
      <c r="F44" s="57"/>
      <c r="G44" s="57"/>
      <c r="H44" s="57"/>
      <c r="I44" s="57"/>
      <c r="J44" s="57"/>
      <c r="K44" s="57"/>
      <c r="L44" s="57"/>
      <c r="M44" s="57"/>
      <c r="N44" s="57"/>
      <c r="O44" s="57"/>
    </row>
    <row r="45" spans="1:15" x14ac:dyDescent="0.25">
      <c r="A45" s="57" t="s">
        <v>151</v>
      </c>
      <c r="B45" s="57" t="s">
        <v>150</v>
      </c>
      <c r="C45" s="57" t="s">
        <v>304</v>
      </c>
      <c r="D45" s="57" t="s">
        <v>448</v>
      </c>
      <c r="E45" s="57" t="s">
        <v>398</v>
      </c>
      <c r="F45" s="57" t="s">
        <v>400</v>
      </c>
      <c r="G45" s="57" t="s">
        <v>401</v>
      </c>
      <c r="H45" s="57"/>
      <c r="I45" s="57"/>
      <c r="J45" s="57"/>
      <c r="K45" s="57"/>
      <c r="L45" s="57"/>
      <c r="M45" s="57"/>
      <c r="N45" s="57"/>
      <c r="O45" s="57"/>
    </row>
    <row r="46" spans="1:15" x14ac:dyDescent="0.25">
      <c r="A46" s="57" t="s">
        <v>493</v>
      </c>
      <c r="B46" s="57" t="s">
        <v>323</v>
      </c>
      <c r="C46" s="57" t="s">
        <v>490</v>
      </c>
      <c r="D46" s="57"/>
      <c r="E46" s="57">
        <v>10500771</v>
      </c>
      <c r="F46" s="57" t="s">
        <v>324</v>
      </c>
      <c r="G46" s="57" t="s">
        <v>325</v>
      </c>
      <c r="H46" s="57"/>
      <c r="I46" s="57" t="s">
        <v>326</v>
      </c>
      <c r="J46" s="57" t="s">
        <v>320</v>
      </c>
      <c r="K46" s="57"/>
      <c r="L46" s="57" t="s">
        <v>327</v>
      </c>
      <c r="M46" s="57" t="s">
        <v>322</v>
      </c>
      <c r="N46" s="57" t="s">
        <v>328</v>
      </c>
      <c r="O46" s="57" t="s">
        <v>329</v>
      </c>
    </row>
    <row r="47" spans="1:15" x14ac:dyDescent="0.25">
      <c r="A47" s="57" t="s">
        <v>502</v>
      </c>
      <c r="B47" s="57" t="s">
        <v>386</v>
      </c>
      <c r="C47" s="57" t="s">
        <v>304</v>
      </c>
      <c r="D47" s="57" t="s">
        <v>448</v>
      </c>
      <c r="E47" s="57">
        <v>10048319</v>
      </c>
      <c r="F47" s="57" t="s">
        <v>387</v>
      </c>
      <c r="G47" s="57" t="s">
        <v>388</v>
      </c>
      <c r="H47" s="57"/>
      <c r="I47" s="57"/>
      <c r="J47" s="57"/>
      <c r="K47" s="57"/>
      <c r="L47" s="57"/>
      <c r="M47" s="57"/>
      <c r="N47" s="57"/>
      <c r="O47" s="57"/>
    </row>
    <row r="48" spans="1:15" x14ac:dyDescent="0.25">
      <c r="A48" s="57" t="s">
        <v>139</v>
      </c>
      <c r="B48" s="57" t="s">
        <v>138</v>
      </c>
      <c r="C48" s="57" t="s">
        <v>304</v>
      </c>
      <c r="D48" s="57" t="s">
        <v>448</v>
      </c>
      <c r="E48" s="57" t="s">
        <v>364</v>
      </c>
      <c r="F48" s="57" t="s">
        <v>365</v>
      </c>
      <c r="G48" s="57" t="s">
        <v>366</v>
      </c>
      <c r="H48" s="57">
        <v>80359668</v>
      </c>
      <c r="I48" s="57" t="s">
        <v>367</v>
      </c>
      <c r="J48" s="57" t="s">
        <v>320</v>
      </c>
      <c r="K48" s="57"/>
      <c r="L48" s="57" t="s">
        <v>327</v>
      </c>
      <c r="M48" s="57" t="s">
        <v>322</v>
      </c>
      <c r="N48" s="57" t="s">
        <v>322</v>
      </c>
      <c r="O48" s="57"/>
    </row>
    <row r="49" spans="1:15" x14ac:dyDescent="0.25">
      <c r="A49" s="57" t="s">
        <v>513</v>
      </c>
      <c r="B49" s="57" t="s">
        <v>435</v>
      </c>
      <c r="C49" s="57" t="s">
        <v>304</v>
      </c>
      <c r="D49" s="57" t="s">
        <v>337</v>
      </c>
      <c r="E49" s="57" t="s">
        <v>364</v>
      </c>
      <c r="F49" s="57" t="s">
        <v>436</v>
      </c>
      <c r="G49" s="57" t="s">
        <v>437</v>
      </c>
      <c r="H49" s="57"/>
      <c r="I49" s="57"/>
      <c r="J49" s="57"/>
      <c r="K49" s="57"/>
      <c r="L49" s="57"/>
      <c r="M49" s="57"/>
      <c r="N49" s="57"/>
      <c r="O49" s="57"/>
    </row>
    <row r="50" spans="1:15" x14ac:dyDescent="0.25">
      <c r="A50" s="57" t="s">
        <v>503</v>
      </c>
      <c r="B50" s="57" t="s">
        <v>389</v>
      </c>
      <c r="C50" s="57" t="s">
        <v>304</v>
      </c>
      <c r="D50" s="57" t="s">
        <v>448</v>
      </c>
      <c r="E50" s="57">
        <v>10304155</v>
      </c>
      <c r="F50" s="57" t="s">
        <v>390</v>
      </c>
      <c r="G50" s="57" t="s">
        <v>391</v>
      </c>
      <c r="H50" s="57"/>
      <c r="I50" s="57"/>
      <c r="J50" s="57"/>
      <c r="K50" s="57"/>
      <c r="L50" s="57"/>
      <c r="M50" s="57"/>
      <c r="N50" s="57"/>
      <c r="O50" s="57"/>
    </row>
    <row r="51" spans="1:15" x14ac:dyDescent="0.25">
      <c r="A51" s="57" t="s">
        <v>509</v>
      </c>
      <c r="B51" s="57" t="s">
        <v>423</v>
      </c>
      <c r="C51" s="57" t="s">
        <v>304</v>
      </c>
      <c r="D51" s="57" t="s">
        <v>424</v>
      </c>
      <c r="E51" s="57" t="s">
        <v>364</v>
      </c>
      <c r="F51" s="57" t="s">
        <v>425</v>
      </c>
      <c r="G51" s="57" t="s">
        <v>426</v>
      </c>
      <c r="H51" s="57"/>
      <c r="I51" s="57"/>
      <c r="J51" s="57"/>
      <c r="K51" s="57"/>
      <c r="L51" s="57"/>
      <c r="M51" s="57"/>
      <c r="N51" s="57"/>
      <c r="O51" s="57"/>
    </row>
    <row r="52" spans="1:15" x14ac:dyDescent="0.25">
      <c r="A52" s="57" t="s">
        <v>532</v>
      </c>
      <c r="B52" s="57" t="s">
        <v>478</v>
      </c>
      <c r="C52" s="57" t="s">
        <v>304</v>
      </c>
      <c r="D52" s="57"/>
      <c r="E52" s="57" t="s">
        <v>364</v>
      </c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5" x14ac:dyDescent="0.25">
      <c r="A53" s="57" t="s">
        <v>515</v>
      </c>
      <c r="B53" s="57" t="s">
        <v>441</v>
      </c>
      <c r="C53" s="57" t="s">
        <v>304</v>
      </c>
      <c r="D53" s="57" t="s">
        <v>448</v>
      </c>
      <c r="E53" s="57" t="s">
        <v>364</v>
      </c>
      <c r="F53" s="57" t="s">
        <v>442</v>
      </c>
      <c r="G53" s="57" t="s">
        <v>405</v>
      </c>
      <c r="H53" s="57"/>
      <c r="I53" s="57"/>
      <c r="J53" s="57"/>
      <c r="K53" s="57"/>
      <c r="L53" s="57"/>
      <c r="M53" s="57"/>
      <c r="N53" s="57"/>
      <c r="O53" s="57"/>
    </row>
    <row r="54" spans="1:15" x14ac:dyDescent="0.25">
      <c r="A54" s="57" t="s">
        <v>516</v>
      </c>
      <c r="B54" s="57" t="s">
        <v>443</v>
      </c>
      <c r="C54" s="57" t="s">
        <v>304</v>
      </c>
      <c r="D54" s="57" t="s">
        <v>337</v>
      </c>
      <c r="E54" s="57" t="s">
        <v>364</v>
      </c>
      <c r="F54" s="57" t="s">
        <v>46</v>
      </c>
      <c r="G54" s="57" t="s">
        <v>444</v>
      </c>
      <c r="H54" s="57"/>
      <c r="I54" s="57"/>
      <c r="J54" s="57"/>
      <c r="K54" s="57"/>
      <c r="L54" s="57"/>
      <c r="M54" s="57"/>
      <c r="N54" s="57"/>
      <c r="O54" s="57"/>
    </row>
    <row r="55" spans="1:15" x14ac:dyDescent="0.25">
      <c r="A55" s="57" t="s">
        <v>533</v>
      </c>
      <c r="B55" s="57" t="s">
        <v>479</v>
      </c>
      <c r="C55" s="57" t="s">
        <v>304</v>
      </c>
      <c r="D55" s="57"/>
      <c r="E55" s="57" t="s">
        <v>364</v>
      </c>
      <c r="F55" s="57"/>
      <c r="G55" s="57"/>
      <c r="H55" s="57"/>
      <c r="I55" s="57"/>
      <c r="J55" s="57"/>
      <c r="K55" s="57"/>
      <c r="L55" s="57"/>
      <c r="M55" s="57"/>
      <c r="N55" s="57"/>
      <c r="O55" s="57"/>
    </row>
    <row r="56" spans="1:15" x14ac:dyDescent="0.25">
      <c r="A56" s="57" t="s">
        <v>154</v>
      </c>
      <c r="B56" s="57" t="s">
        <v>153</v>
      </c>
      <c r="C56" s="57" t="s">
        <v>490</v>
      </c>
      <c r="D56" s="57" t="s">
        <v>448</v>
      </c>
      <c r="E56" s="57" t="s">
        <v>398</v>
      </c>
      <c r="F56" s="57" t="s">
        <v>46</v>
      </c>
      <c r="G56" s="57" t="s">
        <v>325</v>
      </c>
      <c r="H56" s="57"/>
      <c r="I56" s="57"/>
      <c r="J56" s="57"/>
      <c r="K56" s="57"/>
      <c r="L56" s="57"/>
      <c r="M56" s="57"/>
      <c r="N56" s="57"/>
      <c r="O56" s="57"/>
    </row>
    <row r="57" spans="1:15" x14ac:dyDescent="0.25">
      <c r="A57" s="57" t="s">
        <v>519</v>
      </c>
      <c r="B57" s="57" t="s">
        <v>451</v>
      </c>
      <c r="C57" s="57" t="s">
        <v>304</v>
      </c>
      <c r="D57" s="57" t="s">
        <v>448</v>
      </c>
      <c r="E57" s="57" t="s">
        <v>364</v>
      </c>
      <c r="F57" s="57" t="s">
        <v>46</v>
      </c>
      <c r="G57" s="57" t="s">
        <v>405</v>
      </c>
      <c r="H57" s="57"/>
      <c r="I57" s="57"/>
      <c r="J57" s="57"/>
      <c r="K57" s="57"/>
      <c r="L57" s="57"/>
      <c r="M57" s="57"/>
      <c r="N57" s="57"/>
      <c r="O57" s="57"/>
    </row>
    <row r="58" spans="1:15" x14ac:dyDescent="0.25">
      <c r="A58" s="57" t="s">
        <v>531</v>
      </c>
      <c r="B58" s="57" t="s">
        <v>393</v>
      </c>
      <c r="C58" s="57" t="s">
        <v>304</v>
      </c>
      <c r="D58" s="57"/>
      <c r="E58" s="57" t="s">
        <v>364</v>
      </c>
      <c r="F58" s="57"/>
      <c r="G58" s="57"/>
      <c r="H58" s="57"/>
      <c r="I58" s="57"/>
      <c r="J58" s="57"/>
      <c r="K58" s="57"/>
      <c r="L58" s="57"/>
      <c r="M58" s="57"/>
      <c r="N58" s="57"/>
      <c r="O58" s="57"/>
    </row>
    <row r="59" spans="1:15" x14ac:dyDescent="0.25">
      <c r="A59" s="57" t="s">
        <v>517</v>
      </c>
      <c r="B59" s="57" t="s">
        <v>445</v>
      </c>
      <c r="C59" s="57" t="s">
        <v>304</v>
      </c>
      <c r="D59" s="57" t="s">
        <v>337</v>
      </c>
      <c r="E59" s="57" t="s">
        <v>398</v>
      </c>
      <c r="F59" s="57" t="s">
        <v>393</v>
      </c>
      <c r="G59" s="57" t="s">
        <v>446</v>
      </c>
      <c r="H59" s="57"/>
      <c r="I59" s="57"/>
      <c r="J59" s="57"/>
      <c r="K59" s="57"/>
      <c r="L59" s="57"/>
      <c r="M59" s="57"/>
      <c r="N59" s="57"/>
      <c r="O59" s="57"/>
    </row>
    <row r="60" spans="1:15" x14ac:dyDescent="0.25">
      <c r="A60" s="57" t="s">
        <v>504</v>
      </c>
      <c r="B60" s="57" t="s">
        <v>392</v>
      </c>
      <c r="C60" s="57" t="s">
        <v>304</v>
      </c>
      <c r="D60" s="57" t="s">
        <v>448</v>
      </c>
      <c r="E60" s="57">
        <v>10791392</v>
      </c>
      <c r="F60" s="57" t="s">
        <v>393</v>
      </c>
      <c r="G60" s="57" t="s">
        <v>394</v>
      </c>
      <c r="H60" s="57"/>
      <c r="I60" s="57"/>
      <c r="J60" s="57"/>
      <c r="K60" s="57"/>
      <c r="L60" s="57"/>
      <c r="M60" s="57"/>
      <c r="N60" s="57"/>
      <c r="O60" s="57"/>
    </row>
    <row r="61" spans="1:15" x14ac:dyDescent="0.25">
      <c r="A61" s="57" t="s">
        <v>540</v>
      </c>
      <c r="B61" s="57" t="s">
        <v>486</v>
      </c>
      <c r="C61" s="57" t="s">
        <v>304</v>
      </c>
      <c r="D61" s="57"/>
      <c r="E61" s="57" t="s">
        <v>364</v>
      </c>
      <c r="F61" s="57"/>
      <c r="G61" s="57"/>
      <c r="H61" s="57"/>
      <c r="I61" s="57"/>
      <c r="J61" s="57"/>
      <c r="K61" s="57"/>
      <c r="L61" s="57"/>
      <c r="M61" s="57"/>
      <c r="N61" s="57"/>
      <c r="O61" s="57"/>
    </row>
    <row r="62" spans="1:15" x14ac:dyDescent="0.25">
      <c r="A62" s="57" t="s">
        <v>141</v>
      </c>
      <c r="B62" s="57" t="s">
        <v>140</v>
      </c>
      <c r="C62" s="57" t="s">
        <v>304</v>
      </c>
      <c r="D62" s="57" t="s">
        <v>448</v>
      </c>
      <c r="E62" s="57" t="s">
        <v>398</v>
      </c>
      <c r="F62" s="57" t="s">
        <v>406</v>
      </c>
      <c r="G62" s="57" t="s">
        <v>407</v>
      </c>
      <c r="H62" s="57"/>
      <c r="I62" s="57"/>
      <c r="J62" s="57"/>
      <c r="K62" s="57"/>
      <c r="L62" s="57"/>
      <c r="M62" s="57"/>
      <c r="N62" s="57"/>
      <c r="O62" s="57"/>
    </row>
    <row r="63" spans="1:15" x14ac:dyDescent="0.25">
      <c r="A63" s="57" t="s">
        <v>534</v>
      </c>
      <c r="B63" s="57" t="s">
        <v>480</v>
      </c>
      <c r="C63" s="57" t="s">
        <v>304</v>
      </c>
      <c r="D63" s="57"/>
      <c r="E63" s="57" t="s">
        <v>364</v>
      </c>
      <c r="F63" s="57"/>
      <c r="G63" s="57"/>
      <c r="H63" s="57"/>
      <c r="I63" s="57"/>
      <c r="J63" s="57"/>
      <c r="K63" s="57"/>
      <c r="L63" s="57"/>
      <c r="M63" s="57"/>
      <c r="N63" s="57"/>
      <c r="O63" s="57"/>
    </row>
    <row r="64" spans="1:15" x14ac:dyDescent="0.25">
      <c r="A64" s="57" t="s">
        <v>511</v>
      </c>
      <c r="B64" s="57" t="s">
        <v>429</v>
      </c>
      <c r="C64" s="57" t="s">
        <v>304</v>
      </c>
      <c r="D64" s="57" t="s">
        <v>448</v>
      </c>
      <c r="E64" s="57" t="s">
        <v>364</v>
      </c>
      <c r="F64" s="57" t="s">
        <v>430</v>
      </c>
      <c r="G64" s="57" t="s">
        <v>431</v>
      </c>
      <c r="H64" s="57"/>
      <c r="I64" s="57"/>
      <c r="J64" s="57"/>
      <c r="K64" s="57"/>
      <c r="L64" s="57"/>
      <c r="M64" s="57"/>
      <c r="N64" s="57"/>
      <c r="O64" s="57"/>
    </row>
    <row r="65" spans="1:15" x14ac:dyDescent="0.25">
      <c r="A65" s="57" t="s">
        <v>541</v>
      </c>
      <c r="B65" s="57" t="s">
        <v>487</v>
      </c>
      <c r="C65" s="57" t="s">
        <v>304</v>
      </c>
      <c r="D65" s="57"/>
      <c r="E65" s="57" t="s">
        <v>364</v>
      </c>
      <c r="F65" s="57"/>
      <c r="G65" s="57"/>
      <c r="H65" s="57"/>
      <c r="I65" s="57"/>
      <c r="J65" s="57"/>
      <c r="K65" s="57"/>
      <c r="L65" s="57"/>
      <c r="M65" s="57"/>
      <c r="N65" s="57"/>
      <c r="O65" s="57"/>
    </row>
    <row r="66" spans="1:15" x14ac:dyDescent="0.25">
      <c r="A66" s="57" t="s">
        <v>145</v>
      </c>
      <c r="B66" s="57" t="s">
        <v>144</v>
      </c>
      <c r="C66" s="57" t="s">
        <v>304</v>
      </c>
      <c r="D66" s="57" t="s">
        <v>448</v>
      </c>
      <c r="E66" s="57" t="s">
        <v>398</v>
      </c>
      <c r="F66" s="57" t="s">
        <v>15</v>
      </c>
      <c r="G66" s="57" t="s">
        <v>409</v>
      </c>
      <c r="H66" s="57"/>
      <c r="I66" s="57"/>
      <c r="J66" s="57"/>
      <c r="K66" s="57"/>
      <c r="L66" s="57"/>
      <c r="M66" s="57"/>
      <c r="N66" s="57"/>
      <c r="O66" s="57"/>
    </row>
    <row r="67" spans="1:15" x14ac:dyDescent="0.25">
      <c r="A67" s="57" t="s">
        <v>530</v>
      </c>
      <c r="B67" s="57" t="s">
        <v>477</v>
      </c>
      <c r="C67" s="57" t="s">
        <v>304</v>
      </c>
      <c r="D67" s="57"/>
      <c r="E67" s="57" t="s">
        <v>364</v>
      </c>
      <c r="F67" s="57"/>
      <c r="G67" s="57"/>
      <c r="H67" s="57"/>
      <c r="I67" s="57"/>
      <c r="J67" s="57"/>
      <c r="K67" s="57"/>
      <c r="L67" s="57"/>
      <c r="M67" s="57"/>
      <c r="N67" s="57"/>
      <c r="O67" s="57"/>
    </row>
    <row r="68" spans="1:15" x14ac:dyDescent="0.25">
      <c r="A68" s="57" t="s">
        <v>525</v>
      </c>
      <c r="B68" s="57" t="s">
        <v>466</v>
      </c>
      <c r="C68" s="57" t="s">
        <v>304</v>
      </c>
      <c r="D68" s="57" t="s">
        <v>337</v>
      </c>
      <c r="E68" s="57" t="s">
        <v>398</v>
      </c>
      <c r="F68" s="57" t="s">
        <v>467</v>
      </c>
      <c r="G68" s="57" t="s">
        <v>468</v>
      </c>
      <c r="H68" s="57"/>
      <c r="I68" s="57"/>
      <c r="J68" s="57"/>
      <c r="K68" s="57"/>
      <c r="L68" s="57"/>
      <c r="M68" s="57"/>
      <c r="N68" s="57"/>
      <c r="O68" s="57"/>
    </row>
    <row r="69" spans="1:15" x14ac:dyDescent="0.25">
      <c r="A69" s="57" t="s">
        <v>496</v>
      </c>
      <c r="B69" s="57" t="s">
        <v>346</v>
      </c>
      <c r="C69" s="57" t="s">
        <v>490</v>
      </c>
      <c r="D69" s="57"/>
      <c r="E69" s="57">
        <v>10439355</v>
      </c>
      <c r="F69" s="57" t="s">
        <v>347</v>
      </c>
      <c r="G69" s="57" t="s">
        <v>348</v>
      </c>
      <c r="H69" s="57"/>
      <c r="I69" s="57" t="s">
        <v>349</v>
      </c>
      <c r="J69" s="57" t="s">
        <v>320</v>
      </c>
      <c r="K69" s="57"/>
      <c r="L69" s="57" t="s">
        <v>327</v>
      </c>
      <c r="M69" s="57" t="s">
        <v>322</v>
      </c>
      <c r="N69" s="57" t="s">
        <v>322</v>
      </c>
      <c r="O69" s="57" t="s">
        <v>322</v>
      </c>
    </row>
    <row r="70" spans="1:15" x14ac:dyDescent="0.25">
      <c r="A70" s="57" t="s">
        <v>147</v>
      </c>
      <c r="B70" s="57" t="s">
        <v>146</v>
      </c>
      <c r="C70" s="57" t="s">
        <v>304</v>
      </c>
      <c r="D70" s="57" t="s">
        <v>448</v>
      </c>
      <c r="E70" s="57" t="s">
        <v>364</v>
      </c>
      <c r="F70" s="57" t="s">
        <v>395</v>
      </c>
      <c r="G70" s="57" t="s">
        <v>396</v>
      </c>
      <c r="H70" s="57"/>
      <c r="I70" s="57"/>
      <c r="J70" s="57"/>
      <c r="K70" s="57"/>
      <c r="L70" s="57"/>
      <c r="M70" s="57"/>
      <c r="N70" s="57"/>
      <c r="O70" s="57"/>
    </row>
    <row r="71" spans="1:15" x14ac:dyDescent="0.25">
      <c r="A71" s="57" t="s">
        <v>160</v>
      </c>
      <c r="B71" s="57" t="s">
        <v>159</v>
      </c>
      <c r="C71" s="57" t="s">
        <v>304</v>
      </c>
      <c r="D71" s="57" t="s">
        <v>448</v>
      </c>
      <c r="E71" s="57">
        <v>10369521</v>
      </c>
      <c r="F71" s="57" t="s">
        <v>357</v>
      </c>
      <c r="G71" s="57" t="s">
        <v>358</v>
      </c>
      <c r="H71" s="57"/>
      <c r="I71" s="57" t="s">
        <v>359</v>
      </c>
      <c r="J71" s="57" t="s">
        <v>320</v>
      </c>
      <c r="K71" s="57"/>
      <c r="L71" s="57" t="s">
        <v>327</v>
      </c>
      <c r="M71" s="57" t="s">
        <v>322</v>
      </c>
      <c r="N71" s="57" t="s">
        <v>322</v>
      </c>
      <c r="O71" s="57"/>
    </row>
  </sheetData>
  <autoFilter ref="A1:O71">
    <sortState ref="A2:P72">
      <sortCondition ref="A1:A72"/>
    </sortState>
  </autoFilter>
  <hyperlinks>
    <hyperlink ref="B69" r:id="rId1" display="werbeson.faustino@accenture.com"/>
    <hyperlink ref="B17" r:id="rId2" display="d.bueno@accenture.com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4"/>
  <sheetViews>
    <sheetView workbookViewId="0">
      <pane ySplit="1" topLeftCell="A2" activePane="bottomLeft" state="frozen"/>
      <selection activeCell="B13" sqref="B13"/>
      <selection pane="bottomLeft" activeCell="A8" sqref="A8"/>
    </sheetView>
  </sheetViews>
  <sheetFormatPr defaultColWidth="0" defaultRowHeight="15" x14ac:dyDescent="0.25"/>
  <cols>
    <col min="1" max="1" width="14.28515625" bestFit="1" customWidth="1"/>
    <col min="2" max="2" width="26.140625" bestFit="1" customWidth="1"/>
    <col min="3" max="16384" width="9.140625" hidden="1"/>
  </cols>
  <sheetData>
    <row r="1" spans="1:2" x14ac:dyDescent="0.25">
      <c r="A1" s="68" t="s">
        <v>172</v>
      </c>
      <c r="B1" s="68" t="s">
        <v>173</v>
      </c>
    </row>
    <row r="2" spans="1:2" x14ac:dyDescent="0.25">
      <c r="A2" s="69">
        <f ca="1">DATEVALUE("01/01/"&amp;YEAR(TODAY()))</f>
        <v>42005</v>
      </c>
      <c r="B2" t="s">
        <v>174</v>
      </c>
    </row>
    <row r="3" spans="1:2" x14ac:dyDescent="0.25">
      <c r="A3" s="69">
        <f ca="1">DATEVALUE("17/02/"&amp;YEAR(TODAY()))</f>
        <v>42052</v>
      </c>
      <c r="B3" t="s">
        <v>181</v>
      </c>
    </row>
    <row r="4" spans="1:2" x14ac:dyDescent="0.25">
      <c r="A4" s="69">
        <f ca="1">DATEVALUE("03/04/"&amp;YEAR(TODAY()))</f>
        <v>42097</v>
      </c>
      <c r="B4" t="s">
        <v>182</v>
      </c>
    </row>
    <row r="5" spans="1:2" x14ac:dyDescent="0.25">
      <c r="A5" s="69">
        <f ca="1">DATEVALUE("05/04/"&amp;YEAR(TODAY()))</f>
        <v>42099</v>
      </c>
      <c r="B5" t="s">
        <v>183</v>
      </c>
    </row>
    <row r="6" spans="1:2" x14ac:dyDescent="0.25">
      <c r="A6" s="69">
        <f ca="1">DATEVALUE("21/04/"&amp;YEAR(TODAY()))</f>
        <v>42115</v>
      </c>
      <c r="B6" t="s">
        <v>175</v>
      </c>
    </row>
    <row r="7" spans="1:2" x14ac:dyDescent="0.25">
      <c r="A7" s="69">
        <f ca="1">DATEVALUE("01/05/"&amp;YEAR(TODAY()))</f>
        <v>42125</v>
      </c>
      <c r="B7" t="s">
        <v>176</v>
      </c>
    </row>
    <row r="8" spans="1:2" x14ac:dyDescent="0.25">
      <c r="A8" s="69">
        <f ca="1">DATEVALUE("04/06/"&amp;YEAR(TODAY()))</f>
        <v>42159</v>
      </c>
      <c r="B8" t="s">
        <v>184</v>
      </c>
    </row>
    <row r="9" spans="1:2" x14ac:dyDescent="0.25">
      <c r="A9" s="69">
        <f ca="1">DATEVALUE("07/09/"&amp;YEAR(TODAY()))</f>
        <v>42254</v>
      </c>
      <c r="B9" s="1" t="s">
        <v>177</v>
      </c>
    </row>
    <row r="10" spans="1:2" x14ac:dyDescent="0.25">
      <c r="A10" s="69">
        <f ca="1">DATEVALUE("12/10/"&amp;YEAR(TODAY()))</f>
        <v>42289</v>
      </c>
      <c r="B10" s="1" t="s">
        <v>178</v>
      </c>
    </row>
    <row r="11" spans="1:2" x14ac:dyDescent="0.25">
      <c r="A11" s="69">
        <f ca="1">DATEVALUE("02/11/"&amp;YEAR(TODAY()))</f>
        <v>42310</v>
      </c>
      <c r="B11" s="1" t="s">
        <v>179</v>
      </c>
    </row>
    <row r="12" spans="1:2" x14ac:dyDescent="0.25">
      <c r="A12" s="69">
        <f ca="1">DATEVALUE("15/11/"&amp;YEAR(TODAY()))</f>
        <v>42323</v>
      </c>
      <c r="B12" s="1" t="s">
        <v>180</v>
      </c>
    </row>
    <row r="13" spans="1:2" x14ac:dyDescent="0.25">
      <c r="A13" s="69">
        <f ca="1">DATEVALUE("25/12/"&amp;YEAR(TODAY()))</f>
        <v>42363</v>
      </c>
      <c r="B13" s="1" t="s">
        <v>185</v>
      </c>
    </row>
    <row r="14" spans="1:2" x14ac:dyDescent="0.25">
      <c r="A14" s="69"/>
      <c r="B14" s="1"/>
    </row>
    <row r="15" spans="1:2" x14ac:dyDescent="0.25">
      <c r="A15" s="69"/>
      <c r="B15" s="1"/>
    </row>
    <row r="16" spans="1:2" x14ac:dyDescent="0.25">
      <c r="A16" s="69"/>
      <c r="B16" s="1"/>
    </row>
    <row r="17" spans="1:2" x14ac:dyDescent="0.25">
      <c r="A17" s="69"/>
      <c r="B17" s="1"/>
    </row>
    <row r="18" spans="1:2" x14ac:dyDescent="0.25">
      <c r="A18" s="69"/>
      <c r="B18" s="1"/>
    </row>
    <row r="19" spans="1:2" x14ac:dyDescent="0.25">
      <c r="A19" s="69"/>
      <c r="B19" s="1"/>
    </row>
    <row r="20" spans="1:2" x14ac:dyDescent="0.25">
      <c r="A20" s="69"/>
      <c r="B20" s="1"/>
    </row>
    <row r="21" spans="1:2" x14ac:dyDescent="0.25">
      <c r="A21" s="69"/>
      <c r="B21" s="1"/>
    </row>
    <row r="22" spans="1:2" x14ac:dyDescent="0.25">
      <c r="A22" s="69"/>
      <c r="B22" s="1"/>
    </row>
    <row r="23" spans="1:2" x14ac:dyDescent="0.25">
      <c r="A23" s="69"/>
      <c r="B23" s="1"/>
    </row>
    <row r="24" spans="1:2" x14ac:dyDescent="0.25">
      <c r="A24" s="69"/>
      <c r="B24" s="1"/>
    </row>
  </sheetData>
  <sortState ref="A2:B14">
    <sortCondition ref="A2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pane ySplit="1" topLeftCell="A2" activePane="bottomLeft" state="frozen"/>
      <selection activeCell="B13" sqref="B13"/>
      <selection pane="bottomLeft" activeCell="B13" sqref="B13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68" t="s">
        <v>547</v>
      </c>
      <c r="B1" s="68" t="s">
        <v>546</v>
      </c>
    </row>
    <row r="2" spans="1:2" x14ac:dyDescent="0.25">
      <c r="A2" t="s">
        <v>39</v>
      </c>
      <c r="B2" t="s">
        <v>548</v>
      </c>
    </row>
    <row r="3" spans="1:2" x14ac:dyDescent="0.25">
      <c r="A3" t="s">
        <v>47</v>
      </c>
      <c r="B3" t="s">
        <v>548</v>
      </c>
    </row>
    <row r="4" spans="1:2" x14ac:dyDescent="0.25">
      <c r="A4" t="s">
        <v>73</v>
      </c>
      <c r="B4" t="s">
        <v>548</v>
      </c>
    </row>
    <row r="5" spans="1:2" x14ac:dyDescent="0.25">
      <c r="A5" t="s">
        <v>294</v>
      </c>
      <c r="B5" t="s">
        <v>548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>
      <pane ySplit="1" topLeftCell="A2" activePane="bottomLeft" state="frozen"/>
      <selection activeCell="B13" sqref="B13"/>
      <selection pane="bottomLeft" activeCell="B2" sqref="B2:B6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68" t="s">
        <v>306</v>
      </c>
      <c r="B1" s="68" t="s">
        <v>546</v>
      </c>
    </row>
    <row r="2" spans="1:2" x14ac:dyDescent="0.25">
      <c r="A2" t="s">
        <v>545</v>
      </c>
    </row>
    <row r="3" spans="1:2" x14ac:dyDescent="0.25">
      <c r="A3" t="s">
        <v>302</v>
      </c>
    </row>
    <row r="4" spans="1:2" x14ac:dyDescent="0.25">
      <c r="A4" t="s">
        <v>544</v>
      </c>
    </row>
    <row r="5" spans="1:2" x14ac:dyDescent="0.25">
      <c r="A5" t="s">
        <v>543</v>
      </c>
      <c r="B5" t="s">
        <v>548</v>
      </c>
    </row>
  </sheetData>
  <sortState ref="A2:A5">
    <sortCondition ref="A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9"/>
  <sheetViews>
    <sheetView workbookViewId="0">
      <pane ySplit="1" topLeftCell="A2" activePane="bottomLeft" state="frozen"/>
      <selection activeCell="B13" sqref="B13"/>
      <selection pane="bottomLeft" activeCell="B2" sqref="B2:B9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68" t="s">
        <v>306</v>
      </c>
      <c r="B1" s="68" t="s">
        <v>301</v>
      </c>
    </row>
    <row r="2" spans="1:2" x14ac:dyDescent="0.25">
      <c r="A2" t="s">
        <v>38</v>
      </c>
      <c r="B2" t="s">
        <v>543</v>
      </c>
    </row>
    <row r="3" spans="1:2" x14ac:dyDescent="0.25">
      <c r="A3" t="s">
        <v>41</v>
      </c>
      <c r="B3" t="s">
        <v>543</v>
      </c>
    </row>
    <row r="4" spans="1:2" x14ac:dyDescent="0.25">
      <c r="A4" t="s">
        <v>40</v>
      </c>
      <c r="B4" t="s">
        <v>543</v>
      </c>
    </row>
    <row r="5" spans="1:2" x14ac:dyDescent="0.25">
      <c r="A5" t="s">
        <v>49</v>
      </c>
      <c r="B5" t="s">
        <v>543</v>
      </c>
    </row>
    <row r="6" spans="1:2" x14ac:dyDescent="0.25">
      <c r="A6" t="s">
        <v>164</v>
      </c>
      <c r="B6" t="s">
        <v>543</v>
      </c>
    </row>
    <row r="7" spans="1:2" x14ac:dyDescent="0.25">
      <c r="A7" t="s">
        <v>74</v>
      </c>
      <c r="B7" t="s">
        <v>543</v>
      </c>
    </row>
    <row r="8" spans="1:2" x14ac:dyDescent="0.25">
      <c r="A8" t="s">
        <v>82</v>
      </c>
      <c r="B8" t="s">
        <v>543</v>
      </c>
    </row>
    <row r="9" spans="1:2" x14ac:dyDescent="0.25">
      <c r="A9" t="s">
        <v>89</v>
      </c>
      <c r="B9" t="s">
        <v>543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Alocação de Equipe - ADM" insertBeforeMso="TabHome">
        <group id="grpDemanda" label="Demandas">
          <button id="cmdNewDemand" label="Nova demanda" size="large" onAction="cmdNewDemand_Click" imageMso="AccessFormWizard"/>
          <separator id="separator1"/>
          <button id="cmdBackup" label="Backup (100%)" size="large" onAction="cmdBackup_Click" imageMso="ServerRestoreSqlDatabase"/>
        </group>
        <group id="grpPainel" label="Painel">
          <button id="cmdFilter" label="Filtros" size="large" onAction="cmdFilter_Click" imageMso="Filter"/>
          <separator id="separator2"/>
          <button id="cmdRefresh" label="Atualizar" size="large" onAction="cmdRefresh_Click" imageMso="TableSharePointListsRefreshList"/>
          <separator id="separator3"/>
          <button id="cmdAddWeek" label="Adicionar semana" onAction="cmdAddWeek_Click" imageMso="OutlineExpand"/>
          <button id="cmdRemWeek" label="Remover semana" onAction="cmdRemWeek_Click" imageMso="OutlineCollap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Histórico</vt:lpstr>
      <vt:lpstr>Cronograma</vt:lpstr>
      <vt:lpstr>Pipeline</vt:lpstr>
      <vt:lpstr>Painel</vt:lpstr>
      <vt:lpstr>Sheet1</vt:lpstr>
      <vt:lpstr>Recursos</vt:lpstr>
      <vt:lpstr>Feriados</vt:lpstr>
      <vt:lpstr>Projeto</vt:lpstr>
      <vt:lpstr>Cliente</vt:lpstr>
      <vt:lpstr>Torre</vt:lpstr>
      <vt:lpstr>DataInicio</vt:lpstr>
      <vt:lpstr>Recursos!Extract</vt:lpstr>
    </vt:vector>
  </TitlesOfParts>
  <Company>VIVO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80297787</dc:creator>
  <cp:lastModifiedBy>Graciolli Junior, S.</cp:lastModifiedBy>
  <cp:lastPrinted>2014-06-27T19:23:59Z</cp:lastPrinted>
  <dcterms:created xsi:type="dcterms:W3CDTF">2014-06-27T17:18:59Z</dcterms:created>
  <dcterms:modified xsi:type="dcterms:W3CDTF">2015-05-28T13:51:51Z</dcterms:modified>
</cp:coreProperties>
</file>