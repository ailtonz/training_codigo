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2b0a04e930e47b0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.dasilva\Desktop\@Ailton\"/>
    </mc:Choice>
  </mc:AlternateContent>
  <bookViews>
    <workbookView xWindow="0" yWindow="165" windowWidth="8040" windowHeight="7980" firstSheet="4" activeTab="4"/>
  </bookViews>
  <sheets>
    <sheet name="LANCAMENTO DE HORAS" sheetId="11" state="veryHidden" r:id="rId1"/>
    <sheet name="DESPESAS" sheetId="16" state="veryHidden" r:id="rId2"/>
    <sheet name="07.2015" sheetId="17" state="veryHidden" r:id="rId3"/>
    <sheet name="Leia-Me" sheetId="18" state="hidden" r:id="rId4"/>
    <sheet name="CRONOGRAMA" sheetId="15" r:id="rId5"/>
    <sheet name="DETALHADO" sheetId="12" r:id="rId6"/>
    <sheet name="ID081" sheetId="4" r:id="rId7"/>
    <sheet name="ID092" sheetId="7" r:id="rId8"/>
    <sheet name="ID084" sheetId="8" r:id="rId9"/>
    <sheet name="ID373" sheetId="9" r:id="rId10"/>
    <sheet name="CONTROLE" sheetId="13" r:id="rId11"/>
  </sheets>
  <functionGroups builtInGroupCount="18"/>
  <definedNames>
    <definedName name="_xlnm._FilterDatabase" localSheetId="0" hidden="1">'LANCAMENTO DE HORAS'!$A$10:$G$10</definedName>
    <definedName name="Justificativas">"CURTO PRAZO PARA O DESENVOLVIMENTO DA DEMANDA"</definedName>
    <definedName name="_xlnm.Print_Area" localSheetId="6">'ID081'!$C$1:$D$106</definedName>
    <definedName name="_xlnm.Print_Area" localSheetId="8">'ID084'!$C$1:$D$85</definedName>
    <definedName name="_xlnm.Print_Area" localSheetId="7">'ID092'!$C$1:$D$86</definedName>
    <definedName name="_xlnm.Print_Area" localSheetId="9">'ID373'!$C$1:$F$104</definedName>
    <definedName name="sendTo">"carolina.santore@accenture.com;cassiano.p.fonseca@accenture.com"</definedName>
    <definedName name="sendToK2">"admin@k2consulting.com.br"</definedName>
    <definedName name="userCell">"''+55 11 9. 5064-1754"</definedName>
    <definedName name="userName">"AILTON ZACARIAS DA SILVA"</definedName>
    <definedName name="valorHoraTecnica">"40,00"</definedName>
    <definedName name="Z_04925ED1_4372_4AD0_B38E_9241A0DEEB95_.wvu.PrintArea" localSheetId="6" hidden="1">'ID081'!$C$1:$C$82</definedName>
    <definedName name="Z_04925ED1_4372_4AD0_B38E_9241A0DEEB95_.wvu.PrintArea" localSheetId="8" hidden="1">'ID084'!$C$1:$C$61</definedName>
    <definedName name="Z_04925ED1_4372_4AD0_B38E_9241A0DEEB95_.wvu.PrintArea" localSheetId="7" hidden="1">'ID092'!$C$1:$C$62</definedName>
    <definedName name="Z_04925ED1_4372_4AD0_B38E_9241A0DEEB95_.wvu.PrintArea" localSheetId="9" hidden="1">'ID373'!$C$1:$C$96</definedName>
  </definedNames>
  <calcPr calcId="152511"/>
  <customWorkbookViews>
    <customWorkbookView name="Form_Quests" guid="{04925ED1-4372-4AD0-B38E-9241A0DEEB95}" maximized="1" windowWidth="1596" windowHeight="675" activeSheetId="2"/>
  </customWorkbookViews>
</workbook>
</file>

<file path=xl/calcChain.xml><?xml version="1.0" encoding="utf-8"?>
<calcChain xmlns="http://schemas.openxmlformats.org/spreadsheetml/2006/main">
  <c r="A10" i="17" l="1"/>
  <c r="C10" i="17" s="1"/>
  <c r="C9" i="18"/>
  <c r="C8" i="18"/>
  <c r="C7" i="18"/>
  <c r="C6" i="18"/>
  <c r="A11" i="17" l="1"/>
  <c r="C11" i="17" s="1"/>
  <c r="B10" i="17"/>
  <c r="G2" i="16"/>
  <c r="U2" i="16"/>
  <c r="U1" i="16" s="1"/>
  <c r="S2" i="16"/>
  <c r="S1" i="16" s="1"/>
  <c r="Q2" i="16"/>
  <c r="Q1" i="16" s="1"/>
  <c r="O2" i="16"/>
  <c r="M2" i="16"/>
  <c r="M1" i="16" s="1"/>
  <c r="K2" i="16"/>
  <c r="I2" i="16"/>
  <c r="I1" i="16" s="1"/>
  <c r="G1" i="16"/>
  <c r="E2" i="16"/>
  <c r="E1" i="16" s="1"/>
  <c r="C2" i="16"/>
  <c r="O1" i="16"/>
  <c r="K1" i="16"/>
  <c r="A12" i="17" l="1"/>
  <c r="C12" i="17" s="1"/>
  <c r="B11" i="17"/>
  <c r="A2" i="16"/>
  <c r="C1" i="16"/>
  <c r="D100" i="11"/>
  <c r="H100" i="11"/>
  <c r="D101" i="11"/>
  <c r="H101" i="11"/>
  <c r="B12" i="17" l="1"/>
  <c r="A13" i="17"/>
  <c r="C13" i="17" s="1"/>
  <c r="K16" i="15"/>
  <c r="H16" i="15"/>
  <c r="K15" i="15"/>
  <c r="L15" i="15" s="1"/>
  <c r="P15" i="15" s="1"/>
  <c r="I15" i="15"/>
  <c r="O15" i="15" s="1"/>
  <c r="K14" i="15"/>
  <c r="L14" i="15" s="1"/>
  <c r="I14" i="15"/>
  <c r="K13" i="15"/>
  <c r="L13" i="15" s="1"/>
  <c r="P13" i="15" s="1"/>
  <c r="I13" i="15"/>
  <c r="K12" i="15"/>
  <c r="L12" i="15" s="1"/>
  <c r="I12" i="15"/>
  <c r="H11" i="15"/>
  <c r="G11" i="15"/>
  <c r="K11" i="15" s="1"/>
  <c r="K10" i="15"/>
  <c r="L10" i="15" s="1"/>
  <c r="P10" i="15" s="1"/>
  <c r="I10" i="15"/>
  <c r="K9" i="15"/>
  <c r="L9" i="15" s="1"/>
  <c r="I9" i="15"/>
  <c r="K8" i="15"/>
  <c r="L8" i="15" s="1"/>
  <c r="P8" i="15" s="1"/>
  <c r="I8" i="15"/>
  <c r="K7" i="15"/>
  <c r="L7" i="15" s="1"/>
  <c r="I7" i="15"/>
  <c r="G6" i="15"/>
  <c r="H5" i="15"/>
  <c r="I5" i="15" s="1"/>
  <c r="K4" i="15"/>
  <c r="L4" i="15" s="1"/>
  <c r="P4" i="15" s="1"/>
  <c r="I4" i="15"/>
  <c r="K3" i="15"/>
  <c r="L3" i="15" s="1"/>
  <c r="I3" i="15"/>
  <c r="K2" i="15"/>
  <c r="L2" i="15" s="1"/>
  <c r="I2" i="15"/>
  <c r="B13" i="17" l="1"/>
  <c r="A14" i="17"/>
  <c r="C14" i="17" s="1"/>
  <c r="K5" i="15"/>
  <c r="L5" i="15" s="1"/>
  <c r="P5" i="15" s="1"/>
  <c r="O8" i="15"/>
  <c r="H6" i="15"/>
  <c r="K6" i="15" s="1"/>
  <c r="O2" i="15"/>
  <c r="L16" i="15"/>
  <c r="P12" i="15"/>
  <c r="O12" i="15"/>
  <c r="P2" i="15"/>
  <c r="P7" i="15"/>
  <c r="O7" i="15"/>
  <c r="L11" i="15"/>
  <c r="P9" i="15"/>
  <c r="O9" i="15"/>
  <c r="P14" i="15"/>
  <c r="O14" i="15"/>
  <c r="P3" i="15"/>
  <c r="O3" i="15"/>
  <c r="O4" i="15"/>
  <c r="O10" i="15"/>
  <c r="O13" i="15"/>
  <c r="D95" i="11"/>
  <c r="H95" i="11"/>
  <c r="A15" i="17" l="1"/>
  <c r="C15" i="17" s="1"/>
  <c r="B14" i="17"/>
  <c r="L6" i="15"/>
  <c r="O5" i="15"/>
  <c r="J16" i="15"/>
  <c r="I16" i="15"/>
  <c r="J11" i="15"/>
  <c r="I11" i="15"/>
  <c r="H34" i="13"/>
  <c r="A16" i="17" l="1"/>
  <c r="C16" i="17" s="1"/>
  <c r="B15" i="17"/>
  <c r="I6" i="15"/>
  <c r="J6" i="15"/>
  <c r="D89" i="11"/>
  <c r="H89" i="11"/>
  <c r="D91" i="11"/>
  <c r="H91" i="11"/>
  <c r="B16" i="17" l="1"/>
  <c r="A17" i="17"/>
  <c r="C17" i="17" s="1"/>
  <c r="D87" i="11"/>
  <c r="D88" i="11"/>
  <c r="D90" i="11"/>
  <c r="D92" i="11"/>
  <c r="D93" i="11"/>
  <c r="D94" i="11"/>
  <c r="D96" i="11"/>
  <c r="D97" i="11"/>
  <c r="D98" i="11"/>
  <c r="D99" i="11"/>
  <c r="D102" i="11"/>
  <c r="D103" i="11"/>
  <c r="D104" i="11"/>
  <c r="D105" i="11"/>
  <c r="D106" i="11"/>
  <c r="D107" i="11"/>
  <c r="D108" i="11"/>
  <c r="D109" i="11"/>
  <c r="D110" i="11"/>
  <c r="D111" i="11"/>
  <c r="H87" i="11"/>
  <c r="H88" i="11"/>
  <c r="H90" i="11"/>
  <c r="H92" i="11"/>
  <c r="H93" i="11"/>
  <c r="H94" i="11"/>
  <c r="H96" i="11"/>
  <c r="H97" i="11"/>
  <c r="H98" i="11"/>
  <c r="H99" i="11"/>
  <c r="H102" i="11"/>
  <c r="H103" i="11"/>
  <c r="H104" i="11"/>
  <c r="H105" i="11"/>
  <c r="H106" i="11"/>
  <c r="H107" i="11"/>
  <c r="H108" i="11"/>
  <c r="H109" i="11"/>
  <c r="H110" i="11"/>
  <c r="H111" i="11"/>
  <c r="D86" i="11"/>
  <c r="H86" i="11"/>
  <c r="D85" i="11"/>
  <c r="H85" i="11"/>
  <c r="D84" i="11"/>
  <c r="H84" i="11"/>
  <c r="B17" i="17" l="1"/>
  <c r="A18" i="17"/>
  <c r="C18" i="17" s="1"/>
  <c r="C71" i="9"/>
  <c r="C103" i="9"/>
  <c r="A19" i="17" l="1"/>
  <c r="C19" i="17" s="1"/>
  <c r="B18" i="17"/>
  <c r="D2" i="11"/>
  <c r="A20" i="17" l="1"/>
  <c r="C20" i="17" s="1"/>
  <c r="B19" i="17"/>
  <c r="H83" i="11"/>
  <c r="D83" i="11"/>
  <c r="H82" i="11"/>
  <c r="D82" i="11"/>
  <c r="H81" i="11"/>
  <c r="D81" i="11"/>
  <c r="H80" i="11"/>
  <c r="D80" i="11"/>
  <c r="H79" i="11"/>
  <c r="D79" i="11"/>
  <c r="H78" i="11"/>
  <c r="D78" i="11"/>
  <c r="H77" i="11"/>
  <c r="D77" i="11"/>
  <c r="H76" i="11"/>
  <c r="D76" i="11"/>
  <c r="H75" i="11"/>
  <c r="D75" i="11"/>
  <c r="H74" i="11"/>
  <c r="D74" i="11"/>
  <c r="H73" i="11"/>
  <c r="D73" i="11"/>
  <c r="H72" i="11"/>
  <c r="D72" i="11"/>
  <c r="H71" i="11"/>
  <c r="D71" i="11"/>
  <c r="H70" i="11"/>
  <c r="D70" i="11"/>
  <c r="H69" i="11"/>
  <c r="D69" i="11"/>
  <c r="H68" i="11"/>
  <c r="D68" i="11"/>
  <c r="H67" i="11"/>
  <c r="D67" i="11"/>
  <c r="H66" i="11"/>
  <c r="D66" i="11"/>
  <c r="H65" i="11"/>
  <c r="D65" i="11"/>
  <c r="H64" i="11"/>
  <c r="D64" i="11"/>
  <c r="H63" i="11"/>
  <c r="D63" i="11"/>
  <c r="H62" i="11"/>
  <c r="D62" i="11"/>
  <c r="H61" i="11"/>
  <c r="D61" i="11"/>
  <c r="H60" i="11"/>
  <c r="D60" i="11"/>
  <c r="H59" i="11"/>
  <c r="D59" i="11"/>
  <c r="H58" i="11"/>
  <c r="D58" i="11"/>
  <c r="H57" i="11"/>
  <c r="D57" i="11"/>
  <c r="H56" i="11"/>
  <c r="D56" i="11"/>
  <c r="H55" i="11"/>
  <c r="D55" i="11"/>
  <c r="H54" i="11"/>
  <c r="D54" i="11"/>
  <c r="H53" i="11"/>
  <c r="D53" i="11"/>
  <c r="H52" i="11"/>
  <c r="D52" i="11"/>
  <c r="H51" i="11"/>
  <c r="D51" i="11"/>
  <c r="H50" i="11"/>
  <c r="D50" i="11"/>
  <c r="H49" i="11"/>
  <c r="D49" i="11"/>
  <c r="H48" i="11"/>
  <c r="D48" i="11"/>
  <c r="H47" i="11"/>
  <c r="D47" i="11"/>
  <c r="H46" i="11"/>
  <c r="D46" i="11"/>
  <c r="H45" i="11"/>
  <c r="D45" i="11"/>
  <c r="H44" i="11"/>
  <c r="D44" i="11"/>
  <c r="H43" i="11"/>
  <c r="D43" i="11"/>
  <c r="H42" i="11"/>
  <c r="D42" i="11"/>
  <c r="H41" i="11"/>
  <c r="D41" i="11"/>
  <c r="H40" i="11"/>
  <c r="D40" i="11"/>
  <c r="H39" i="11"/>
  <c r="D39" i="11"/>
  <c r="H38" i="11"/>
  <c r="D38" i="11"/>
  <c r="H37" i="11"/>
  <c r="D37" i="11"/>
  <c r="H36" i="11"/>
  <c r="D36" i="11"/>
  <c r="H35" i="11"/>
  <c r="D35" i="11"/>
  <c r="H34" i="11"/>
  <c r="D34" i="11"/>
  <c r="H33" i="11"/>
  <c r="D33" i="11"/>
  <c r="H32" i="11"/>
  <c r="D32" i="11"/>
  <c r="H31" i="11"/>
  <c r="D31" i="11"/>
  <c r="H30" i="11"/>
  <c r="D30" i="11"/>
  <c r="H29" i="11"/>
  <c r="D29" i="11"/>
  <c r="H28" i="11"/>
  <c r="D28" i="11"/>
  <c r="H27" i="11"/>
  <c r="D27" i="11"/>
  <c r="H26" i="11"/>
  <c r="D26" i="11"/>
  <c r="H25" i="11"/>
  <c r="D25" i="11"/>
  <c r="H24" i="11"/>
  <c r="D24" i="11"/>
  <c r="H23" i="11"/>
  <c r="D23" i="11"/>
  <c r="H22" i="11"/>
  <c r="D22" i="11"/>
  <c r="H21" i="11"/>
  <c r="D21" i="11"/>
  <c r="H20" i="11"/>
  <c r="D20" i="11"/>
  <c r="H19" i="11"/>
  <c r="D19" i="11"/>
  <c r="H18" i="11"/>
  <c r="D18" i="11"/>
  <c r="H17" i="11"/>
  <c r="D17" i="11"/>
  <c r="H16" i="11"/>
  <c r="D16" i="11"/>
  <c r="H15" i="11"/>
  <c r="D15" i="11"/>
  <c r="H14" i="11"/>
  <c r="D14" i="11"/>
  <c r="H13" i="11"/>
  <c r="D13" i="11"/>
  <c r="H12" i="11"/>
  <c r="D12" i="11"/>
  <c r="H11" i="11"/>
  <c r="D11" i="11"/>
  <c r="H10" i="11"/>
  <c r="D10" i="11"/>
  <c r="H9" i="11"/>
  <c r="D9" i="11"/>
  <c r="H8" i="11"/>
  <c r="D8" i="11"/>
  <c r="H7" i="11"/>
  <c r="D7" i="11"/>
  <c r="H6" i="11"/>
  <c r="D6" i="11"/>
  <c r="H5" i="11"/>
  <c r="D5" i="11"/>
  <c r="H4" i="11"/>
  <c r="D4" i="11"/>
  <c r="H3" i="11"/>
  <c r="D3" i="11"/>
  <c r="H2" i="11"/>
  <c r="B20" i="17" l="1"/>
  <c r="A21" i="17"/>
  <c r="C21" i="17" s="1"/>
  <c r="C85" i="9"/>
  <c r="C79" i="9"/>
  <c r="C75" i="9"/>
  <c r="C23" i="9"/>
  <c r="C21" i="9"/>
  <c r="B21" i="17" l="1"/>
  <c r="A22" i="17"/>
  <c r="C22" i="17" s="1"/>
  <c r="C81" i="8"/>
  <c r="C74" i="8"/>
  <c r="C70" i="8"/>
  <c r="C65" i="8"/>
  <c r="C35" i="8"/>
  <c r="C33" i="8"/>
  <c r="C16" i="8"/>
  <c r="C84" i="8"/>
  <c r="A23" i="17" l="1"/>
  <c r="C23" i="17" s="1"/>
  <c r="B22" i="17"/>
  <c r="C82" i="7"/>
  <c r="C75" i="7"/>
  <c r="C71" i="7"/>
  <c r="C66" i="7"/>
  <c r="C36" i="7"/>
  <c r="C34" i="7"/>
  <c r="C17" i="7"/>
  <c r="C95" i="4"/>
  <c r="C91" i="4"/>
  <c r="C26" i="4"/>
  <c r="C102" i="4"/>
  <c r="C56" i="4"/>
  <c r="C54" i="4"/>
  <c r="C86" i="4"/>
  <c r="C85" i="7"/>
  <c r="C105" i="4"/>
  <c r="A24" i="17" l="1"/>
  <c r="C24" i="17" s="1"/>
  <c r="B23" i="17"/>
  <c r="B24" i="17" l="1"/>
  <c r="A25" i="17"/>
  <c r="C25" i="17" s="1"/>
  <c r="B25" i="17" l="1"/>
  <c r="A26" i="17"/>
  <c r="C26" i="17" s="1"/>
  <c r="A27" i="17" l="1"/>
  <c r="C27" i="17" s="1"/>
  <c r="B26" i="17"/>
  <c r="A28" i="17" l="1"/>
  <c r="C28" i="17" s="1"/>
  <c r="B27" i="17"/>
  <c r="B28" i="17" l="1"/>
  <c r="A29" i="17"/>
  <c r="C29" i="17" s="1"/>
  <c r="B29" i="17" l="1"/>
  <c r="A30" i="17"/>
  <c r="C30" i="17" s="1"/>
  <c r="A31" i="17" l="1"/>
  <c r="C31" i="17" s="1"/>
  <c r="B30" i="17"/>
  <c r="A32" i="17" l="1"/>
  <c r="C32" i="17" s="1"/>
  <c r="B31" i="17"/>
  <c r="B32" i="17" l="1"/>
  <c r="A33" i="17"/>
  <c r="C33" i="17" s="1"/>
  <c r="B33" i="17" l="1"/>
  <c r="A34" i="17"/>
  <c r="C34" i="17" s="1"/>
  <c r="A35" i="17" l="1"/>
  <c r="C35" i="17" s="1"/>
  <c r="B34" i="17"/>
  <c r="A36" i="17" l="1"/>
  <c r="C36" i="17" s="1"/>
  <c r="B35" i="17"/>
  <c r="B36" i="17" l="1"/>
  <c r="A37" i="17"/>
  <c r="C37" i="17" s="1"/>
  <c r="B37" i="17" l="1"/>
  <c r="A38" i="17"/>
  <c r="C38" i="17" s="1"/>
  <c r="A39" i="17" l="1"/>
  <c r="C39" i="17" s="1"/>
  <c r="B38" i="17"/>
  <c r="C40" i="17" l="1"/>
  <c r="B39" i="17"/>
  <c r="C42" i="17" l="1"/>
  <c r="D14" i="18"/>
</calcChain>
</file>

<file path=xl/sharedStrings.xml><?xml version="1.0" encoding="utf-8"?>
<sst xmlns="http://schemas.openxmlformats.org/spreadsheetml/2006/main" count="899" uniqueCount="278">
  <si>
    <t>DETALHAMENTO DE TODO O PROCEDIMENTO</t>
  </si>
  <si>
    <t>EXCEÇÕES PARA A EXECUÇÃO</t>
  </si>
  <si>
    <t>ERROS POSSIVEIS</t>
  </si>
  <si>
    <t>LIMITE DE REGISTROS POR DIA DE TRABALHO</t>
  </si>
  <si>
    <t>EXPEDIENTE DA APLICAÇÃO</t>
  </si>
  <si>
    <t xml:space="preserve">A Aplicação possui alguma exceção para a execução Exemplo: </t>
  </si>
  <si>
    <t>1. A aplicação não pode ser executada por mais de um usuário por vez;</t>
  </si>
  <si>
    <t>2. A aplicação não pode ser executada após as 18:00</t>
  </si>
  <si>
    <t>3. A aplicação precisa de algum sistema operacional expecifico</t>
  </si>
  <si>
    <t>4. A aplicação precisa de um arquivo valido</t>
  </si>
  <si>
    <t>Quais Erros mais comuns na execução da aplicação e quais as soluções possiveis?</t>
  </si>
  <si>
    <t>Qual o limite de registros por dia?</t>
  </si>
  <si>
    <t>A Aplicação possui um expediente para execução (Exemplo: das 08:00 as 18:00 )?</t>
  </si>
  <si>
    <t>Quem ficará responsável pelo acompanhamento da aplicação?</t>
  </si>
  <si>
    <t>QUANDO A APLICAÇÃO PARAR ( AJUSTES ADMINISTRATIVOS DA APLICAÇÃO )</t>
  </si>
  <si>
    <t>RESPONSÁVEIS</t>
  </si>
  <si>
    <t>NOME</t>
  </si>
  <si>
    <t>TELEFONE FIXO / CELULAR</t>
  </si>
  <si>
    <t>E-MAIL</t>
  </si>
  <si>
    <t>CARGO</t>
  </si>
  <si>
    <t>GERENTE / CHEFE / RESPONSÁVEL</t>
  </si>
  <si>
    <t>Prezados,</t>
  </si>
  <si>
    <t>Em anexo os seguintes arquivos:</t>
  </si>
  <si>
    <t>[TUTORIAL.pptx] - Manual de como utilizar o robô via citrix;</t>
  </si>
  <si>
    <t>[ENTREGA.pdf] - Controle de entrega de aplicação</t>
  </si>
  <si>
    <t>E-MAIL ENTREGA</t>
  </si>
  <si>
    <t>DESCRIÇÃO DA APLICAÇÃO</t>
  </si>
  <si>
    <t>ID</t>
  </si>
  <si>
    <t>DESCRIÇÃO</t>
  </si>
  <si>
    <t>carolina.santore@accenture.com</t>
  </si>
  <si>
    <t>cassiano.p.fonseca@accenture.com</t>
  </si>
  <si>
    <t>a.dasilva@accenture.com</t>
  </si>
  <si>
    <t xml:space="preserve">adriana.a.domingues@accenture.com </t>
  </si>
  <si>
    <t>Adriana Domingues</t>
  </si>
  <si>
    <t>CONSULTA DE OS RETTAR</t>
  </si>
  <si>
    <t>ID081</t>
  </si>
  <si>
    <t>ARQUIVO</t>
  </si>
  <si>
    <t>4N _ O010_V213.mdb</t>
  </si>
  <si>
    <t>AILTON ZACARIAS DA SILVA</t>
  </si>
  <si>
    <t>11 9.5064-1754</t>
  </si>
  <si>
    <t>(31) 8950-3412</t>
  </si>
  <si>
    <t>ITO</t>
  </si>
  <si>
    <t>BASE TESTE</t>
  </si>
  <si>
    <t>ANALISTA</t>
  </si>
  <si>
    <t>E-MAILS</t>
  </si>
  <si>
    <t>Religue e Desligue do Speedy</t>
  </si>
  <si>
    <t xml:space="preserve">Cassia Rodrigues </t>
  </si>
  <si>
    <t>(31) 8517-8472</t>
  </si>
  <si>
    <t>cassia.rodrigues@accenture.com</t>
  </si>
  <si>
    <t>Instrução de Trabalho Desligue e Religue_Speedy_Atis e Legado.doc</t>
  </si>
  <si>
    <t>Robo_Religue e Desligue Speedy.mdb</t>
  </si>
  <si>
    <t>ID084</t>
  </si>
  <si>
    <t>ID092</t>
  </si>
  <si>
    <t>Conferência de Cadastro de Clientes</t>
  </si>
  <si>
    <t>TESTE_USUARIO</t>
  </si>
  <si>
    <t>TESTE_SENHA</t>
  </si>
  <si>
    <t>e6233317</t>
  </si>
  <si>
    <t>gvmeaj04</t>
  </si>
  <si>
    <t>ID373</t>
  </si>
  <si>
    <t>MANUTENÇÃO DE PACOTES DE DADOS</t>
  </si>
  <si>
    <t>Data inicio</t>
  </si>
  <si>
    <t>Data Fim</t>
  </si>
  <si>
    <t>lote - net - 10.000</t>
  </si>
  <si>
    <t>base - 20.000</t>
  </si>
  <si>
    <t>ok</t>
  </si>
  <si>
    <t>não</t>
  </si>
  <si>
    <t>chr - 5000</t>
  </si>
  <si>
    <t>???</t>
  </si>
  <si>
    <t>TABELA DE ERROS X SOLUÇÕES PARA VALIDAÇÃO DE DADOS</t>
  </si>
  <si>
    <t>LOG DE APLICAÇÃO X DEMANDA</t>
  </si>
  <si>
    <t>TECLAS DE ATALHO</t>
  </si>
  <si>
    <t>FACILIDADORES DE LANÇAMENTO</t>
  </si>
  <si>
    <t>negociar</t>
  </si>
  <si>
    <t>incluir</t>
  </si>
  <si>
    <t>excluir</t>
  </si>
  <si>
    <t>excluir/incluir/negociar</t>
  </si>
  <si>
    <t>Demanda</t>
  </si>
  <si>
    <t>Cliente</t>
  </si>
  <si>
    <t>Torre</t>
  </si>
  <si>
    <t>Projetos</t>
  </si>
  <si>
    <t>Atividades</t>
  </si>
  <si>
    <t>Planejado %</t>
  </si>
  <si>
    <t>Tempo (H)</t>
  </si>
  <si>
    <t>Responsável EID</t>
  </si>
  <si>
    <t>Responsável NOME</t>
  </si>
  <si>
    <t>calc1</t>
  </si>
  <si>
    <t>calc2</t>
  </si>
  <si>
    <t>ID81</t>
  </si>
  <si>
    <t>Telefônica</t>
  </si>
  <si>
    <t>Cobrança</t>
  </si>
  <si>
    <t>Aline - Fase 2</t>
  </si>
  <si>
    <t>Levantamento dos requisitos</t>
  </si>
  <si>
    <t>a.dasilva</t>
  </si>
  <si>
    <t>AILTON ZACARIAS</t>
  </si>
  <si>
    <t>Desenvolvimento das automações</t>
  </si>
  <si>
    <t>Testes</t>
  </si>
  <si>
    <t>Treinamento aos usuários</t>
  </si>
  <si>
    <t>TOTAL</t>
  </si>
  <si>
    <t>ID92</t>
  </si>
  <si>
    <t>ID84</t>
  </si>
  <si>
    <t>TELEFÔNICA</t>
  </si>
  <si>
    <t>Ciclo da Receita</t>
  </si>
  <si>
    <t>RECURSO</t>
  </si>
  <si>
    <t>EID</t>
  </si>
  <si>
    <t>DIA</t>
  </si>
  <si>
    <t>DIA SEMANA</t>
  </si>
  <si>
    <t>ATIVIDADE</t>
  </si>
  <si>
    <t>OBS</t>
  </si>
  <si>
    <t>QUANTIDADE DE HORAS</t>
  </si>
  <si>
    <t>MÊS</t>
  </si>
  <si>
    <t>ID09</t>
  </si>
  <si>
    <t>ID40</t>
  </si>
  <si>
    <t>ID54</t>
  </si>
  <si>
    <t>ID05</t>
  </si>
  <si>
    <t>ID65</t>
  </si>
  <si>
    <t>ID66</t>
  </si>
  <si>
    <t>ID73</t>
  </si>
  <si>
    <t>ID75</t>
  </si>
  <si>
    <t>NOME DA FERRAMENTA</t>
  </si>
  <si>
    <t>FRENTE</t>
  </si>
  <si>
    <t>NOME DO ITO</t>
  </si>
  <si>
    <t>FUNCIONALIDADES</t>
  </si>
  <si>
    <t>DETALHAMENTO TÉCNICO</t>
  </si>
  <si>
    <t>OPERAÇÃO POSSUI CONHECIMENTO ?</t>
  </si>
  <si>
    <t>PONTO FOCAL OPERAÇÃO</t>
  </si>
  <si>
    <t>FUNCIONA NO CITRIX ?</t>
  </si>
  <si>
    <t>Impeditivo para Go-Live ?</t>
  </si>
  <si>
    <t>IRÁ MIGRAR PARA O ATLYS ?</t>
  </si>
  <si>
    <t>CONTATO</t>
  </si>
  <si>
    <t>luiz</t>
  </si>
  <si>
    <t>TERMO DE QUITAÇÃO - CONFIRMA DADOS CADASTRAIS</t>
  </si>
  <si>
    <t>FATURAMENTO</t>
  </si>
  <si>
    <t>Consultoria e Suporte às áreas de Interface (tarifação de tráfego) - termo de quitação</t>
  </si>
  <si>
    <t>Confirmação de Valor e de Nome na época do TQ</t>
  </si>
  <si>
    <t>Verificar Macro</t>
  </si>
  <si>
    <t>Sim</t>
  </si>
  <si>
    <t>ALMI FERNANDES JUNIOR</t>
  </si>
  <si>
    <t>Não</t>
  </si>
  <si>
    <t>ailton</t>
  </si>
  <si>
    <t>Geração da base para gerarmos o CHURN de Linhas, Speedy, Fibra e FWT</t>
  </si>
  <si>
    <t>DENISE
4128-5165
denise.macedo.ext@telefonica.com</t>
  </si>
  <si>
    <t>Para funcionamento da macro, o analista importas dados de um excel que são os NRC´s de clientes e imputa no Robô
O robô verifica no CSO se possui uma OS de RETTAR 
Retornar no excel se possui ou não RETTAR aberta e trazer a data de abertura e fechamento da mesma</t>
  </si>
  <si>
    <t>ADRIANA APARECIDA MENDES DOMINGUES</t>
  </si>
  <si>
    <t>Adriana Domingues
( adriana.a.domingues@accenture.com ) 
em BH no telefone:
(31) 8950-3412</t>
  </si>
  <si>
    <t>RELIGUE E DESLIGUE DO SPEEDY</t>
  </si>
  <si>
    <t>COBRANÇA</t>
  </si>
  <si>
    <t>Religue e Desligue do SPEEDY</t>
  </si>
  <si>
    <t>Executar o religue e desligue do produto SPEEDY</t>
  </si>
  <si>
    <t>Para o funcionamento da macro, o analista importa dados de um excel que são NRC´s de clientes e imputa no ROBÔ
Verificar no sistema CSO para verificar se houve mudança no status do cadastro do cliente  a partir de dados de planilha importada pela área de BPO 
Retornar no excel a informação se houve ou não alteração no status do cadastro do cliente</t>
  </si>
  <si>
    <t>Cassia Rodrigues 
( cassia.rodrigues@accenture.com )
em BH no telefone:
(31) 8517-8472</t>
  </si>
  <si>
    <t>LEVANTAR O VOLUME DE AÇÕES DIÁRIAS</t>
  </si>
  <si>
    <t>AÇÕES DIÁRIAS</t>
  </si>
  <si>
    <t>Para o funcionamento do macro, o analista imputa as datas e as linhas de cobrança
Verificar no sistema CSO o volume das ações executadas para cada linha de cobrança
Retornar no excel cada linha de cobrança com suas respectivas ações e volumes</t>
  </si>
  <si>
    <t>CONFERÊNCIA DE CADASTRO DE CLIENTES</t>
  </si>
  <si>
    <t>ENVIO DE CARTAS</t>
  </si>
  <si>
    <t>Consultar o cadastro do cliente no CSO</t>
  </si>
  <si>
    <t xml:space="preserve">Para o funcionamento da macro, o analista importa dados de um excel que são informações de clientes da Telesp para determinadas cartas  e imputa no ROBÔ
'Verificar no sistema CSO os dados imputados 
'Retornar no excel com os códigos bancarios para analise manual no CSO. Caso esteja vazio o endereço imputado já está correto. </t>
  </si>
  <si>
    <t>Adriana em BH no telefone: 
(31) 3338-5083</t>
  </si>
  <si>
    <t>EXCLUSÃO DE CRÉDITOS INDEVIDOS DA FCA6</t>
  </si>
  <si>
    <t>ARRECADAÇÃO</t>
  </si>
  <si>
    <t>ITO-RC-31-0068-01_Tratamento de Críticas de Pagamentos</t>
  </si>
  <si>
    <t>Exclusão de créditos indevidos na transação</t>
  </si>
  <si>
    <t xml:space="preserve">Para o funcionamento da macro, o analista importa um excel com as seguintes informações: local e terminal, data conta, data caixa e valor.
   -  Verificar no sistema CSO se o crédito está disponível na transaçao FCA6  e a partir de dados de planilha importada pela área de BPO faz a exclusão dos créditos no sistema.
 - Retornar no excel a informação se o crédito foi excluido com suscesso ou não. </t>
  </si>
  <si>
    <t>SIM</t>
  </si>
  <si>
    <t>RITA DE CASSIA</t>
  </si>
  <si>
    <t>roberto.mayer@accenture.com</t>
  </si>
  <si>
    <t>COLABORADORES</t>
  </si>
  <si>
    <t>NOME / E-MAIL / CARGO / FIXO - MOVEL</t>
  </si>
  <si>
    <t>RESOLUÇÃO DE TELA</t>
  </si>
  <si>
    <t>1366 X 768</t>
  </si>
  <si>
    <t>?</t>
  </si>
  <si>
    <t>Patricia Braga Firmino</t>
  </si>
  <si>
    <t>patricia.firmino@telefonica.com</t>
  </si>
  <si>
    <t>Priscila Cocconi</t>
  </si>
  <si>
    <t>priscilla.cocconi.ext@telefonica.com</t>
  </si>
  <si>
    <t>Monique Rosa</t>
  </si>
  <si>
    <t>monique.rosa.mota@everis.com</t>
  </si>
  <si>
    <t>Diretoria de Planejamento e Gestão Comercial PJ</t>
  </si>
  <si>
    <t>Tel +55 11 3430-3270 | Cel +55 11 99951-7154</t>
  </si>
  <si>
    <t>Carolina Santore</t>
  </si>
  <si>
    <t>Cassiano Fonseca</t>
  </si>
  <si>
    <t>Ailton Zacarias</t>
  </si>
  <si>
    <t>Roberto Mayer</t>
  </si>
  <si>
    <t>2. A Aplicação possui um expediente para execução (Exemplo: das 08:00 as 18:00 )?</t>
  </si>
  <si>
    <t>3. A aplicação não pode ser executada após as 00:00</t>
  </si>
  <si>
    <t>4. A aplicação precisa de algum sistema operacional expecifico</t>
  </si>
  <si>
    <t>5. A aplicação precisa de um arquivo valido</t>
  </si>
  <si>
    <t>6. Quais Erros mais comuns na execução da aplicação e quais as soluções possiveis?</t>
  </si>
  <si>
    <t>SOBRE A APLICAÇÃO</t>
  </si>
  <si>
    <t>7. Qual o limite de registros por dia?</t>
  </si>
  <si>
    <t>8. Quem ficará responsável pelo acompanhamento da aplicação?</t>
  </si>
  <si>
    <t>2. A nova aplicão atende a demanda?</t>
  </si>
  <si>
    <t>1. Numeros de registros para teste em producão?</t>
  </si>
  <si>
    <t>PREMISSAS</t>
  </si>
  <si>
    <t>1. O desenvolvimento terá iniciado após aprovação formal da ata de reunião, devendo sofrer alteração na data de entrega se a data de aprovação da ata de reunião ultrapassar a data estimada;</t>
  </si>
  <si>
    <t>2. Se após o inicio do desenvolvimento o usuário solicitar itens fora do escopo acordado através da ata, caberá ao desenvolvedor avaliar se a alteração impactará a data de entrega acordada.</t>
  </si>
  <si>
    <t>BASE X VOLUME</t>
  </si>
  <si>
    <t>SOLICITAÇÃO DE DETALHAMENTO DE TODO O PROCEDIMENTO</t>
  </si>
  <si>
    <t>SOBRE A ENTREGA</t>
  </si>
  <si>
    <t>QUESTÕES SOBRE A APLICAÇÃO</t>
  </si>
  <si>
    <t>NOTAS PESSOAIS</t>
  </si>
  <si>
    <t>ANALISE</t>
  </si>
  <si>
    <t>DESENVOLVIMENTO</t>
  </si>
  <si>
    <t>TESTES</t>
  </si>
  <si>
    <t>PRODUÇÃO</t>
  </si>
  <si>
    <t>1. REUNIÃO</t>
  </si>
  <si>
    <t>2. ATA REUNIÃO</t>
  </si>
  <si>
    <t>3. ENTREGA</t>
  </si>
  <si>
    <t>windows</t>
  </si>
  <si>
    <t>sim</t>
  </si>
  <si>
    <t>APLICAÇÃO</t>
  </si>
  <si>
    <t>TELEFONE</t>
  </si>
  <si>
    <t>ID:</t>
  </si>
  <si>
    <t>DESCRIÇÃO:</t>
  </si>
  <si>
    <t>ARQUIVO:</t>
  </si>
  <si>
    <t>ITO:</t>
  </si>
  <si>
    <t>BASE TESTE:</t>
  </si>
  <si>
    <t>TESTE_USUARIO:</t>
  </si>
  <si>
    <t>TESTE_SENHA:</t>
  </si>
  <si>
    <t>RESOLUÇÃO DE TELA:</t>
  </si>
  <si>
    <t>55 11 9.5064-1754</t>
  </si>
  <si>
    <t>55 11 3430-3270 | 55 11 9.9951-7154</t>
  </si>
  <si>
    <t>DATA INICIO:</t>
  </si>
  <si>
    <t>DATA FIM:</t>
  </si>
  <si>
    <t>Analista</t>
  </si>
  <si>
    <t>VALOR</t>
  </si>
  <si>
    <t>GESTOR</t>
  </si>
  <si>
    <t>DATA PARA HOMOLOGAR</t>
  </si>
  <si>
    <t>Completo %</t>
  </si>
  <si>
    <t>Dias</t>
  </si>
  <si>
    <t>22/06/2015</t>
  </si>
  <si>
    <t>01/07/2015</t>
  </si>
  <si>
    <t>02/07/2015</t>
  </si>
  <si>
    <t>03/07/2015</t>
  </si>
  <si>
    <t>13/07/2015</t>
  </si>
  <si>
    <t>14/07/2015</t>
  </si>
  <si>
    <t>15/07/2015</t>
  </si>
  <si>
    <t>16/07/2015</t>
  </si>
  <si>
    <t>17/07/2015</t>
  </si>
  <si>
    <t>Melissa</t>
  </si>
  <si>
    <t>06/07/2015</t>
  </si>
  <si>
    <t>10/07/2015</t>
  </si>
  <si>
    <t>20/07/2015</t>
  </si>
  <si>
    <t>21/07/2015</t>
  </si>
  <si>
    <t>22/07/2015</t>
  </si>
  <si>
    <t>24/07/2015</t>
  </si>
  <si>
    <t>MERCADO</t>
  </si>
  <si>
    <t>X</t>
  </si>
  <si>
    <t>ALIMENTAÇÃO</t>
  </si>
  <si>
    <t>TRANSPORTE</t>
  </si>
  <si>
    <t>CASA</t>
  </si>
  <si>
    <t>ESCRITORIO</t>
  </si>
  <si>
    <t>TAXI</t>
  </si>
  <si>
    <t>VESTIARIO</t>
  </si>
  <si>
    <t>ESTUDOS</t>
  </si>
  <si>
    <t>FARMACIA</t>
  </si>
  <si>
    <t>9.5064-1754</t>
  </si>
  <si>
    <t>CURTO PRAZO PARA O DESENVOLVIMENTO DA DEMANDA</t>
  </si>
  <si>
    <t>K2 CONSULTING</t>
  </si>
  <si>
    <t>Relatório de Horas</t>
  </si>
  <si>
    <t>Mês</t>
  </si>
  <si>
    <t>Nome</t>
  </si>
  <si>
    <t>Projeto</t>
  </si>
  <si>
    <t>TELEFONICA</t>
  </si>
  <si>
    <t>Gerente Aprovador</t>
  </si>
  <si>
    <t>Data</t>
  </si>
  <si>
    <t>Horas</t>
  </si>
  <si>
    <t>Descrição dos serviços</t>
  </si>
  <si>
    <t>Observações</t>
  </si>
  <si>
    <t>Total</t>
  </si>
  <si>
    <t>Instruções para preenchimento</t>
  </si>
  <si>
    <t>Descrição</t>
  </si>
  <si>
    <t>Preencher com primeiro dia do mês</t>
  </si>
  <si>
    <t>Nome do profissional</t>
  </si>
  <si>
    <t>Nome do Projeto</t>
  </si>
  <si>
    <t>Nome do Gerente aprovador das horas</t>
  </si>
  <si>
    <t>CONSULTORIA EM DESENVOLVIMENTO DE SOFTWARE</t>
  </si>
  <si>
    <t>Se houver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</si>
</sst>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4" formatCode="_-&quot;R$&quot;\ * #,##0.00_-;\-&quot;R$&quot;\ * #,##0.00_-;_-&quot;R$&quot;\ * &quot;-&quot;??_-;_-@_-"/>
    <numFmt numFmtId="164" formatCode="_(* #,##0.00_);_(* \(#,##0.00\);_(* &quot;-&quot;??_);_(@_)"/>
    <numFmt numFmtId="165" formatCode="dd/mm/yy;@"/>
    <numFmt numFmtId="166" formatCode="dd/mm/yy"/>
    <numFmt numFmtId="167" formatCode="_-* #,##0_-;\-* #,##0_-;_-* &quot;-&quot;??_-;_-@_-"/>
    <numFmt numFmtId="168" formatCode="#,##0.00;[Red]&quot;-&quot;\ #,##0.00"/>
    <numFmt numFmtId="169" formatCode="mmmm/yyyy"/>
    <numFmt numFmtId="170" formatCode="dd/mm"/>
    <numFmt numFmtId="171" formatCode="mmm/yyyy"/>
  </numFmts>
  <fonts count="1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b/>
      <sz val="1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7DFFB8"/>
        <bgColor indexed="64"/>
      </patternFill>
    </fill>
  </fills>
  <borders count="1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2" borderId="0" applyNumberFormat="0" applyBorder="0" applyAlignment="0" applyProtection="0"/>
    <xf numFmtId="0" fontId="2" fillId="0" borderId="0" applyNumberFormat="0" applyFill="0" applyBorder="0" applyAlignment="0" applyProtection="0"/>
    <xf numFmtId="164" fontId="5" fillId="0" borderId="0" applyFont="0" applyFill="0" applyBorder="0" applyAlignment="0" applyProtection="0"/>
    <xf numFmtId="168" fontId="7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7" fillId="0" borderId="0"/>
    <xf numFmtId="0" fontId="7" fillId="0" borderId="0"/>
    <xf numFmtId="44" fontId="7" fillId="0" borderId="0" applyFont="0" applyFill="0" applyBorder="0" applyAlignment="0" applyProtection="0"/>
  </cellStyleXfs>
  <cellXfs count="147">
    <xf numFmtId="0" fontId="0" fillId="0" borderId="0" xfId="0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/>
    </xf>
    <xf numFmtId="0" fontId="1" fillId="4" borderId="0" xfId="1" applyFill="1"/>
    <xf numFmtId="0" fontId="1" fillId="5" borderId="0" xfId="1" applyFill="1"/>
    <xf numFmtId="0" fontId="2" fillId="0" borderId="0" xfId="2"/>
    <xf numFmtId="0" fontId="0" fillId="5" borderId="0" xfId="0" applyFill="1"/>
    <xf numFmtId="0" fontId="0" fillId="3" borderId="0" xfId="0" applyFill="1"/>
    <xf numFmtId="0" fontId="1" fillId="2" borderId="0" xfId="1" applyAlignment="1">
      <alignment horizontal="center" vertical="center"/>
    </xf>
    <xf numFmtId="0" fontId="0" fillId="6" borderId="0" xfId="0" applyFill="1"/>
    <xf numFmtId="0" fontId="2" fillId="6" borderId="0" xfId="2" applyFill="1"/>
    <xf numFmtId="0" fontId="3" fillId="6" borderId="0" xfId="1" applyFont="1" applyFill="1"/>
    <xf numFmtId="0" fontId="0" fillId="0" borderId="0" xfId="0" applyFill="1"/>
    <xf numFmtId="0" fontId="0" fillId="0" borderId="0" xfId="0" applyFill="1" applyAlignment="1">
      <alignment horizontal="left" vertical="center"/>
    </xf>
    <xf numFmtId="165" fontId="4" fillId="3" borderId="0" xfId="0" applyNumberFormat="1" applyFont="1" applyFill="1" applyAlignment="1">
      <alignment horizontal="left" vertical="center"/>
    </xf>
    <xf numFmtId="0" fontId="4" fillId="7" borderId="1" xfId="0" applyFont="1" applyFill="1" applyBorder="1" applyAlignment="1">
      <alignment horizontal="center"/>
    </xf>
    <xf numFmtId="0" fontId="0" fillId="0" borderId="0" xfId="0" applyAlignment="1"/>
    <xf numFmtId="0" fontId="0" fillId="0" borderId="1" xfId="0" applyBorder="1" applyAlignment="1">
      <alignment horizontal="left" vertical="top"/>
    </xf>
    <xf numFmtId="0" fontId="0" fillId="0" borderId="1" xfId="0" applyBorder="1" applyAlignment="1"/>
    <xf numFmtId="0" fontId="6" fillId="8" borderId="1" xfId="0" applyFont="1" applyFill="1" applyBorder="1" applyAlignment="1">
      <alignment vertical="center"/>
    </xf>
    <xf numFmtId="14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9" borderId="1" xfId="0" applyFont="1" applyFill="1" applyBorder="1" applyAlignment="1">
      <alignment horizontal="center"/>
    </xf>
    <xf numFmtId="0" fontId="0" fillId="9" borderId="1" xfId="0" applyFont="1" applyFill="1" applyBorder="1" applyAlignment="1">
      <alignment vertical="top"/>
    </xf>
    <xf numFmtId="0" fontId="0" fillId="9" borderId="1" xfId="0" applyFont="1" applyFill="1" applyBorder="1" applyAlignment="1"/>
    <xf numFmtId="14" fontId="0" fillId="9" borderId="1" xfId="0" applyNumberFormat="1" applyFont="1" applyFill="1" applyBorder="1" applyAlignment="1">
      <alignment horizontal="center"/>
    </xf>
    <xf numFmtId="9" fontId="0" fillId="9" borderId="1" xfId="0" applyNumberFormat="1" applyFont="1" applyFill="1" applyBorder="1" applyAlignment="1">
      <alignment horizontal="center"/>
    </xf>
    <xf numFmtId="1" fontId="0" fillId="9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166" fontId="0" fillId="0" borderId="0" xfId="0" applyNumberFormat="1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0" fontId="0" fillId="0" borderId="0" xfId="0" applyNumberFormat="1" applyAlignment="1">
      <alignment horizontal="left" vertical="center" wrapText="1"/>
    </xf>
    <xf numFmtId="167" fontId="0" fillId="0" borderId="0" xfId="3" applyNumberFormat="1" applyFont="1" applyAlignment="1">
      <alignment horizontal="center" vertical="center" wrapText="1"/>
    </xf>
    <xf numFmtId="0" fontId="0" fillId="0" borderId="0" xfId="0" applyAlignment="1">
      <alignment wrapText="1"/>
    </xf>
    <xf numFmtId="20" fontId="5" fillId="0" borderId="0" xfId="4" applyNumberFormat="1" applyFont="1" applyBorder="1" applyAlignment="1">
      <alignment horizontal="center" vertical="center" wrapText="1"/>
    </xf>
    <xf numFmtId="20" fontId="0" fillId="0" borderId="0" xfId="4" applyNumberFormat="1" applyFont="1" applyBorder="1" applyAlignment="1">
      <alignment horizontal="center" vertical="center" wrapText="1"/>
    </xf>
    <xf numFmtId="20" fontId="5" fillId="0" borderId="0" xfId="4" applyNumberFormat="1" applyFont="1" applyBorder="1" applyAlignment="1">
      <alignment horizontal="center" wrapText="1"/>
    </xf>
    <xf numFmtId="0" fontId="4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left" wrapText="1"/>
    </xf>
    <xf numFmtId="167" fontId="0" fillId="0" borderId="0" xfId="3" applyNumberFormat="1" applyFont="1" applyAlignment="1">
      <alignment horizontal="center" vertical="center"/>
    </xf>
    <xf numFmtId="0" fontId="4" fillId="0" borderId="0" xfId="0" applyFont="1"/>
    <xf numFmtId="0" fontId="0" fillId="0" borderId="0" xfId="0" applyNumberFormat="1" applyFont="1" applyAlignment="1">
      <alignment horizontal="center" vertical="center"/>
    </xf>
    <xf numFmtId="20" fontId="0" fillId="0" borderId="0" xfId="0" applyNumberFormat="1" applyAlignment="1">
      <alignment horizontal="left" wrapText="1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quotePrefix="1" applyAlignment="1">
      <alignment vertical="center" wrapText="1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left" vertical="center" wrapText="1"/>
    </xf>
    <xf numFmtId="0" fontId="0" fillId="0" borderId="0" xfId="0" quotePrefix="1" applyAlignment="1">
      <alignment horizontal="left" vertical="center" wrapText="1"/>
    </xf>
    <xf numFmtId="0" fontId="0" fillId="7" borderId="0" xfId="0" quotePrefix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0" quotePrefix="1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left" indent="1"/>
    </xf>
    <xf numFmtId="0" fontId="0" fillId="3" borderId="0" xfId="0" applyFill="1" applyAlignment="1">
      <alignment wrapText="1"/>
    </xf>
    <xf numFmtId="0" fontId="4" fillId="5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3" fontId="0" fillId="0" borderId="0" xfId="0" applyNumberFormat="1" applyAlignment="1">
      <alignment horizontal="left"/>
    </xf>
    <xf numFmtId="0" fontId="4" fillId="4" borderId="0" xfId="0" applyFont="1" applyFill="1"/>
    <xf numFmtId="0" fontId="4" fillId="4" borderId="0" xfId="0" applyFont="1" applyFill="1" applyAlignment="1">
      <alignment horizontal="left" indent="1"/>
    </xf>
    <xf numFmtId="3" fontId="4" fillId="4" borderId="0" xfId="0" applyNumberFormat="1" applyFont="1" applyFill="1" applyAlignment="1">
      <alignment horizontal="left" indent="1"/>
    </xf>
    <xf numFmtId="0" fontId="0" fillId="10" borderId="0" xfId="0" applyFill="1"/>
    <xf numFmtId="0" fontId="0" fillId="10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horizontal="right"/>
    </xf>
    <xf numFmtId="0" fontId="0" fillId="0" borderId="0" xfId="0" applyAlignment="1">
      <alignment horizontal="right"/>
    </xf>
    <xf numFmtId="165" fontId="0" fillId="0" borderId="2" xfId="0" applyNumberFormat="1" applyBorder="1" applyAlignment="1">
      <alignment horizontal="center"/>
    </xf>
    <xf numFmtId="0" fontId="0" fillId="0" borderId="3" xfId="0" applyBorder="1"/>
    <xf numFmtId="0" fontId="1" fillId="11" borderId="7" xfId="0" applyFont="1" applyFill="1" applyBorder="1" applyAlignment="1">
      <alignment horizontal="center" vertical="center"/>
    </xf>
    <xf numFmtId="0" fontId="1" fillId="11" borderId="8" xfId="0" applyFont="1" applyFill="1" applyBorder="1" applyAlignment="1">
      <alignment horizontal="center" vertical="center"/>
    </xf>
    <xf numFmtId="0" fontId="1" fillId="11" borderId="9" xfId="0" applyFont="1" applyFill="1" applyBorder="1" applyAlignment="1">
      <alignment horizontal="center" vertical="center"/>
    </xf>
    <xf numFmtId="0" fontId="0" fillId="0" borderId="3" xfId="0" applyBorder="1" applyAlignment="1">
      <alignment horizontal="right"/>
    </xf>
    <xf numFmtId="0" fontId="4" fillId="3" borderId="4" xfId="0" applyFont="1" applyFill="1" applyBorder="1"/>
    <xf numFmtId="0" fontId="4" fillId="3" borderId="6" xfId="0" applyFont="1" applyFill="1" applyBorder="1"/>
    <xf numFmtId="0" fontId="4" fillId="3" borderId="7" xfId="0" applyFont="1" applyFill="1" applyBorder="1"/>
    <xf numFmtId="0" fontId="4" fillId="3" borderId="9" xfId="0" applyFont="1" applyFill="1" applyBorder="1"/>
    <xf numFmtId="0" fontId="0" fillId="0" borderId="1" xfId="0" applyFill="1" applyBorder="1" applyAlignment="1">
      <alignment horizontal="center"/>
    </xf>
    <xf numFmtId="44" fontId="0" fillId="0" borderId="0" xfId="0" applyNumberFormat="1"/>
    <xf numFmtId="44" fontId="6" fillId="13" borderId="0" xfId="0" applyNumberFormat="1" applyFont="1" applyFill="1" applyAlignment="1">
      <alignment horizontal="center" vertical="center"/>
    </xf>
    <xf numFmtId="44" fontId="4" fillId="13" borderId="0" xfId="5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165" fontId="0" fillId="0" borderId="0" xfId="0" applyNumberFormat="1"/>
    <xf numFmtId="165" fontId="6" fillId="13" borderId="0" xfId="0" applyNumberFormat="1" applyFont="1" applyFill="1" applyAlignment="1">
      <alignment horizontal="center" vertical="center"/>
    </xf>
    <xf numFmtId="165" fontId="4" fillId="0" borderId="0" xfId="0" applyNumberFormat="1" applyFont="1" applyAlignment="1">
      <alignment horizontal="center" vertical="center"/>
    </xf>
    <xf numFmtId="165" fontId="4" fillId="13" borderId="0" xfId="0" applyNumberFormat="1" applyFont="1" applyFill="1" applyAlignment="1">
      <alignment horizontal="center" vertical="center"/>
    </xf>
    <xf numFmtId="165" fontId="0" fillId="0" borderId="0" xfId="0" applyNumberFormat="1" applyFont="1" applyAlignment="1">
      <alignment horizontal="center" vertical="center"/>
    </xf>
    <xf numFmtId="0" fontId="0" fillId="0" borderId="0" xfId="0" applyFont="1"/>
    <xf numFmtId="165" fontId="0" fillId="0" borderId="0" xfId="0" applyNumberFormat="1" applyFont="1"/>
    <xf numFmtId="0" fontId="8" fillId="14" borderId="0" xfId="6" applyFont="1" applyFill="1" applyAlignment="1"/>
    <xf numFmtId="0" fontId="9" fillId="14" borderId="0" xfId="6" applyFont="1" applyFill="1" applyBorder="1"/>
    <xf numFmtId="0" fontId="10" fillId="14" borderId="0" xfId="6" applyFont="1" applyFill="1" applyAlignment="1"/>
    <xf numFmtId="0" fontId="7" fillId="14" borderId="0" xfId="6" applyFont="1" applyFill="1" applyBorder="1"/>
    <xf numFmtId="0" fontId="7" fillId="14" borderId="0" xfId="6" applyFont="1" applyFill="1"/>
    <xf numFmtId="0" fontId="10" fillId="14" borderId="0" xfId="6" applyFont="1" applyFill="1" applyAlignment="1">
      <alignment horizontal="center"/>
    </xf>
    <xf numFmtId="0" fontId="11" fillId="15" borderId="10" xfId="6" applyFont="1" applyFill="1" applyBorder="1" applyAlignment="1"/>
    <xf numFmtId="169" fontId="12" fillId="3" borderId="2" xfId="7" applyNumberFormat="1" applyFont="1" applyFill="1" applyBorder="1" applyAlignment="1">
      <alignment horizontal="left"/>
    </xf>
    <xf numFmtId="0" fontId="7" fillId="14" borderId="0" xfId="6" applyFill="1" applyBorder="1"/>
    <xf numFmtId="0" fontId="7" fillId="16" borderId="2" xfId="7" applyFont="1" applyFill="1" applyBorder="1" applyAlignment="1">
      <alignment horizontal="left"/>
    </xf>
    <xf numFmtId="0" fontId="7" fillId="14" borderId="0" xfId="6" applyFill="1"/>
    <xf numFmtId="0" fontId="11" fillId="15" borderId="2" xfId="6" applyFont="1" applyFill="1" applyBorder="1" applyAlignment="1">
      <alignment horizontal="center"/>
    </xf>
    <xf numFmtId="0" fontId="11" fillId="15" borderId="10" xfId="6" applyFont="1" applyFill="1" applyBorder="1" applyAlignment="1">
      <alignment horizontal="center"/>
    </xf>
    <xf numFmtId="0" fontId="12" fillId="14" borderId="0" xfId="6" applyFont="1" applyFill="1" applyBorder="1"/>
    <xf numFmtId="170" fontId="7" fillId="14" borderId="2" xfId="6" applyNumberFormat="1" applyFill="1" applyBorder="1"/>
    <xf numFmtId="0" fontId="7" fillId="14" borderId="2" xfId="6" applyFill="1" applyBorder="1" applyAlignment="1">
      <alignment horizontal="center"/>
    </xf>
    <xf numFmtId="0" fontId="7" fillId="14" borderId="10" xfId="6" applyFill="1" applyBorder="1" applyAlignment="1">
      <alignment horizontal="center" wrapText="1"/>
    </xf>
    <xf numFmtId="0" fontId="7" fillId="14" borderId="10" xfId="6" applyFont="1" applyFill="1" applyBorder="1" applyAlignment="1">
      <alignment wrapText="1"/>
    </xf>
    <xf numFmtId="0" fontId="7" fillId="14" borderId="2" xfId="6" applyNumberFormat="1" applyFill="1" applyBorder="1"/>
    <xf numFmtId="0" fontId="7" fillId="14" borderId="2" xfId="6" applyNumberFormat="1" applyFill="1" applyBorder="1" applyAlignment="1"/>
    <xf numFmtId="0" fontId="13" fillId="3" borderId="2" xfId="6" applyFont="1" applyFill="1" applyBorder="1" applyAlignment="1">
      <alignment horizontal="center" wrapText="1"/>
    </xf>
    <xf numFmtId="0" fontId="13" fillId="14" borderId="10" xfId="6" applyFont="1" applyFill="1" applyBorder="1" applyAlignment="1">
      <alignment horizontal="center"/>
    </xf>
    <xf numFmtId="0" fontId="13" fillId="14" borderId="11" xfId="6" applyFont="1" applyFill="1" applyBorder="1"/>
    <xf numFmtId="44" fontId="0" fillId="14" borderId="0" xfId="8" applyFont="1" applyFill="1"/>
    <xf numFmtId="170" fontId="7" fillId="14" borderId="0" xfId="6" applyNumberFormat="1" applyFill="1"/>
    <xf numFmtId="171" fontId="7" fillId="3" borderId="2" xfId="7" applyNumberFormat="1" applyFont="1" applyFill="1" applyBorder="1" applyAlignment="1">
      <alignment horizontal="left"/>
    </xf>
    <xf numFmtId="0" fontId="12" fillId="14" borderId="2" xfId="6" applyFont="1" applyFill="1" applyBorder="1"/>
    <xf numFmtId="0" fontId="7" fillId="14" borderId="2" xfId="6" applyFont="1" applyFill="1" applyBorder="1"/>
    <xf numFmtId="0" fontId="7" fillId="14" borderId="2" xfId="6" applyFont="1" applyFill="1" applyBorder="1" applyAlignment="1">
      <alignment horizontal="center" vertical="center"/>
    </xf>
    <xf numFmtId="0" fontId="8" fillId="14" borderId="0" xfId="6" applyFont="1" applyFill="1" applyAlignment="1">
      <alignment horizontal="center"/>
    </xf>
    <xf numFmtId="0" fontId="10" fillId="14" borderId="0" xfId="6" applyFont="1" applyFill="1" applyAlignment="1">
      <alignment horizontal="center"/>
    </xf>
    <xf numFmtId="0" fontId="11" fillId="15" borderId="10" xfId="6" applyFont="1" applyFill="1" applyBorder="1" applyAlignment="1">
      <alignment horizontal="center"/>
    </xf>
    <xf numFmtId="0" fontId="11" fillId="15" borderId="11" xfId="6" applyFont="1" applyFill="1" applyBorder="1" applyAlignment="1">
      <alignment horizontal="center"/>
    </xf>
    <xf numFmtId="170" fontId="13" fillId="14" borderId="10" xfId="6" applyNumberFormat="1" applyFont="1" applyFill="1" applyBorder="1" applyAlignment="1">
      <alignment horizontal="center"/>
    </xf>
    <xf numFmtId="170" fontId="13" fillId="14" borderId="11" xfId="6" applyNumberFormat="1" applyFont="1" applyFill="1" applyBorder="1" applyAlignment="1">
      <alignment horizontal="center"/>
    </xf>
    <xf numFmtId="0" fontId="11" fillId="15" borderId="2" xfId="6" applyFont="1" applyFill="1" applyBorder="1" applyAlignment="1">
      <alignment horizontal="left"/>
    </xf>
    <xf numFmtId="0" fontId="12" fillId="14" borderId="0" xfId="6" applyFont="1" applyFill="1" applyAlignment="1">
      <alignment horizontal="center"/>
    </xf>
    <xf numFmtId="0" fontId="7" fillId="14" borderId="10" xfId="7" applyFont="1" applyFill="1" applyBorder="1" applyAlignment="1">
      <alignment horizontal="left"/>
    </xf>
    <xf numFmtId="0" fontId="7" fillId="14" borderId="11" xfId="7" applyFont="1" applyFill="1" applyBorder="1" applyAlignment="1">
      <alignment horizontal="left"/>
    </xf>
    <xf numFmtId="0" fontId="1" fillId="11" borderId="4" xfId="0" applyFont="1" applyFill="1" applyBorder="1" applyAlignment="1">
      <alignment horizontal="center" vertical="center"/>
    </xf>
    <xf numFmtId="0" fontId="1" fillId="11" borderId="6" xfId="0" applyFont="1" applyFill="1" applyBorder="1" applyAlignment="1">
      <alignment horizontal="center" vertical="center"/>
    </xf>
    <xf numFmtId="0" fontId="1" fillId="11" borderId="5" xfId="0" applyFont="1" applyFill="1" applyBorder="1" applyAlignment="1">
      <alignment horizontal="center" vertical="center"/>
    </xf>
  </cellXfs>
  <cellStyles count="9">
    <cellStyle name="Accent1" xfId="1" builtinId="29"/>
    <cellStyle name="Comma" xfId="3" builtinId="3"/>
    <cellStyle name="Currency" xfId="5" builtinId="4"/>
    <cellStyle name="Currency 2" xfId="8"/>
    <cellStyle name="Hyperlink" xfId="2" builtinId="8"/>
    <cellStyle name="Normal" xfId="0" builtinId="0"/>
    <cellStyle name="Normal 2" xfId="6"/>
    <cellStyle name="Normal_relatório de horas1" xfId="7"/>
    <cellStyle name="Separador de milhares 3" xfId="4"/>
  </cellStyles>
  <dxfs count="44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8" tint="0.79998168889431442"/>
        </patternFill>
      </fill>
    </dxf>
    <dxf>
      <fill>
        <patternFill>
          <bgColor rgb="FF5BFFA5"/>
        </patternFill>
      </fill>
    </dxf>
    <dxf>
      <fill>
        <patternFill>
          <bgColor rgb="FF00B050"/>
        </patternFill>
      </fill>
    </dxf>
    <dxf>
      <fill>
        <patternFill>
          <bgColor theme="0"/>
        </patternFill>
      </fill>
    </dxf>
    <dxf>
      <font>
        <color theme="0" tint="-0.24994659260841701"/>
      </font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numFmt numFmtId="0" formatCode="General"/>
    </dxf>
    <dxf>
      <numFmt numFmtId="167" formatCode="_-* #,##0_-;\-* #,##0_-;_-* &quot;-&quot;??_-;_-@_-"/>
      <alignment horizontal="center" vertical="center" textRotation="0" wrapText="0" indent="0" justifyLastLine="0" shrinkToFit="0" readingOrder="0"/>
    </dxf>
    <dxf>
      <numFmt numFmtId="0" formatCode="General"/>
      <alignment horizontal="left" vertical="bottom" textRotation="0" wrapText="1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6" formatCode="dd/mm/yy"/>
      <alignment horizont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color auto="1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561975</xdr:colOff>
      <xdr:row>2</xdr:row>
      <xdr:rowOff>108185</xdr:rowOff>
    </xdr:to>
    <xdr:pic>
      <xdr:nvPicPr>
        <xdr:cNvPr id="2" name="Picture 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561975" cy="5272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id="1" name="Table13" displayName="Table13" ref="A1:H111" totalsRowShown="0" headerRowDxfId="40">
  <autoFilter ref="A1:H111"/>
  <tableColumns count="8">
    <tableColumn id="1" name="RECURSO"/>
    <tableColumn id="4" name="EID"/>
    <tableColumn id="2" name="DIA" dataDxfId="39"/>
    <tableColumn id="5" name="DIA SEMANA" dataDxfId="38">
      <calculatedColumnFormula>UPPER(TEXT(Table13[[#This Row],[DIA]],"ddd"))</calculatedColumnFormula>
    </tableColumn>
    <tableColumn id="6" name="ATIVIDADE" dataDxfId="37"/>
    <tableColumn id="7" name="OBS" dataDxfId="36"/>
    <tableColumn id="3" name="QUANTIDADE DE HORAS" dataDxfId="35"/>
    <tableColumn id="8" name="MÊS" dataDxfId="34">
      <calculatedColumnFormula>MONTH(Table13[[#This Row],[DIA]])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B1:M43" totalsRowCount="1" headerRowDxfId="25" dataDxfId="24">
  <autoFilter ref="B1:M42"/>
  <tableColumns count="12">
    <tableColumn id="1" name="ID" dataDxfId="23" totalsRowDxfId="22"/>
    <tableColumn id="2" name="NOME DA FERRAMENTA" dataDxfId="21" totalsRowDxfId="20"/>
    <tableColumn id="3" name="FRENTE" dataDxfId="19" totalsRowDxfId="18"/>
    <tableColumn id="4" name="NOME DO ITO" dataDxfId="17" totalsRowDxfId="16"/>
    <tableColumn id="5" name="FUNCIONALIDADES" dataDxfId="15" totalsRowDxfId="14"/>
    <tableColumn id="15" name="DETALHAMENTO TÉCNICO" dataDxfId="13" totalsRowDxfId="12"/>
    <tableColumn id="6" name="OPERAÇÃO POSSUI CONHECIMENTO ?" dataDxfId="11" totalsRowDxfId="10"/>
    <tableColumn id="7" name="PONTO FOCAL OPERAÇÃO" dataDxfId="9" totalsRowDxfId="8"/>
    <tableColumn id="14" name="FUNCIONA NO CITRIX ?" dataDxfId="7" totalsRowDxfId="6"/>
    <tableColumn id="12" name="Impeditivo para Go-Live ?" dataDxfId="5" totalsRowDxfId="4"/>
    <tableColumn id="13" name="IRÁ MIGRAR PARA O ATLYS ?" dataDxfId="3" totalsRowDxfId="2"/>
    <tableColumn id="8" name="CONTATO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carolina.santore@accenture.com" TargetMode="External"/><Relationship Id="rId7" Type="http://schemas.openxmlformats.org/officeDocument/2006/relationships/printerSettings" Target="../printerSettings/printerSettings6.bin"/><Relationship Id="rId2" Type="http://schemas.openxmlformats.org/officeDocument/2006/relationships/hyperlink" Target="mailto:a.dasilva@accenture.com" TargetMode="External"/><Relationship Id="rId1" Type="http://schemas.openxmlformats.org/officeDocument/2006/relationships/hyperlink" Target="mailto:adriana.a.domingues@accenture.com" TargetMode="External"/><Relationship Id="rId6" Type="http://schemas.openxmlformats.org/officeDocument/2006/relationships/hyperlink" Target="mailto:adriana.a.domingues@accenture.com" TargetMode="External"/><Relationship Id="rId5" Type="http://schemas.openxmlformats.org/officeDocument/2006/relationships/hyperlink" Target="mailto:a.dasilva@accenture.com" TargetMode="External"/><Relationship Id="rId4" Type="http://schemas.openxmlformats.org/officeDocument/2006/relationships/hyperlink" Target="mailto:cassiano.p.fonseca@accenture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carolina.santore@accenture.com" TargetMode="External"/><Relationship Id="rId7" Type="http://schemas.openxmlformats.org/officeDocument/2006/relationships/printerSettings" Target="../printerSettings/printerSettings7.bin"/><Relationship Id="rId2" Type="http://schemas.openxmlformats.org/officeDocument/2006/relationships/hyperlink" Target="mailto:a.dasilva@accenture.com" TargetMode="External"/><Relationship Id="rId1" Type="http://schemas.openxmlformats.org/officeDocument/2006/relationships/hyperlink" Target="mailto:cassia.rodrigues@accenture.com" TargetMode="External"/><Relationship Id="rId6" Type="http://schemas.openxmlformats.org/officeDocument/2006/relationships/hyperlink" Target="mailto:adriana.a.domingues@accenture.com" TargetMode="External"/><Relationship Id="rId5" Type="http://schemas.openxmlformats.org/officeDocument/2006/relationships/hyperlink" Target="mailto:a.dasilva@accenture.com" TargetMode="External"/><Relationship Id="rId4" Type="http://schemas.openxmlformats.org/officeDocument/2006/relationships/hyperlink" Target="mailto:cassiano.p.fonseca@accenture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mailto:cassiano.p.fonseca@accenture.com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mailto:carolina.santore@accenture.com" TargetMode="External"/><Relationship Id="rId1" Type="http://schemas.openxmlformats.org/officeDocument/2006/relationships/hyperlink" Target="mailto:a.dasilva@accenture.com" TargetMode="External"/><Relationship Id="rId6" Type="http://schemas.openxmlformats.org/officeDocument/2006/relationships/hyperlink" Target="mailto:adriana.a.domingues@accenture.com" TargetMode="External"/><Relationship Id="rId5" Type="http://schemas.openxmlformats.org/officeDocument/2006/relationships/hyperlink" Target="mailto:adriana.a.domingues@accenture.com" TargetMode="External"/><Relationship Id="rId4" Type="http://schemas.openxmlformats.org/officeDocument/2006/relationships/hyperlink" Target="mailto:a.dasilva@accenture.com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mailto:a.dasilva@accenture.com" TargetMode="External"/><Relationship Id="rId7" Type="http://schemas.openxmlformats.org/officeDocument/2006/relationships/hyperlink" Target="mailto:priscilla.cocconi.ext@telefonica.com" TargetMode="External"/><Relationship Id="rId2" Type="http://schemas.openxmlformats.org/officeDocument/2006/relationships/hyperlink" Target="mailto:roberto.mayer@accenture.com" TargetMode="External"/><Relationship Id="rId1" Type="http://schemas.openxmlformats.org/officeDocument/2006/relationships/hyperlink" Target="mailto:a.dasilva@accenture.com" TargetMode="External"/><Relationship Id="rId6" Type="http://schemas.openxmlformats.org/officeDocument/2006/relationships/hyperlink" Target="mailto:monique.rosa.mota@everis.com" TargetMode="External"/><Relationship Id="rId5" Type="http://schemas.openxmlformats.org/officeDocument/2006/relationships/hyperlink" Target="mailto:carolina.santore@accenture.com" TargetMode="External"/><Relationship Id="rId4" Type="http://schemas.openxmlformats.org/officeDocument/2006/relationships/hyperlink" Target="mailto:cassiano.p.fonseca@accentur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Lanc"/>
  <dimension ref="A1:M111"/>
  <sheetViews>
    <sheetView zoomScale="85" zoomScaleNormal="85" workbookViewId="0">
      <pane ySplit="1" topLeftCell="A86" activePane="bottomLeft" state="frozen"/>
      <selection activeCell="B9" sqref="B9:P9"/>
      <selection pane="bottomLeft" activeCell="E87" sqref="E87"/>
    </sheetView>
  </sheetViews>
  <sheetFormatPr defaultColWidth="17.85546875" defaultRowHeight="15" x14ac:dyDescent="0.25"/>
  <cols>
    <col min="1" max="1" width="25.7109375" bestFit="1" customWidth="1"/>
    <col min="2" max="2" width="8.7109375" bestFit="1" customWidth="1"/>
    <col min="3" max="3" width="8.7109375" style="40" bestFit="1" customWidth="1"/>
    <col min="4" max="4" width="12" style="41" customWidth="1"/>
    <col min="5" max="5" width="15.140625" style="41" bestFit="1" customWidth="1"/>
    <col min="6" max="6" width="52.85546875" style="49" bestFit="1" customWidth="1"/>
    <col min="7" max="7" width="13.28515625" style="44" customWidth="1"/>
    <col min="8" max="8" width="9.42578125" bestFit="1" customWidth="1"/>
    <col min="9" max="10" width="5.5703125" customWidth="1"/>
    <col min="11" max="13" width="6" customWidth="1"/>
    <col min="14" max="14" width="17.85546875" customWidth="1"/>
  </cols>
  <sheetData>
    <row r="1" spans="1:13" s="35" customFormat="1" ht="45" x14ac:dyDescent="0.25">
      <c r="A1" s="30" t="s">
        <v>102</v>
      </c>
      <c r="B1" s="30" t="s">
        <v>103</v>
      </c>
      <c r="C1" s="31" t="s">
        <v>104</v>
      </c>
      <c r="D1" s="32" t="s">
        <v>105</v>
      </c>
      <c r="E1" s="32" t="s">
        <v>106</v>
      </c>
      <c r="F1" s="33" t="s">
        <v>107</v>
      </c>
      <c r="G1" s="34" t="s">
        <v>108</v>
      </c>
      <c r="H1" s="30" t="s">
        <v>109</v>
      </c>
      <c r="J1" s="36"/>
      <c r="K1" s="37"/>
      <c r="L1" s="36"/>
      <c r="M1" s="38"/>
    </row>
    <row r="2" spans="1:13" x14ac:dyDescent="0.25">
      <c r="A2" t="s">
        <v>38</v>
      </c>
      <c r="B2" t="s">
        <v>92</v>
      </c>
      <c r="C2" s="40">
        <v>42083</v>
      </c>
      <c r="D2" s="41" t="str">
        <f>UPPER(TEXT(Table13[[#This Row],[DIA]],"ddd"))</f>
        <v>SEX</v>
      </c>
      <c r="E2" s="42" t="s">
        <v>110</v>
      </c>
      <c r="F2" s="43"/>
      <c r="G2" s="44">
        <v>3</v>
      </c>
      <c r="H2">
        <f>MONTH(Table13[[#This Row],[DIA]])</f>
        <v>3</v>
      </c>
      <c r="I2" s="45"/>
    </row>
    <row r="3" spans="1:13" x14ac:dyDescent="0.25">
      <c r="A3" t="s">
        <v>38</v>
      </c>
      <c r="B3" t="s">
        <v>92</v>
      </c>
      <c r="C3" s="40">
        <v>42086</v>
      </c>
      <c r="D3" s="41" t="str">
        <f>UPPER(TEXT(Table13[[#This Row],[DIA]],"ddd"))</f>
        <v>SEG</v>
      </c>
      <c r="E3" s="42" t="s">
        <v>110</v>
      </c>
      <c r="F3" s="43"/>
      <c r="G3" s="44">
        <v>4</v>
      </c>
      <c r="H3">
        <f>MONTH(Table13[[#This Row],[DIA]])</f>
        <v>3</v>
      </c>
      <c r="I3" s="45"/>
    </row>
    <row r="4" spans="1:13" x14ac:dyDescent="0.25">
      <c r="A4" t="s">
        <v>38</v>
      </c>
      <c r="B4" t="s">
        <v>92</v>
      </c>
      <c r="C4" s="40">
        <v>42087</v>
      </c>
      <c r="D4" s="41" t="str">
        <f>UPPER(TEXT(Table13[[#This Row],[DIA]],"ddd"))</f>
        <v>TER</v>
      </c>
      <c r="E4" s="42" t="s">
        <v>110</v>
      </c>
      <c r="F4" s="43"/>
      <c r="G4" s="44">
        <v>8</v>
      </c>
      <c r="H4">
        <f>MONTH(Table13[[#This Row],[DIA]])</f>
        <v>3</v>
      </c>
      <c r="I4" s="45"/>
    </row>
    <row r="5" spans="1:13" x14ac:dyDescent="0.25">
      <c r="A5" t="s">
        <v>38</v>
      </c>
      <c r="B5" t="s">
        <v>92</v>
      </c>
      <c r="C5" s="40">
        <v>42088</v>
      </c>
      <c r="D5" s="41" t="str">
        <f>UPPER(TEXT(Table13[[#This Row],[DIA]],"ddd"))</f>
        <v>QUA</v>
      </c>
      <c r="E5" s="42" t="s">
        <v>110</v>
      </c>
      <c r="F5" s="43"/>
      <c r="G5" s="44">
        <v>8</v>
      </c>
      <c r="H5">
        <f>MONTH(Table13[[#This Row],[DIA]])</f>
        <v>3</v>
      </c>
      <c r="I5" s="45"/>
    </row>
    <row r="6" spans="1:13" x14ac:dyDescent="0.25">
      <c r="A6" t="s">
        <v>38</v>
      </c>
      <c r="B6" t="s">
        <v>92</v>
      </c>
      <c r="C6" s="40">
        <v>42089</v>
      </c>
      <c r="D6" s="41" t="str">
        <f>UPPER(TEXT(Table13[[#This Row],[DIA]],"ddd"))</f>
        <v>QUI</v>
      </c>
      <c r="E6" s="42" t="s">
        <v>110</v>
      </c>
      <c r="F6" s="43"/>
      <c r="G6" s="44">
        <v>9</v>
      </c>
      <c r="H6">
        <f>MONTH(Table13[[#This Row],[DIA]])</f>
        <v>3</v>
      </c>
      <c r="I6" s="45"/>
    </row>
    <row r="7" spans="1:13" x14ac:dyDescent="0.25">
      <c r="A7" t="s">
        <v>38</v>
      </c>
      <c r="B7" t="s">
        <v>92</v>
      </c>
      <c r="C7" s="40">
        <v>42090</v>
      </c>
      <c r="D7" s="41" t="str">
        <f>UPPER(TEXT(Table13[[#This Row],[DIA]],"ddd"))</f>
        <v>SEX</v>
      </c>
      <c r="E7" s="42" t="s">
        <v>110</v>
      </c>
      <c r="F7" s="43"/>
      <c r="G7" s="44">
        <v>9</v>
      </c>
      <c r="H7">
        <f>MONTH(Table13[[#This Row],[DIA]])</f>
        <v>3</v>
      </c>
      <c r="I7" s="45"/>
    </row>
    <row r="8" spans="1:13" x14ac:dyDescent="0.25">
      <c r="A8" t="s">
        <v>38</v>
      </c>
      <c r="B8" t="s">
        <v>92</v>
      </c>
      <c r="C8" s="40">
        <v>42091</v>
      </c>
      <c r="D8" s="41" t="str">
        <f>UPPER(TEXT(Table13[[#This Row],[DIA]],"ddd"))</f>
        <v>SÁB</v>
      </c>
      <c r="E8" s="42" t="s">
        <v>110</v>
      </c>
      <c r="F8" s="43"/>
      <c r="G8" s="44">
        <v>3</v>
      </c>
      <c r="H8">
        <f>MONTH(Table13[[#This Row],[DIA]])</f>
        <v>3</v>
      </c>
      <c r="I8" s="45"/>
    </row>
    <row r="9" spans="1:13" x14ac:dyDescent="0.25">
      <c r="A9" t="s">
        <v>38</v>
      </c>
      <c r="B9" t="s">
        <v>92</v>
      </c>
      <c r="C9" s="40">
        <v>42093</v>
      </c>
      <c r="D9" s="41" t="str">
        <f>UPPER(TEXT(Table13[[#This Row],[DIA]],"ddd"))</f>
        <v>SEG</v>
      </c>
      <c r="E9" s="42" t="s">
        <v>110</v>
      </c>
      <c r="F9" s="43"/>
      <c r="G9" s="44">
        <v>8</v>
      </c>
      <c r="H9">
        <f>MONTH(Table13[[#This Row],[DIA]])</f>
        <v>3</v>
      </c>
      <c r="I9" s="45"/>
    </row>
    <row r="10" spans="1:13" x14ac:dyDescent="0.25">
      <c r="A10" t="s">
        <v>38</v>
      </c>
      <c r="B10" t="s">
        <v>92</v>
      </c>
      <c r="C10" s="40">
        <v>42095</v>
      </c>
      <c r="D10" s="41" t="str">
        <f>UPPER(TEXT(Table13[[#This Row],[DIA]],"ddd"))</f>
        <v>QUA</v>
      </c>
      <c r="E10" s="42" t="s">
        <v>111</v>
      </c>
      <c r="F10" s="43"/>
      <c r="G10" s="44">
        <v>8</v>
      </c>
      <c r="H10">
        <f>MONTH(Table13[[#This Row],[DIA]])</f>
        <v>4</v>
      </c>
      <c r="I10" s="39"/>
      <c r="J10" s="45"/>
      <c r="K10" s="45"/>
      <c r="L10" s="45"/>
      <c r="M10" s="45"/>
    </row>
    <row r="11" spans="1:13" x14ac:dyDescent="0.25">
      <c r="A11" t="s">
        <v>38</v>
      </c>
      <c r="B11" t="s">
        <v>92</v>
      </c>
      <c r="C11" s="40">
        <v>42096</v>
      </c>
      <c r="D11" s="41" t="str">
        <f>UPPER(TEXT(Table13[[#This Row],[DIA]],"ddd"))</f>
        <v>QUI</v>
      </c>
      <c r="E11" s="42" t="s">
        <v>111</v>
      </c>
      <c r="F11" s="43"/>
      <c r="G11" s="44">
        <v>8</v>
      </c>
      <c r="H11">
        <f>MONTH(Table13[[#This Row],[DIA]])</f>
        <v>4</v>
      </c>
      <c r="I11" s="39"/>
      <c r="J11" s="45"/>
      <c r="K11" s="45"/>
      <c r="L11" s="45"/>
      <c r="M11" s="45"/>
    </row>
    <row r="12" spans="1:13" x14ac:dyDescent="0.25">
      <c r="A12" t="s">
        <v>38</v>
      </c>
      <c r="B12" t="s">
        <v>92</v>
      </c>
      <c r="C12" s="40">
        <v>42097</v>
      </c>
      <c r="D12" s="41" t="str">
        <f>UPPER(TEXT(Table13[[#This Row],[DIA]],"ddd"))</f>
        <v>SEX</v>
      </c>
      <c r="E12" s="42" t="s">
        <v>111</v>
      </c>
      <c r="F12" s="43"/>
      <c r="G12" s="44">
        <v>8</v>
      </c>
      <c r="H12">
        <f>MONTH(Table13[[#This Row],[DIA]])</f>
        <v>4</v>
      </c>
      <c r="I12" s="39"/>
      <c r="J12" s="45"/>
      <c r="K12" s="45"/>
      <c r="L12" s="45"/>
      <c r="M12" s="45"/>
    </row>
    <row r="13" spans="1:13" x14ac:dyDescent="0.25">
      <c r="A13" t="s">
        <v>38</v>
      </c>
      <c r="B13" t="s">
        <v>92</v>
      </c>
      <c r="C13" s="40">
        <v>42098</v>
      </c>
      <c r="D13" s="41" t="str">
        <f>UPPER(TEXT(Table13[[#This Row],[DIA]],"ddd"))</f>
        <v>SÁB</v>
      </c>
      <c r="E13" s="42" t="s">
        <v>111</v>
      </c>
      <c r="F13" s="43"/>
      <c r="G13" s="44">
        <v>4</v>
      </c>
      <c r="H13">
        <f>MONTH(Table13[[#This Row],[DIA]])</f>
        <v>4</v>
      </c>
      <c r="I13" s="39"/>
      <c r="J13" s="45"/>
      <c r="K13" s="45"/>
      <c r="L13" s="45"/>
      <c r="M13" s="45"/>
    </row>
    <row r="14" spans="1:13" x14ac:dyDescent="0.25">
      <c r="A14" t="s">
        <v>38</v>
      </c>
      <c r="B14" t="s">
        <v>92</v>
      </c>
      <c r="C14" s="40">
        <v>42099</v>
      </c>
      <c r="D14" s="41" t="str">
        <f>UPPER(TEXT(Table13[[#This Row],[DIA]],"ddd"))</f>
        <v>DOM</v>
      </c>
      <c r="E14" s="42" t="s">
        <v>111</v>
      </c>
      <c r="F14" s="43"/>
      <c r="G14" s="44">
        <v>4</v>
      </c>
      <c r="H14">
        <f>MONTH(Table13[[#This Row],[DIA]])</f>
        <v>4</v>
      </c>
      <c r="I14" s="39"/>
      <c r="J14" s="45"/>
      <c r="K14" s="45"/>
      <c r="L14" s="45"/>
      <c r="M14" s="45"/>
    </row>
    <row r="15" spans="1:13" x14ac:dyDescent="0.25">
      <c r="A15" t="s">
        <v>38</v>
      </c>
      <c r="B15" t="s">
        <v>92</v>
      </c>
      <c r="C15" s="40">
        <v>42100</v>
      </c>
      <c r="D15" s="41" t="str">
        <f>UPPER(TEXT(Table13[[#This Row],[DIA]],"ddd"))</f>
        <v>SEG</v>
      </c>
      <c r="E15" s="42" t="s">
        <v>111</v>
      </c>
      <c r="F15" s="43"/>
      <c r="G15" s="44">
        <v>2</v>
      </c>
      <c r="H15">
        <f>MONTH(Table13[[#This Row],[DIA]])</f>
        <v>4</v>
      </c>
      <c r="I15" s="39"/>
      <c r="J15" s="45"/>
      <c r="K15" s="45"/>
      <c r="L15" s="45"/>
      <c r="M15" s="45"/>
    </row>
    <row r="16" spans="1:13" x14ac:dyDescent="0.25">
      <c r="A16" t="s">
        <v>38</v>
      </c>
      <c r="B16" t="s">
        <v>92</v>
      </c>
      <c r="C16" s="40">
        <v>42101</v>
      </c>
      <c r="D16" s="41" t="str">
        <f>UPPER(TEXT(Table13[[#This Row],[DIA]],"ddd"))</f>
        <v>TER</v>
      </c>
      <c r="E16" s="42" t="s">
        <v>111</v>
      </c>
      <c r="F16" s="43"/>
      <c r="G16" s="44">
        <v>2</v>
      </c>
      <c r="H16">
        <f>MONTH(Table13[[#This Row],[DIA]])</f>
        <v>4</v>
      </c>
      <c r="I16" s="39"/>
      <c r="J16" s="45"/>
      <c r="K16" s="45"/>
      <c r="L16" s="45"/>
      <c r="M16" s="45"/>
    </row>
    <row r="17" spans="1:13" x14ac:dyDescent="0.25">
      <c r="A17" t="s">
        <v>38</v>
      </c>
      <c r="B17" t="s">
        <v>92</v>
      </c>
      <c r="C17" s="40">
        <v>42102</v>
      </c>
      <c r="D17" s="41" t="str">
        <f>UPPER(TEXT(Table13[[#This Row],[DIA]],"ddd"))</f>
        <v>QUA</v>
      </c>
      <c r="E17" s="42" t="s">
        <v>111</v>
      </c>
      <c r="F17" s="43"/>
      <c r="G17" s="44">
        <v>2</v>
      </c>
      <c r="H17">
        <f>MONTH(Table13[[#This Row],[DIA]])</f>
        <v>4</v>
      </c>
      <c r="I17" s="39"/>
      <c r="J17" s="45"/>
      <c r="K17" s="45"/>
      <c r="L17" s="45"/>
      <c r="M17" s="45"/>
    </row>
    <row r="18" spans="1:13" x14ac:dyDescent="0.25">
      <c r="A18" t="s">
        <v>38</v>
      </c>
      <c r="B18" t="s">
        <v>92</v>
      </c>
      <c r="C18" s="40">
        <v>42103</v>
      </c>
      <c r="D18" s="41" t="str">
        <f>UPPER(TEXT(Table13[[#This Row],[DIA]],"ddd"))</f>
        <v>QUI</v>
      </c>
      <c r="E18" s="42" t="s">
        <v>111</v>
      </c>
      <c r="F18" s="43"/>
      <c r="G18" s="44">
        <v>8</v>
      </c>
      <c r="H18">
        <f>MONTH(Table13[[#This Row],[DIA]])</f>
        <v>4</v>
      </c>
      <c r="I18" s="39"/>
      <c r="J18" s="45"/>
      <c r="K18" s="45"/>
      <c r="L18" s="45"/>
      <c r="M18" s="45"/>
    </row>
    <row r="19" spans="1:13" x14ac:dyDescent="0.25">
      <c r="A19" t="s">
        <v>38</v>
      </c>
      <c r="B19" t="s">
        <v>92</v>
      </c>
      <c r="C19" s="40">
        <v>42104</v>
      </c>
      <c r="D19" s="41" t="str">
        <f>UPPER(TEXT(Table13[[#This Row],[DIA]],"ddd"))</f>
        <v>SEX</v>
      </c>
      <c r="E19" s="42" t="s">
        <v>111</v>
      </c>
      <c r="F19" s="43"/>
      <c r="G19" s="44">
        <v>9</v>
      </c>
      <c r="H19">
        <f>MONTH(Table13[[#This Row],[DIA]])</f>
        <v>4</v>
      </c>
      <c r="I19" s="39"/>
      <c r="J19" s="45"/>
      <c r="K19" s="45"/>
      <c r="L19" s="45"/>
      <c r="M19" s="45"/>
    </row>
    <row r="20" spans="1:13" x14ac:dyDescent="0.25">
      <c r="A20" t="s">
        <v>38</v>
      </c>
      <c r="B20" t="s">
        <v>92</v>
      </c>
      <c r="C20" s="40">
        <v>42107</v>
      </c>
      <c r="D20" s="41" t="str">
        <f>UPPER(TEXT(Table13[[#This Row],[DIA]],"ddd"))</f>
        <v>SEG</v>
      </c>
      <c r="E20" s="42" t="s">
        <v>111</v>
      </c>
      <c r="F20" s="43"/>
      <c r="G20" s="44">
        <v>9</v>
      </c>
      <c r="H20">
        <f>MONTH(Table13[[#This Row],[DIA]])</f>
        <v>4</v>
      </c>
      <c r="I20" s="39"/>
      <c r="J20" s="45"/>
      <c r="K20" s="45"/>
      <c r="L20" s="45"/>
      <c r="M20" s="45"/>
    </row>
    <row r="21" spans="1:13" x14ac:dyDescent="0.25">
      <c r="A21" t="s">
        <v>38</v>
      </c>
      <c r="B21" t="s">
        <v>92</v>
      </c>
      <c r="C21" s="40">
        <v>42108</v>
      </c>
      <c r="D21" s="41" t="str">
        <f>UPPER(TEXT(Table13[[#This Row],[DIA]],"ddd"))</f>
        <v>TER</v>
      </c>
      <c r="E21" s="42" t="s">
        <v>111</v>
      </c>
      <c r="F21" s="43"/>
      <c r="G21" s="44">
        <v>10</v>
      </c>
      <c r="H21">
        <f>MONTH(Table13[[#This Row],[DIA]])</f>
        <v>4</v>
      </c>
      <c r="I21" s="39"/>
      <c r="J21" s="45"/>
      <c r="K21" s="45"/>
      <c r="L21" s="45"/>
      <c r="M21" s="45"/>
    </row>
    <row r="22" spans="1:13" x14ac:dyDescent="0.25">
      <c r="A22" t="s">
        <v>38</v>
      </c>
      <c r="B22" t="s">
        <v>92</v>
      </c>
      <c r="C22" s="40">
        <v>42109</v>
      </c>
      <c r="D22" s="41" t="str">
        <f>UPPER(TEXT(Table13[[#This Row],[DIA]],"ddd"))</f>
        <v>QUA</v>
      </c>
      <c r="E22" s="42" t="s">
        <v>110</v>
      </c>
      <c r="F22" s="43"/>
      <c r="G22" s="44">
        <v>3</v>
      </c>
      <c r="H22">
        <f>MONTH(Table13[[#This Row],[DIA]])</f>
        <v>4</v>
      </c>
      <c r="I22" s="39"/>
      <c r="J22" s="45"/>
      <c r="K22" s="45"/>
      <c r="L22" s="45"/>
      <c r="M22" s="45"/>
    </row>
    <row r="23" spans="1:13" x14ac:dyDescent="0.25">
      <c r="A23" t="s">
        <v>38</v>
      </c>
      <c r="B23" t="s">
        <v>92</v>
      </c>
      <c r="C23" s="40">
        <v>42109</v>
      </c>
      <c r="D23" s="41" t="str">
        <f>UPPER(TEXT(Table13[[#This Row],[DIA]],"ddd"))</f>
        <v>QUA</v>
      </c>
      <c r="E23" s="42" t="s">
        <v>111</v>
      </c>
      <c r="F23" s="43"/>
      <c r="G23" s="44">
        <v>8</v>
      </c>
      <c r="H23">
        <f>MONTH(Table13[[#This Row],[DIA]])</f>
        <v>4</v>
      </c>
      <c r="I23" s="39"/>
      <c r="J23" s="45"/>
      <c r="K23" s="45"/>
      <c r="L23" s="45"/>
      <c r="M23" s="45"/>
    </row>
    <row r="24" spans="1:13" x14ac:dyDescent="0.25">
      <c r="A24" t="s">
        <v>38</v>
      </c>
      <c r="B24" t="s">
        <v>92</v>
      </c>
      <c r="C24" s="40">
        <v>42110</v>
      </c>
      <c r="D24" s="41" t="str">
        <f>UPPER(TEXT(Table13[[#This Row],[DIA]],"ddd"))</f>
        <v>QUI</v>
      </c>
      <c r="E24" s="42" t="s">
        <v>110</v>
      </c>
      <c r="F24" s="43"/>
      <c r="G24" s="44">
        <v>10</v>
      </c>
      <c r="H24">
        <f>MONTH(Table13[[#This Row],[DIA]])</f>
        <v>4</v>
      </c>
      <c r="I24" s="39"/>
      <c r="J24" s="45"/>
      <c r="K24" s="45"/>
      <c r="L24" s="45"/>
      <c r="M24" s="45"/>
    </row>
    <row r="25" spans="1:13" x14ac:dyDescent="0.25">
      <c r="A25" t="s">
        <v>38</v>
      </c>
      <c r="B25" t="s">
        <v>92</v>
      </c>
      <c r="C25" s="40">
        <v>42110</v>
      </c>
      <c r="D25" s="41" t="str">
        <f>UPPER(TEXT(Table13[[#This Row],[DIA]],"ddd"))</f>
        <v>QUI</v>
      </c>
      <c r="E25" s="42" t="s">
        <v>111</v>
      </c>
      <c r="F25" s="43"/>
      <c r="G25" s="44">
        <v>3</v>
      </c>
      <c r="H25">
        <f>MONTH(Table13[[#This Row],[DIA]])</f>
        <v>4</v>
      </c>
      <c r="I25" s="39"/>
      <c r="J25" s="45"/>
      <c r="K25" s="45"/>
      <c r="L25" s="45"/>
      <c r="M25" s="45"/>
    </row>
    <row r="26" spans="1:13" x14ac:dyDescent="0.25">
      <c r="A26" t="s">
        <v>38</v>
      </c>
      <c r="B26" t="s">
        <v>92</v>
      </c>
      <c r="C26" s="40">
        <v>42111</v>
      </c>
      <c r="D26" s="41" t="str">
        <f>UPPER(TEXT(Table13[[#This Row],[DIA]],"ddd"))</f>
        <v>SEX</v>
      </c>
      <c r="E26" s="42" t="s">
        <v>112</v>
      </c>
      <c r="F26" s="43"/>
      <c r="G26" s="44">
        <v>5</v>
      </c>
      <c r="H26">
        <f>MONTH(Table13[[#This Row],[DIA]])</f>
        <v>4</v>
      </c>
      <c r="I26" s="39"/>
      <c r="J26" s="45"/>
      <c r="K26" s="45"/>
      <c r="L26" s="45"/>
      <c r="M26" s="45"/>
    </row>
    <row r="27" spans="1:13" x14ac:dyDescent="0.25">
      <c r="A27" t="s">
        <v>38</v>
      </c>
      <c r="B27" t="s">
        <v>92</v>
      </c>
      <c r="C27" s="40">
        <v>42116</v>
      </c>
      <c r="D27" s="41" t="str">
        <f>UPPER(TEXT(Table13[[#This Row],[DIA]],"ddd"))</f>
        <v>QUA</v>
      </c>
      <c r="E27" s="42" t="s">
        <v>113</v>
      </c>
      <c r="F27" s="43"/>
      <c r="G27" s="44">
        <v>3</v>
      </c>
      <c r="H27">
        <f>MONTH(Table13[[#This Row],[DIA]])</f>
        <v>4</v>
      </c>
      <c r="I27" s="39"/>
      <c r="J27" s="45"/>
      <c r="K27" s="45"/>
      <c r="L27" s="45"/>
      <c r="M27" s="45"/>
    </row>
    <row r="28" spans="1:13" x14ac:dyDescent="0.25">
      <c r="A28" t="s">
        <v>38</v>
      </c>
      <c r="B28" t="s">
        <v>92</v>
      </c>
      <c r="C28" s="40">
        <v>42116</v>
      </c>
      <c r="D28" s="41" t="str">
        <f>UPPER(TEXT(Table13[[#This Row],[DIA]],"ddd"))</f>
        <v>QUA</v>
      </c>
      <c r="E28" s="42" t="s">
        <v>112</v>
      </c>
      <c r="F28" s="43"/>
      <c r="G28" s="44">
        <v>2</v>
      </c>
      <c r="H28">
        <f>MONTH(Table13[[#This Row],[DIA]])</f>
        <v>4</v>
      </c>
      <c r="I28" s="39"/>
      <c r="J28" s="45"/>
      <c r="K28" s="45"/>
      <c r="L28" s="45"/>
      <c r="M28" s="45"/>
    </row>
    <row r="29" spans="1:13" x14ac:dyDescent="0.25">
      <c r="A29" t="s">
        <v>38</v>
      </c>
      <c r="B29" t="s">
        <v>92</v>
      </c>
      <c r="C29" s="40">
        <v>42117</v>
      </c>
      <c r="D29" s="41" t="str">
        <f>UPPER(TEXT(Table13[[#This Row],[DIA]],"ddd"))</f>
        <v>QUI</v>
      </c>
      <c r="E29" s="42" t="s">
        <v>113</v>
      </c>
      <c r="F29" s="43"/>
      <c r="G29" s="44">
        <v>3</v>
      </c>
      <c r="H29">
        <f>MONTH(Table13[[#This Row],[DIA]])</f>
        <v>4</v>
      </c>
      <c r="I29" s="39"/>
      <c r="J29" s="45"/>
      <c r="K29" s="45"/>
      <c r="L29" s="45"/>
      <c r="M29" s="45"/>
    </row>
    <row r="30" spans="1:13" x14ac:dyDescent="0.25">
      <c r="A30" t="s">
        <v>38</v>
      </c>
      <c r="B30" t="s">
        <v>92</v>
      </c>
      <c r="C30" s="40">
        <v>42117</v>
      </c>
      <c r="D30" s="41" t="str">
        <f>UPPER(TEXT(Table13[[#This Row],[DIA]],"ddd"))</f>
        <v>QUI</v>
      </c>
      <c r="E30" s="42" t="s">
        <v>112</v>
      </c>
      <c r="F30" s="43"/>
      <c r="G30" s="44">
        <v>3</v>
      </c>
      <c r="H30">
        <f>MONTH(Table13[[#This Row],[DIA]])</f>
        <v>4</v>
      </c>
      <c r="I30" s="39"/>
      <c r="J30" s="45"/>
      <c r="K30" s="45"/>
      <c r="L30" s="45"/>
      <c r="M30" s="45"/>
    </row>
    <row r="31" spans="1:13" x14ac:dyDescent="0.25">
      <c r="A31" t="s">
        <v>38</v>
      </c>
      <c r="B31" t="s">
        <v>92</v>
      </c>
      <c r="C31" s="40">
        <v>42118</v>
      </c>
      <c r="D31" s="41" t="str">
        <f>UPPER(TEXT(Table13[[#This Row],[DIA]],"ddd"))</f>
        <v>SEX</v>
      </c>
      <c r="E31" s="42" t="s">
        <v>112</v>
      </c>
      <c r="F31" s="43"/>
      <c r="G31" s="44">
        <v>3</v>
      </c>
      <c r="H31">
        <f>MONTH(Table13[[#This Row],[DIA]])</f>
        <v>4</v>
      </c>
      <c r="I31" s="39"/>
      <c r="J31" s="45"/>
      <c r="K31" s="45"/>
      <c r="L31" s="45"/>
      <c r="M31" s="45"/>
    </row>
    <row r="32" spans="1:13" x14ac:dyDescent="0.25">
      <c r="A32" t="s">
        <v>38</v>
      </c>
      <c r="B32" t="s">
        <v>92</v>
      </c>
      <c r="C32" s="40">
        <v>42121</v>
      </c>
      <c r="D32" s="41" t="str">
        <f>UPPER(TEXT(Table13[[#This Row],[DIA]],"ddd"))</f>
        <v>SEG</v>
      </c>
      <c r="E32" s="42" t="s">
        <v>112</v>
      </c>
      <c r="F32" s="43"/>
      <c r="G32" s="44">
        <v>10</v>
      </c>
      <c r="H32">
        <f>MONTH(Table13[[#This Row],[DIA]])</f>
        <v>4</v>
      </c>
      <c r="I32" s="39"/>
      <c r="J32" s="45"/>
      <c r="K32" s="45"/>
      <c r="L32" s="45"/>
      <c r="M32" s="45"/>
    </row>
    <row r="33" spans="1:13" x14ac:dyDescent="0.25">
      <c r="A33" t="s">
        <v>38</v>
      </c>
      <c r="B33" t="s">
        <v>92</v>
      </c>
      <c r="C33" s="40">
        <v>42122</v>
      </c>
      <c r="D33" s="41" t="str">
        <f>UPPER(TEXT(Table13[[#This Row],[DIA]],"ddd"))</f>
        <v>TER</v>
      </c>
      <c r="E33" s="46" t="s">
        <v>110</v>
      </c>
      <c r="F33" s="43"/>
      <c r="G33" s="44">
        <v>1</v>
      </c>
      <c r="H33">
        <f>MONTH(Table13[[#This Row],[DIA]])</f>
        <v>4</v>
      </c>
      <c r="I33" s="39"/>
      <c r="J33" s="45"/>
      <c r="K33" s="45"/>
      <c r="L33" s="45"/>
      <c r="M33" s="45"/>
    </row>
    <row r="34" spans="1:13" x14ac:dyDescent="0.25">
      <c r="A34" t="s">
        <v>38</v>
      </c>
      <c r="B34" t="s">
        <v>92</v>
      </c>
      <c r="C34" s="40">
        <v>42122</v>
      </c>
      <c r="D34" s="41" t="str">
        <f>UPPER(TEXT(Table13[[#This Row],[DIA]],"ddd"))</f>
        <v>TER</v>
      </c>
      <c r="E34" s="46" t="s">
        <v>112</v>
      </c>
      <c r="F34" s="43"/>
      <c r="G34" s="44">
        <v>2</v>
      </c>
      <c r="H34">
        <f>MONTH(Table13[[#This Row],[DIA]])</f>
        <v>4</v>
      </c>
      <c r="I34" s="39"/>
      <c r="J34" s="45"/>
      <c r="K34" s="45"/>
      <c r="L34" s="45"/>
      <c r="M34" s="45"/>
    </row>
    <row r="35" spans="1:13" x14ac:dyDescent="0.25">
      <c r="A35" t="s">
        <v>38</v>
      </c>
      <c r="B35" t="s">
        <v>92</v>
      </c>
      <c r="C35" s="40">
        <v>42122</v>
      </c>
      <c r="D35" s="41" t="str">
        <f>UPPER(TEXT(Table13[[#This Row],[DIA]],"ddd"))</f>
        <v>TER</v>
      </c>
      <c r="E35" s="46" t="s">
        <v>114</v>
      </c>
      <c r="F35" s="43"/>
      <c r="G35" s="44">
        <v>3</v>
      </c>
      <c r="H35">
        <f>MONTH(Table13[[#This Row],[DIA]])</f>
        <v>4</v>
      </c>
      <c r="I35" s="39"/>
      <c r="J35" s="45"/>
      <c r="K35" s="45"/>
      <c r="L35" s="45"/>
      <c r="M35" s="45"/>
    </row>
    <row r="36" spans="1:13" x14ac:dyDescent="0.25">
      <c r="A36" t="s">
        <v>38</v>
      </c>
      <c r="B36" t="s">
        <v>92</v>
      </c>
      <c r="C36" s="40">
        <v>42123</v>
      </c>
      <c r="D36" s="41" t="str">
        <f>UPPER(TEXT(Table13[[#This Row],[DIA]],"ddd"))</f>
        <v>QUA</v>
      </c>
      <c r="E36" s="46" t="s">
        <v>112</v>
      </c>
      <c r="F36" s="43"/>
      <c r="G36" s="44">
        <v>9</v>
      </c>
      <c r="H36">
        <f>MONTH(Table13[[#This Row],[DIA]])</f>
        <v>4</v>
      </c>
      <c r="I36" s="39"/>
      <c r="J36" s="45"/>
      <c r="K36" s="45"/>
      <c r="L36" s="45"/>
      <c r="M36" s="45"/>
    </row>
    <row r="37" spans="1:13" x14ac:dyDescent="0.25">
      <c r="A37" t="s">
        <v>38</v>
      </c>
      <c r="B37" t="s">
        <v>92</v>
      </c>
      <c r="C37" s="40">
        <v>42124</v>
      </c>
      <c r="D37" s="41" t="str">
        <f>UPPER(TEXT(Table13[[#This Row],[DIA]],"ddd"))</f>
        <v>QUI</v>
      </c>
      <c r="E37" s="46" t="s">
        <v>112</v>
      </c>
      <c r="F37" s="43"/>
      <c r="G37" s="44">
        <v>12</v>
      </c>
      <c r="H37">
        <f>MONTH(Table13[[#This Row],[DIA]])</f>
        <v>4</v>
      </c>
      <c r="I37" s="39"/>
      <c r="J37" s="45"/>
      <c r="K37" s="45"/>
      <c r="L37" s="45"/>
      <c r="M37" s="45"/>
    </row>
    <row r="38" spans="1:13" x14ac:dyDescent="0.25">
      <c r="A38" t="s">
        <v>38</v>
      </c>
      <c r="B38" t="s">
        <v>92</v>
      </c>
      <c r="C38" s="40">
        <v>42128</v>
      </c>
      <c r="D38" s="41" t="str">
        <f>UPPER(TEXT(Table13[[#This Row],[DIA]],"ddd"))</f>
        <v>SEG</v>
      </c>
      <c r="E38" s="46" t="s">
        <v>112</v>
      </c>
      <c r="F38" s="43"/>
      <c r="G38" s="44">
        <v>9</v>
      </c>
      <c r="H38">
        <f>MONTH(Table13[[#This Row],[DIA]])</f>
        <v>5</v>
      </c>
      <c r="I38" s="39"/>
      <c r="J38" s="45"/>
      <c r="K38" s="45"/>
      <c r="L38" s="45"/>
      <c r="M38" s="45"/>
    </row>
    <row r="39" spans="1:13" x14ac:dyDescent="0.25">
      <c r="A39" t="s">
        <v>38</v>
      </c>
      <c r="B39" t="s">
        <v>92</v>
      </c>
      <c r="C39" s="40">
        <v>42129</v>
      </c>
      <c r="D39" s="41" t="str">
        <f>UPPER(TEXT(Table13[[#This Row],[DIA]],"ddd"))</f>
        <v>TER</v>
      </c>
      <c r="E39" s="46" t="s">
        <v>114</v>
      </c>
      <c r="F39" s="43"/>
      <c r="G39" s="44">
        <v>2</v>
      </c>
      <c r="H39">
        <f>MONTH(Table13[[#This Row],[DIA]])</f>
        <v>5</v>
      </c>
      <c r="I39" s="39"/>
      <c r="J39" s="45"/>
      <c r="K39" s="45"/>
      <c r="L39" s="45"/>
      <c r="M39" s="45"/>
    </row>
    <row r="40" spans="1:13" x14ac:dyDescent="0.25">
      <c r="A40" t="s">
        <v>38</v>
      </c>
      <c r="B40" t="s">
        <v>92</v>
      </c>
      <c r="C40" s="40">
        <v>42129</v>
      </c>
      <c r="D40" s="41" t="str">
        <f>UPPER(TEXT(Table13[[#This Row],[DIA]],"ddd"))</f>
        <v>TER</v>
      </c>
      <c r="E40" s="46" t="s">
        <v>115</v>
      </c>
      <c r="F40" s="43"/>
      <c r="G40" s="44">
        <v>2</v>
      </c>
      <c r="H40">
        <f>MONTH(Table13[[#This Row],[DIA]])</f>
        <v>5</v>
      </c>
      <c r="I40" s="39"/>
      <c r="J40" s="45"/>
      <c r="K40" s="45"/>
      <c r="L40" s="45"/>
      <c r="M40" s="45"/>
    </row>
    <row r="41" spans="1:13" x14ac:dyDescent="0.25">
      <c r="A41" t="s">
        <v>38</v>
      </c>
      <c r="B41" t="s">
        <v>92</v>
      </c>
      <c r="C41" s="40">
        <v>42130</v>
      </c>
      <c r="D41" s="41" t="str">
        <f>UPPER(TEXT(Table13[[#This Row],[DIA]],"ddd"))</f>
        <v>QUA</v>
      </c>
      <c r="E41" s="46" t="s">
        <v>112</v>
      </c>
      <c r="F41" s="47"/>
      <c r="G41" s="44">
        <v>8</v>
      </c>
      <c r="H41">
        <f>MONTH(Table13[[#This Row],[DIA]])</f>
        <v>5</v>
      </c>
      <c r="I41" s="39"/>
      <c r="J41" s="45"/>
      <c r="K41" s="45"/>
      <c r="L41" s="45"/>
      <c r="M41" s="45"/>
    </row>
    <row r="42" spans="1:13" x14ac:dyDescent="0.25">
      <c r="A42" t="s">
        <v>38</v>
      </c>
      <c r="B42" t="s">
        <v>92</v>
      </c>
      <c r="C42" s="40">
        <v>42131</v>
      </c>
      <c r="D42" s="41" t="str">
        <f>UPPER(TEXT(Table13[[#This Row],[DIA]],"ddd"))</f>
        <v>QUI</v>
      </c>
      <c r="E42" s="46" t="s">
        <v>114</v>
      </c>
      <c r="F42" s="43"/>
      <c r="G42" s="44">
        <v>8</v>
      </c>
      <c r="H42">
        <f>MONTH(Table13[[#This Row],[DIA]])</f>
        <v>5</v>
      </c>
    </row>
    <row r="43" spans="1:13" x14ac:dyDescent="0.25">
      <c r="A43" t="s">
        <v>38</v>
      </c>
      <c r="B43" t="s">
        <v>92</v>
      </c>
      <c r="C43" s="40">
        <v>42132</v>
      </c>
      <c r="D43" s="41" t="str">
        <f>UPPER(TEXT(Table13[[#This Row],[DIA]],"ddd"))</f>
        <v>SEX</v>
      </c>
      <c r="E43" s="46" t="s">
        <v>114</v>
      </c>
      <c r="F43" s="43"/>
      <c r="G43" s="44">
        <v>8</v>
      </c>
      <c r="H43">
        <f>MONTH(Table13[[#This Row],[DIA]])</f>
        <v>5</v>
      </c>
    </row>
    <row r="44" spans="1:13" x14ac:dyDescent="0.25">
      <c r="A44" t="s">
        <v>38</v>
      </c>
      <c r="B44" t="s">
        <v>92</v>
      </c>
      <c r="C44" s="40">
        <v>42135</v>
      </c>
      <c r="D44" s="41" t="str">
        <f>UPPER(TEXT(Table13[[#This Row],[DIA]],"ddd"))</f>
        <v>SEG</v>
      </c>
      <c r="E44" s="46" t="s">
        <v>114</v>
      </c>
      <c r="F44" s="43"/>
      <c r="G44" s="44">
        <v>9.5</v>
      </c>
      <c r="H44">
        <f>MONTH(Table13[[#This Row],[DIA]])</f>
        <v>5</v>
      </c>
    </row>
    <row r="45" spans="1:13" x14ac:dyDescent="0.25">
      <c r="A45" t="s">
        <v>38</v>
      </c>
      <c r="B45" t="s">
        <v>92</v>
      </c>
      <c r="C45" s="40">
        <v>42136</v>
      </c>
      <c r="D45" s="41" t="str">
        <f>UPPER(TEXT(Table13[[#This Row],[DIA]],"ddd"))</f>
        <v>TER</v>
      </c>
      <c r="E45" s="46" t="s">
        <v>114</v>
      </c>
      <c r="F45" s="43"/>
      <c r="G45" s="44">
        <v>1</v>
      </c>
      <c r="H45">
        <f>MONTH(Table13[[#This Row],[DIA]])</f>
        <v>5</v>
      </c>
    </row>
    <row r="46" spans="1:13" x14ac:dyDescent="0.25">
      <c r="A46" t="s">
        <v>38</v>
      </c>
      <c r="B46" t="s">
        <v>92</v>
      </c>
      <c r="C46" s="40">
        <v>42136</v>
      </c>
      <c r="D46" s="41" t="str">
        <f>UPPER(TEXT(Table13[[#This Row],[DIA]],"ddd"))</f>
        <v>TER</v>
      </c>
      <c r="E46" s="42" t="s">
        <v>115</v>
      </c>
      <c r="F46" s="43"/>
      <c r="G46" s="44">
        <v>8</v>
      </c>
      <c r="H46">
        <f>MONTH(Table13[[#This Row],[DIA]])</f>
        <v>5</v>
      </c>
    </row>
    <row r="47" spans="1:13" x14ac:dyDescent="0.25">
      <c r="A47" t="s">
        <v>38</v>
      </c>
      <c r="B47" t="s">
        <v>92</v>
      </c>
      <c r="C47" s="40">
        <v>42137</v>
      </c>
      <c r="D47" s="41" t="str">
        <f>UPPER(TEXT(Table13[[#This Row],[DIA]],"ddd"))</f>
        <v>QUA</v>
      </c>
      <c r="E47" s="42" t="s">
        <v>115</v>
      </c>
      <c r="F47" s="43"/>
      <c r="G47" s="44">
        <v>8</v>
      </c>
      <c r="H47">
        <f>MONTH(Table13[[#This Row],[DIA]])</f>
        <v>5</v>
      </c>
    </row>
    <row r="48" spans="1:13" x14ac:dyDescent="0.25">
      <c r="A48" t="s">
        <v>38</v>
      </c>
      <c r="B48" t="s">
        <v>92</v>
      </c>
      <c r="C48" s="40">
        <v>42138</v>
      </c>
      <c r="D48" s="41" t="str">
        <f>UPPER(TEXT(Table13[[#This Row],[DIA]],"ddd"))</f>
        <v>QUI</v>
      </c>
      <c r="E48" s="42" t="s">
        <v>115</v>
      </c>
      <c r="F48" s="43"/>
      <c r="G48" s="44">
        <v>4</v>
      </c>
      <c r="H48">
        <f>MONTH(Table13[[#This Row],[DIA]])</f>
        <v>5</v>
      </c>
    </row>
    <row r="49" spans="1:8" x14ac:dyDescent="0.25">
      <c r="A49" t="s">
        <v>38</v>
      </c>
      <c r="B49" t="s">
        <v>92</v>
      </c>
      <c r="C49" s="40">
        <v>42138</v>
      </c>
      <c r="D49" s="41" t="str">
        <f>UPPER(TEXT(Table13[[#This Row],[DIA]],"ddd"))</f>
        <v>QUI</v>
      </c>
      <c r="E49" s="42" t="s">
        <v>116</v>
      </c>
      <c r="F49" s="43"/>
      <c r="G49" s="44">
        <v>4</v>
      </c>
      <c r="H49">
        <f>MONTH(Table13[[#This Row],[DIA]])</f>
        <v>5</v>
      </c>
    </row>
    <row r="50" spans="1:8" x14ac:dyDescent="0.25">
      <c r="A50" t="s">
        <v>38</v>
      </c>
      <c r="B50" t="s">
        <v>92</v>
      </c>
      <c r="C50" s="40">
        <v>42139</v>
      </c>
      <c r="D50" s="41" t="str">
        <f>UPPER(TEXT(Table13[[#This Row],[DIA]],"ddd"))</f>
        <v>SEX</v>
      </c>
      <c r="E50" s="42" t="s">
        <v>115</v>
      </c>
      <c r="F50" s="43"/>
      <c r="G50" s="44">
        <v>4</v>
      </c>
      <c r="H50">
        <f>MONTH(Table13[[#This Row],[DIA]])</f>
        <v>5</v>
      </c>
    </row>
    <row r="51" spans="1:8" x14ac:dyDescent="0.25">
      <c r="A51" t="s">
        <v>38</v>
      </c>
      <c r="B51" t="s">
        <v>92</v>
      </c>
      <c r="C51" s="40">
        <v>42139</v>
      </c>
      <c r="D51" s="41" t="str">
        <f>UPPER(TEXT(Table13[[#This Row],[DIA]],"ddd"))</f>
        <v>SEX</v>
      </c>
      <c r="E51" s="42" t="s">
        <v>116</v>
      </c>
      <c r="F51" s="43"/>
      <c r="G51" s="44">
        <v>4</v>
      </c>
      <c r="H51">
        <f>MONTH(Table13[[#This Row],[DIA]])</f>
        <v>5</v>
      </c>
    </row>
    <row r="52" spans="1:8" x14ac:dyDescent="0.25">
      <c r="A52" t="s">
        <v>38</v>
      </c>
      <c r="B52" t="s">
        <v>92</v>
      </c>
      <c r="C52" s="40">
        <v>42142</v>
      </c>
      <c r="D52" s="41" t="str">
        <f>UPPER(TEXT(Table13[[#This Row],[DIA]],"ddd"))</f>
        <v>SEG</v>
      </c>
      <c r="E52" s="42" t="s">
        <v>115</v>
      </c>
      <c r="F52" s="43"/>
      <c r="G52" s="44">
        <v>8</v>
      </c>
      <c r="H52">
        <f>MONTH(Table13[[#This Row],[DIA]])</f>
        <v>5</v>
      </c>
    </row>
    <row r="53" spans="1:8" x14ac:dyDescent="0.25">
      <c r="A53" t="s">
        <v>38</v>
      </c>
      <c r="B53" t="s">
        <v>92</v>
      </c>
      <c r="C53" s="40">
        <v>42143</v>
      </c>
      <c r="D53" s="41" t="str">
        <f>UPPER(TEXT(Table13[[#This Row],[DIA]],"ddd"))</f>
        <v>TER</v>
      </c>
      <c r="E53" s="42" t="s">
        <v>115</v>
      </c>
      <c r="F53" s="43"/>
      <c r="G53" s="44">
        <v>4</v>
      </c>
      <c r="H53">
        <f>MONTH(Table13[[#This Row],[DIA]])</f>
        <v>5</v>
      </c>
    </row>
    <row r="54" spans="1:8" x14ac:dyDescent="0.25">
      <c r="A54" t="s">
        <v>38</v>
      </c>
      <c r="B54" t="s">
        <v>92</v>
      </c>
      <c r="C54" s="40">
        <v>42143</v>
      </c>
      <c r="D54" s="41" t="str">
        <f>UPPER(TEXT(Table13[[#This Row],[DIA]],"ddd"))</f>
        <v>TER</v>
      </c>
      <c r="E54" s="46" t="s">
        <v>116</v>
      </c>
      <c r="F54" s="43"/>
      <c r="G54" s="44">
        <v>4</v>
      </c>
      <c r="H54">
        <f>MONTH(Table13[[#This Row],[DIA]])</f>
        <v>5</v>
      </c>
    </row>
    <row r="55" spans="1:8" x14ac:dyDescent="0.25">
      <c r="A55" t="s">
        <v>38</v>
      </c>
      <c r="B55" t="s">
        <v>92</v>
      </c>
      <c r="C55" s="40">
        <v>42144</v>
      </c>
      <c r="D55" s="41" t="str">
        <f>UPPER(TEXT(Table13[[#This Row],[DIA]],"ddd"))</f>
        <v>QUA</v>
      </c>
      <c r="E55" s="46" t="s">
        <v>116</v>
      </c>
      <c r="F55" s="43"/>
      <c r="G55" s="44">
        <v>3</v>
      </c>
      <c r="H55">
        <f>MONTH(Table13[[#This Row],[DIA]])</f>
        <v>5</v>
      </c>
    </row>
    <row r="56" spans="1:8" x14ac:dyDescent="0.25">
      <c r="A56" t="s">
        <v>38</v>
      </c>
      <c r="B56" t="s">
        <v>92</v>
      </c>
      <c r="C56" s="40">
        <v>42145</v>
      </c>
      <c r="D56" s="41" t="str">
        <f>UPPER(TEXT(Table13[[#This Row],[DIA]],"ddd"))</f>
        <v>QUI</v>
      </c>
      <c r="E56" s="46" t="s">
        <v>116</v>
      </c>
      <c r="F56" s="43"/>
      <c r="G56" s="44">
        <v>8</v>
      </c>
      <c r="H56">
        <f>MONTH(Table13[[#This Row],[DIA]])</f>
        <v>5</v>
      </c>
    </row>
    <row r="57" spans="1:8" x14ac:dyDescent="0.25">
      <c r="A57" t="s">
        <v>38</v>
      </c>
      <c r="B57" t="s">
        <v>92</v>
      </c>
      <c r="C57" s="40">
        <v>42146</v>
      </c>
      <c r="D57" s="41" t="str">
        <f>UPPER(TEXT(Table13[[#This Row],[DIA]],"ddd"))</f>
        <v>SEX</v>
      </c>
      <c r="E57" s="46" t="s">
        <v>116</v>
      </c>
      <c r="F57" s="43"/>
      <c r="G57" s="44">
        <v>11</v>
      </c>
      <c r="H57">
        <f>MONTH(Table13[[#This Row],[DIA]])</f>
        <v>5</v>
      </c>
    </row>
    <row r="58" spans="1:8" x14ac:dyDescent="0.25">
      <c r="A58" t="s">
        <v>38</v>
      </c>
      <c r="B58" t="s">
        <v>92</v>
      </c>
      <c r="C58" s="40">
        <v>42149</v>
      </c>
      <c r="D58" s="41" t="str">
        <f>UPPER(TEXT(Table13[[#This Row],[DIA]],"ddd"))</f>
        <v>SEG</v>
      </c>
      <c r="E58" s="46" t="s">
        <v>116</v>
      </c>
      <c r="F58" s="43"/>
      <c r="G58" s="44">
        <v>8</v>
      </c>
      <c r="H58">
        <f>MONTH(Table13[[#This Row],[DIA]])</f>
        <v>5</v>
      </c>
    </row>
    <row r="59" spans="1:8" x14ac:dyDescent="0.25">
      <c r="A59" t="s">
        <v>38</v>
      </c>
      <c r="B59" t="s">
        <v>92</v>
      </c>
      <c r="C59" s="40">
        <v>42150</v>
      </c>
      <c r="D59" s="41" t="str">
        <f>UPPER(TEXT(Table13[[#This Row],[DIA]],"ddd"))</f>
        <v>TER</v>
      </c>
      <c r="E59" s="46" t="s">
        <v>116</v>
      </c>
      <c r="F59" s="43"/>
      <c r="G59" s="44">
        <v>8</v>
      </c>
      <c r="H59">
        <f>MONTH(Table13[[#This Row],[DIA]])</f>
        <v>5</v>
      </c>
    </row>
    <row r="60" spans="1:8" x14ac:dyDescent="0.25">
      <c r="A60" t="s">
        <v>38</v>
      </c>
      <c r="B60" t="s">
        <v>92</v>
      </c>
      <c r="C60" s="40">
        <v>42151</v>
      </c>
      <c r="D60" s="41" t="str">
        <f>UPPER(TEXT(Table13[[#This Row],[DIA]],"ddd"))</f>
        <v>QUA</v>
      </c>
      <c r="E60" s="46" t="s">
        <v>117</v>
      </c>
      <c r="F60" s="43"/>
      <c r="G60" s="44">
        <v>8</v>
      </c>
      <c r="H60">
        <f>MONTH(Table13[[#This Row],[DIA]])</f>
        <v>5</v>
      </c>
    </row>
    <row r="61" spans="1:8" x14ac:dyDescent="0.25">
      <c r="A61" t="s">
        <v>38</v>
      </c>
      <c r="B61" t="s">
        <v>92</v>
      </c>
      <c r="C61" s="40">
        <v>42152</v>
      </c>
      <c r="D61" s="41" t="str">
        <f>UPPER(TEXT(Table13[[#This Row],[DIA]],"ddd"))</f>
        <v>QUI</v>
      </c>
      <c r="E61" s="46" t="s">
        <v>117</v>
      </c>
      <c r="F61" s="43"/>
      <c r="G61" s="44">
        <v>8</v>
      </c>
      <c r="H61">
        <f>MONTH(Table13[[#This Row],[DIA]])</f>
        <v>5</v>
      </c>
    </row>
    <row r="62" spans="1:8" x14ac:dyDescent="0.25">
      <c r="A62" t="s">
        <v>38</v>
      </c>
      <c r="B62" t="s">
        <v>92</v>
      </c>
      <c r="C62" s="40">
        <v>42153</v>
      </c>
      <c r="D62" s="41" t="str">
        <f>UPPER(TEXT(Table13[[#This Row],[DIA]],"ddd"))</f>
        <v>SEX</v>
      </c>
      <c r="E62" s="46" t="s">
        <v>117</v>
      </c>
      <c r="F62" s="43"/>
      <c r="G62" s="44">
        <v>8</v>
      </c>
      <c r="H62">
        <f>MONTH(Table13[[#This Row],[DIA]])</f>
        <v>5</v>
      </c>
    </row>
    <row r="63" spans="1:8" x14ac:dyDescent="0.25">
      <c r="A63" t="s">
        <v>38</v>
      </c>
      <c r="B63" t="s">
        <v>92</v>
      </c>
      <c r="C63" s="40">
        <v>42157</v>
      </c>
      <c r="D63" s="41" t="str">
        <f>UPPER(TEXT(Table13[[#This Row],[DIA]],"ddd"))</f>
        <v>TER</v>
      </c>
      <c r="E63" s="46" t="s">
        <v>117</v>
      </c>
      <c r="F63" s="43"/>
      <c r="G63" s="44">
        <v>8</v>
      </c>
      <c r="H63">
        <f>MONTH(Table13[[#This Row],[DIA]])</f>
        <v>6</v>
      </c>
    </row>
    <row r="64" spans="1:8" x14ac:dyDescent="0.25">
      <c r="A64" t="s">
        <v>38</v>
      </c>
      <c r="B64" t="s">
        <v>92</v>
      </c>
      <c r="C64" s="40">
        <v>42158</v>
      </c>
      <c r="D64" s="41" t="str">
        <f>UPPER(TEXT(Table13[[#This Row],[DIA]],"ddd"))</f>
        <v>QUA</v>
      </c>
      <c r="E64" s="46" t="s">
        <v>117</v>
      </c>
      <c r="F64" s="43"/>
      <c r="G64" s="44">
        <v>8</v>
      </c>
      <c r="H64">
        <f>MONTH(Table13[[#This Row],[DIA]])</f>
        <v>6</v>
      </c>
    </row>
    <row r="65" spans="1:8" x14ac:dyDescent="0.25">
      <c r="A65" t="s">
        <v>38</v>
      </c>
      <c r="B65" t="s">
        <v>92</v>
      </c>
      <c r="C65" s="40">
        <v>42159</v>
      </c>
      <c r="D65" s="41" t="str">
        <f>UPPER(TEXT(Table13[[#This Row],[DIA]],"ddd"))</f>
        <v>QUI</v>
      </c>
      <c r="E65" s="46" t="s">
        <v>117</v>
      </c>
      <c r="F65" s="43"/>
      <c r="G65" s="44">
        <v>8</v>
      </c>
      <c r="H65">
        <f>MONTH(Table13[[#This Row],[DIA]])</f>
        <v>6</v>
      </c>
    </row>
    <row r="66" spans="1:8" x14ac:dyDescent="0.25">
      <c r="A66" t="s">
        <v>38</v>
      </c>
      <c r="B66" t="s">
        <v>92</v>
      </c>
      <c r="C66" s="40">
        <v>42160</v>
      </c>
      <c r="D66" s="41" t="str">
        <f>UPPER(TEXT(Table13[[#This Row],[DIA]],"ddd"))</f>
        <v>SEX</v>
      </c>
      <c r="E66" s="46" t="s">
        <v>117</v>
      </c>
      <c r="F66" s="43"/>
      <c r="G66" s="44">
        <v>8</v>
      </c>
      <c r="H66">
        <f>MONTH(Table13[[#This Row],[DIA]])</f>
        <v>6</v>
      </c>
    </row>
    <row r="67" spans="1:8" x14ac:dyDescent="0.25">
      <c r="A67" t="s">
        <v>38</v>
      </c>
      <c r="B67" t="s">
        <v>92</v>
      </c>
      <c r="C67" s="40">
        <v>42163</v>
      </c>
      <c r="D67" s="41" t="str">
        <f>UPPER(TEXT(Table13[[#This Row],[DIA]],"ddd"))</f>
        <v>SEG</v>
      </c>
      <c r="E67" s="46" t="s">
        <v>117</v>
      </c>
      <c r="F67" s="43"/>
      <c r="G67" s="44">
        <v>8</v>
      </c>
      <c r="H67" s="48">
        <f>MONTH(Table13[[#This Row],[DIA]])</f>
        <v>6</v>
      </c>
    </row>
    <row r="68" spans="1:8" x14ac:dyDescent="0.25">
      <c r="A68" t="s">
        <v>38</v>
      </c>
      <c r="B68" t="s">
        <v>92</v>
      </c>
      <c r="C68" s="40">
        <v>42164</v>
      </c>
      <c r="D68" s="41" t="str">
        <f>UPPER(TEXT(Table13[[#This Row],[DIA]],"ddd"))</f>
        <v>TER</v>
      </c>
      <c r="E68" s="46" t="s">
        <v>117</v>
      </c>
      <c r="F68" s="43"/>
      <c r="G68" s="44">
        <v>8</v>
      </c>
      <c r="H68" s="48">
        <f>MONTH(Table13[[#This Row],[DIA]])</f>
        <v>6</v>
      </c>
    </row>
    <row r="69" spans="1:8" x14ac:dyDescent="0.25">
      <c r="A69" t="s">
        <v>38</v>
      </c>
      <c r="B69" t="s">
        <v>92</v>
      </c>
      <c r="C69" s="40">
        <v>42165</v>
      </c>
      <c r="D69" s="41" t="str">
        <f>UPPER(TEXT(Table13[[#This Row],[DIA]],"ddd"))</f>
        <v>QUA</v>
      </c>
      <c r="E69" s="46" t="s">
        <v>117</v>
      </c>
      <c r="F69" s="43"/>
      <c r="G69" s="44">
        <v>10</v>
      </c>
      <c r="H69" s="48">
        <f>MONTH(Table13[[#This Row],[DIA]])</f>
        <v>6</v>
      </c>
    </row>
    <row r="70" spans="1:8" x14ac:dyDescent="0.25">
      <c r="A70" t="s">
        <v>38</v>
      </c>
      <c r="B70" t="s">
        <v>92</v>
      </c>
      <c r="C70" s="40">
        <v>42167</v>
      </c>
      <c r="D70" s="41" t="str">
        <f>UPPER(TEXT(Table13[[#This Row],[DIA]],"ddd"))</f>
        <v>SEX</v>
      </c>
      <c r="E70" s="46" t="s">
        <v>117</v>
      </c>
      <c r="F70" s="43"/>
      <c r="G70" s="44">
        <v>8</v>
      </c>
      <c r="H70" s="48">
        <f>MONTH(Table13[[#This Row],[DIA]])</f>
        <v>6</v>
      </c>
    </row>
    <row r="71" spans="1:8" x14ac:dyDescent="0.25">
      <c r="A71" t="s">
        <v>38</v>
      </c>
      <c r="B71" t="s">
        <v>92</v>
      </c>
      <c r="C71" s="40">
        <v>42170</v>
      </c>
      <c r="D71" s="41" t="str">
        <f>UPPER(TEXT(Table13[[#This Row],[DIA]],"ddd"))</f>
        <v>SEG</v>
      </c>
      <c r="E71" s="46" t="s">
        <v>117</v>
      </c>
      <c r="F71" s="43"/>
      <c r="G71" s="44">
        <v>9</v>
      </c>
      <c r="H71" s="48">
        <f>MONTH(Table13[[#This Row],[DIA]])</f>
        <v>6</v>
      </c>
    </row>
    <row r="72" spans="1:8" x14ac:dyDescent="0.25">
      <c r="A72" t="s">
        <v>38</v>
      </c>
      <c r="B72" t="s">
        <v>92</v>
      </c>
      <c r="C72" s="40">
        <v>42171</v>
      </c>
      <c r="D72" s="41" t="str">
        <f>UPPER(TEXT(Table13[[#This Row],[DIA]],"ddd"))</f>
        <v>TER</v>
      </c>
      <c r="E72" s="46" t="s">
        <v>117</v>
      </c>
      <c r="F72" s="43"/>
      <c r="G72" s="44">
        <v>10</v>
      </c>
      <c r="H72" s="48">
        <f>MONTH(Table13[[#This Row],[DIA]])</f>
        <v>6</v>
      </c>
    </row>
    <row r="73" spans="1:8" x14ac:dyDescent="0.25">
      <c r="A73" t="s">
        <v>38</v>
      </c>
      <c r="B73" t="s">
        <v>92</v>
      </c>
      <c r="C73" s="40">
        <v>42172</v>
      </c>
      <c r="D73" s="41" t="str">
        <f>UPPER(TEXT(Table13[[#This Row],[DIA]],"ddd"))</f>
        <v>QUA</v>
      </c>
      <c r="E73" s="46" t="s">
        <v>117</v>
      </c>
      <c r="F73" s="43"/>
      <c r="G73" s="44">
        <v>11</v>
      </c>
      <c r="H73" s="48">
        <f>MONTH(Table13[[#This Row],[DIA]])</f>
        <v>6</v>
      </c>
    </row>
    <row r="74" spans="1:8" x14ac:dyDescent="0.25">
      <c r="A74" t="s">
        <v>38</v>
      </c>
      <c r="B74" t="s">
        <v>92</v>
      </c>
      <c r="C74" s="40">
        <v>42173</v>
      </c>
      <c r="D74" s="41" t="str">
        <f>UPPER(TEXT(Table13[[#This Row],[DIA]],"ddd"))</f>
        <v>QUI</v>
      </c>
      <c r="E74" s="46" t="s">
        <v>117</v>
      </c>
      <c r="F74" s="43"/>
      <c r="G74" s="44">
        <v>9</v>
      </c>
      <c r="H74" s="48">
        <f>MONTH(Table13[[#This Row],[DIA]])</f>
        <v>6</v>
      </c>
    </row>
    <row r="75" spans="1:8" x14ac:dyDescent="0.25">
      <c r="A75" t="s">
        <v>38</v>
      </c>
      <c r="B75" t="s">
        <v>92</v>
      </c>
      <c r="C75" s="40">
        <v>42174</v>
      </c>
      <c r="D75" s="41" t="str">
        <f>UPPER(TEXT(Table13[[#This Row],[DIA]],"ddd"))</f>
        <v>SEX</v>
      </c>
      <c r="E75" s="46" t="s">
        <v>87</v>
      </c>
      <c r="F75" s="43"/>
      <c r="G75" s="44">
        <v>8</v>
      </c>
      <c r="H75" s="48">
        <f>MONTH(Table13[[#This Row],[DIA]])</f>
        <v>6</v>
      </c>
    </row>
    <row r="76" spans="1:8" x14ac:dyDescent="0.25">
      <c r="A76" t="s">
        <v>38</v>
      </c>
      <c r="B76" t="s">
        <v>92</v>
      </c>
      <c r="C76" s="40">
        <v>42177</v>
      </c>
      <c r="D76" s="41" t="str">
        <f>UPPER(TEXT(Table13[[#This Row],[DIA]],"ddd"))</f>
        <v>SEG</v>
      </c>
      <c r="E76" s="46" t="s">
        <v>87</v>
      </c>
      <c r="F76" s="43"/>
      <c r="G76" s="44">
        <v>8</v>
      </c>
      <c r="H76" s="48">
        <f>MONTH(Table13[[#This Row],[DIA]])</f>
        <v>6</v>
      </c>
    </row>
    <row r="77" spans="1:8" x14ac:dyDescent="0.25">
      <c r="A77" t="s">
        <v>38</v>
      </c>
      <c r="B77" t="s">
        <v>92</v>
      </c>
      <c r="C77" s="40">
        <v>42178</v>
      </c>
      <c r="D77" s="41" t="str">
        <f>UPPER(TEXT(Table13[[#This Row],[DIA]],"ddd"))</f>
        <v>TER</v>
      </c>
      <c r="E77" s="46" t="s">
        <v>87</v>
      </c>
      <c r="F77" s="43"/>
      <c r="G77" s="44">
        <v>8</v>
      </c>
      <c r="H77" s="48">
        <f>MONTH(Table13[[#This Row],[DIA]])</f>
        <v>6</v>
      </c>
    </row>
    <row r="78" spans="1:8" x14ac:dyDescent="0.25">
      <c r="A78" t="s">
        <v>38</v>
      </c>
      <c r="B78" t="s">
        <v>92</v>
      </c>
      <c r="C78" s="40">
        <v>42179</v>
      </c>
      <c r="D78" s="41" t="str">
        <f>UPPER(TEXT(Table13[[#This Row],[DIA]],"ddd"))</f>
        <v>QUA</v>
      </c>
      <c r="E78" s="46" t="s">
        <v>58</v>
      </c>
      <c r="F78" s="43"/>
      <c r="G78" s="44">
        <v>8</v>
      </c>
      <c r="H78" s="48">
        <f>MONTH(Table13[[#This Row],[DIA]])</f>
        <v>6</v>
      </c>
    </row>
    <row r="79" spans="1:8" x14ac:dyDescent="0.25">
      <c r="A79" t="s">
        <v>38</v>
      </c>
      <c r="B79" t="s">
        <v>92</v>
      </c>
      <c r="C79" s="40">
        <v>42179</v>
      </c>
      <c r="D79" s="41" t="str">
        <f>UPPER(TEXT(Table13[[#This Row],[DIA]],"ddd"))</f>
        <v>QUA</v>
      </c>
      <c r="E79" s="46" t="s">
        <v>87</v>
      </c>
      <c r="F79" s="43"/>
      <c r="G79" s="44">
        <v>3</v>
      </c>
      <c r="H79" s="48">
        <f>MONTH(Table13[[#This Row],[DIA]])</f>
        <v>6</v>
      </c>
    </row>
    <row r="80" spans="1:8" x14ac:dyDescent="0.25">
      <c r="A80" t="s">
        <v>38</v>
      </c>
      <c r="B80" t="s">
        <v>92</v>
      </c>
      <c r="C80" s="40">
        <v>42180</v>
      </c>
      <c r="D80" s="41" t="str">
        <f>UPPER(TEXT(Table13[[#This Row],[DIA]],"ddd"))</f>
        <v>QUI</v>
      </c>
      <c r="E80" s="46" t="s">
        <v>87</v>
      </c>
      <c r="F80" s="43"/>
      <c r="G80" s="44">
        <v>8</v>
      </c>
      <c r="H80" s="48">
        <f>MONTH(Table13[[#This Row],[DIA]])</f>
        <v>6</v>
      </c>
    </row>
    <row r="81" spans="1:8" x14ac:dyDescent="0.25">
      <c r="A81" t="s">
        <v>38</v>
      </c>
      <c r="B81" t="s">
        <v>92</v>
      </c>
      <c r="C81" s="40">
        <v>42181</v>
      </c>
      <c r="D81" s="41" t="str">
        <f>UPPER(TEXT(Table13[[#This Row],[DIA]],"ddd"))</f>
        <v>SEX</v>
      </c>
      <c r="E81" s="46" t="s">
        <v>98</v>
      </c>
      <c r="F81" s="43"/>
      <c r="G81" s="44">
        <v>8</v>
      </c>
      <c r="H81" s="48">
        <f>MONTH(Table13[[#This Row],[DIA]])</f>
        <v>6</v>
      </c>
    </row>
    <row r="82" spans="1:8" x14ac:dyDescent="0.25">
      <c r="A82" t="s">
        <v>38</v>
      </c>
      <c r="B82" t="s">
        <v>92</v>
      </c>
      <c r="C82" s="40">
        <v>42184</v>
      </c>
      <c r="D82" s="41" t="str">
        <f>UPPER(TEXT(Table13[[#This Row],[DIA]],"ddd"))</f>
        <v>SEG</v>
      </c>
      <c r="E82" s="46" t="s">
        <v>98</v>
      </c>
      <c r="F82" s="43"/>
      <c r="G82" s="44">
        <v>2</v>
      </c>
      <c r="H82" s="48">
        <f>MONTH(Table13[[#This Row],[DIA]])</f>
        <v>6</v>
      </c>
    </row>
    <row r="83" spans="1:8" x14ac:dyDescent="0.25">
      <c r="A83" t="s">
        <v>38</v>
      </c>
      <c r="B83" t="s">
        <v>92</v>
      </c>
      <c r="C83" s="40">
        <v>42185</v>
      </c>
      <c r="D83" s="41" t="str">
        <f>UPPER(TEXT(Table13[[#This Row],[DIA]],"ddd"))</f>
        <v>TER</v>
      </c>
      <c r="E83" s="46" t="s">
        <v>117</v>
      </c>
      <c r="F83" s="43"/>
      <c r="G83" s="44">
        <v>2</v>
      </c>
      <c r="H83" s="48">
        <f>MONTH(Table13[[#This Row],[DIA]])</f>
        <v>6</v>
      </c>
    </row>
    <row r="84" spans="1:8" x14ac:dyDescent="0.25">
      <c r="A84" t="s">
        <v>38</v>
      </c>
      <c r="B84" t="s">
        <v>92</v>
      </c>
      <c r="C84" s="40">
        <v>42186</v>
      </c>
      <c r="D84" s="41" t="str">
        <f>UPPER(TEXT(Table13[[#This Row],[DIA]],"ddd"))</f>
        <v>QUA</v>
      </c>
      <c r="E84" s="46" t="s">
        <v>98</v>
      </c>
      <c r="F84" s="43"/>
      <c r="G84" s="44">
        <v>12</v>
      </c>
      <c r="H84" s="48">
        <f>MONTH(Table13[[#This Row],[DIA]])</f>
        <v>7</v>
      </c>
    </row>
    <row r="85" spans="1:8" x14ac:dyDescent="0.25">
      <c r="A85" t="s">
        <v>38</v>
      </c>
      <c r="B85" t="s">
        <v>92</v>
      </c>
      <c r="C85" s="40">
        <v>42187</v>
      </c>
      <c r="D85" s="41" t="str">
        <f>UPPER(TEXT(Table13[[#This Row],[DIA]],"ddd"))</f>
        <v>QUI</v>
      </c>
      <c r="E85" s="46" t="s">
        <v>58</v>
      </c>
      <c r="F85" s="43"/>
      <c r="G85" s="44">
        <v>8</v>
      </c>
      <c r="H85" s="48">
        <f>MONTH(Table13[[#This Row],[DIA]])</f>
        <v>7</v>
      </c>
    </row>
    <row r="86" spans="1:8" x14ac:dyDescent="0.25">
      <c r="A86" t="s">
        <v>38</v>
      </c>
      <c r="B86" t="s">
        <v>92</v>
      </c>
      <c r="C86" s="40">
        <v>42188</v>
      </c>
      <c r="D86" s="41" t="str">
        <f>UPPER(TEXT(Table13[[#This Row],[DIA]],"ddd"))</f>
        <v>SEX</v>
      </c>
      <c r="E86" s="46" t="s">
        <v>98</v>
      </c>
      <c r="F86" s="43"/>
      <c r="G86" s="44">
        <v>10</v>
      </c>
      <c r="H86" s="48">
        <f>MONTH(Table13[[#This Row],[DIA]])</f>
        <v>7</v>
      </c>
    </row>
    <row r="87" spans="1:8" x14ac:dyDescent="0.25">
      <c r="A87" t="s">
        <v>38</v>
      </c>
      <c r="B87" t="s">
        <v>92</v>
      </c>
      <c r="C87" s="40">
        <v>42191</v>
      </c>
      <c r="D87" s="41" t="str">
        <f>UPPER(TEXT(Table13[[#This Row],[DIA]],"ddd"))</f>
        <v>SEG</v>
      </c>
      <c r="E87" s="46" t="s">
        <v>58</v>
      </c>
      <c r="F87" s="43"/>
      <c r="G87" s="44">
        <v>8</v>
      </c>
      <c r="H87" s="48">
        <f>MONTH(Table13[[#This Row],[DIA]])</f>
        <v>7</v>
      </c>
    </row>
    <row r="88" spans="1:8" x14ac:dyDescent="0.25">
      <c r="A88" t="s">
        <v>38</v>
      </c>
      <c r="B88" t="s">
        <v>92</v>
      </c>
      <c r="C88" s="40">
        <v>42192</v>
      </c>
      <c r="D88" s="41" t="str">
        <f>UPPER(TEXT(Table13[[#This Row],[DIA]],"ddd"))</f>
        <v>TER</v>
      </c>
      <c r="E88" s="46" t="s">
        <v>117</v>
      </c>
      <c r="F88" s="43"/>
      <c r="G88" s="44">
        <v>2</v>
      </c>
      <c r="H88" s="48">
        <f>MONTH(Table13[[#This Row],[DIA]])</f>
        <v>7</v>
      </c>
    </row>
    <row r="89" spans="1:8" x14ac:dyDescent="0.25">
      <c r="A89" t="s">
        <v>38</v>
      </c>
      <c r="B89" t="s">
        <v>92</v>
      </c>
      <c r="C89" s="40">
        <v>42192</v>
      </c>
      <c r="D89" s="41" t="str">
        <f>UPPER(TEXT(Table13[[#This Row],[DIA]],"ddd"))</f>
        <v>TER</v>
      </c>
      <c r="E89" s="46" t="s">
        <v>58</v>
      </c>
      <c r="F89" s="43"/>
      <c r="G89" s="44">
        <v>6</v>
      </c>
      <c r="H89" s="48">
        <f>MONTH(Table13[[#This Row],[DIA]])</f>
        <v>7</v>
      </c>
    </row>
    <row r="90" spans="1:8" x14ac:dyDescent="0.25">
      <c r="A90" t="s">
        <v>38</v>
      </c>
      <c r="B90" t="s">
        <v>92</v>
      </c>
      <c r="C90" s="40">
        <v>42193</v>
      </c>
      <c r="D90" s="41" t="str">
        <f>UPPER(TEXT(Table13[[#This Row],[DIA]],"ddd"))</f>
        <v>QUA</v>
      </c>
      <c r="E90" s="42" t="s">
        <v>87</v>
      </c>
      <c r="F90" s="43"/>
      <c r="G90" s="44">
        <v>2</v>
      </c>
      <c r="H90" s="48">
        <f>MONTH(Table13[[#This Row],[DIA]])</f>
        <v>7</v>
      </c>
    </row>
    <row r="91" spans="1:8" x14ac:dyDescent="0.25">
      <c r="A91" t="s">
        <v>38</v>
      </c>
      <c r="B91" t="s">
        <v>92</v>
      </c>
      <c r="C91" s="40">
        <v>42193</v>
      </c>
      <c r="D91" s="41" t="str">
        <f>UPPER(TEXT(Table13[[#This Row],[DIA]],"ddd"))</f>
        <v>QUA</v>
      </c>
      <c r="E91" s="46" t="s">
        <v>58</v>
      </c>
      <c r="F91" s="43"/>
      <c r="G91" s="44">
        <v>8</v>
      </c>
      <c r="H91" s="48">
        <f>MONTH(Table13[[#This Row],[DIA]])</f>
        <v>7</v>
      </c>
    </row>
    <row r="92" spans="1:8" x14ac:dyDescent="0.25">
      <c r="A92" t="s">
        <v>38</v>
      </c>
      <c r="B92" t="s">
        <v>92</v>
      </c>
      <c r="C92" s="40">
        <v>42194</v>
      </c>
      <c r="D92" s="41" t="str">
        <f>UPPER(TEXT(Table13[[#This Row],[DIA]],"ddd"))</f>
        <v>QUI</v>
      </c>
      <c r="E92" s="46" t="s">
        <v>58</v>
      </c>
      <c r="F92" s="43"/>
      <c r="G92" s="44">
        <v>9</v>
      </c>
      <c r="H92" s="48">
        <f>MONTH(Table13[[#This Row],[DIA]])</f>
        <v>7</v>
      </c>
    </row>
    <row r="93" spans="1:8" x14ac:dyDescent="0.25">
      <c r="A93" t="s">
        <v>38</v>
      </c>
      <c r="B93" t="s">
        <v>92</v>
      </c>
      <c r="C93" s="40">
        <v>42195</v>
      </c>
      <c r="D93" s="41" t="str">
        <f>UPPER(TEXT(Table13[[#This Row],[DIA]],"ddd"))</f>
        <v>SEX</v>
      </c>
      <c r="E93" s="46" t="s">
        <v>98</v>
      </c>
      <c r="F93" s="43"/>
      <c r="G93" s="44">
        <v>9</v>
      </c>
      <c r="H93" s="48">
        <f>MONTH(Table13[[#This Row],[DIA]])</f>
        <v>7</v>
      </c>
    </row>
    <row r="94" spans="1:8" x14ac:dyDescent="0.25">
      <c r="A94" t="s">
        <v>38</v>
      </c>
      <c r="B94" t="s">
        <v>92</v>
      </c>
      <c r="C94" s="40">
        <v>42198</v>
      </c>
      <c r="D94" s="41" t="str">
        <f>UPPER(TEXT(Table13[[#This Row],[DIA]],"ddd"))</f>
        <v>SEG</v>
      </c>
      <c r="E94" s="46" t="s">
        <v>98</v>
      </c>
      <c r="F94" s="43"/>
      <c r="G94" s="44">
        <v>9</v>
      </c>
      <c r="H94" s="48">
        <f>MONTH(Table13[[#This Row],[DIA]])</f>
        <v>7</v>
      </c>
    </row>
    <row r="95" spans="1:8" x14ac:dyDescent="0.25">
      <c r="A95" t="s">
        <v>38</v>
      </c>
      <c r="B95" t="s">
        <v>92</v>
      </c>
      <c r="C95" s="40">
        <v>42199</v>
      </c>
      <c r="D95" s="41" t="str">
        <f>UPPER(TEXT(Table13[[#This Row],[DIA]],"ddd"))</f>
        <v>TER</v>
      </c>
      <c r="E95" s="46" t="s">
        <v>99</v>
      </c>
      <c r="F95" s="43"/>
      <c r="G95" s="44">
        <v>4</v>
      </c>
      <c r="H95" s="48">
        <f>MONTH(Table13[[#This Row],[DIA]])</f>
        <v>7</v>
      </c>
    </row>
    <row r="96" spans="1:8" x14ac:dyDescent="0.25">
      <c r="A96" t="s">
        <v>38</v>
      </c>
      <c r="B96" t="s">
        <v>92</v>
      </c>
      <c r="C96" s="40">
        <v>42199</v>
      </c>
      <c r="D96" s="41" t="str">
        <f>UPPER(TEXT(Table13[[#This Row],[DIA]],"ddd"))</f>
        <v>TER</v>
      </c>
      <c r="E96" s="46" t="s">
        <v>98</v>
      </c>
      <c r="F96" s="43"/>
      <c r="G96" s="44">
        <v>6</v>
      </c>
      <c r="H96" s="48">
        <f>MONTH(Table13[[#This Row],[DIA]])</f>
        <v>7</v>
      </c>
    </row>
    <row r="97" spans="1:8" x14ac:dyDescent="0.25">
      <c r="A97" t="s">
        <v>38</v>
      </c>
      <c r="B97" t="s">
        <v>92</v>
      </c>
      <c r="C97" s="40">
        <v>42200</v>
      </c>
      <c r="D97" s="41" t="str">
        <f>UPPER(TEXT(Table13[[#This Row],[DIA]],"ddd"))</f>
        <v>QUA</v>
      </c>
      <c r="E97" s="46" t="s">
        <v>98</v>
      </c>
      <c r="F97" s="43"/>
      <c r="G97" s="44">
        <v>10</v>
      </c>
      <c r="H97" s="48">
        <f>MONTH(Table13[[#This Row],[DIA]])</f>
        <v>7</v>
      </c>
    </row>
    <row r="98" spans="1:8" x14ac:dyDescent="0.25">
      <c r="A98" t="s">
        <v>38</v>
      </c>
      <c r="B98" t="s">
        <v>92</v>
      </c>
      <c r="C98" s="40">
        <v>42201</v>
      </c>
      <c r="D98" s="41" t="str">
        <f>UPPER(TEXT(Table13[[#This Row],[DIA]],"ddd"))</f>
        <v>QUI</v>
      </c>
      <c r="E98" s="46" t="s">
        <v>98</v>
      </c>
      <c r="F98" s="43"/>
      <c r="G98" s="44">
        <v>10</v>
      </c>
      <c r="H98" s="48">
        <f>MONTH(Table13[[#This Row],[DIA]])</f>
        <v>7</v>
      </c>
    </row>
    <row r="99" spans="1:8" x14ac:dyDescent="0.25">
      <c r="A99" t="s">
        <v>38</v>
      </c>
      <c r="B99" t="s">
        <v>92</v>
      </c>
      <c r="C99" s="40">
        <v>42202</v>
      </c>
      <c r="D99" s="41" t="str">
        <f>UPPER(TEXT(Table13[[#This Row],[DIA]],"ddd"))</f>
        <v>SEX</v>
      </c>
      <c r="E99" s="46" t="s">
        <v>58</v>
      </c>
      <c r="F99" s="43"/>
      <c r="G99" s="44">
        <v>10</v>
      </c>
      <c r="H99" s="48">
        <f>MONTH(Table13[[#This Row],[DIA]])</f>
        <v>7</v>
      </c>
    </row>
    <row r="100" spans="1:8" x14ac:dyDescent="0.25">
      <c r="A100" t="s">
        <v>38</v>
      </c>
      <c r="B100" t="s">
        <v>92</v>
      </c>
      <c r="C100" s="40">
        <v>42203</v>
      </c>
      <c r="D100" s="41" t="str">
        <f>UPPER(TEXT(Table13[[#This Row],[DIA]],"ddd"))</f>
        <v>SÁB</v>
      </c>
      <c r="E100" s="46" t="s">
        <v>58</v>
      </c>
      <c r="F100" s="43" t="s">
        <v>257</v>
      </c>
      <c r="G100" s="44">
        <v>10</v>
      </c>
      <c r="H100" s="48">
        <f>MONTH(Table13[[#This Row],[DIA]])</f>
        <v>7</v>
      </c>
    </row>
    <row r="101" spans="1:8" x14ac:dyDescent="0.25">
      <c r="A101" t="s">
        <v>38</v>
      </c>
      <c r="B101" t="s">
        <v>92</v>
      </c>
      <c r="C101" s="40">
        <v>42204</v>
      </c>
      <c r="D101" s="41" t="str">
        <f>UPPER(TEXT(Table13[[#This Row],[DIA]],"ddd"))</f>
        <v>DOM</v>
      </c>
      <c r="E101" s="46" t="s">
        <v>58</v>
      </c>
      <c r="F101" s="43" t="s">
        <v>257</v>
      </c>
      <c r="G101" s="44">
        <v>10</v>
      </c>
      <c r="H101" s="48">
        <f>MONTH(Table13[[#This Row],[DIA]])</f>
        <v>7</v>
      </c>
    </row>
    <row r="102" spans="1:8" x14ac:dyDescent="0.25">
      <c r="A102" t="s">
        <v>38</v>
      </c>
      <c r="B102" t="s">
        <v>92</v>
      </c>
      <c r="C102" s="40">
        <v>42205</v>
      </c>
      <c r="D102" s="41" t="str">
        <f>UPPER(TEXT(Table13[[#This Row],[DIA]],"ddd"))</f>
        <v>SEG</v>
      </c>
      <c r="E102" s="42"/>
      <c r="F102" s="43"/>
      <c r="H102" s="48">
        <f>MONTH(Table13[[#This Row],[DIA]])</f>
        <v>7</v>
      </c>
    </row>
    <row r="103" spans="1:8" x14ac:dyDescent="0.25">
      <c r="A103" t="s">
        <v>38</v>
      </c>
      <c r="B103" t="s">
        <v>92</v>
      </c>
      <c r="C103" s="40">
        <v>42206</v>
      </c>
      <c r="D103" s="41" t="str">
        <f>UPPER(TEXT(Table13[[#This Row],[DIA]],"ddd"))</f>
        <v>TER</v>
      </c>
      <c r="E103" s="42"/>
      <c r="F103" s="43"/>
      <c r="H103" s="48">
        <f>MONTH(Table13[[#This Row],[DIA]])</f>
        <v>7</v>
      </c>
    </row>
    <row r="104" spans="1:8" x14ac:dyDescent="0.25">
      <c r="A104" t="s">
        <v>38</v>
      </c>
      <c r="B104" t="s">
        <v>92</v>
      </c>
      <c r="C104" s="40">
        <v>42207</v>
      </c>
      <c r="D104" s="41" t="str">
        <f>UPPER(TEXT(Table13[[#This Row],[DIA]],"ddd"))</f>
        <v>QUA</v>
      </c>
      <c r="E104" s="42"/>
      <c r="F104" s="43"/>
      <c r="H104" s="48">
        <f>MONTH(Table13[[#This Row],[DIA]])</f>
        <v>7</v>
      </c>
    </row>
    <row r="105" spans="1:8" x14ac:dyDescent="0.25">
      <c r="A105" t="s">
        <v>38</v>
      </c>
      <c r="B105" t="s">
        <v>92</v>
      </c>
      <c r="C105" s="40">
        <v>42208</v>
      </c>
      <c r="D105" s="41" t="str">
        <f>UPPER(TEXT(Table13[[#This Row],[DIA]],"ddd"))</f>
        <v>QUI</v>
      </c>
      <c r="E105" s="42"/>
      <c r="F105" s="43"/>
      <c r="H105" s="48">
        <f>MONTH(Table13[[#This Row],[DIA]])</f>
        <v>7</v>
      </c>
    </row>
    <row r="106" spans="1:8" x14ac:dyDescent="0.25">
      <c r="A106" t="s">
        <v>38</v>
      </c>
      <c r="B106" t="s">
        <v>92</v>
      </c>
      <c r="C106" s="40">
        <v>42209</v>
      </c>
      <c r="D106" s="41" t="str">
        <f>UPPER(TEXT(Table13[[#This Row],[DIA]],"ddd"))</f>
        <v>SEX</v>
      </c>
      <c r="E106" s="42"/>
      <c r="F106" s="43"/>
      <c r="H106" s="48">
        <f>MONTH(Table13[[#This Row],[DIA]])</f>
        <v>7</v>
      </c>
    </row>
    <row r="107" spans="1:8" x14ac:dyDescent="0.25">
      <c r="A107" t="s">
        <v>38</v>
      </c>
      <c r="B107" t="s">
        <v>92</v>
      </c>
      <c r="C107" s="40">
        <v>42212</v>
      </c>
      <c r="D107" s="41" t="str">
        <f>UPPER(TEXT(Table13[[#This Row],[DIA]],"ddd"))</f>
        <v>SEG</v>
      </c>
      <c r="E107" s="42"/>
      <c r="F107" s="43"/>
      <c r="H107" s="48">
        <f>MONTH(Table13[[#This Row],[DIA]])</f>
        <v>7</v>
      </c>
    </row>
    <row r="108" spans="1:8" x14ac:dyDescent="0.25">
      <c r="A108" t="s">
        <v>38</v>
      </c>
      <c r="B108" t="s">
        <v>92</v>
      </c>
      <c r="C108" s="40">
        <v>42213</v>
      </c>
      <c r="D108" s="41" t="str">
        <f>UPPER(TEXT(Table13[[#This Row],[DIA]],"ddd"))</f>
        <v>TER</v>
      </c>
      <c r="E108" s="42"/>
      <c r="F108" s="43"/>
      <c r="H108" s="48">
        <f>MONTH(Table13[[#This Row],[DIA]])</f>
        <v>7</v>
      </c>
    </row>
    <row r="109" spans="1:8" x14ac:dyDescent="0.25">
      <c r="A109" t="s">
        <v>38</v>
      </c>
      <c r="B109" t="s">
        <v>92</v>
      </c>
      <c r="C109" s="40">
        <v>42214</v>
      </c>
      <c r="D109" s="41" t="str">
        <f>UPPER(TEXT(Table13[[#This Row],[DIA]],"ddd"))</f>
        <v>QUA</v>
      </c>
      <c r="E109" s="42"/>
      <c r="F109" s="43"/>
      <c r="H109" s="48">
        <f>MONTH(Table13[[#This Row],[DIA]])</f>
        <v>7</v>
      </c>
    </row>
    <row r="110" spans="1:8" x14ac:dyDescent="0.25">
      <c r="A110" t="s">
        <v>38</v>
      </c>
      <c r="B110" t="s">
        <v>92</v>
      </c>
      <c r="C110" s="40">
        <v>42215</v>
      </c>
      <c r="D110" s="41" t="str">
        <f>UPPER(TEXT(Table13[[#This Row],[DIA]],"ddd"))</f>
        <v>QUI</v>
      </c>
      <c r="E110" s="42"/>
      <c r="F110" s="43"/>
      <c r="H110" s="48">
        <f>MONTH(Table13[[#This Row],[DIA]])</f>
        <v>7</v>
      </c>
    </row>
    <row r="111" spans="1:8" x14ac:dyDescent="0.25">
      <c r="A111" t="s">
        <v>38</v>
      </c>
      <c r="B111" t="s">
        <v>92</v>
      </c>
      <c r="C111" s="40">
        <v>42216</v>
      </c>
      <c r="D111" s="41" t="str">
        <f>UPPER(TEXT(Table13[[#This Row],[DIA]],"ddd"))</f>
        <v>SEX</v>
      </c>
      <c r="E111" s="42"/>
      <c r="F111" s="43"/>
      <c r="H111" s="48">
        <f>MONTH(Table13[[#This Row],[DIA]])</f>
        <v>7</v>
      </c>
    </row>
  </sheetData>
  <conditionalFormatting sqref="D1:D1048576">
    <cfRule type="cellIs" dxfId="43" priority="1" operator="equal">
      <formula>"SÁB"</formula>
    </cfRule>
    <cfRule type="cellIs" dxfId="42" priority="2" operator="equal">
      <formula>"DOM"</formula>
    </cfRule>
  </conditionalFormatting>
  <conditionalFormatting sqref="I2:M9 J1:M1">
    <cfRule type="cellIs" dxfId="41" priority="13" operator="equal">
      <formula>$P$1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Despesas"/>
  <dimension ref="A1:V6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22.85546875" style="103" customWidth="1"/>
    <col min="2" max="2" width="8.7109375" style="104" bestFit="1" customWidth="1"/>
    <col min="3" max="3" width="12.140625" style="103" bestFit="1" customWidth="1"/>
    <col min="4" max="4" width="8.7109375" style="104" bestFit="1" customWidth="1"/>
    <col min="5" max="5" width="14.28515625" style="103" bestFit="1" customWidth="1"/>
    <col min="6" max="6" width="8.7109375" style="104" bestFit="1" customWidth="1"/>
    <col min="7" max="7" width="12.5703125" style="103" bestFit="1" customWidth="1"/>
    <col min="8" max="8" width="2.140625" style="104" bestFit="1" customWidth="1"/>
    <col min="9" max="9" width="12.140625" style="103" bestFit="1" customWidth="1"/>
    <col min="10" max="10" width="2.140625" style="104" bestFit="1" customWidth="1"/>
    <col min="11" max="11" width="11.42578125" style="103" bestFit="1" customWidth="1"/>
    <col min="12" max="12" width="2.140625" style="104" bestFit="1" customWidth="1"/>
    <col min="13" max="13" width="10.5703125" style="103" bestFit="1" customWidth="1"/>
    <col min="14" max="14" width="2.140625" style="104" bestFit="1" customWidth="1"/>
    <col min="15" max="15" width="10.5703125" style="103" bestFit="1" customWidth="1"/>
    <col min="16" max="16" width="2.140625" style="104" bestFit="1" customWidth="1"/>
    <col min="17" max="17" width="10.5703125" style="103" bestFit="1" customWidth="1"/>
    <col min="18" max="18" width="2.140625" style="104" bestFit="1" customWidth="1"/>
    <col min="19" max="19" width="10.5703125" style="103" bestFit="1" customWidth="1"/>
    <col min="20" max="20" width="8.7109375" style="104" bestFit="1" customWidth="1"/>
    <col min="21" max="21" width="10.5703125" style="103" bestFit="1" customWidth="1"/>
    <col min="22" max="16384" width="9.140625" style="103"/>
  </cols>
  <sheetData>
    <row r="1" spans="1:22" customFormat="1" x14ac:dyDescent="0.25">
      <c r="B1" s="98"/>
      <c r="C1" s="93">
        <f ca="1">C2/MONTH(NOW())</f>
        <v>0</v>
      </c>
      <c r="D1" s="98"/>
      <c r="E1" s="93">
        <f ca="1">E2/MONTH(NOW())</f>
        <v>18.571428571428573</v>
      </c>
      <c r="F1" s="98"/>
      <c r="G1" s="93">
        <f ca="1">G2/MONTH(NOW())</f>
        <v>3.5714285714285716</v>
      </c>
      <c r="H1" s="98"/>
      <c r="I1" s="93">
        <f ca="1">I2/MONTH(NOW())</f>
        <v>0</v>
      </c>
      <c r="J1" s="98"/>
      <c r="K1" s="93">
        <f ca="1">K2/MONTH(NOW())</f>
        <v>0</v>
      </c>
      <c r="L1" s="98"/>
      <c r="M1" s="93">
        <f ca="1">M2/MONTH(NOW())</f>
        <v>0</v>
      </c>
      <c r="N1" s="98"/>
      <c r="O1" s="93">
        <f ca="1">O2/MONTH(NOW())</f>
        <v>0</v>
      </c>
      <c r="P1" s="98"/>
      <c r="Q1" s="93">
        <f ca="1">Q2/MONTH(NOW())</f>
        <v>0</v>
      </c>
      <c r="R1" s="98"/>
      <c r="S1" s="93">
        <f ca="1">S2/MONTH(NOW())</f>
        <v>0</v>
      </c>
      <c r="T1" s="98"/>
      <c r="U1" s="93">
        <f ca="1">U2/MONTH(NOW())</f>
        <v>3.5714285714285716</v>
      </c>
    </row>
    <row r="2" spans="1:22" s="96" customFormat="1" x14ac:dyDescent="0.25">
      <c r="A2" s="94">
        <f>SUM(C2:X2)</f>
        <v>180</v>
      </c>
      <c r="B2" s="99"/>
      <c r="C2" s="95">
        <f>SUM(C4:C202)</f>
        <v>0</v>
      </c>
      <c r="D2" s="101"/>
      <c r="E2" s="95">
        <f>SUM(E4:E202)</f>
        <v>130</v>
      </c>
      <c r="F2" s="101"/>
      <c r="G2" s="95">
        <f>SUM(G4:G202)</f>
        <v>25</v>
      </c>
      <c r="H2" s="101"/>
      <c r="I2" s="95">
        <f>SUM(I4:I202)</f>
        <v>0</v>
      </c>
      <c r="J2" s="101"/>
      <c r="K2" s="95">
        <f>SUM(K4:K202)</f>
        <v>0</v>
      </c>
      <c r="L2" s="101"/>
      <c r="M2" s="95">
        <f>SUM(M4:M202)</f>
        <v>0</v>
      </c>
      <c r="N2" s="101"/>
      <c r="O2" s="95">
        <f>SUM(O4:O202)</f>
        <v>0</v>
      </c>
      <c r="P2" s="101"/>
      <c r="Q2" s="95">
        <f>SUM(Q4:Q202)</f>
        <v>0</v>
      </c>
      <c r="R2" s="101"/>
      <c r="S2" s="95">
        <f>SUM(S4:S202)</f>
        <v>0</v>
      </c>
      <c r="T2" s="101"/>
      <c r="U2" s="95">
        <f>SUM(U4:U202)</f>
        <v>25</v>
      </c>
    </row>
    <row r="3" spans="1:22" s="39" customFormat="1" x14ac:dyDescent="0.25">
      <c r="B3" s="100" t="s">
        <v>247</v>
      </c>
      <c r="C3" s="39" t="s">
        <v>246</v>
      </c>
      <c r="D3" s="100" t="s">
        <v>247</v>
      </c>
      <c r="E3" s="39" t="s">
        <v>248</v>
      </c>
      <c r="F3" s="100" t="s">
        <v>247</v>
      </c>
      <c r="G3" s="39" t="s">
        <v>249</v>
      </c>
      <c r="H3" s="100" t="s">
        <v>247</v>
      </c>
      <c r="I3" s="39" t="s">
        <v>250</v>
      </c>
      <c r="J3" s="100" t="s">
        <v>247</v>
      </c>
      <c r="K3" s="39" t="s">
        <v>251</v>
      </c>
      <c r="L3" s="100" t="s">
        <v>247</v>
      </c>
      <c r="M3" s="39" t="s">
        <v>252</v>
      </c>
      <c r="N3" s="100" t="s">
        <v>247</v>
      </c>
      <c r="O3" s="39" t="s">
        <v>253</v>
      </c>
      <c r="P3" s="100" t="s">
        <v>247</v>
      </c>
      <c r="Q3" s="39" t="s">
        <v>254</v>
      </c>
      <c r="R3" s="100" t="s">
        <v>247</v>
      </c>
      <c r="S3" s="39" t="s">
        <v>255</v>
      </c>
      <c r="T3" s="100" t="s">
        <v>247</v>
      </c>
      <c r="U3" s="39" t="s">
        <v>256</v>
      </c>
    </row>
    <row r="4" spans="1:22" s="97" customFormat="1" x14ac:dyDescent="0.25">
      <c r="D4" s="102">
        <v>42204</v>
      </c>
      <c r="E4" s="103">
        <v>50</v>
      </c>
      <c r="F4" s="102">
        <v>42205</v>
      </c>
      <c r="G4" s="103">
        <v>25</v>
      </c>
      <c r="H4" s="102"/>
      <c r="I4" s="103"/>
      <c r="J4" s="102"/>
      <c r="K4" s="103"/>
      <c r="L4" s="102"/>
      <c r="M4" s="103"/>
      <c r="N4" s="102"/>
      <c r="O4" s="103"/>
      <c r="P4" s="102"/>
      <c r="Q4" s="103"/>
      <c r="R4" s="102"/>
      <c r="S4" s="103"/>
      <c r="T4" s="102">
        <v>42205</v>
      </c>
      <c r="U4" s="103">
        <v>25</v>
      </c>
      <c r="V4" s="103"/>
    </row>
    <row r="5" spans="1:22" s="97" customFormat="1" x14ac:dyDescent="0.25">
      <c r="B5" s="102"/>
      <c r="C5" s="103"/>
      <c r="D5" s="102">
        <v>42204</v>
      </c>
      <c r="E5" s="103">
        <v>50</v>
      </c>
      <c r="F5" s="102"/>
      <c r="G5" s="103"/>
      <c r="H5" s="102"/>
      <c r="I5" s="103"/>
      <c r="J5" s="102"/>
      <c r="K5" s="103"/>
      <c r="L5" s="102"/>
      <c r="M5" s="103"/>
      <c r="N5" s="102"/>
      <c r="O5" s="103"/>
      <c r="P5" s="102"/>
      <c r="Q5" s="103"/>
      <c r="R5" s="102"/>
      <c r="S5" s="103"/>
      <c r="T5" s="102"/>
      <c r="U5" s="103"/>
      <c r="V5" s="103"/>
    </row>
    <row r="6" spans="1:22" x14ac:dyDescent="0.25">
      <c r="D6" s="104">
        <v>42205</v>
      </c>
      <c r="E6" s="103">
        <v>30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K2"/>
  <dimension ref="A1:IU42"/>
  <sheetViews>
    <sheetView zoomScale="80" zoomScaleNormal="80" workbookViewId="0">
      <pane ySplit="9" topLeftCell="A10" activePane="bottomLeft" state="frozen"/>
      <selection pane="bottomLeft" activeCell="A10" sqref="A10"/>
    </sheetView>
  </sheetViews>
  <sheetFormatPr defaultRowHeight="12.75" x14ac:dyDescent="0.2"/>
  <cols>
    <col min="1" max="1" width="10.140625" style="115" customWidth="1"/>
    <col min="2" max="2" width="8.140625" style="115" customWidth="1"/>
    <col min="3" max="3" width="19.28515625" style="115" customWidth="1"/>
    <col min="4" max="4" width="45.7109375" style="115" customWidth="1"/>
    <col min="5" max="5" width="27.5703125" style="113" customWidth="1"/>
    <col min="6" max="6" width="8.140625" style="113" bestFit="1" customWidth="1"/>
    <col min="7" max="7" width="14.85546875" style="113" bestFit="1" customWidth="1"/>
    <col min="8" max="8" width="8.140625" style="113" bestFit="1" customWidth="1"/>
    <col min="9" max="9" width="13.7109375" style="113" customWidth="1"/>
    <col min="10" max="10" width="11.28515625" style="113" bestFit="1" customWidth="1"/>
    <col min="11" max="11" width="14.85546875" style="113" bestFit="1" customWidth="1"/>
    <col min="12" max="12" width="29.28515625" style="113" customWidth="1"/>
    <col min="13" max="16384" width="9.140625" style="113"/>
  </cols>
  <sheetData>
    <row r="1" spans="1:255" s="106" customFormat="1" ht="18" x14ac:dyDescent="0.25">
      <c r="A1" s="134" t="s">
        <v>258</v>
      </c>
      <c r="B1" s="134"/>
      <c r="C1" s="134"/>
      <c r="D1" s="134"/>
      <c r="E1" s="134"/>
      <c r="F1" s="105"/>
      <c r="G1" s="105"/>
      <c r="H1" s="105"/>
      <c r="I1" s="105"/>
      <c r="J1" s="105"/>
      <c r="K1" s="105"/>
    </row>
    <row r="2" spans="1:255" s="108" customFormat="1" ht="15" x14ac:dyDescent="0.2">
      <c r="A2" s="135" t="s">
        <v>259</v>
      </c>
      <c r="B2" s="135"/>
      <c r="C2" s="135"/>
      <c r="D2" s="135"/>
      <c r="E2" s="135"/>
      <c r="F2" s="107"/>
      <c r="G2" s="107"/>
      <c r="H2" s="107"/>
      <c r="I2" s="107"/>
      <c r="J2" s="107"/>
      <c r="K2" s="107"/>
    </row>
    <row r="3" spans="1:255" s="108" customFormat="1" ht="15" x14ac:dyDescent="0.2">
      <c r="A3" s="109"/>
      <c r="B3" s="110"/>
      <c r="C3" s="111" t="s">
        <v>260</v>
      </c>
      <c r="D3" s="112">
        <v>42186</v>
      </c>
    </row>
    <row r="4" spans="1:255" x14ac:dyDescent="0.2">
      <c r="A4" s="113"/>
      <c r="B4" s="113"/>
      <c r="C4" s="111" t="s">
        <v>261</v>
      </c>
      <c r="D4" s="114" t="s">
        <v>38</v>
      </c>
      <c r="E4" s="115"/>
      <c r="F4" s="115"/>
      <c r="G4" s="115"/>
      <c r="H4" s="115"/>
      <c r="I4" s="115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  <c r="AA4" s="115"/>
      <c r="AB4" s="115"/>
      <c r="AC4" s="115"/>
      <c r="AD4" s="115"/>
      <c r="AE4" s="115"/>
      <c r="AF4" s="115"/>
      <c r="AG4" s="115"/>
      <c r="AH4" s="115"/>
      <c r="AI4" s="115"/>
      <c r="AJ4" s="115"/>
      <c r="AK4" s="115"/>
      <c r="AL4" s="115"/>
      <c r="AM4" s="115"/>
      <c r="AN4" s="115"/>
      <c r="AO4" s="115"/>
      <c r="AP4" s="115"/>
      <c r="AQ4" s="115"/>
      <c r="AR4" s="115"/>
      <c r="AS4" s="115"/>
      <c r="AT4" s="115"/>
      <c r="AU4" s="115"/>
      <c r="AV4" s="115"/>
      <c r="AW4" s="115"/>
      <c r="AX4" s="115"/>
      <c r="AY4" s="115"/>
      <c r="AZ4" s="115"/>
      <c r="BA4" s="115"/>
      <c r="BB4" s="115"/>
      <c r="BC4" s="115"/>
      <c r="BD4" s="115"/>
      <c r="BE4" s="115"/>
      <c r="BF4" s="115"/>
      <c r="BG4" s="115"/>
      <c r="BH4" s="115"/>
      <c r="BI4" s="115"/>
      <c r="BJ4" s="115"/>
      <c r="BK4" s="115"/>
      <c r="BL4" s="115"/>
      <c r="BM4" s="115"/>
      <c r="BN4" s="115"/>
      <c r="BO4" s="115"/>
      <c r="BP4" s="115"/>
      <c r="BQ4" s="115"/>
      <c r="BR4" s="115"/>
      <c r="BS4" s="115"/>
      <c r="BT4" s="115"/>
      <c r="BU4" s="115"/>
      <c r="BV4" s="115"/>
      <c r="BW4" s="115"/>
      <c r="BX4" s="115"/>
      <c r="BY4" s="115"/>
      <c r="BZ4" s="115"/>
      <c r="CA4" s="115"/>
      <c r="CB4" s="115"/>
      <c r="CC4" s="115"/>
      <c r="CD4" s="115"/>
      <c r="CE4" s="115"/>
      <c r="CF4" s="115"/>
      <c r="CG4" s="115"/>
      <c r="CH4" s="115"/>
      <c r="CI4" s="115"/>
      <c r="CJ4" s="115"/>
      <c r="CK4" s="115"/>
      <c r="CL4" s="115"/>
      <c r="CM4" s="115"/>
      <c r="CN4" s="115"/>
      <c r="CO4" s="115"/>
      <c r="CP4" s="115"/>
      <c r="CQ4" s="115"/>
      <c r="CR4" s="115"/>
      <c r="CS4" s="115"/>
      <c r="CT4" s="115"/>
      <c r="CU4" s="115"/>
      <c r="CV4" s="115"/>
      <c r="CW4" s="115"/>
      <c r="CX4" s="115"/>
      <c r="CY4" s="115"/>
      <c r="CZ4" s="115"/>
      <c r="DA4" s="115"/>
      <c r="DB4" s="115"/>
      <c r="DC4" s="115"/>
      <c r="DD4" s="115"/>
      <c r="DE4" s="115"/>
      <c r="DF4" s="115"/>
      <c r="DG4" s="115"/>
      <c r="DH4" s="115"/>
      <c r="DI4" s="115"/>
      <c r="DJ4" s="115"/>
      <c r="DK4" s="115"/>
      <c r="DL4" s="115"/>
      <c r="DM4" s="115"/>
      <c r="DN4" s="115"/>
      <c r="DO4" s="115"/>
      <c r="DP4" s="115"/>
      <c r="DQ4" s="115"/>
      <c r="DR4" s="115"/>
      <c r="DS4" s="115"/>
      <c r="DT4" s="115"/>
      <c r="DU4" s="115"/>
      <c r="DV4" s="115"/>
      <c r="DW4" s="115"/>
      <c r="DX4" s="115"/>
      <c r="DY4" s="115"/>
      <c r="DZ4" s="115"/>
      <c r="EA4" s="115"/>
      <c r="EB4" s="115"/>
      <c r="EC4" s="115"/>
      <c r="ED4" s="115"/>
      <c r="EE4" s="115"/>
      <c r="EF4" s="115"/>
      <c r="EG4" s="115"/>
      <c r="EH4" s="115"/>
      <c r="EI4" s="115"/>
      <c r="EJ4" s="115"/>
      <c r="EK4" s="115"/>
      <c r="EL4" s="115"/>
      <c r="EM4" s="115"/>
      <c r="EN4" s="115"/>
      <c r="EO4" s="115"/>
      <c r="EP4" s="115"/>
      <c r="EQ4" s="115"/>
      <c r="ER4" s="115"/>
      <c r="ES4" s="115"/>
      <c r="ET4" s="115"/>
      <c r="EU4" s="115"/>
      <c r="EV4" s="115"/>
      <c r="EW4" s="115"/>
      <c r="EX4" s="115"/>
      <c r="EY4" s="115"/>
      <c r="EZ4" s="115"/>
      <c r="FA4" s="115"/>
      <c r="FB4" s="115"/>
      <c r="FC4" s="115"/>
      <c r="FD4" s="115"/>
      <c r="FE4" s="115"/>
      <c r="FF4" s="115"/>
      <c r="FG4" s="115"/>
      <c r="FH4" s="115"/>
      <c r="FI4" s="115"/>
      <c r="FJ4" s="115"/>
      <c r="FK4" s="115"/>
      <c r="FL4" s="115"/>
      <c r="FM4" s="115"/>
      <c r="FN4" s="115"/>
      <c r="FO4" s="115"/>
      <c r="FP4" s="115"/>
      <c r="FQ4" s="115"/>
      <c r="FR4" s="115"/>
      <c r="FS4" s="115"/>
      <c r="FT4" s="115"/>
      <c r="FU4" s="115"/>
      <c r="FV4" s="115"/>
      <c r="FW4" s="115"/>
      <c r="FX4" s="115"/>
      <c r="FY4" s="115"/>
      <c r="FZ4" s="115"/>
      <c r="GA4" s="115"/>
      <c r="GB4" s="115"/>
      <c r="GC4" s="115"/>
      <c r="GD4" s="115"/>
      <c r="GE4" s="115"/>
      <c r="GF4" s="115"/>
      <c r="GG4" s="115"/>
      <c r="GH4" s="115"/>
      <c r="GI4" s="115"/>
      <c r="GJ4" s="115"/>
      <c r="GK4" s="115"/>
      <c r="GL4" s="115"/>
      <c r="GM4" s="115"/>
      <c r="GN4" s="115"/>
      <c r="GO4" s="115"/>
      <c r="GP4" s="115"/>
      <c r="GQ4" s="115"/>
      <c r="GR4" s="115"/>
      <c r="GS4" s="115"/>
      <c r="GT4" s="115"/>
      <c r="GU4" s="115"/>
      <c r="GV4" s="115"/>
      <c r="GW4" s="115"/>
      <c r="GX4" s="115"/>
      <c r="GY4" s="115"/>
      <c r="GZ4" s="115"/>
      <c r="HA4" s="115"/>
      <c r="HB4" s="115"/>
      <c r="HC4" s="115"/>
      <c r="HD4" s="115"/>
      <c r="HE4" s="115"/>
      <c r="HF4" s="115"/>
      <c r="HG4" s="115"/>
      <c r="HH4" s="115"/>
      <c r="HI4" s="115"/>
      <c r="HJ4" s="115"/>
      <c r="HK4" s="115"/>
      <c r="HL4" s="115"/>
      <c r="HM4" s="115"/>
      <c r="HN4" s="115"/>
      <c r="HO4" s="115"/>
      <c r="HP4" s="115"/>
      <c r="HQ4" s="115"/>
      <c r="HR4" s="115"/>
      <c r="HS4" s="115"/>
      <c r="HT4" s="115"/>
      <c r="HU4" s="115"/>
      <c r="HV4" s="115"/>
      <c r="HW4" s="115"/>
      <c r="HX4" s="115"/>
      <c r="HY4" s="115"/>
      <c r="HZ4" s="115"/>
      <c r="IA4" s="115"/>
      <c r="IB4" s="115"/>
      <c r="IC4" s="115"/>
      <c r="ID4" s="115"/>
      <c r="IE4" s="115"/>
      <c r="IF4" s="115"/>
      <c r="IG4" s="115"/>
      <c r="IH4" s="115"/>
      <c r="II4" s="115"/>
      <c r="IJ4" s="115"/>
      <c r="IK4" s="115"/>
      <c r="IL4" s="115"/>
      <c r="IM4" s="115"/>
      <c r="IN4" s="115"/>
      <c r="IO4" s="115"/>
      <c r="IP4" s="115"/>
      <c r="IQ4" s="115"/>
      <c r="IR4" s="115"/>
      <c r="IS4" s="115"/>
      <c r="IT4" s="115"/>
    </row>
    <row r="5" spans="1:255" x14ac:dyDescent="0.2">
      <c r="A5" s="113"/>
      <c r="B5" s="113"/>
      <c r="C5" s="111" t="s">
        <v>262</v>
      </c>
      <c r="D5" s="114" t="s">
        <v>263</v>
      </c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5"/>
      <c r="AF5" s="115"/>
      <c r="AG5" s="115"/>
      <c r="AH5" s="115"/>
      <c r="AI5" s="115"/>
      <c r="AJ5" s="115"/>
      <c r="AK5" s="115"/>
      <c r="AL5" s="115"/>
      <c r="AM5" s="115"/>
      <c r="AN5" s="115"/>
      <c r="AO5" s="115"/>
      <c r="AP5" s="115"/>
      <c r="AQ5" s="115"/>
      <c r="AR5" s="115"/>
      <c r="AS5" s="115"/>
      <c r="AT5" s="115"/>
      <c r="AU5" s="115"/>
      <c r="AV5" s="115"/>
      <c r="AW5" s="115"/>
      <c r="AX5" s="115"/>
      <c r="AY5" s="115"/>
      <c r="AZ5" s="115"/>
      <c r="BA5" s="115"/>
      <c r="BB5" s="115"/>
      <c r="BC5" s="115"/>
      <c r="BD5" s="115"/>
      <c r="BE5" s="115"/>
      <c r="BF5" s="115"/>
      <c r="BG5" s="115"/>
      <c r="BH5" s="115"/>
      <c r="BI5" s="115"/>
      <c r="BJ5" s="115"/>
      <c r="BK5" s="115"/>
      <c r="BL5" s="115"/>
      <c r="BM5" s="115"/>
      <c r="BN5" s="115"/>
      <c r="BO5" s="115"/>
      <c r="BP5" s="115"/>
      <c r="BQ5" s="115"/>
      <c r="BR5" s="115"/>
      <c r="BS5" s="115"/>
      <c r="BT5" s="115"/>
      <c r="BU5" s="115"/>
      <c r="BV5" s="115"/>
      <c r="BW5" s="115"/>
      <c r="BX5" s="115"/>
      <c r="BY5" s="115"/>
      <c r="BZ5" s="115"/>
      <c r="CA5" s="115"/>
      <c r="CB5" s="115"/>
      <c r="CC5" s="115"/>
      <c r="CD5" s="115"/>
      <c r="CE5" s="115"/>
      <c r="CF5" s="115"/>
      <c r="CG5" s="115"/>
      <c r="CH5" s="115"/>
      <c r="CI5" s="115"/>
      <c r="CJ5" s="115"/>
      <c r="CK5" s="115"/>
      <c r="CL5" s="115"/>
      <c r="CM5" s="115"/>
      <c r="CN5" s="115"/>
      <c r="CO5" s="115"/>
      <c r="CP5" s="115"/>
      <c r="CQ5" s="115"/>
      <c r="CR5" s="115"/>
      <c r="CS5" s="115"/>
      <c r="CT5" s="115"/>
      <c r="CU5" s="115"/>
      <c r="CV5" s="115"/>
      <c r="CW5" s="115"/>
      <c r="CX5" s="115"/>
      <c r="CY5" s="115"/>
      <c r="CZ5" s="115"/>
      <c r="DA5" s="115"/>
      <c r="DB5" s="115"/>
      <c r="DC5" s="115"/>
      <c r="DD5" s="115"/>
      <c r="DE5" s="115"/>
      <c r="DF5" s="115"/>
      <c r="DG5" s="115"/>
      <c r="DH5" s="115"/>
      <c r="DI5" s="115"/>
      <c r="DJ5" s="115"/>
      <c r="DK5" s="115"/>
      <c r="DL5" s="115"/>
      <c r="DM5" s="115"/>
      <c r="DN5" s="115"/>
      <c r="DO5" s="115"/>
      <c r="DP5" s="115"/>
      <c r="DQ5" s="115"/>
      <c r="DR5" s="115"/>
      <c r="DS5" s="115"/>
      <c r="DT5" s="115"/>
      <c r="DU5" s="115"/>
      <c r="DV5" s="115"/>
      <c r="DW5" s="115"/>
      <c r="DX5" s="115"/>
      <c r="DY5" s="115"/>
      <c r="DZ5" s="115"/>
      <c r="EA5" s="115"/>
      <c r="EB5" s="115"/>
      <c r="EC5" s="115"/>
      <c r="ED5" s="115"/>
      <c r="EE5" s="115"/>
      <c r="EF5" s="115"/>
      <c r="EG5" s="115"/>
      <c r="EH5" s="115"/>
      <c r="EI5" s="115"/>
      <c r="EJ5" s="115"/>
      <c r="EK5" s="115"/>
      <c r="EL5" s="115"/>
      <c r="EM5" s="115"/>
      <c r="EN5" s="115"/>
      <c r="EO5" s="115"/>
      <c r="EP5" s="115"/>
      <c r="EQ5" s="115"/>
      <c r="ER5" s="115"/>
      <c r="ES5" s="115"/>
      <c r="ET5" s="115"/>
      <c r="EU5" s="115"/>
      <c r="EV5" s="115"/>
      <c r="EW5" s="115"/>
      <c r="EX5" s="115"/>
      <c r="EY5" s="115"/>
      <c r="EZ5" s="115"/>
      <c r="FA5" s="115"/>
      <c r="FB5" s="115"/>
      <c r="FC5" s="115"/>
      <c r="FD5" s="115"/>
      <c r="FE5" s="115"/>
      <c r="FF5" s="115"/>
      <c r="FG5" s="115"/>
      <c r="FH5" s="115"/>
      <c r="FI5" s="115"/>
      <c r="FJ5" s="115"/>
      <c r="FK5" s="115"/>
      <c r="FL5" s="115"/>
      <c r="FM5" s="115"/>
      <c r="FN5" s="115"/>
      <c r="FO5" s="115"/>
      <c r="FP5" s="115"/>
      <c r="FQ5" s="115"/>
      <c r="FR5" s="115"/>
      <c r="FS5" s="115"/>
      <c r="FT5" s="115"/>
      <c r="FU5" s="115"/>
      <c r="FV5" s="115"/>
      <c r="FW5" s="115"/>
      <c r="FX5" s="115"/>
      <c r="FY5" s="115"/>
      <c r="FZ5" s="115"/>
      <c r="GA5" s="115"/>
      <c r="GB5" s="115"/>
      <c r="GC5" s="115"/>
      <c r="GD5" s="115"/>
      <c r="GE5" s="115"/>
      <c r="GF5" s="115"/>
      <c r="GG5" s="115"/>
      <c r="GH5" s="115"/>
      <c r="GI5" s="115"/>
      <c r="GJ5" s="115"/>
      <c r="GK5" s="115"/>
      <c r="GL5" s="115"/>
      <c r="GM5" s="115"/>
      <c r="GN5" s="115"/>
      <c r="GO5" s="115"/>
      <c r="GP5" s="115"/>
      <c r="GQ5" s="115"/>
      <c r="GR5" s="115"/>
      <c r="GS5" s="115"/>
      <c r="GT5" s="115"/>
      <c r="GU5" s="115"/>
      <c r="GV5" s="115"/>
      <c r="GW5" s="115"/>
      <c r="GX5" s="115"/>
      <c r="GY5" s="115"/>
      <c r="GZ5" s="115"/>
      <c r="HA5" s="115"/>
      <c r="HB5" s="115"/>
      <c r="HC5" s="115"/>
      <c r="HD5" s="115"/>
      <c r="HE5" s="115"/>
      <c r="HF5" s="115"/>
      <c r="HG5" s="115"/>
      <c r="HH5" s="115"/>
      <c r="HI5" s="115"/>
      <c r="HJ5" s="115"/>
      <c r="HK5" s="115"/>
      <c r="HL5" s="115"/>
      <c r="HM5" s="115"/>
      <c r="HN5" s="115"/>
      <c r="HO5" s="115"/>
      <c r="HP5" s="115"/>
      <c r="HQ5" s="115"/>
      <c r="HR5" s="115"/>
      <c r="HS5" s="115"/>
      <c r="HT5" s="115"/>
      <c r="HU5" s="115"/>
      <c r="HV5" s="115"/>
      <c r="HW5" s="115"/>
      <c r="HX5" s="115"/>
      <c r="HY5" s="115"/>
      <c r="HZ5" s="115"/>
      <c r="IA5" s="115"/>
      <c r="IB5" s="115"/>
      <c r="IC5" s="115"/>
      <c r="ID5" s="115"/>
      <c r="IE5" s="115"/>
      <c r="IF5" s="115"/>
      <c r="IG5" s="115"/>
      <c r="IH5" s="115"/>
      <c r="II5" s="115"/>
      <c r="IJ5" s="115"/>
      <c r="IK5" s="115"/>
      <c r="IL5" s="115"/>
      <c r="IM5" s="115"/>
      <c r="IN5" s="115"/>
      <c r="IO5" s="115"/>
      <c r="IP5" s="115"/>
      <c r="IQ5" s="115"/>
      <c r="IR5" s="115"/>
      <c r="IS5" s="115"/>
      <c r="IT5" s="115"/>
    </row>
    <row r="6" spans="1:255" x14ac:dyDescent="0.2">
      <c r="A6" s="113"/>
      <c r="B6" s="113"/>
      <c r="C6" s="111" t="s">
        <v>264</v>
      </c>
      <c r="D6" s="114" t="s">
        <v>179</v>
      </c>
      <c r="E6" s="115"/>
      <c r="F6" s="115"/>
      <c r="G6" s="115"/>
      <c r="H6" s="115"/>
      <c r="I6" s="115"/>
      <c r="J6" s="115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  <c r="AA6" s="115"/>
      <c r="AB6" s="115"/>
      <c r="AC6" s="115"/>
      <c r="AD6" s="115"/>
      <c r="AE6" s="115"/>
      <c r="AF6" s="115"/>
      <c r="AG6" s="115"/>
      <c r="AH6" s="115"/>
      <c r="AI6" s="115"/>
      <c r="AJ6" s="115"/>
      <c r="AK6" s="115"/>
      <c r="AL6" s="115"/>
      <c r="AM6" s="115"/>
      <c r="AN6" s="115"/>
      <c r="AO6" s="115"/>
      <c r="AP6" s="115"/>
      <c r="AQ6" s="115"/>
      <c r="AR6" s="115"/>
      <c r="AS6" s="115"/>
      <c r="AT6" s="115"/>
      <c r="AU6" s="115"/>
      <c r="AV6" s="115"/>
      <c r="AW6" s="115"/>
      <c r="AX6" s="115"/>
      <c r="AY6" s="115"/>
      <c r="AZ6" s="115"/>
      <c r="BA6" s="115"/>
      <c r="BB6" s="115"/>
      <c r="BC6" s="115"/>
      <c r="BD6" s="115"/>
      <c r="BE6" s="115"/>
      <c r="BF6" s="115"/>
      <c r="BG6" s="115"/>
      <c r="BH6" s="115"/>
      <c r="BI6" s="115"/>
      <c r="BJ6" s="115"/>
      <c r="BK6" s="115"/>
      <c r="BL6" s="115"/>
      <c r="BM6" s="115"/>
      <c r="BN6" s="115"/>
      <c r="BO6" s="115"/>
      <c r="BP6" s="115"/>
      <c r="BQ6" s="115"/>
      <c r="BR6" s="115"/>
      <c r="BS6" s="115"/>
      <c r="BT6" s="115"/>
      <c r="BU6" s="115"/>
      <c r="BV6" s="115"/>
      <c r="BW6" s="115"/>
      <c r="BX6" s="115"/>
      <c r="BY6" s="115"/>
      <c r="BZ6" s="115"/>
      <c r="CA6" s="115"/>
      <c r="CB6" s="115"/>
      <c r="CC6" s="115"/>
      <c r="CD6" s="115"/>
      <c r="CE6" s="115"/>
      <c r="CF6" s="115"/>
      <c r="CG6" s="115"/>
      <c r="CH6" s="115"/>
      <c r="CI6" s="115"/>
      <c r="CJ6" s="115"/>
      <c r="CK6" s="115"/>
      <c r="CL6" s="115"/>
      <c r="CM6" s="115"/>
      <c r="CN6" s="115"/>
      <c r="CO6" s="115"/>
      <c r="CP6" s="115"/>
      <c r="CQ6" s="115"/>
      <c r="CR6" s="115"/>
      <c r="CS6" s="115"/>
      <c r="CT6" s="115"/>
      <c r="CU6" s="115"/>
      <c r="CV6" s="115"/>
      <c r="CW6" s="115"/>
      <c r="CX6" s="115"/>
      <c r="CY6" s="115"/>
      <c r="CZ6" s="115"/>
      <c r="DA6" s="115"/>
      <c r="DB6" s="115"/>
      <c r="DC6" s="115"/>
      <c r="DD6" s="115"/>
      <c r="DE6" s="115"/>
      <c r="DF6" s="115"/>
      <c r="DG6" s="115"/>
      <c r="DH6" s="115"/>
      <c r="DI6" s="115"/>
      <c r="DJ6" s="115"/>
      <c r="DK6" s="115"/>
      <c r="DL6" s="115"/>
      <c r="DM6" s="115"/>
      <c r="DN6" s="115"/>
      <c r="DO6" s="115"/>
      <c r="DP6" s="115"/>
      <c r="DQ6" s="115"/>
      <c r="DR6" s="115"/>
      <c r="DS6" s="115"/>
      <c r="DT6" s="115"/>
      <c r="DU6" s="115"/>
      <c r="DV6" s="115"/>
      <c r="DW6" s="115"/>
      <c r="DX6" s="115"/>
      <c r="DY6" s="115"/>
      <c r="DZ6" s="115"/>
      <c r="EA6" s="115"/>
      <c r="EB6" s="115"/>
      <c r="EC6" s="115"/>
      <c r="ED6" s="115"/>
      <c r="EE6" s="115"/>
      <c r="EF6" s="115"/>
      <c r="EG6" s="115"/>
      <c r="EH6" s="115"/>
      <c r="EI6" s="115"/>
      <c r="EJ6" s="115"/>
      <c r="EK6" s="115"/>
      <c r="EL6" s="115"/>
      <c r="EM6" s="115"/>
      <c r="EN6" s="115"/>
      <c r="EO6" s="115"/>
      <c r="EP6" s="115"/>
      <c r="EQ6" s="115"/>
      <c r="ER6" s="115"/>
      <c r="ES6" s="115"/>
      <c r="ET6" s="115"/>
      <c r="EU6" s="115"/>
      <c r="EV6" s="115"/>
      <c r="EW6" s="115"/>
      <c r="EX6" s="115"/>
      <c r="EY6" s="115"/>
      <c r="EZ6" s="115"/>
      <c r="FA6" s="115"/>
      <c r="FB6" s="115"/>
      <c r="FC6" s="115"/>
      <c r="FD6" s="115"/>
      <c r="FE6" s="115"/>
      <c r="FF6" s="115"/>
      <c r="FG6" s="115"/>
      <c r="FH6" s="115"/>
      <c r="FI6" s="115"/>
      <c r="FJ6" s="115"/>
      <c r="FK6" s="115"/>
      <c r="FL6" s="115"/>
      <c r="FM6" s="115"/>
      <c r="FN6" s="115"/>
      <c r="FO6" s="115"/>
      <c r="FP6" s="115"/>
      <c r="FQ6" s="115"/>
      <c r="FR6" s="115"/>
      <c r="FS6" s="115"/>
      <c r="FT6" s="115"/>
      <c r="FU6" s="115"/>
      <c r="FV6" s="115"/>
      <c r="FW6" s="115"/>
      <c r="FX6" s="115"/>
      <c r="FY6" s="115"/>
      <c r="FZ6" s="115"/>
      <c r="GA6" s="115"/>
      <c r="GB6" s="115"/>
      <c r="GC6" s="115"/>
      <c r="GD6" s="115"/>
      <c r="GE6" s="115"/>
      <c r="GF6" s="115"/>
      <c r="GG6" s="115"/>
      <c r="GH6" s="115"/>
      <c r="GI6" s="115"/>
      <c r="GJ6" s="115"/>
      <c r="GK6" s="115"/>
      <c r="GL6" s="115"/>
      <c r="GM6" s="115"/>
      <c r="GN6" s="115"/>
      <c r="GO6" s="115"/>
      <c r="GP6" s="115"/>
      <c r="GQ6" s="115"/>
      <c r="GR6" s="115"/>
      <c r="GS6" s="115"/>
      <c r="GT6" s="115"/>
      <c r="GU6" s="115"/>
      <c r="GV6" s="115"/>
      <c r="GW6" s="115"/>
      <c r="GX6" s="115"/>
      <c r="GY6" s="115"/>
      <c r="GZ6" s="115"/>
      <c r="HA6" s="115"/>
      <c r="HB6" s="115"/>
      <c r="HC6" s="115"/>
      <c r="HD6" s="115"/>
      <c r="HE6" s="115"/>
      <c r="HF6" s="115"/>
      <c r="HG6" s="115"/>
      <c r="HH6" s="115"/>
      <c r="HI6" s="115"/>
      <c r="HJ6" s="115"/>
      <c r="HK6" s="115"/>
      <c r="HL6" s="115"/>
      <c r="HM6" s="115"/>
      <c r="HN6" s="115"/>
      <c r="HO6" s="115"/>
      <c r="HP6" s="115"/>
      <c r="HQ6" s="115"/>
      <c r="HR6" s="115"/>
      <c r="HS6" s="115"/>
      <c r="HT6" s="115"/>
      <c r="HU6" s="115"/>
      <c r="HV6" s="115"/>
      <c r="HW6" s="115"/>
      <c r="HX6" s="115"/>
      <c r="HY6" s="115"/>
      <c r="HZ6" s="115"/>
      <c r="IA6" s="115"/>
      <c r="IB6" s="115"/>
      <c r="IC6" s="115"/>
      <c r="ID6" s="115"/>
      <c r="IE6" s="115"/>
      <c r="IF6" s="115"/>
      <c r="IG6" s="115"/>
      <c r="IH6" s="115"/>
      <c r="II6" s="115"/>
      <c r="IJ6" s="115"/>
      <c r="IK6" s="115"/>
      <c r="IL6" s="115"/>
      <c r="IM6" s="115"/>
      <c r="IN6" s="115"/>
      <c r="IO6" s="115"/>
      <c r="IP6" s="115"/>
      <c r="IQ6" s="115"/>
      <c r="IR6" s="115"/>
      <c r="IS6" s="115"/>
      <c r="IT6" s="115"/>
    </row>
    <row r="7" spans="1:255" x14ac:dyDescent="0.2">
      <c r="A7" s="113"/>
      <c r="B7" s="113"/>
      <c r="C7" s="113"/>
      <c r="E7" s="115"/>
      <c r="F7" s="115"/>
      <c r="G7" s="115"/>
      <c r="H7" s="115"/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  <c r="GW7" s="115"/>
      <c r="GX7" s="115"/>
      <c r="GY7" s="115"/>
      <c r="GZ7" s="115"/>
      <c r="HA7" s="115"/>
      <c r="HB7" s="115"/>
      <c r="HC7" s="115"/>
      <c r="HD7" s="115"/>
      <c r="HE7" s="115"/>
      <c r="HF7" s="115"/>
      <c r="HG7" s="115"/>
      <c r="HH7" s="115"/>
      <c r="HI7" s="115"/>
      <c r="HJ7" s="115"/>
      <c r="HK7" s="115"/>
      <c r="HL7" s="115"/>
      <c r="HM7" s="115"/>
      <c r="HN7" s="115"/>
      <c r="HO7" s="115"/>
      <c r="HP7" s="115"/>
      <c r="HQ7" s="115"/>
      <c r="HR7" s="115"/>
      <c r="HS7" s="115"/>
      <c r="HT7" s="115"/>
      <c r="HU7" s="115"/>
      <c r="HV7" s="115"/>
      <c r="HW7" s="115"/>
      <c r="HX7" s="115"/>
      <c r="HY7" s="115"/>
      <c r="HZ7" s="115"/>
      <c r="IA7" s="115"/>
      <c r="IB7" s="115"/>
      <c r="IC7" s="115"/>
      <c r="ID7" s="115"/>
      <c r="IE7" s="115"/>
      <c r="IF7" s="115"/>
      <c r="IG7" s="115"/>
      <c r="IH7" s="115"/>
      <c r="II7" s="115"/>
      <c r="IJ7" s="115"/>
      <c r="IK7" s="115"/>
      <c r="IL7" s="115"/>
      <c r="IM7" s="115"/>
      <c r="IN7" s="115"/>
      <c r="IO7" s="115"/>
      <c r="IP7" s="115"/>
      <c r="IQ7" s="115"/>
      <c r="IR7" s="115"/>
      <c r="IS7" s="115"/>
      <c r="IT7" s="115"/>
      <c r="IU7" s="115"/>
    </row>
    <row r="8" spans="1:255" x14ac:dyDescent="0.2">
      <c r="E8" s="115"/>
      <c r="F8" s="115"/>
      <c r="G8" s="115"/>
      <c r="H8" s="115"/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  <c r="AO8" s="115"/>
      <c r="AP8" s="115"/>
      <c r="AQ8" s="115"/>
      <c r="AR8" s="115"/>
      <c r="AS8" s="115"/>
      <c r="AT8" s="115"/>
      <c r="AU8" s="115"/>
      <c r="AV8" s="115"/>
      <c r="AW8" s="115"/>
      <c r="AX8" s="115"/>
      <c r="AY8" s="115"/>
      <c r="AZ8" s="115"/>
      <c r="BA8" s="115"/>
      <c r="BB8" s="115"/>
      <c r="BC8" s="115"/>
      <c r="BD8" s="115"/>
      <c r="BE8" s="115"/>
      <c r="BF8" s="115"/>
      <c r="BG8" s="115"/>
      <c r="BH8" s="115"/>
      <c r="BI8" s="115"/>
      <c r="BJ8" s="115"/>
      <c r="BK8" s="115"/>
      <c r="BL8" s="115"/>
      <c r="BM8" s="115"/>
      <c r="BN8" s="115"/>
      <c r="BO8" s="115"/>
      <c r="BP8" s="115"/>
      <c r="BQ8" s="115"/>
      <c r="BR8" s="115"/>
      <c r="BS8" s="115"/>
      <c r="BT8" s="115"/>
      <c r="BU8" s="115"/>
      <c r="BV8" s="115"/>
      <c r="BW8" s="115"/>
      <c r="BX8" s="115"/>
      <c r="BY8" s="115"/>
      <c r="BZ8" s="115"/>
      <c r="CA8" s="115"/>
      <c r="CB8" s="115"/>
      <c r="CC8" s="115"/>
      <c r="CD8" s="115"/>
      <c r="CE8" s="115"/>
      <c r="CF8" s="115"/>
      <c r="CG8" s="115"/>
      <c r="CH8" s="115"/>
      <c r="CI8" s="115"/>
      <c r="CJ8" s="115"/>
      <c r="CK8" s="115"/>
      <c r="CL8" s="115"/>
      <c r="CM8" s="115"/>
      <c r="CN8" s="115"/>
      <c r="CO8" s="115"/>
      <c r="CP8" s="115"/>
      <c r="CQ8" s="115"/>
      <c r="CR8" s="115"/>
      <c r="CS8" s="115"/>
      <c r="CT8" s="115"/>
      <c r="CU8" s="115"/>
      <c r="CV8" s="115"/>
      <c r="CW8" s="115"/>
      <c r="CX8" s="115"/>
      <c r="CY8" s="115"/>
      <c r="CZ8" s="115"/>
      <c r="DA8" s="115"/>
      <c r="DB8" s="115"/>
      <c r="DC8" s="115"/>
      <c r="DD8" s="115"/>
      <c r="DE8" s="115"/>
      <c r="DF8" s="115"/>
      <c r="DG8" s="115"/>
      <c r="DH8" s="115"/>
      <c r="DI8" s="115"/>
      <c r="DJ8" s="115"/>
      <c r="DK8" s="115"/>
      <c r="DL8" s="115"/>
      <c r="DM8" s="115"/>
      <c r="DN8" s="115"/>
      <c r="DO8" s="115"/>
      <c r="DP8" s="115"/>
      <c r="DQ8" s="115"/>
      <c r="DR8" s="115"/>
      <c r="DS8" s="115"/>
      <c r="DT8" s="115"/>
      <c r="DU8" s="115"/>
      <c r="DV8" s="115"/>
      <c r="DW8" s="115"/>
      <c r="DX8" s="115"/>
      <c r="DY8" s="115"/>
      <c r="DZ8" s="115"/>
      <c r="EA8" s="115"/>
      <c r="EB8" s="115"/>
      <c r="EC8" s="115"/>
      <c r="ED8" s="115"/>
      <c r="EE8" s="115"/>
      <c r="EF8" s="115"/>
      <c r="EG8" s="115"/>
      <c r="EH8" s="115"/>
      <c r="EI8" s="115"/>
      <c r="EJ8" s="115"/>
      <c r="EK8" s="115"/>
      <c r="EL8" s="115"/>
      <c r="EM8" s="115"/>
      <c r="EN8" s="115"/>
      <c r="EO8" s="115"/>
      <c r="EP8" s="115"/>
      <c r="EQ8" s="115"/>
      <c r="ER8" s="115"/>
      <c r="ES8" s="115"/>
      <c r="ET8" s="115"/>
      <c r="EU8" s="115"/>
      <c r="EV8" s="115"/>
      <c r="EW8" s="115"/>
      <c r="EX8" s="115"/>
      <c r="EY8" s="115"/>
      <c r="EZ8" s="115"/>
      <c r="FA8" s="115"/>
      <c r="FB8" s="115"/>
      <c r="FC8" s="115"/>
      <c r="FD8" s="115"/>
      <c r="FE8" s="115"/>
      <c r="FF8" s="115"/>
      <c r="FG8" s="115"/>
      <c r="FH8" s="115"/>
      <c r="FI8" s="115"/>
      <c r="FJ8" s="115"/>
      <c r="FK8" s="115"/>
      <c r="FL8" s="115"/>
      <c r="FM8" s="115"/>
      <c r="FN8" s="115"/>
      <c r="FO8" s="115"/>
      <c r="FP8" s="115"/>
      <c r="FQ8" s="115"/>
      <c r="FR8" s="115"/>
      <c r="FS8" s="115"/>
      <c r="FT8" s="115"/>
      <c r="FU8" s="115"/>
      <c r="FV8" s="115"/>
      <c r="FW8" s="115"/>
      <c r="FX8" s="115"/>
      <c r="FY8" s="115"/>
      <c r="FZ8" s="115"/>
      <c r="GA8" s="115"/>
      <c r="GB8" s="115"/>
      <c r="GC8" s="115"/>
      <c r="GD8" s="115"/>
      <c r="GE8" s="115"/>
      <c r="GF8" s="115"/>
      <c r="GG8" s="115"/>
      <c r="GH8" s="115"/>
      <c r="GI8" s="115"/>
      <c r="GJ8" s="115"/>
      <c r="GK8" s="115"/>
      <c r="GL8" s="115"/>
      <c r="GM8" s="115"/>
      <c r="GN8" s="115"/>
      <c r="GO8" s="115"/>
      <c r="GP8" s="115"/>
      <c r="GQ8" s="115"/>
      <c r="GR8" s="115"/>
      <c r="GS8" s="115"/>
      <c r="GT8" s="115"/>
      <c r="GU8" s="115"/>
      <c r="GV8" s="115"/>
      <c r="GW8" s="115"/>
      <c r="GX8" s="115"/>
      <c r="GY8" s="115"/>
      <c r="GZ8" s="115"/>
      <c r="HA8" s="115"/>
      <c r="HB8" s="115"/>
      <c r="HC8" s="115"/>
      <c r="HD8" s="115"/>
      <c r="HE8" s="115"/>
      <c r="HF8" s="115"/>
      <c r="HG8" s="115"/>
      <c r="HH8" s="115"/>
      <c r="HI8" s="115"/>
      <c r="HJ8" s="115"/>
      <c r="HK8" s="115"/>
      <c r="HL8" s="115"/>
      <c r="HM8" s="115"/>
      <c r="HN8" s="115"/>
      <c r="HO8" s="115"/>
      <c r="HP8" s="115"/>
      <c r="HQ8" s="115"/>
      <c r="HR8" s="115"/>
      <c r="HS8" s="115"/>
      <c r="HT8" s="115"/>
      <c r="HU8" s="115"/>
      <c r="HV8" s="115"/>
      <c r="HW8" s="115"/>
      <c r="HX8" s="115"/>
      <c r="HY8" s="115"/>
      <c r="HZ8" s="115"/>
      <c r="IA8" s="115"/>
      <c r="IB8" s="115"/>
      <c r="IC8" s="115"/>
      <c r="ID8" s="115"/>
      <c r="IE8" s="115"/>
      <c r="IF8" s="115"/>
      <c r="IG8" s="115"/>
      <c r="IH8" s="115"/>
      <c r="II8" s="115"/>
      <c r="IJ8" s="115"/>
      <c r="IK8" s="115"/>
      <c r="IL8" s="115"/>
      <c r="IM8" s="115"/>
      <c r="IN8" s="115"/>
      <c r="IO8" s="115"/>
      <c r="IP8" s="115"/>
      <c r="IQ8" s="115"/>
      <c r="IR8" s="115"/>
      <c r="IS8" s="115"/>
      <c r="IT8" s="115"/>
      <c r="IU8" s="115"/>
    </row>
    <row r="9" spans="1:255" s="118" customFormat="1" x14ac:dyDescent="0.2">
      <c r="A9" s="136" t="s">
        <v>265</v>
      </c>
      <c r="B9" s="137"/>
      <c r="C9" s="116" t="s">
        <v>266</v>
      </c>
      <c r="D9" s="117" t="s">
        <v>267</v>
      </c>
      <c r="E9" s="116" t="s">
        <v>268</v>
      </c>
      <c r="F9" s="115"/>
      <c r="G9" s="115"/>
      <c r="H9" s="115"/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  <c r="X9" s="115"/>
      <c r="Y9" s="115"/>
      <c r="Z9" s="115"/>
      <c r="AA9" s="115"/>
      <c r="AB9" s="115"/>
      <c r="AC9" s="115"/>
      <c r="AD9" s="115"/>
      <c r="AE9" s="115"/>
      <c r="AF9" s="115"/>
      <c r="AG9" s="115"/>
      <c r="AH9" s="115"/>
      <c r="AI9" s="115"/>
      <c r="AJ9" s="115"/>
      <c r="AK9" s="115"/>
      <c r="AL9" s="115"/>
      <c r="AM9" s="115"/>
      <c r="AN9" s="115"/>
      <c r="AO9" s="115"/>
      <c r="AP9" s="115"/>
      <c r="AQ9" s="115"/>
      <c r="AR9" s="115"/>
      <c r="AS9" s="115"/>
      <c r="AT9" s="115"/>
      <c r="AU9" s="115"/>
      <c r="AV9" s="115"/>
      <c r="AW9" s="115"/>
      <c r="AX9" s="115"/>
      <c r="AY9" s="115"/>
      <c r="AZ9" s="115"/>
      <c r="BA9" s="115"/>
      <c r="BB9" s="115"/>
      <c r="BC9" s="115"/>
      <c r="BD9" s="115"/>
      <c r="BE9" s="115"/>
      <c r="BF9" s="115"/>
      <c r="BG9" s="115"/>
      <c r="BH9" s="115"/>
      <c r="BI9" s="115"/>
      <c r="BJ9" s="115"/>
      <c r="BK9" s="115"/>
      <c r="BL9" s="115"/>
      <c r="BM9" s="115"/>
      <c r="BN9" s="115"/>
      <c r="BO9" s="115"/>
      <c r="BP9" s="115"/>
      <c r="BQ9" s="115"/>
      <c r="BR9" s="115"/>
      <c r="BS9" s="115"/>
      <c r="BT9" s="115"/>
      <c r="BU9" s="115"/>
      <c r="BV9" s="115"/>
      <c r="BW9" s="115"/>
      <c r="BX9" s="115"/>
      <c r="BY9" s="115"/>
      <c r="BZ9" s="115"/>
      <c r="CA9" s="115"/>
      <c r="CB9" s="115"/>
      <c r="CC9" s="115"/>
      <c r="CD9" s="115"/>
      <c r="CE9" s="115"/>
      <c r="CF9" s="115"/>
      <c r="CG9" s="115"/>
      <c r="CH9" s="115"/>
      <c r="CI9" s="115"/>
      <c r="CJ9" s="115"/>
      <c r="CK9" s="115"/>
      <c r="CL9" s="115"/>
      <c r="CM9" s="115"/>
      <c r="CN9" s="115"/>
      <c r="CO9" s="115"/>
      <c r="CP9" s="115"/>
      <c r="CQ9" s="115"/>
      <c r="CR9" s="115"/>
      <c r="CS9" s="115"/>
      <c r="CT9" s="115"/>
      <c r="CU9" s="115"/>
      <c r="CV9" s="115"/>
      <c r="CW9" s="115"/>
      <c r="CX9" s="115"/>
      <c r="CY9" s="115"/>
      <c r="CZ9" s="115"/>
      <c r="DA9" s="115"/>
      <c r="DB9" s="115"/>
      <c r="DC9" s="115"/>
      <c r="DD9" s="115"/>
      <c r="DE9" s="115"/>
      <c r="DF9" s="115"/>
      <c r="DG9" s="115"/>
      <c r="DH9" s="115"/>
      <c r="DI9" s="115"/>
      <c r="DJ9" s="115"/>
      <c r="DK9" s="115"/>
      <c r="DL9" s="115"/>
      <c r="DM9" s="115"/>
      <c r="DN9" s="115"/>
      <c r="DO9" s="115"/>
      <c r="DP9" s="115"/>
      <c r="DQ9" s="115"/>
      <c r="DR9" s="115"/>
      <c r="DS9" s="115"/>
      <c r="DT9" s="115"/>
      <c r="DU9" s="115"/>
      <c r="DV9" s="115"/>
      <c r="DW9" s="115"/>
      <c r="DX9" s="115"/>
      <c r="DY9" s="115"/>
      <c r="DZ9" s="115"/>
      <c r="EA9" s="115"/>
      <c r="EB9" s="115"/>
      <c r="EC9" s="115"/>
      <c r="ED9" s="115"/>
      <c r="EE9" s="115"/>
      <c r="EF9" s="115"/>
      <c r="EG9" s="115"/>
      <c r="EH9" s="115"/>
      <c r="EI9" s="115"/>
      <c r="EJ9" s="115"/>
      <c r="EK9" s="115"/>
      <c r="EL9" s="115"/>
      <c r="EM9" s="115"/>
      <c r="EN9" s="115"/>
      <c r="EO9" s="115"/>
      <c r="EP9" s="115"/>
      <c r="EQ9" s="115"/>
      <c r="ER9" s="115"/>
      <c r="ES9" s="115"/>
      <c r="ET9" s="115"/>
      <c r="EU9" s="115"/>
      <c r="EV9" s="115"/>
      <c r="EW9" s="115"/>
      <c r="EX9" s="115"/>
      <c r="EY9" s="115"/>
      <c r="EZ9" s="115"/>
      <c r="FA9" s="115"/>
      <c r="FB9" s="115"/>
      <c r="FC9" s="115"/>
      <c r="FD9" s="115"/>
      <c r="FE9" s="115"/>
      <c r="FF9" s="115"/>
      <c r="FG9" s="115"/>
      <c r="FH9" s="115"/>
      <c r="FI9" s="115"/>
      <c r="FJ9" s="115"/>
      <c r="FK9" s="115"/>
      <c r="FL9" s="115"/>
      <c r="FM9" s="115"/>
      <c r="FN9" s="115"/>
      <c r="FO9" s="115"/>
      <c r="FP9" s="115"/>
      <c r="FQ9" s="115"/>
      <c r="FR9" s="115"/>
      <c r="FS9" s="115"/>
      <c r="FT9" s="115"/>
      <c r="FU9" s="115"/>
      <c r="FV9" s="115"/>
      <c r="FW9" s="115"/>
      <c r="FX9" s="115"/>
      <c r="FY9" s="115"/>
      <c r="FZ9" s="115"/>
      <c r="GA9" s="115"/>
      <c r="GB9" s="115"/>
      <c r="GC9" s="115"/>
      <c r="GD9" s="115"/>
      <c r="GE9" s="115"/>
      <c r="GF9" s="115"/>
      <c r="GG9" s="115"/>
      <c r="GH9" s="115"/>
      <c r="GI9" s="115"/>
      <c r="GJ9" s="115"/>
      <c r="GK9" s="115"/>
      <c r="GL9" s="115"/>
      <c r="GM9" s="115"/>
      <c r="GN9" s="115"/>
      <c r="GO9" s="115"/>
      <c r="GP9" s="115"/>
      <c r="GQ9" s="115"/>
      <c r="GR9" s="115"/>
      <c r="GS9" s="115"/>
      <c r="GT9" s="115"/>
      <c r="GU9" s="115"/>
      <c r="GV9" s="115"/>
      <c r="GW9" s="115"/>
      <c r="GX9" s="115"/>
      <c r="GY9" s="115"/>
      <c r="GZ9" s="115"/>
      <c r="HA9" s="115"/>
      <c r="HB9" s="115"/>
      <c r="HC9" s="115"/>
      <c r="HD9" s="115"/>
      <c r="HE9" s="115"/>
      <c r="HF9" s="115"/>
      <c r="HG9" s="115"/>
      <c r="HH9" s="115"/>
      <c r="HI9" s="115"/>
      <c r="HJ9" s="115"/>
      <c r="HK9" s="115"/>
      <c r="HL9" s="115"/>
      <c r="HM9" s="115"/>
      <c r="HN9" s="115"/>
      <c r="HO9" s="115"/>
      <c r="HP9" s="115"/>
      <c r="HQ9" s="115"/>
      <c r="HR9" s="115"/>
      <c r="HS9" s="115"/>
      <c r="HT9" s="115"/>
      <c r="HU9" s="115"/>
      <c r="HV9" s="115"/>
      <c r="HW9" s="115"/>
      <c r="HX9" s="115"/>
      <c r="HY9" s="115"/>
      <c r="HZ9" s="115"/>
      <c r="IA9" s="115"/>
      <c r="IB9" s="115"/>
      <c r="IC9" s="115"/>
      <c r="ID9" s="115"/>
      <c r="IE9" s="115"/>
      <c r="IF9" s="115"/>
      <c r="IG9" s="115"/>
      <c r="IH9" s="115"/>
      <c r="II9" s="115"/>
      <c r="IJ9" s="115"/>
      <c r="IK9" s="115"/>
      <c r="IL9" s="115"/>
      <c r="IM9" s="115"/>
      <c r="IN9" s="115"/>
    </row>
    <row r="10" spans="1:255" x14ac:dyDescent="0.2">
      <c r="A10" s="119">
        <f>D3</f>
        <v>42186</v>
      </c>
      <c r="B10" s="120" t="str">
        <f>TEXT(A10,"ddd")</f>
        <v>qua</v>
      </c>
      <c r="C10" s="121">
        <f>SUMIF(Table13[DIA],'07.2015'!A10:A39,Table13[QUANTIDADE DE HORAS])</f>
        <v>12</v>
      </c>
      <c r="D10" s="122"/>
      <c r="E10" s="123"/>
      <c r="F10" s="115"/>
      <c r="G10" s="115"/>
      <c r="H10" s="115"/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5"/>
      <c r="Z10" s="115"/>
      <c r="AA10" s="115"/>
      <c r="AB10" s="115"/>
      <c r="AC10" s="115"/>
      <c r="AD10" s="115"/>
      <c r="AE10" s="115"/>
      <c r="AF10" s="115"/>
      <c r="AG10" s="115"/>
      <c r="AH10" s="115"/>
      <c r="AI10" s="115"/>
      <c r="AJ10" s="115"/>
      <c r="AK10" s="115"/>
      <c r="AL10" s="115"/>
      <c r="AM10" s="115"/>
      <c r="AN10" s="115"/>
      <c r="AO10" s="115"/>
      <c r="AP10" s="115"/>
      <c r="AQ10" s="115"/>
      <c r="AR10" s="115"/>
      <c r="AS10" s="115"/>
      <c r="AT10" s="115"/>
      <c r="AU10" s="115"/>
      <c r="AV10" s="115"/>
      <c r="AW10" s="115"/>
      <c r="AX10" s="115"/>
      <c r="AY10" s="115"/>
      <c r="AZ10" s="115"/>
      <c r="BA10" s="115"/>
      <c r="BB10" s="115"/>
      <c r="BC10" s="115"/>
      <c r="BD10" s="115"/>
      <c r="BE10" s="115"/>
      <c r="BF10" s="115"/>
      <c r="BG10" s="115"/>
      <c r="BH10" s="115"/>
      <c r="BI10" s="115"/>
      <c r="BJ10" s="115"/>
      <c r="BK10" s="115"/>
      <c r="BL10" s="115"/>
      <c r="BM10" s="115"/>
      <c r="BN10" s="115"/>
      <c r="BO10" s="115"/>
      <c r="BP10" s="115"/>
      <c r="BQ10" s="115"/>
      <c r="BR10" s="115"/>
      <c r="BS10" s="115"/>
      <c r="BT10" s="115"/>
      <c r="BU10" s="115"/>
      <c r="BV10" s="115"/>
      <c r="BW10" s="115"/>
      <c r="BX10" s="115"/>
      <c r="BY10" s="115"/>
      <c r="BZ10" s="115"/>
      <c r="CA10" s="115"/>
      <c r="CB10" s="115"/>
      <c r="CC10" s="115"/>
      <c r="CD10" s="115"/>
      <c r="CE10" s="115"/>
      <c r="CF10" s="115"/>
      <c r="CG10" s="115"/>
      <c r="CH10" s="115"/>
      <c r="CI10" s="115"/>
      <c r="CJ10" s="115"/>
      <c r="CK10" s="115"/>
      <c r="CL10" s="115"/>
      <c r="CM10" s="115"/>
      <c r="CN10" s="115"/>
      <c r="CO10" s="115"/>
      <c r="CP10" s="115"/>
      <c r="CQ10" s="115"/>
      <c r="CR10" s="115"/>
      <c r="CS10" s="115"/>
      <c r="CT10" s="115"/>
      <c r="CU10" s="115"/>
      <c r="CV10" s="115"/>
      <c r="CW10" s="115"/>
      <c r="CX10" s="115"/>
      <c r="CY10" s="115"/>
      <c r="CZ10" s="115"/>
      <c r="DA10" s="115"/>
      <c r="DB10" s="115"/>
      <c r="DC10" s="115"/>
      <c r="DD10" s="115"/>
      <c r="DE10" s="115"/>
      <c r="DF10" s="115"/>
      <c r="DG10" s="115"/>
      <c r="DH10" s="115"/>
      <c r="DI10" s="115"/>
      <c r="DJ10" s="115"/>
      <c r="DK10" s="115"/>
      <c r="DL10" s="115"/>
      <c r="DM10" s="115"/>
      <c r="DN10" s="115"/>
      <c r="DO10" s="115"/>
      <c r="DP10" s="115"/>
      <c r="DQ10" s="115"/>
      <c r="DR10" s="115"/>
      <c r="DS10" s="115"/>
      <c r="DT10" s="115"/>
      <c r="DU10" s="115"/>
      <c r="DV10" s="115"/>
      <c r="DW10" s="115"/>
      <c r="DX10" s="115"/>
      <c r="DY10" s="115"/>
      <c r="DZ10" s="115"/>
      <c r="EA10" s="115"/>
      <c r="EB10" s="115"/>
      <c r="EC10" s="115"/>
      <c r="ED10" s="115"/>
      <c r="EE10" s="115"/>
      <c r="EF10" s="115"/>
      <c r="EG10" s="115"/>
      <c r="EH10" s="115"/>
      <c r="EI10" s="115"/>
      <c r="EJ10" s="115"/>
      <c r="EK10" s="115"/>
      <c r="EL10" s="115"/>
      <c r="EM10" s="115"/>
      <c r="EN10" s="115"/>
      <c r="EO10" s="115"/>
      <c r="EP10" s="115"/>
      <c r="EQ10" s="115"/>
      <c r="ER10" s="115"/>
      <c r="ES10" s="115"/>
      <c r="ET10" s="115"/>
      <c r="EU10" s="115"/>
      <c r="EV10" s="115"/>
      <c r="EW10" s="115"/>
      <c r="EX10" s="115"/>
      <c r="EY10" s="115"/>
      <c r="EZ10" s="115"/>
      <c r="FA10" s="115"/>
      <c r="FB10" s="115"/>
      <c r="FC10" s="115"/>
      <c r="FD10" s="115"/>
      <c r="FE10" s="115"/>
      <c r="FF10" s="115"/>
      <c r="FG10" s="115"/>
      <c r="FH10" s="115"/>
      <c r="FI10" s="115"/>
      <c r="FJ10" s="115"/>
      <c r="FK10" s="115"/>
      <c r="FL10" s="115"/>
      <c r="FM10" s="115"/>
      <c r="FN10" s="115"/>
      <c r="FO10" s="115"/>
      <c r="FP10" s="115"/>
      <c r="FQ10" s="115"/>
      <c r="FR10" s="115"/>
      <c r="FS10" s="115"/>
      <c r="FT10" s="115"/>
      <c r="FU10" s="115"/>
      <c r="FV10" s="115"/>
      <c r="FW10" s="115"/>
      <c r="FX10" s="115"/>
      <c r="FY10" s="115"/>
      <c r="FZ10" s="115"/>
      <c r="GA10" s="115"/>
      <c r="GB10" s="115"/>
      <c r="GC10" s="115"/>
      <c r="GD10" s="115"/>
      <c r="GE10" s="115"/>
      <c r="GF10" s="115"/>
      <c r="GG10" s="115"/>
      <c r="GH10" s="115"/>
      <c r="GI10" s="115"/>
      <c r="GJ10" s="115"/>
      <c r="GK10" s="115"/>
      <c r="GL10" s="115"/>
      <c r="GM10" s="115"/>
      <c r="GN10" s="115"/>
      <c r="GO10" s="115"/>
      <c r="GP10" s="115"/>
      <c r="GQ10" s="115"/>
      <c r="GR10" s="115"/>
      <c r="GS10" s="115"/>
      <c r="GT10" s="115"/>
      <c r="GU10" s="115"/>
      <c r="GV10" s="115"/>
      <c r="GW10" s="115"/>
      <c r="GX10" s="115"/>
      <c r="GY10" s="115"/>
      <c r="GZ10" s="115"/>
      <c r="HA10" s="115"/>
      <c r="HB10" s="115"/>
      <c r="HC10" s="115"/>
      <c r="HD10" s="115"/>
      <c r="HE10" s="115"/>
      <c r="HF10" s="115"/>
      <c r="HG10" s="115"/>
      <c r="HH10" s="115"/>
      <c r="HI10" s="115"/>
      <c r="HJ10" s="115"/>
      <c r="HK10" s="115"/>
      <c r="HL10" s="115"/>
      <c r="HM10" s="115"/>
      <c r="HN10" s="115"/>
      <c r="HO10" s="115"/>
      <c r="HP10" s="115"/>
      <c r="HQ10" s="115"/>
      <c r="HR10" s="115"/>
      <c r="HS10" s="115"/>
      <c r="HT10" s="115"/>
      <c r="HU10" s="115"/>
      <c r="HV10" s="115"/>
      <c r="HW10" s="115"/>
      <c r="HX10" s="115"/>
      <c r="HY10" s="115"/>
      <c r="HZ10" s="115"/>
      <c r="IA10" s="115"/>
      <c r="IB10" s="115"/>
      <c r="IC10" s="115"/>
      <c r="ID10" s="115"/>
      <c r="IE10" s="115"/>
      <c r="IF10" s="115"/>
      <c r="IG10" s="115"/>
      <c r="IH10" s="115"/>
      <c r="II10" s="115"/>
      <c r="IJ10" s="115"/>
      <c r="IK10" s="115"/>
      <c r="IL10" s="115"/>
      <c r="IM10" s="115"/>
      <c r="IN10" s="115"/>
    </row>
    <row r="11" spans="1:255" x14ac:dyDescent="0.2">
      <c r="A11" s="119">
        <f t="shared" ref="A11:A37" si="0">A10+1</f>
        <v>42187</v>
      </c>
      <c r="B11" s="120" t="str">
        <f>TEXT(A11,"ddd")</f>
        <v>qui</v>
      </c>
      <c r="C11" s="121">
        <f>SUMIF(Table13[DIA],'07.2015'!A11:A40,Table13[QUANTIDADE DE HORAS])</f>
        <v>8</v>
      </c>
      <c r="D11" s="122"/>
      <c r="E11" s="123"/>
      <c r="F11" s="115"/>
      <c r="G11" s="115"/>
      <c r="H11" s="115"/>
      <c r="I11" s="115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5"/>
      <c r="Z11" s="115"/>
      <c r="AA11" s="115"/>
      <c r="AB11" s="115"/>
      <c r="AC11" s="115"/>
      <c r="AD11" s="115"/>
      <c r="AE11" s="115"/>
      <c r="AF11" s="115"/>
      <c r="AG11" s="115"/>
      <c r="AH11" s="115"/>
      <c r="AI11" s="115"/>
      <c r="AJ11" s="115"/>
      <c r="AK11" s="115"/>
      <c r="AL11" s="115"/>
      <c r="AM11" s="115"/>
      <c r="AN11" s="115"/>
      <c r="AO11" s="115"/>
      <c r="AP11" s="115"/>
      <c r="AQ11" s="115"/>
      <c r="AR11" s="115"/>
      <c r="AS11" s="115"/>
      <c r="AT11" s="115"/>
      <c r="AU11" s="115"/>
      <c r="AV11" s="115"/>
      <c r="AW11" s="115"/>
      <c r="AX11" s="115"/>
      <c r="AY11" s="115"/>
      <c r="AZ11" s="115"/>
      <c r="BA11" s="115"/>
      <c r="BB11" s="115"/>
      <c r="BC11" s="115"/>
      <c r="BD11" s="115"/>
      <c r="BE11" s="115"/>
      <c r="BF11" s="115"/>
      <c r="BG11" s="115"/>
      <c r="BH11" s="115"/>
      <c r="BI11" s="115"/>
      <c r="BJ11" s="115"/>
      <c r="BK11" s="115"/>
      <c r="BL11" s="115"/>
      <c r="BM11" s="115"/>
      <c r="BN11" s="115"/>
      <c r="BO11" s="115"/>
      <c r="BP11" s="115"/>
      <c r="BQ11" s="115"/>
      <c r="BR11" s="115"/>
      <c r="BS11" s="115"/>
      <c r="BT11" s="115"/>
      <c r="BU11" s="115"/>
      <c r="BV11" s="115"/>
      <c r="BW11" s="115"/>
      <c r="BX11" s="115"/>
      <c r="BY11" s="115"/>
      <c r="BZ11" s="115"/>
      <c r="CA11" s="115"/>
      <c r="CB11" s="115"/>
      <c r="CC11" s="115"/>
      <c r="CD11" s="115"/>
      <c r="CE11" s="115"/>
      <c r="CF11" s="115"/>
      <c r="CG11" s="115"/>
      <c r="CH11" s="115"/>
      <c r="CI11" s="115"/>
      <c r="CJ11" s="115"/>
      <c r="CK11" s="115"/>
      <c r="CL11" s="115"/>
      <c r="CM11" s="115"/>
      <c r="CN11" s="115"/>
      <c r="CO11" s="115"/>
      <c r="CP11" s="115"/>
      <c r="CQ11" s="115"/>
      <c r="CR11" s="115"/>
      <c r="CS11" s="115"/>
      <c r="CT11" s="115"/>
      <c r="CU11" s="115"/>
      <c r="CV11" s="115"/>
      <c r="CW11" s="115"/>
      <c r="CX11" s="115"/>
      <c r="CY11" s="115"/>
      <c r="CZ11" s="115"/>
      <c r="DA11" s="115"/>
      <c r="DB11" s="115"/>
      <c r="DC11" s="115"/>
      <c r="DD11" s="115"/>
      <c r="DE11" s="115"/>
      <c r="DF11" s="115"/>
      <c r="DG11" s="115"/>
      <c r="DH11" s="115"/>
      <c r="DI11" s="115"/>
      <c r="DJ11" s="115"/>
      <c r="DK11" s="115"/>
      <c r="DL11" s="115"/>
      <c r="DM11" s="115"/>
      <c r="DN11" s="115"/>
      <c r="DO11" s="115"/>
      <c r="DP11" s="115"/>
      <c r="DQ11" s="115"/>
      <c r="DR11" s="115"/>
      <c r="DS11" s="115"/>
      <c r="DT11" s="115"/>
      <c r="DU11" s="115"/>
      <c r="DV11" s="115"/>
      <c r="DW11" s="115"/>
      <c r="DX11" s="115"/>
      <c r="DY11" s="115"/>
      <c r="DZ11" s="115"/>
      <c r="EA11" s="115"/>
      <c r="EB11" s="115"/>
      <c r="EC11" s="115"/>
      <c r="ED11" s="115"/>
      <c r="EE11" s="115"/>
      <c r="EF11" s="115"/>
      <c r="EG11" s="115"/>
      <c r="EH11" s="115"/>
      <c r="EI11" s="115"/>
      <c r="EJ11" s="115"/>
      <c r="EK11" s="115"/>
      <c r="EL11" s="115"/>
      <c r="EM11" s="115"/>
      <c r="EN11" s="115"/>
      <c r="EO11" s="115"/>
      <c r="EP11" s="115"/>
      <c r="EQ11" s="115"/>
      <c r="ER11" s="115"/>
      <c r="ES11" s="115"/>
      <c r="ET11" s="115"/>
      <c r="EU11" s="115"/>
      <c r="EV11" s="115"/>
      <c r="EW11" s="115"/>
      <c r="EX11" s="115"/>
      <c r="EY11" s="115"/>
      <c r="EZ11" s="115"/>
      <c r="FA11" s="115"/>
      <c r="FB11" s="115"/>
      <c r="FC11" s="115"/>
      <c r="FD11" s="115"/>
      <c r="FE11" s="115"/>
      <c r="FF11" s="115"/>
      <c r="FG11" s="115"/>
      <c r="FH11" s="115"/>
      <c r="FI11" s="115"/>
      <c r="FJ11" s="115"/>
      <c r="FK11" s="115"/>
      <c r="FL11" s="115"/>
      <c r="FM11" s="115"/>
      <c r="FN11" s="115"/>
      <c r="FO11" s="115"/>
      <c r="FP11" s="115"/>
      <c r="FQ11" s="115"/>
      <c r="FR11" s="115"/>
      <c r="FS11" s="115"/>
      <c r="FT11" s="115"/>
      <c r="FU11" s="115"/>
      <c r="FV11" s="115"/>
      <c r="FW11" s="115"/>
      <c r="FX11" s="115"/>
      <c r="FY11" s="115"/>
      <c r="FZ11" s="115"/>
      <c r="GA11" s="115"/>
      <c r="GB11" s="115"/>
      <c r="GC11" s="115"/>
      <c r="GD11" s="115"/>
      <c r="GE11" s="115"/>
      <c r="GF11" s="115"/>
      <c r="GG11" s="115"/>
      <c r="GH11" s="115"/>
      <c r="GI11" s="115"/>
      <c r="GJ11" s="115"/>
      <c r="GK11" s="115"/>
      <c r="GL11" s="115"/>
      <c r="GM11" s="115"/>
      <c r="GN11" s="115"/>
      <c r="GO11" s="115"/>
      <c r="GP11" s="115"/>
      <c r="GQ11" s="115"/>
      <c r="GR11" s="115"/>
      <c r="GS11" s="115"/>
      <c r="GT11" s="115"/>
      <c r="GU11" s="115"/>
      <c r="GV11" s="115"/>
      <c r="GW11" s="115"/>
      <c r="GX11" s="115"/>
      <c r="GY11" s="115"/>
      <c r="GZ11" s="115"/>
      <c r="HA11" s="115"/>
      <c r="HB11" s="115"/>
      <c r="HC11" s="115"/>
      <c r="HD11" s="115"/>
      <c r="HE11" s="115"/>
      <c r="HF11" s="115"/>
      <c r="HG11" s="115"/>
      <c r="HH11" s="115"/>
      <c r="HI11" s="115"/>
      <c r="HJ11" s="115"/>
      <c r="HK11" s="115"/>
      <c r="HL11" s="115"/>
      <c r="HM11" s="115"/>
      <c r="HN11" s="115"/>
      <c r="HO11" s="115"/>
      <c r="HP11" s="115"/>
      <c r="HQ11" s="115"/>
      <c r="HR11" s="115"/>
      <c r="HS11" s="115"/>
      <c r="HT11" s="115"/>
      <c r="HU11" s="115"/>
      <c r="HV11" s="115"/>
      <c r="HW11" s="115"/>
      <c r="HX11" s="115"/>
      <c r="HY11" s="115"/>
      <c r="HZ11" s="115"/>
      <c r="IA11" s="115"/>
      <c r="IB11" s="115"/>
      <c r="IC11" s="115"/>
      <c r="ID11" s="115"/>
      <c r="IE11" s="115"/>
      <c r="IF11" s="115"/>
      <c r="IG11" s="115"/>
      <c r="IH11" s="115"/>
      <c r="II11" s="115"/>
      <c r="IJ11" s="115"/>
      <c r="IK11" s="115"/>
      <c r="IL11" s="115"/>
      <c r="IM11" s="115"/>
      <c r="IN11" s="115"/>
    </row>
    <row r="12" spans="1:255" x14ac:dyDescent="0.2">
      <c r="A12" s="119">
        <f t="shared" si="0"/>
        <v>42188</v>
      </c>
      <c r="B12" s="120" t="str">
        <f t="shared" ref="B12:B39" si="1">TEXT(A12,"ddd")</f>
        <v>sex</v>
      </c>
      <c r="C12" s="121">
        <f>SUMIF(Table13[DIA],'07.2015'!A12:A41,Table13[QUANTIDADE DE HORAS])</f>
        <v>10</v>
      </c>
      <c r="D12" s="122"/>
      <c r="E12" s="123"/>
      <c r="F12" s="115"/>
      <c r="G12" s="115"/>
      <c r="H12" s="115"/>
      <c r="I12" s="115"/>
      <c r="J12" s="115"/>
      <c r="K12" s="115"/>
      <c r="L12" s="115"/>
      <c r="M12" s="115"/>
      <c r="N12" s="115"/>
      <c r="O12" s="115"/>
      <c r="P12" s="115"/>
      <c r="Q12" s="115"/>
      <c r="R12" s="115"/>
      <c r="S12" s="115"/>
      <c r="T12" s="115"/>
      <c r="U12" s="115"/>
      <c r="V12" s="115"/>
      <c r="W12" s="115"/>
      <c r="X12" s="115"/>
      <c r="Y12" s="115"/>
      <c r="Z12" s="115"/>
      <c r="AA12" s="115"/>
      <c r="AB12" s="115"/>
      <c r="AC12" s="115"/>
      <c r="AD12" s="115"/>
      <c r="AE12" s="115"/>
      <c r="AF12" s="115"/>
      <c r="AG12" s="115"/>
      <c r="AH12" s="115"/>
      <c r="AI12" s="115"/>
      <c r="AJ12" s="115"/>
      <c r="AK12" s="115"/>
      <c r="AL12" s="115"/>
      <c r="AM12" s="115"/>
      <c r="AN12" s="115"/>
      <c r="AO12" s="115"/>
      <c r="AP12" s="115"/>
      <c r="AQ12" s="115"/>
      <c r="AR12" s="115"/>
      <c r="AS12" s="115"/>
      <c r="AT12" s="115"/>
      <c r="AU12" s="115"/>
      <c r="AV12" s="115"/>
      <c r="AW12" s="115"/>
      <c r="AX12" s="115"/>
      <c r="AY12" s="115"/>
      <c r="AZ12" s="115"/>
      <c r="BA12" s="115"/>
      <c r="BB12" s="115"/>
      <c r="BC12" s="115"/>
      <c r="BD12" s="115"/>
      <c r="BE12" s="115"/>
      <c r="BF12" s="115"/>
      <c r="BG12" s="115"/>
      <c r="BH12" s="115"/>
      <c r="BI12" s="115"/>
      <c r="BJ12" s="115"/>
      <c r="BK12" s="115"/>
      <c r="BL12" s="115"/>
      <c r="BM12" s="115"/>
      <c r="BN12" s="115"/>
      <c r="BO12" s="115"/>
      <c r="BP12" s="115"/>
      <c r="BQ12" s="115"/>
      <c r="BR12" s="115"/>
      <c r="BS12" s="115"/>
      <c r="BT12" s="115"/>
      <c r="BU12" s="115"/>
      <c r="BV12" s="115"/>
      <c r="BW12" s="115"/>
      <c r="BX12" s="115"/>
      <c r="BY12" s="115"/>
      <c r="BZ12" s="115"/>
      <c r="CA12" s="115"/>
      <c r="CB12" s="115"/>
      <c r="CC12" s="115"/>
      <c r="CD12" s="115"/>
      <c r="CE12" s="115"/>
      <c r="CF12" s="115"/>
      <c r="CG12" s="115"/>
      <c r="CH12" s="115"/>
      <c r="CI12" s="115"/>
      <c r="CJ12" s="115"/>
      <c r="CK12" s="115"/>
      <c r="CL12" s="115"/>
      <c r="CM12" s="115"/>
      <c r="CN12" s="115"/>
      <c r="CO12" s="115"/>
      <c r="CP12" s="115"/>
      <c r="CQ12" s="115"/>
      <c r="CR12" s="115"/>
      <c r="CS12" s="115"/>
      <c r="CT12" s="115"/>
      <c r="CU12" s="115"/>
      <c r="CV12" s="115"/>
      <c r="CW12" s="115"/>
      <c r="CX12" s="115"/>
      <c r="CY12" s="115"/>
      <c r="CZ12" s="115"/>
      <c r="DA12" s="115"/>
      <c r="DB12" s="115"/>
      <c r="DC12" s="115"/>
      <c r="DD12" s="115"/>
      <c r="DE12" s="115"/>
      <c r="DF12" s="115"/>
      <c r="DG12" s="115"/>
      <c r="DH12" s="115"/>
      <c r="DI12" s="115"/>
      <c r="DJ12" s="115"/>
      <c r="DK12" s="115"/>
      <c r="DL12" s="115"/>
      <c r="DM12" s="115"/>
      <c r="DN12" s="115"/>
      <c r="DO12" s="115"/>
      <c r="DP12" s="115"/>
      <c r="DQ12" s="115"/>
      <c r="DR12" s="115"/>
      <c r="DS12" s="115"/>
      <c r="DT12" s="115"/>
      <c r="DU12" s="115"/>
      <c r="DV12" s="115"/>
      <c r="DW12" s="115"/>
      <c r="DX12" s="115"/>
      <c r="DY12" s="115"/>
      <c r="DZ12" s="115"/>
      <c r="EA12" s="115"/>
      <c r="EB12" s="115"/>
      <c r="EC12" s="115"/>
      <c r="ED12" s="115"/>
      <c r="EE12" s="115"/>
      <c r="EF12" s="115"/>
      <c r="EG12" s="115"/>
      <c r="EH12" s="115"/>
      <c r="EI12" s="115"/>
      <c r="EJ12" s="115"/>
      <c r="EK12" s="115"/>
      <c r="EL12" s="115"/>
      <c r="EM12" s="115"/>
      <c r="EN12" s="115"/>
      <c r="EO12" s="115"/>
      <c r="EP12" s="115"/>
      <c r="EQ12" s="115"/>
      <c r="ER12" s="115"/>
      <c r="ES12" s="115"/>
      <c r="ET12" s="115"/>
      <c r="EU12" s="115"/>
      <c r="EV12" s="115"/>
      <c r="EW12" s="115"/>
      <c r="EX12" s="115"/>
      <c r="EY12" s="115"/>
      <c r="EZ12" s="115"/>
      <c r="FA12" s="115"/>
      <c r="FB12" s="115"/>
      <c r="FC12" s="115"/>
      <c r="FD12" s="115"/>
      <c r="FE12" s="115"/>
      <c r="FF12" s="115"/>
      <c r="FG12" s="115"/>
      <c r="FH12" s="115"/>
      <c r="FI12" s="115"/>
      <c r="FJ12" s="115"/>
      <c r="FK12" s="115"/>
      <c r="FL12" s="115"/>
      <c r="FM12" s="115"/>
      <c r="FN12" s="115"/>
      <c r="FO12" s="115"/>
      <c r="FP12" s="115"/>
      <c r="FQ12" s="115"/>
      <c r="FR12" s="115"/>
      <c r="FS12" s="115"/>
      <c r="FT12" s="115"/>
      <c r="FU12" s="115"/>
      <c r="FV12" s="115"/>
      <c r="FW12" s="115"/>
      <c r="FX12" s="115"/>
      <c r="FY12" s="115"/>
      <c r="FZ12" s="115"/>
      <c r="GA12" s="115"/>
      <c r="GB12" s="115"/>
      <c r="GC12" s="115"/>
      <c r="GD12" s="115"/>
      <c r="GE12" s="115"/>
      <c r="GF12" s="115"/>
      <c r="GG12" s="115"/>
      <c r="GH12" s="115"/>
      <c r="GI12" s="115"/>
      <c r="GJ12" s="115"/>
      <c r="GK12" s="115"/>
      <c r="GL12" s="115"/>
      <c r="GM12" s="115"/>
      <c r="GN12" s="115"/>
      <c r="GO12" s="115"/>
      <c r="GP12" s="115"/>
      <c r="GQ12" s="115"/>
      <c r="GR12" s="115"/>
      <c r="GS12" s="115"/>
      <c r="GT12" s="115"/>
      <c r="GU12" s="115"/>
      <c r="GV12" s="115"/>
      <c r="GW12" s="115"/>
      <c r="GX12" s="115"/>
      <c r="GY12" s="115"/>
      <c r="GZ12" s="115"/>
      <c r="HA12" s="115"/>
      <c r="HB12" s="115"/>
      <c r="HC12" s="115"/>
      <c r="HD12" s="115"/>
      <c r="HE12" s="115"/>
      <c r="HF12" s="115"/>
      <c r="HG12" s="115"/>
      <c r="HH12" s="115"/>
      <c r="HI12" s="115"/>
      <c r="HJ12" s="115"/>
      <c r="HK12" s="115"/>
      <c r="HL12" s="115"/>
      <c r="HM12" s="115"/>
      <c r="HN12" s="115"/>
      <c r="HO12" s="115"/>
      <c r="HP12" s="115"/>
      <c r="HQ12" s="115"/>
      <c r="HR12" s="115"/>
      <c r="HS12" s="115"/>
      <c r="HT12" s="115"/>
      <c r="HU12" s="115"/>
      <c r="HV12" s="115"/>
      <c r="HW12" s="115"/>
      <c r="HX12" s="115"/>
      <c r="HY12" s="115"/>
      <c r="HZ12" s="115"/>
      <c r="IA12" s="115"/>
      <c r="IB12" s="115"/>
      <c r="IC12" s="115"/>
      <c r="ID12" s="115"/>
      <c r="IE12" s="115"/>
      <c r="IF12" s="115"/>
      <c r="IG12" s="115"/>
      <c r="IH12" s="115"/>
      <c r="II12" s="115"/>
      <c r="IJ12" s="115"/>
      <c r="IK12" s="115"/>
      <c r="IL12" s="115"/>
      <c r="IM12" s="115"/>
      <c r="IN12" s="115"/>
    </row>
    <row r="13" spans="1:255" x14ac:dyDescent="0.2">
      <c r="A13" s="119">
        <f t="shared" si="0"/>
        <v>42189</v>
      </c>
      <c r="B13" s="120" t="str">
        <f t="shared" si="1"/>
        <v>sáb</v>
      </c>
      <c r="C13" s="121">
        <f>SUMIF(Table13[DIA],'07.2015'!A13:A42,Table13[QUANTIDADE DE HORAS])</f>
        <v>0</v>
      </c>
      <c r="D13" s="122"/>
      <c r="E13" s="123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15"/>
      <c r="X13" s="115"/>
      <c r="Y13" s="115"/>
      <c r="Z13" s="115"/>
      <c r="AA13" s="115"/>
      <c r="AB13" s="115"/>
      <c r="AC13" s="115"/>
      <c r="AD13" s="115"/>
      <c r="AE13" s="115"/>
      <c r="AF13" s="115"/>
      <c r="AG13" s="115"/>
      <c r="AH13" s="115"/>
      <c r="AI13" s="115"/>
      <c r="AJ13" s="115"/>
      <c r="AK13" s="115"/>
      <c r="AL13" s="115"/>
      <c r="AM13" s="115"/>
      <c r="AN13" s="115"/>
      <c r="AO13" s="115"/>
      <c r="AP13" s="115"/>
      <c r="AQ13" s="115"/>
      <c r="AR13" s="115"/>
      <c r="AS13" s="115"/>
      <c r="AT13" s="115"/>
      <c r="AU13" s="115"/>
      <c r="AV13" s="115"/>
      <c r="AW13" s="115"/>
      <c r="AX13" s="115"/>
      <c r="AY13" s="115"/>
      <c r="AZ13" s="115"/>
      <c r="BA13" s="115"/>
      <c r="BB13" s="115"/>
      <c r="BC13" s="115"/>
      <c r="BD13" s="115"/>
      <c r="BE13" s="115"/>
      <c r="BF13" s="115"/>
      <c r="BG13" s="115"/>
      <c r="BH13" s="115"/>
      <c r="BI13" s="115"/>
      <c r="BJ13" s="115"/>
      <c r="BK13" s="115"/>
      <c r="BL13" s="115"/>
      <c r="BM13" s="115"/>
      <c r="BN13" s="115"/>
      <c r="BO13" s="115"/>
      <c r="BP13" s="115"/>
      <c r="BQ13" s="115"/>
      <c r="BR13" s="115"/>
      <c r="BS13" s="115"/>
      <c r="BT13" s="115"/>
      <c r="BU13" s="115"/>
      <c r="BV13" s="115"/>
      <c r="BW13" s="115"/>
      <c r="BX13" s="115"/>
      <c r="BY13" s="115"/>
      <c r="BZ13" s="115"/>
      <c r="CA13" s="115"/>
      <c r="CB13" s="115"/>
      <c r="CC13" s="115"/>
      <c r="CD13" s="115"/>
      <c r="CE13" s="115"/>
      <c r="CF13" s="115"/>
      <c r="CG13" s="115"/>
      <c r="CH13" s="115"/>
      <c r="CI13" s="115"/>
      <c r="CJ13" s="115"/>
      <c r="CK13" s="115"/>
      <c r="CL13" s="115"/>
      <c r="CM13" s="115"/>
      <c r="CN13" s="115"/>
      <c r="CO13" s="115"/>
      <c r="CP13" s="115"/>
      <c r="CQ13" s="115"/>
      <c r="CR13" s="115"/>
      <c r="CS13" s="115"/>
      <c r="CT13" s="115"/>
      <c r="CU13" s="115"/>
      <c r="CV13" s="115"/>
      <c r="CW13" s="115"/>
      <c r="CX13" s="115"/>
      <c r="CY13" s="115"/>
      <c r="CZ13" s="115"/>
      <c r="DA13" s="115"/>
      <c r="DB13" s="115"/>
      <c r="DC13" s="115"/>
      <c r="DD13" s="115"/>
      <c r="DE13" s="115"/>
      <c r="DF13" s="115"/>
      <c r="DG13" s="115"/>
      <c r="DH13" s="115"/>
      <c r="DI13" s="115"/>
      <c r="DJ13" s="115"/>
      <c r="DK13" s="115"/>
      <c r="DL13" s="115"/>
      <c r="DM13" s="115"/>
      <c r="DN13" s="115"/>
      <c r="DO13" s="115"/>
      <c r="DP13" s="115"/>
      <c r="DQ13" s="115"/>
      <c r="DR13" s="115"/>
      <c r="DS13" s="115"/>
      <c r="DT13" s="115"/>
      <c r="DU13" s="115"/>
      <c r="DV13" s="115"/>
      <c r="DW13" s="115"/>
      <c r="DX13" s="115"/>
      <c r="DY13" s="115"/>
      <c r="DZ13" s="115"/>
      <c r="EA13" s="115"/>
      <c r="EB13" s="115"/>
      <c r="EC13" s="115"/>
      <c r="ED13" s="115"/>
      <c r="EE13" s="115"/>
      <c r="EF13" s="115"/>
      <c r="EG13" s="115"/>
      <c r="EH13" s="115"/>
      <c r="EI13" s="115"/>
      <c r="EJ13" s="115"/>
      <c r="EK13" s="115"/>
      <c r="EL13" s="115"/>
      <c r="EM13" s="115"/>
      <c r="EN13" s="115"/>
      <c r="EO13" s="115"/>
      <c r="EP13" s="115"/>
      <c r="EQ13" s="115"/>
      <c r="ER13" s="115"/>
      <c r="ES13" s="115"/>
      <c r="ET13" s="115"/>
      <c r="EU13" s="115"/>
      <c r="EV13" s="115"/>
      <c r="EW13" s="115"/>
      <c r="EX13" s="115"/>
      <c r="EY13" s="115"/>
      <c r="EZ13" s="115"/>
      <c r="FA13" s="115"/>
      <c r="FB13" s="115"/>
      <c r="FC13" s="115"/>
      <c r="FD13" s="115"/>
      <c r="FE13" s="115"/>
      <c r="FF13" s="115"/>
      <c r="FG13" s="115"/>
      <c r="FH13" s="115"/>
      <c r="FI13" s="115"/>
      <c r="FJ13" s="115"/>
      <c r="FK13" s="115"/>
      <c r="FL13" s="115"/>
      <c r="FM13" s="115"/>
      <c r="FN13" s="115"/>
      <c r="FO13" s="115"/>
      <c r="FP13" s="115"/>
      <c r="FQ13" s="115"/>
      <c r="FR13" s="115"/>
      <c r="FS13" s="115"/>
      <c r="FT13" s="115"/>
      <c r="FU13" s="115"/>
      <c r="FV13" s="115"/>
      <c r="FW13" s="115"/>
      <c r="FX13" s="115"/>
      <c r="FY13" s="115"/>
      <c r="FZ13" s="115"/>
      <c r="GA13" s="115"/>
      <c r="GB13" s="115"/>
      <c r="GC13" s="115"/>
      <c r="GD13" s="115"/>
      <c r="GE13" s="115"/>
      <c r="GF13" s="115"/>
      <c r="GG13" s="115"/>
      <c r="GH13" s="115"/>
      <c r="GI13" s="115"/>
      <c r="GJ13" s="115"/>
      <c r="GK13" s="115"/>
      <c r="GL13" s="115"/>
      <c r="GM13" s="115"/>
      <c r="GN13" s="115"/>
      <c r="GO13" s="115"/>
      <c r="GP13" s="115"/>
      <c r="GQ13" s="115"/>
      <c r="GR13" s="115"/>
      <c r="GS13" s="115"/>
      <c r="GT13" s="115"/>
      <c r="GU13" s="115"/>
      <c r="GV13" s="115"/>
      <c r="GW13" s="115"/>
      <c r="GX13" s="115"/>
      <c r="GY13" s="115"/>
      <c r="GZ13" s="115"/>
      <c r="HA13" s="115"/>
      <c r="HB13" s="115"/>
      <c r="HC13" s="115"/>
      <c r="HD13" s="115"/>
      <c r="HE13" s="115"/>
      <c r="HF13" s="115"/>
      <c r="HG13" s="115"/>
      <c r="HH13" s="115"/>
      <c r="HI13" s="115"/>
      <c r="HJ13" s="115"/>
      <c r="HK13" s="115"/>
      <c r="HL13" s="115"/>
      <c r="HM13" s="115"/>
      <c r="HN13" s="115"/>
      <c r="HO13" s="115"/>
      <c r="HP13" s="115"/>
      <c r="HQ13" s="115"/>
      <c r="HR13" s="115"/>
      <c r="HS13" s="115"/>
      <c r="HT13" s="115"/>
      <c r="HU13" s="115"/>
      <c r="HV13" s="115"/>
      <c r="HW13" s="115"/>
      <c r="HX13" s="115"/>
      <c r="HY13" s="115"/>
      <c r="HZ13" s="115"/>
      <c r="IA13" s="115"/>
      <c r="IB13" s="115"/>
      <c r="IC13" s="115"/>
      <c r="ID13" s="115"/>
      <c r="IE13" s="115"/>
      <c r="IF13" s="115"/>
      <c r="IG13" s="115"/>
      <c r="IH13" s="115"/>
      <c r="II13" s="115"/>
      <c r="IJ13" s="115"/>
      <c r="IK13" s="115"/>
      <c r="IL13" s="115"/>
      <c r="IM13" s="115"/>
      <c r="IN13" s="115"/>
    </row>
    <row r="14" spans="1:255" x14ac:dyDescent="0.2">
      <c r="A14" s="119">
        <f t="shared" si="0"/>
        <v>42190</v>
      </c>
      <c r="B14" s="120" t="str">
        <f t="shared" si="1"/>
        <v>dom</v>
      </c>
      <c r="C14" s="121">
        <f>SUMIF(Table13[DIA],'07.2015'!A14:A43,Table13[QUANTIDADE DE HORAS])</f>
        <v>0</v>
      </c>
      <c r="D14" s="122"/>
      <c r="E14" s="123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  <c r="R14" s="115"/>
      <c r="S14" s="115"/>
      <c r="T14" s="115"/>
      <c r="U14" s="115"/>
      <c r="V14" s="115"/>
      <c r="W14" s="115"/>
      <c r="X14" s="115"/>
      <c r="Y14" s="115"/>
      <c r="Z14" s="115"/>
      <c r="AA14" s="115"/>
      <c r="AB14" s="115"/>
      <c r="AC14" s="115"/>
      <c r="AD14" s="115"/>
      <c r="AE14" s="115"/>
      <c r="AF14" s="115"/>
      <c r="AG14" s="115"/>
      <c r="AH14" s="115"/>
      <c r="AI14" s="115"/>
      <c r="AJ14" s="115"/>
      <c r="AK14" s="115"/>
      <c r="AL14" s="115"/>
      <c r="AM14" s="115"/>
      <c r="AN14" s="115"/>
      <c r="AO14" s="115"/>
      <c r="AP14" s="115"/>
      <c r="AQ14" s="115"/>
      <c r="AR14" s="115"/>
      <c r="AS14" s="115"/>
      <c r="AT14" s="115"/>
      <c r="AU14" s="115"/>
      <c r="AV14" s="115"/>
      <c r="AW14" s="115"/>
      <c r="AX14" s="115"/>
      <c r="AY14" s="115"/>
      <c r="AZ14" s="115"/>
      <c r="BA14" s="115"/>
      <c r="BB14" s="115"/>
      <c r="BC14" s="115"/>
      <c r="BD14" s="115"/>
      <c r="BE14" s="115"/>
      <c r="BF14" s="115"/>
      <c r="BG14" s="115"/>
      <c r="BH14" s="115"/>
      <c r="BI14" s="115"/>
      <c r="BJ14" s="115"/>
      <c r="BK14" s="115"/>
      <c r="BL14" s="115"/>
      <c r="BM14" s="115"/>
      <c r="BN14" s="115"/>
      <c r="BO14" s="115"/>
      <c r="BP14" s="115"/>
      <c r="BQ14" s="115"/>
      <c r="BR14" s="115"/>
      <c r="BS14" s="115"/>
      <c r="BT14" s="115"/>
      <c r="BU14" s="115"/>
      <c r="BV14" s="115"/>
      <c r="BW14" s="115"/>
      <c r="BX14" s="115"/>
      <c r="BY14" s="115"/>
      <c r="BZ14" s="115"/>
      <c r="CA14" s="115"/>
      <c r="CB14" s="115"/>
      <c r="CC14" s="115"/>
      <c r="CD14" s="115"/>
      <c r="CE14" s="115"/>
      <c r="CF14" s="115"/>
      <c r="CG14" s="115"/>
      <c r="CH14" s="115"/>
      <c r="CI14" s="115"/>
      <c r="CJ14" s="115"/>
      <c r="CK14" s="115"/>
      <c r="CL14" s="115"/>
      <c r="CM14" s="115"/>
      <c r="CN14" s="115"/>
      <c r="CO14" s="115"/>
      <c r="CP14" s="115"/>
      <c r="CQ14" s="115"/>
      <c r="CR14" s="115"/>
      <c r="CS14" s="115"/>
      <c r="CT14" s="115"/>
      <c r="CU14" s="115"/>
      <c r="CV14" s="115"/>
      <c r="CW14" s="115"/>
      <c r="CX14" s="115"/>
      <c r="CY14" s="115"/>
      <c r="CZ14" s="115"/>
      <c r="DA14" s="115"/>
      <c r="DB14" s="115"/>
      <c r="DC14" s="115"/>
      <c r="DD14" s="115"/>
      <c r="DE14" s="115"/>
      <c r="DF14" s="115"/>
      <c r="DG14" s="115"/>
      <c r="DH14" s="115"/>
      <c r="DI14" s="115"/>
      <c r="DJ14" s="115"/>
      <c r="DK14" s="115"/>
      <c r="DL14" s="115"/>
      <c r="DM14" s="115"/>
      <c r="DN14" s="115"/>
      <c r="DO14" s="115"/>
      <c r="DP14" s="115"/>
      <c r="DQ14" s="115"/>
      <c r="DR14" s="115"/>
      <c r="DS14" s="115"/>
      <c r="DT14" s="115"/>
      <c r="DU14" s="115"/>
      <c r="DV14" s="115"/>
      <c r="DW14" s="115"/>
      <c r="DX14" s="115"/>
      <c r="DY14" s="115"/>
      <c r="DZ14" s="115"/>
      <c r="EA14" s="115"/>
      <c r="EB14" s="115"/>
      <c r="EC14" s="115"/>
      <c r="ED14" s="115"/>
      <c r="EE14" s="115"/>
      <c r="EF14" s="115"/>
      <c r="EG14" s="115"/>
      <c r="EH14" s="115"/>
      <c r="EI14" s="115"/>
      <c r="EJ14" s="115"/>
      <c r="EK14" s="115"/>
      <c r="EL14" s="115"/>
      <c r="EM14" s="115"/>
      <c r="EN14" s="115"/>
      <c r="EO14" s="115"/>
      <c r="EP14" s="115"/>
      <c r="EQ14" s="115"/>
      <c r="ER14" s="115"/>
      <c r="ES14" s="115"/>
      <c r="ET14" s="115"/>
      <c r="EU14" s="115"/>
      <c r="EV14" s="115"/>
      <c r="EW14" s="115"/>
      <c r="EX14" s="115"/>
      <c r="EY14" s="115"/>
      <c r="EZ14" s="115"/>
      <c r="FA14" s="115"/>
      <c r="FB14" s="115"/>
      <c r="FC14" s="115"/>
      <c r="FD14" s="115"/>
      <c r="FE14" s="115"/>
      <c r="FF14" s="115"/>
      <c r="FG14" s="115"/>
      <c r="FH14" s="115"/>
      <c r="FI14" s="115"/>
      <c r="FJ14" s="115"/>
      <c r="FK14" s="115"/>
      <c r="FL14" s="115"/>
      <c r="FM14" s="115"/>
      <c r="FN14" s="115"/>
      <c r="FO14" s="115"/>
      <c r="FP14" s="115"/>
      <c r="FQ14" s="115"/>
      <c r="FR14" s="115"/>
      <c r="FS14" s="115"/>
      <c r="FT14" s="115"/>
      <c r="FU14" s="115"/>
      <c r="FV14" s="115"/>
      <c r="FW14" s="115"/>
      <c r="FX14" s="115"/>
      <c r="FY14" s="115"/>
      <c r="FZ14" s="115"/>
      <c r="GA14" s="115"/>
      <c r="GB14" s="115"/>
      <c r="GC14" s="115"/>
      <c r="GD14" s="115"/>
      <c r="GE14" s="115"/>
      <c r="GF14" s="115"/>
      <c r="GG14" s="115"/>
      <c r="GH14" s="115"/>
      <c r="GI14" s="115"/>
      <c r="GJ14" s="115"/>
      <c r="GK14" s="115"/>
      <c r="GL14" s="115"/>
      <c r="GM14" s="115"/>
      <c r="GN14" s="115"/>
      <c r="GO14" s="115"/>
      <c r="GP14" s="115"/>
      <c r="GQ14" s="115"/>
      <c r="GR14" s="115"/>
      <c r="GS14" s="115"/>
      <c r="GT14" s="115"/>
      <c r="GU14" s="115"/>
      <c r="GV14" s="115"/>
      <c r="GW14" s="115"/>
      <c r="GX14" s="115"/>
      <c r="GY14" s="115"/>
      <c r="GZ14" s="115"/>
      <c r="HA14" s="115"/>
      <c r="HB14" s="115"/>
      <c r="HC14" s="115"/>
      <c r="HD14" s="115"/>
      <c r="HE14" s="115"/>
      <c r="HF14" s="115"/>
      <c r="HG14" s="115"/>
      <c r="HH14" s="115"/>
      <c r="HI14" s="115"/>
      <c r="HJ14" s="115"/>
      <c r="HK14" s="115"/>
      <c r="HL14" s="115"/>
      <c r="HM14" s="115"/>
      <c r="HN14" s="115"/>
      <c r="HO14" s="115"/>
      <c r="HP14" s="115"/>
      <c r="HQ14" s="115"/>
      <c r="HR14" s="115"/>
      <c r="HS14" s="115"/>
      <c r="HT14" s="115"/>
      <c r="HU14" s="115"/>
      <c r="HV14" s="115"/>
      <c r="HW14" s="115"/>
      <c r="HX14" s="115"/>
      <c r="HY14" s="115"/>
      <c r="HZ14" s="115"/>
      <c r="IA14" s="115"/>
      <c r="IB14" s="115"/>
      <c r="IC14" s="115"/>
      <c r="ID14" s="115"/>
      <c r="IE14" s="115"/>
      <c r="IF14" s="115"/>
      <c r="IG14" s="115"/>
      <c r="IH14" s="115"/>
      <c r="II14" s="115"/>
      <c r="IJ14" s="115"/>
      <c r="IK14" s="115"/>
      <c r="IL14" s="115"/>
      <c r="IM14" s="115"/>
      <c r="IN14" s="115"/>
    </row>
    <row r="15" spans="1:255" x14ac:dyDescent="0.2">
      <c r="A15" s="119">
        <f t="shared" si="0"/>
        <v>42191</v>
      </c>
      <c r="B15" s="120" t="str">
        <f t="shared" si="1"/>
        <v>seg</v>
      </c>
      <c r="C15" s="121">
        <f>SUMIF(Table13[DIA],'07.2015'!A15:A44,Table13[QUANTIDADE DE HORAS])</f>
        <v>8</v>
      </c>
      <c r="D15" s="122"/>
      <c r="E15" s="123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  <c r="AA15" s="115"/>
      <c r="AB15" s="115"/>
      <c r="AC15" s="115"/>
      <c r="AD15" s="115"/>
      <c r="AE15" s="115"/>
      <c r="AF15" s="115"/>
      <c r="AG15" s="115"/>
      <c r="AH15" s="115"/>
      <c r="AI15" s="115"/>
      <c r="AJ15" s="115"/>
      <c r="AK15" s="115"/>
      <c r="AL15" s="115"/>
      <c r="AM15" s="115"/>
      <c r="AN15" s="115"/>
      <c r="AO15" s="115"/>
      <c r="AP15" s="115"/>
      <c r="AQ15" s="115"/>
      <c r="AR15" s="115"/>
      <c r="AS15" s="115"/>
      <c r="AT15" s="115"/>
      <c r="AU15" s="115"/>
      <c r="AV15" s="115"/>
      <c r="AW15" s="115"/>
      <c r="AX15" s="115"/>
      <c r="AY15" s="115"/>
      <c r="AZ15" s="115"/>
      <c r="BA15" s="115"/>
      <c r="BB15" s="115"/>
      <c r="BC15" s="115"/>
      <c r="BD15" s="115"/>
      <c r="BE15" s="115"/>
      <c r="BF15" s="115"/>
      <c r="BG15" s="115"/>
      <c r="BH15" s="115"/>
      <c r="BI15" s="115"/>
      <c r="BJ15" s="115"/>
      <c r="BK15" s="115"/>
      <c r="BL15" s="115"/>
      <c r="BM15" s="115"/>
      <c r="BN15" s="115"/>
      <c r="BO15" s="115"/>
      <c r="BP15" s="115"/>
      <c r="BQ15" s="115"/>
      <c r="BR15" s="115"/>
      <c r="BS15" s="115"/>
      <c r="BT15" s="115"/>
      <c r="BU15" s="115"/>
      <c r="BV15" s="115"/>
      <c r="BW15" s="115"/>
      <c r="BX15" s="115"/>
      <c r="BY15" s="115"/>
      <c r="BZ15" s="115"/>
      <c r="CA15" s="115"/>
      <c r="CB15" s="115"/>
      <c r="CC15" s="115"/>
      <c r="CD15" s="115"/>
      <c r="CE15" s="115"/>
      <c r="CF15" s="115"/>
      <c r="CG15" s="115"/>
      <c r="CH15" s="115"/>
      <c r="CI15" s="115"/>
      <c r="CJ15" s="115"/>
      <c r="CK15" s="115"/>
      <c r="CL15" s="115"/>
      <c r="CM15" s="115"/>
      <c r="CN15" s="115"/>
      <c r="CO15" s="115"/>
      <c r="CP15" s="115"/>
      <c r="CQ15" s="115"/>
      <c r="CR15" s="115"/>
      <c r="CS15" s="115"/>
      <c r="CT15" s="115"/>
      <c r="CU15" s="115"/>
      <c r="CV15" s="115"/>
      <c r="CW15" s="115"/>
      <c r="CX15" s="115"/>
      <c r="CY15" s="115"/>
      <c r="CZ15" s="115"/>
      <c r="DA15" s="115"/>
      <c r="DB15" s="115"/>
      <c r="DC15" s="115"/>
      <c r="DD15" s="115"/>
      <c r="DE15" s="115"/>
      <c r="DF15" s="115"/>
      <c r="DG15" s="115"/>
      <c r="DH15" s="115"/>
      <c r="DI15" s="115"/>
      <c r="DJ15" s="115"/>
      <c r="DK15" s="115"/>
      <c r="DL15" s="115"/>
      <c r="DM15" s="115"/>
      <c r="DN15" s="115"/>
      <c r="DO15" s="115"/>
      <c r="DP15" s="115"/>
      <c r="DQ15" s="115"/>
      <c r="DR15" s="115"/>
      <c r="DS15" s="115"/>
      <c r="DT15" s="115"/>
      <c r="DU15" s="115"/>
      <c r="DV15" s="115"/>
      <c r="DW15" s="115"/>
      <c r="DX15" s="115"/>
      <c r="DY15" s="115"/>
      <c r="DZ15" s="115"/>
      <c r="EA15" s="115"/>
      <c r="EB15" s="115"/>
      <c r="EC15" s="115"/>
      <c r="ED15" s="115"/>
      <c r="EE15" s="115"/>
      <c r="EF15" s="115"/>
      <c r="EG15" s="115"/>
      <c r="EH15" s="115"/>
      <c r="EI15" s="115"/>
      <c r="EJ15" s="115"/>
      <c r="EK15" s="115"/>
      <c r="EL15" s="115"/>
      <c r="EM15" s="115"/>
      <c r="EN15" s="115"/>
      <c r="EO15" s="115"/>
      <c r="EP15" s="115"/>
      <c r="EQ15" s="115"/>
      <c r="ER15" s="115"/>
      <c r="ES15" s="115"/>
      <c r="ET15" s="115"/>
      <c r="EU15" s="115"/>
      <c r="EV15" s="115"/>
      <c r="EW15" s="115"/>
      <c r="EX15" s="115"/>
      <c r="EY15" s="115"/>
      <c r="EZ15" s="115"/>
      <c r="FA15" s="115"/>
      <c r="FB15" s="115"/>
      <c r="FC15" s="115"/>
      <c r="FD15" s="115"/>
      <c r="FE15" s="115"/>
      <c r="FF15" s="115"/>
      <c r="FG15" s="115"/>
      <c r="FH15" s="115"/>
      <c r="FI15" s="115"/>
      <c r="FJ15" s="115"/>
      <c r="FK15" s="115"/>
      <c r="FL15" s="115"/>
      <c r="FM15" s="115"/>
      <c r="FN15" s="115"/>
      <c r="FO15" s="115"/>
      <c r="FP15" s="115"/>
      <c r="FQ15" s="115"/>
      <c r="FR15" s="115"/>
      <c r="FS15" s="115"/>
      <c r="FT15" s="115"/>
      <c r="FU15" s="115"/>
      <c r="FV15" s="115"/>
      <c r="FW15" s="115"/>
      <c r="FX15" s="115"/>
      <c r="FY15" s="115"/>
      <c r="FZ15" s="115"/>
      <c r="GA15" s="115"/>
      <c r="GB15" s="115"/>
      <c r="GC15" s="115"/>
      <c r="GD15" s="115"/>
      <c r="GE15" s="115"/>
      <c r="GF15" s="115"/>
      <c r="GG15" s="115"/>
      <c r="GH15" s="115"/>
      <c r="GI15" s="115"/>
      <c r="GJ15" s="115"/>
      <c r="GK15" s="115"/>
      <c r="GL15" s="115"/>
      <c r="GM15" s="115"/>
      <c r="GN15" s="115"/>
      <c r="GO15" s="115"/>
      <c r="GP15" s="115"/>
      <c r="GQ15" s="115"/>
      <c r="GR15" s="115"/>
      <c r="GS15" s="115"/>
      <c r="GT15" s="115"/>
      <c r="GU15" s="115"/>
      <c r="GV15" s="115"/>
      <c r="GW15" s="115"/>
      <c r="GX15" s="115"/>
      <c r="GY15" s="115"/>
      <c r="GZ15" s="115"/>
      <c r="HA15" s="115"/>
      <c r="HB15" s="115"/>
      <c r="HC15" s="115"/>
      <c r="HD15" s="115"/>
      <c r="HE15" s="115"/>
      <c r="HF15" s="115"/>
      <c r="HG15" s="115"/>
      <c r="HH15" s="115"/>
      <c r="HI15" s="115"/>
      <c r="HJ15" s="115"/>
      <c r="HK15" s="115"/>
      <c r="HL15" s="115"/>
      <c r="HM15" s="115"/>
      <c r="HN15" s="115"/>
      <c r="HO15" s="115"/>
      <c r="HP15" s="115"/>
      <c r="HQ15" s="115"/>
      <c r="HR15" s="115"/>
      <c r="HS15" s="115"/>
      <c r="HT15" s="115"/>
      <c r="HU15" s="115"/>
      <c r="HV15" s="115"/>
      <c r="HW15" s="115"/>
      <c r="HX15" s="115"/>
      <c r="HY15" s="115"/>
      <c r="HZ15" s="115"/>
      <c r="IA15" s="115"/>
      <c r="IB15" s="115"/>
      <c r="IC15" s="115"/>
      <c r="ID15" s="115"/>
      <c r="IE15" s="115"/>
      <c r="IF15" s="115"/>
      <c r="IG15" s="115"/>
      <c r="IH15" s="115"/>
      <c r="II15" s="115"/>
      <c r="IJ15" s="115"/>
      <c r="IK15" s="115"/>
      <c r="IL15" s="115"/>
      <c r="IM15" s="115"/>
      <c r="IN15" s="115"/>
    </row>
    <row r="16" spans="1:255" x14ac:dyDescent="0.2">
      <c r="A16" s="119">
        <f t="shared" si="0"/>
        <v>42192</v>
      </c>
      <c r="B16" s="120" t="str">
        <f t="shared" si="1"/>
        <v>ter</v>
      </c>
      <c r="C16" s="121">
        <f>SUMIF(Table13[DIA],'07.2015'!A16:A45,Table13[QUANTIDADE DE HORAS])</f>
        <v>8</v>
      </c>
      <c r="D16" s="122"/>
      <c r="E16" s="123"/>
      <c r="F16" s="115"/>
      <c r="G16" s="115"/>
      <c r="H16" s="115"/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  <c r="AA16" s="115"/>
      <c r="AB16" s="115"/>
      <c r="AC16" s="115"/>
      <c r="AD16" s="115"/>
      <c r="AE16" s="115"/>
      <c r="AF16" s="115"/>
      <c r="AG16" s="115"/>
      <c r="AH16" s="115"/>
      <c r="AI16" s="115"/>
      <c r="AJ16" s="115"/>
      <c r="AK16" s="115"/>
      <c r="AL16" s="115"/>
      <c r="AM16" s="115"/>
      <c r="AN16" s="115"/>
      <c r="AO16" s="115"/>
      <c r="AP16" s="115"/>
      <c r="AQ16" s="115"/>
      <c r="AR16" s="115"/>
      <c r="AS16" s="115"/>
      <c r="AT16" s="115"/>
      <c r="AU16" s="115"/>
      <c r="AV16" s="115"/>
      <c r="AW16" s="115"/>
      <c r="AX16" s="115"/>
      <c r="AY16" s="115"/>
      <c r="AZ16" s="115"/>
      <c r="BA16" s="115"/>
      <c r="BB16" s="115"/>
      <c r="BC16" s="115"/>
      <c r="BD16" s="115"/>
      <c r="BE16" s="115"/>
      <c r="BF16" s="115"/>
      <c r="BG16" s="115"/>
      <c r="BH16" s="115"/>
      <c r="BI16" s="115"/>
      <c r="BJ16" s="115"/>
      <c r="BK16" s="115"/>
      <c r="BL16" s="115"/>
      <c r="BM16" s="115"/>
      <c r="BN16" s="115"/>
      <c r="BO16" s="115"/>
      <c r="BP16" s="115"/>
      <c r="BQ16" s="115"/>
      <c r="BR16" s="115"/>
      <c r="BS16" s="115"/>
      <c r="BT16" s="115"/>
      <c r="BU16" s="115"/>
      <c r="BV16" s="115"/>
      <c r="BW16" s="115"/>
      <c r="BX16" s="115"/>
      <c r="BY16" s="115"/>
      <c r="BZ16" s="115"/>
      <c r="CA16" s="115"/>
      <c r="CB16" s="115"/>
      <c r="CC16" s="115"/>
      <c r="CD16" s="115"/>
      <c r="CE16" s="115"/>
      <c r="CF16" s="115"/>
      <c r="CG16" s="115"/>
      <c r="CH16" s="115"/>
      <c r="CI16" s="115"/>
      <c r="CJ16" s="115"/>
      <c r="CK16" s="115"/>
      <c r="CL16" s="115"/>
      <c r="CM16" s="115"/>
      <c r="CN16" s="115"/>
      <c r="CO16" s="115"/>
      <c r="CP16" s="115"/>
      <c r="CQ16" s="115"/>
      <c r="CR16" s="115"/>
      <c r="CS16" s="115"/>
      <c r="CT16" s="115"/>
      <c r="CU16" s="115"/>
      <c r="CV16" s="115"/>
      <c r="CW16" s="115"/>
      <c r="CX16" s="115"/>
      <c r="CY16" s="115"/>
      <c r="CZ16" s="115"/>
      <c r="DA16" s="115"/>
      <c r="DB16" s="115"/>
      <c r="DC16" s="115"/>
      <c r="DD16" s="115"/>
      <c r="DE16" s="115"/>
      <c r="DF16" s="115"/>
      <c r="DG16" s="115"/>
      <c r="DH16" s="115"/>
      <c r="DI16" s="115"/>
      <c r="DJ16" s="115"/>
      <c r="DK16" s="115"/>
      <c r="DL16" s="115"/>
      <c r="DM16" s="115"/>
      <c r="DN16" s="115"/>
      <c r="DO16" s="115"/>
      <c r="DP16" s="115"/>
      <c r="DQ16" s="115"/>
      <c r="DR16" s="115"/>
      <c r="DS16" s="115"/>
      <c r="DT16" s="115"/>
      <c r="DU16" s="115"/>
      <c r="DV16" s="115"/>
      <c r="DW16" s="115"/>
      <c r="DX16" s="115"/>
      <c r="DY16" s="115"/>
      <c r="DZ16" s="115"/>
      <c r="EA16" s="115"/>
      <c r="EB16" s="115"/>
      <c r="EC16" s="115"/>
      <c r="ED16" s="115"/>
      <c r="EE16" s="115"/>
      <c r="EF16" s="115"/>
      <c r="EG16" s="115"/>
      <c r="EH16" s="115"/>
      <c r="EI16" s="115"/>
      <c r="EJ16" s="115"/>
      <c r="EK16" s="115"/>
      <c r="EL16" s="115"/>
      <c r="EM16" s="115"/>
      <c r="EN16" s="115"/>
      <c r="EO16" s="115"/>
      <c r="EP16" s="115"/>
      <c r="EQ16" s="115"/>
      <c r="ER16" s="115"/>
      <c r="ES16" s="115"/>
      <c r="ET16" s="115"/>
      <c r="EU16" s="115"/>
      <c r="EV16" s="115"/>
      <c r="EW16" s="115"/>
      <c r="EX16" s="115"/>
      <c r="EY16" s="115"/>
      <c r="EZ16" s="115"/>
      <c r="FA16" s="115"/>
      <c r="FB16" s="115"/>
      <c r="FC16" s="115"/>
      <c r="FD16" s="115"/>
      <c r="FE16" s="115"/>
      <c r="FF16" s="115"/>
      <c r="FG16" s="115"/>
      <c r="FH16" s="115"/>
      <c r="FI16" s="115"/>
      <c r="FJ16" s="115"/>
      <c r="FK16" s="115"/>
      <c r="FL16" s="115"/>
      <c r="FM16" s="115"/>
      <c r="FN16" s="115"/>
      <c r="FO16" s="115"/>
      <c r="FP16" s="115"/>
      <c r="FQ16" s="115"/>
      <c r="FR16" s="115"/>
      <c r="FS16" s="115"/>
      <c r="FT16" s="115"/>
      <c r="FU16" s="115"/>
      <c r="FV16" s="115"/>
      <c r="FW16" s="115"/>
      <c r="FX16" s="115"/>
      <c r="FY16" s="115"/>
      <c r="FZ16" s="115"/>
      <c r="GA16" s="115"/>
      <c r="GB16" s="115"/>
      <c r="GC16" s="115"/>
      <c r="GD16" s="115"/>
      <c r="GE16" s="115"/>
      <c r="GF16" s="115"/>
      <c r="GG16" s="115"/>
      <c r="GH16" s="115"/>
      <c r="GI16" s="115"/>
      <c r="GJ16" s="115"/>
      <c r="GK16" s="115"/>
      <c r="GL16" s="115"/>
      <c r="GM16" s="115"/>
      <c r="GN16" s="115"/>
      <c r="GO16" s="115"/>
      <c r="GP16" s="115"/>
      <c r="GQ16" s="115"/>
      <c r="GR16" s="115"/>
      <c r="GS16" s="115"/>
      <c r="GT16" s="115"/>
      <c r="GU16" s="115"/>
      <c r="GV16" s="115"/>
      <c r="GW16" s="115"/>
      <c r="GX16" s="115"/>
      <c r="GY16" s="115"/>
      <c r="GZ16" s="115"/>
      <c r="HA16" s="115"/>
      <c r="HB16" s="115"/>
      <c r="HC16" s="115"/>
      <c r="HD16" s="115"/>
      <c r="HE16" s="115"/>
      <c r="HF16" s="115"/>
      <c r="HG16" s="115"/>
      <c r="HH16" s="115"/>
      <c r="HI16" s="115"/>
      <c r="HJ16" s="115"/>
      <c r="HK16" s="115"/>
      <c r="HL16" s="115"/>
      <c r="HM16" s="115"/>
      <c r="HN16" s="115"/>
      <c r="HO16" s="115"/>
      <c r="HP16" s="115"/>
      <c r="HQ16" s="115"/>
      <c r="HR16" s="115"/>
      <c r="HS16" s="115"/>
      <c r="HT16" s="115"/>
      <c r="HU16" s="115"/>
      <c r="HV16" s="115"/>
      <c r="HW16" s="115"/>
      <c r="HX16" s="115"/>
      <c r="HY16" s="115"/>
      <c r="HZ16" s="115"/>
      <c r="IA16" s="115"/>
      <c r="IB16" s="115"/>
      <c r="IC16" s="115"/>
      <c r="ID16" s="115"/>
      <c r="IE16" s="115"/>
      <c r="IF16" s="115"/>
      <c r="IG16" s="115"/>
      <c r="IH16" s="115"/>
      <c r="II16" s="115"/>
      <c r="IJ16" s="115"/>
      <c r="IK16" s="115"/>
      <c r="IL16" s="115"/>
      <c r="IM16" s="115"/>
      <c r="IN16" s="115"/>
    </row>
    <row r="17" spans="1:248" x14ac:dyDescent="0.2">
      <c r="A17" s="119">
        <f t="shared" si="0"/>
        <v>42193</v>
      </c>
      <c r="B17" s="120" t="str">
        <f t="shared" si="1"/>
        <v>qua</v>
      </c>
      <c r="C17" s="121">
        <f>SUMIF(Table13[DIA],'07.2015'!A17:A46,Table13[QUANTIDADE DE HORAS])</f>
        <v>10</v>
      </c>
      <c r="D17" s="122"/>
      <c r="E17" s="123"/>
      <c r="F17" s="115"/>
      <c r="G17" s="115"/>
      <c r="H17" s="115"/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  <c r="AA17" s="115"/>
      <c r="AB17" s="115"/>
      <c r="AC17" s="115"/>
      <c r="AD17" s="115"/>
      <c r="AE17" s="115"/>
      <c r="AF17" s="115"/>
      <c r="AG17" s="115"/>
      <c r="AH17" s="115"/>
      <c r="AI17" s="115"/>
      <c r="AJ17" s="115"/>
      <c r="AK17" s="115"/>
      <c r="AL17" s="115"/>
      <c r="AM17" s="115"/>
      <c r="AN17" s="115"/>
      <c r="AO17" s="115"/>
      <c r="AP17" s="115"/>
      <c r="AQ17" s="115"/>
      <c r="AR17" s="115"/>
      <c r="AS17" s="115"/>
      <c r="AT17" s="115"/>
      <c r="AU17" s="115"/>
      <c r="AV17" s="115"/>
      <c r="AW17" s="115"/>
      <c r="AX17" s="115"/>
      <c r="AY17" s="115"/>
      <c r="AZ17" s="115"/>
      <c r="BA17" s="115"/>
      <c r="BB17" s="115"/>
      <c r="BC17" s="115"/>
      <c r="BD17" s="115"/>
      <c r="BE17" s="115"/>
      <c r="BF17" s="115"/>
      <c r="BG17" s="115"/>
      <c r="BH17" s="115"/>
      <c r="BI17" s="115"/>
      <c r="BJ17" s="115"/>
      <c r="BK17" s="115"/>
      <c r="BL17" s="115"/>
      <c r="BM17" s="115"/>
      <c r="BN17" s="115"/>
      <c r="BO17" s="115"/>
      <c r="BP17" s="115"/>
      <c r="BQ17" s="115"/>
      <c r="BR17" s="115"/>
      <c r="BS17" s="115"/>
      <c r="BT17" s="115"/>
      <c r="BU17" s="115"/>
      <c r="BV17" s="115"/>
      <c r="BW17" s="115"/>
      <c r="BX17" s="115"/>
      <c r="BY17" s="115"/>
      <c r="BZ17" s="115"/>
      <c r="CA17" s="115"/>
      <c r="CB17" s="115"/>
      <c r="CC17" s="115"/>
      <c r="CD17" s="115"/>
      <c r="CE17" s="115"/>
      <c r="CF17" s="115"/>
      <c r="CG17" s="115"/>
      <c r="CH17" s="115"/>
      <c r="CI17" s="115"/>
      <c r="CJ17" s="115"/>
      <c r="CK17" s="115"/>
      <c r="CL17" s="115"/>
      <c r="CM17" s="115"/>
      <c r="CN17" s="115"/>
      <c r="CO17" s="115"/>
      <c r="CP17" s="115"/>
      <c r="CQ17" s="115"/>
      <c r="CR17" s="115"/>
      <c r="CS17" s="115"/>
      <c r="CT17" s="115"/>
      <c r="CU17" s="115"/>
      <c r="CV17" s="115"/>
      <c r="CW17" s="115"/>
      <c r="CX17" s="115"/>
      <c r="CY17" s="115"/>
      <c r="CZ17" s="115"/>
      <c r="DA17" s="115"/>
      <c r="DB17" s="115"/>
      <c r="DC17" s="115"/>
      <c r="DD17" s="115"/>
      <c r="DE17" s="115"/>
      <c r="DF17" s="115"/>
      <c r="DG17" s="115"/>
      <c r="DH17" s="115"/>
      <c r="DI17" s="115"/>
      <c r="DJ17" s="115"/>
      <c r="DK17" s="115"/>
      <c r="DL17" s="115"/>
      <c r="DM17" s="115"/>
      <c r="DN17" s="115"/>
      <c r="DO17" s="115"/>
      <c r="DP17" s="115"/>
      <c r="DQ17" s="115"/>
      <c r="DR17" s="115"/>
      <c r="DS17" s="115"/>
      <c r="DT17" s="115"/>
      <c r="DU17" s="115"/>
      <c r="DV17" s="115"/>
      <c r="DW17" s="115"/>
      <c r="DX17" s="115"/>
      <c r="DY17" s="115"/>
      <c r="DZ17" s="115"/>
      <c r="EA17" s="115"/>
      <c r="EB17" s="115"/>
      <c r="EC17" s="115"/>
      <c r="ED17" s="115"/>
      <c r="EE17" s="115"/>
      <c r="EF17" s="115"/>
      <c r="EG17" s="115"/>
      <c r="EH17" s="115"/>
      <c r="EI17" s="115"/>
      <c r="EJ17" s="115"/>
      <c r="EK17" s="115"/>
      <c r="EL17" s="115"/>
      <c r="EM17" s="115"/>
      <c r="EN17" s="115"/>
      <c r="EO17" s="115"/>
      <c r="EP17" s="115"/>
      <c r="EQ17" s="115"/>
      <c r="ER17" s="115"/>
      <c r="ES17" s="115"/>
      <c r="ET17" s="115"/>
      <c r="EU17" s="115"/>
      <c r="EV17" s="115"/>
      <c r="EW17" s="115"/>
      <c r="EX17" s="115"/>
      <c r="EY17" s="115"/>
      <c r="EZ17" s="115"/>
      <c r="FA17" s="115"/>
      <c r="FB17" s="115"/>
      <c r="FC17" s="115"/>
      <c r="FD17" s="115"/>
      <c r="FE17" s="115"/>
      <c r="FF17" s="115"/>
      <c r="FG17" s="115"/>
      <c r="FH17" s="115"/>
      <c r="FI17" s="115"/>
      <c r="FJ17" s="115"/>
      <c r="FK17" s="115"/>
      <c r="FL17" s="115"/>
      <c r="FM17" s="115"/>
      <c r="FN17" s="115"/>
      <c r="FO17" s="115"/>
      <c r="FP17" s="115"/>
      <c r="FQ17" s="115"/>
      <c r="FR17" s="115"/>
      <c r="FS17" s="115"/>
      <c r="FT17" s="115"/>
      <c r="FU17" s="115"/>
      <c r="FV17" s="115"/>
      <c r="FW17" s="115"/>
      <c r="FX17" s="115"/>
      <c r="FY17" s="115"/>
      <c r="FZ17" s="115"/>
      <c r="GA17" s="115"/>
      <c r="GB17" s="115"/>
      <c r="GC17" s="115"/>
      <c r="GD17" s="115"/>
      <c r="GE17" s="115"/>
      <c r="GF17" s="115"/>
      <c r="GG17" s="115"/>
      <c r="GH17" s="115"/>
      <c r="GI17" s="115"/>
      <c r="GJ17" s="115"/>
      <c r="GK17" s="115"/>
      <c r="GL17" s="115"/>
      <c r="GM17" s="115"/>
      <c r="GN17" s="115"/>
      <c r="GO17" s="115"/>
      <c r="GP17" s="115"/>
      <c r="GQ17" s="115"/>
      <c r="GR17" s="115"/>
      <c r="GS17" s="115"/>
      <c r="GT17" s="115"/>
      <c r="GU17" s="115"/>
      <c r="GV17" s="115"/>
      <c r="GW17" s="115"/>
      <c r="GX17" s="115"/>
      <c r="GY17" s="115"/>
      <c r="GZ17" s="115"/>
      <c r="HA17" s="115"/>
      <c r="HB17" s="115"/>
      <c r="HC17" s="115"/>
      <c r="HD17" s="115"/>
      <c r="HE17" s="115"/>
      <c r="HF17" s="115"/>
      <c r="HG17" s="115"/>
      <c r="HH17" s="115"/>
      <c r="HI17" s="115"/>
      <c r="HJ17" s="115"/>
      <c r="HK17" s="115"/>
      <c r="HL17" s="115"/>
      <c r="HM17" s="115"/>
      <c r="HN17" s="115"/>
      <c r="HO17" s="115"/>
      <c r="HP17" s="115"/>
      <c r="HQ17" s="115"/>
      <c r="HR17" s="115"/>
      <c r="HS17" s="115"/>
      <c r="HT17" s="115"/>
      <c r="HU17" s="115"/>
      <c r="HV17" s="115"/>
      <c r="HW17" s="115"/>
      <c r="HX17" s="115"/>
      <c r="HY17" s="115"/>
      <c r="HZ17" s="115"/>
      <c r="IA17" s="115"/>
      <c r="IB17" s="115"/>
      <c r="IC17" s="115"/>
      <c r="ID17" s="115"/>
      <c r="IE17" s="115"/>
      <c r="IF17" s="115"/>
      <c r="IG17" s="115"/>
      <c r="IH17" s="115"/>
      <c r="II17" s="115"/>
      <c r="IJ17" s="115"/>
      <c r="IK17" s="115"/>
      <c r="IL17" s="115"/>
      <c r="IM17" s="115"/>
      <c r="IN17" s="115"/>
    </row>
    <row r="18" spans="1:248" x14ac:dyDescent="0.2">
      <c r="A18" s="119">
        <f t="shared" si="0"/>
        <v>42194</v>
      </c>
      <c r="B18" s="120" t="str">
        <f t="shared" si="1"/>
        <v>qui</v>
      </c>
      <c r="C18" s="121">
        <f>SUMIF(Table13[DIA],'07.2015'!A18:A47,Table13[QUANTIDADE DE HORAS])</f>
        <v>9</v>
      </c>
      <c r="D18" s="122"/>
      <c r="E18" s="123"/>
      <c r="F18" s="115"/>
      <c r="G18" s="115"/>
      <c r="H18" s="115"/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  <c r="AA18" s="115"/>
      <c r="AB18" s="115"/>
      <c r="AC18" s="115"/>
      <c r="AD18" s="115"/>
      <c r="AE18" s="115"/>
      <c r="AF18" s="115"/>
      <c r="AG18" s="115"/>
      <c r="AH18" s="115"/>
      <c r="AI18" s="115"/>
      <c r="AJ18" s="115"/>
      <c r="AK18" s="115"/>
      <c r="AL18" s="115"/>
      <c r="AM18" s="115"/>
      <c r="AN18" s="115"/>
      <c r="AO18" s="115"/>
      <c r="AP18" s="115"/>
      <c r="AQ18" s="115"/>
      <c r="AR18" s="115"/>
      <c r="AS18" s="115"/>
      <c r="AT18" s="115"/>
      <c r="AU18" s="115"/>
      <c r="AV18" s="115"/>
      <c r="AW18" s="115"/>
      <c r="AX18" s="115"/>
      <c r="AY18" s="115"/>
      <c r="AZ18" s="115"/>
      <c r="BA18" s="115"/>
      <c r="BB18" s="115"/>
      <c r="BC18" s="115"/>
      <c r="BD18" s="115"/>
      <c r="BE18" s="115"/>
      <c r="BF18" s="115"/>
      <c r="BG18" s="115"/>
      <c r="BH18" s="115"/>
      <c r="BI18" s="115"/>
      <c r="BJ18" s="115"/>
      <c r="BK18" s="115"/>
      <c r="BL18" s="115"/>
      <c r="BM18" s="115"/>
      <c r="BN18" s="115"/>
      <c r="BO18" s="115"/>
      <c r="BP18" s="115"/>
      <c r="BQ18" s="115"/>
      <c r="BR18" s="115"/>
      <c r="BS18" s="115"/>
      <c r="BT18" s="115"/>
      <c r="BU18" s="115"/>
      <c r="BV18" s="115"/>
      <c r="BW18" s="115"/>
      <c r="BX18" s="115"/>
      <c r="BY18" s="115"/>
      <c r="BZ18" s="115"/>
      <c r="CA18" s="115"/>
      <c r="CB18" s="115"/>
      <c r="CC18" s="115"/>
      <c r="CD18" s="115"/>
      <c r="CE18" s="115"/>
      <c r="CF18" s="115"/>
      <c r="CG18" s="115"/>
      <c r="CH18" s="115"/>
      <c r="CI18" s="115"/>
      <c r="CJ18" s="115"/>
      <c r="CK18" s="115"/>
      <c r="CL18" s="115"/>
      <c r="CM18" s="115"/>
      <c r="CN18" s="115"/>
      <c r="CO18" s="115"/>
      <c r="CP18" s="115"/>
      <c r="CQ18" s="115"/>
      <c r="CR18" s="115"/>
      <c r="CS18" s="115"/>
      <c r="CT18" s="115"/>
      <c r="CU18" s="115"/>
      <c r="CV18" s="115"/>
      <c r="CW18" s="115"/>
      <c r="CX18" s="115"/>
      <c r="CY18" s="115"/>
      <c r="CZ18" s="115"/>
      <c r="DA18" s="115"/>
      <c r="DB18" s="115"/>
      <c r="DC18" s="115"/>
      <c r="DD18" s="115"/>
      <c r="DE18" s="115"/>
      <c r="DF18" s="115"/>
      <c r="DG18" s="115"/>
      <c r="DH18" s="115"/>
      <c r="DI18" s="115"/>
      <c r="DJ18" s="115"/>
      <c r="DK18" s="115"/>
      <c r="DL18" s="115"/>
      <c r="DM18" s="115"/>
      <c r="DN18" s="115"/>
      <c r="DO18" s="115"/>
      <c r="DP18" s="115"/>
      <c r="DQ18" s="115"/>
      <c r="DR18" s="115"/>
      <c r="DS18" s="115"/>
      <c r="DT18" s="115"/>
      <c r="DU18" s="115"/>
      <c r="DV18" s="115"/>
      <c r="DW18" s="115"/>
      <c r="DX18" s="115"/>
      <c r="DY18" s="115"/>
      <c r="DZ18" s="115"/>
      <c r="EA18" s="115"/>
      <c r="EB18" s="115"/>
      <c r="EC18" s="115"/>
      <c r="ED18" s="115"/>
      <c r="EE18" s="115"/>
      <c r="EF18" s="115"/>
      <c r="EG18" s="115"/>
      <c r="EH18" s="115"/>
      <c r="EI18" s="115"/>
      <c r="EJ18" s="115"/>
      <c r="EK18" s="115"/>
      <c r="EL18" s="115"/>
      <c r="EM18" s="115"/>
      <c r="EN18" s="115"/>
      <c r="EO18" s="115"/>
      <c r="EP18" s="115"/>
      <c r="EQ18" s="115"/>
      <c r="ER18" s="115"/>
      <c r="ES18" s="115"/>
      <c r="ET18" s="115"/>
      <c r="EU18" s="115"/>
      <c r="EV18" s="115"/>
      <c r="EW18" s="115"/>
      <c r="EX18" s="115"/>
      <c r="EY18" s="115"/>
      <c r="EZ18" s="115"/>
      <c r="FA18" s="115"/>
      <c r="FB18" s="115"/>
      <c r="FC18" s="115"/>
      <c r="FD18" s="115"/>
      <c r="FE18" s="115"/>
      <c r="FF18" s="115"/>
      <c r="FG18" s="115"/>
      <c r="FH18" s="115"/>
      <c r="FI18" s="115"/>
      <c r="FJ18" s="115"/>
      <c r="FK18" s="115"/>
      <c r="FL18" s="115"/>
      <c r="FM18" s="115"/>
      <c r="FN18" s="115"/>
      <c r="FO18" s="115"/>
      <c r="FP18" s="115"/>
      <c r="FQ18" s="115"/>
      <c r="FR18" s="115"/>
      <c r="FS18" s="115"/>
      <c r="FT18" s="115"/>
      <c r="FU18" s="115"/>
      <c r="FV18" s="115"/>
      <c r="FW18" s="115"/>
      <c r="FX18" s="115"/>
      <c r="FY18" s="115"/>
      <c r="FZ18" s="115"/>
      <c r="GA18" s="115"/>
      <c r="GB18" s="115"/>
      <c r="GC18" s="115"/>
      <c r="GD18" s="115"/>
      <c r="GE18" s="115"/>
      <c r="GF18" s="115"/>
      <c r="GG18" s="115"/>
      <c r="GH18" s="115"/>
      <c r="GI18" s="115"/>
      <c r="GJ18" s="115"/>
      <c r="GK18" s="115"/>
      <c r="GL18" s="115"/>
      <c r="GM18" s="115"/>
      <c r="GN18" s="115"/>
      <c r="GO18" s="115"/>
      <c r="GP18" s="115"/>
      <c r="GQ18" s="115"/>
      <c r="GR18" s="115"/>
      <c r="GS18" s="115"/>
      <c r="GT18" s="115"/>
      <c r="GU18" s="115"/>
      <c r="GV18" s="115"/>
      <c r="GW18" s="115"/>
      <c r="GX18" s="115"/>
      <c r="GY18" s="115"/>
      <c r="GZ18" s="115"/>
      <c r="HA18" s="115"/>
      <c r="HB18" s="115"/>
      <c r="HC18" s="115"/>
      <c r="HD18" s="115"/>
      <c r="HE18" s="115"/>
      <c r="HF18" s="115"/>
      <c r="HG18" s="115"/>
      <c r="HH18" s="115"/>
      <c r="HI18" s="115"/>
      <c r="HJ18" s="115"/>
      <c r="HK18" s="115"/>
      <c r="HL18" s="115"/>
      <c r="HM18" s="115"/>
      <c r="HN18" s="115"/>
      <c r="HO18" s="115"/>
      <c r="HP18" s="115"/>
      <c r="HQ18" s="115"/>
      <c r="HR18" s="115"/>
      <c r="HS18" s="115"/>
      <c r="HT18" s="115"/>
      <c r="HU18" s="115"/>
      <c r="HV18" s="115"/>
      <c r="HW18" s="115"/>
      <c r="HX18" s="115"/>
      <c r="HY18" s="115"/>
      <c r="HZ18" s="115"/>
      <c r="IA18" s="115"/>
      <c r="IB18" s="115"/>
      <c r="IC18" s="115"/>
      <c r="ID18" s="115"/>
      <c r="IE18" s="115"/>
      <c r="IF18" s="115"/>
      <c r="IG18" s="115"/>
      <c r="IH18" s="115"/>
      <c r="II18" s="115"/>
      <c r="IJ18" s="115"/>
      <c r="IK18" s="115"/>
      <c r="IL18" s="115"/>
      <c r="IM18" s="115"/>
      <c r="IN18" s="115"/>
    </row>
    <row r="19" spans="1:248" x14ac:dyDescent="0.2">
      <c r="A19" s="119">
        <f t="shared" si="0"/>
        <v>42195</v>
      </c>
      <c r="B19" s="120" t="str">
        <f t="shared" si="1"/>
        <v>sex</v>
      </c>
      <c r="C19" s="121">
        <f>SUMIF(Table13[DIA],'07.2015'!A19:A48,Table13[QUANTIDADE DE HORAS])</f>
        <v>9</v>
      </c>
      <c r="D19" s="122"/>
      <c r="E19" s="123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115"/>
      <c r="AG19" s="115"/>
      <c r="AH19" s="115"/>
      <c r="AI19" s="115"/>
      <c r="AJ19" s="115"/>
      <c r="AK19" s="115"/>
      <c r="AL19" s="115"/>
      <c r="AM19" s="115"/>
      <c r="AN19" s="115"/>
      <c r="AO19" s="115"/>
      <c r="AP19" s="115"/>
      <c r="AQ19" s="115"/>
      <c r="AR19" s="115"/>
      <c r="AS19" s="115"/>
      <c r="AT19" s="115"/>
      <c r="AU19" s="115"/>
      <c r="AV19" s="115"/>
      <c r="AW19" s="115"/>
      <c r="AX19" s="115"/>
      <c r="AY19" s="115"/>
      <c r="AZ19" s="115"/>
      <c r="BA19" s="115"/>
      <c r="BB19" s="115"/>
      <c r="BC19" s="115"/>
      <c r="BD19" s="115"/>
      <c r="BE19" s="115"/>
      <c r="BF19" s="115"/>
      <c r="BG19" s="115"/>
      <c r="BH19" s="115"/>
      <c r="BI19" s="115"/>
      <c r="BJ19" s="115"/>
      <c r="BK19" s="115"/>
      <c r="BL19" s="115"/>
      <c r="BM19" s="115"/>
      <c r="BN19" s="115"/>
      <c r="BO19" s="115"/>
      <c r="BP19" s="115"/>
      <c r="BQ19" s="115"/>
      <c r="BR19" s="115"/>
      <c r="BS19" s="115"/>
      <c r="BT19" s="115"/>
      <c r="BU19" s="115"/>
      <c r="BV19" s="115"/>
      <c r="BW19" s="115"/>
      <c r="BX19" s="115"/>
      <c r="BY19" s="115"/>
      <c r="BZ19" s="115"/>
      <c r="CA19" s="115"/>
      <c r="CB19" s="115"/>
      <c r="CC19" s="115"/>
      <c r="CD19" s="115"/>
      <c r="CE19" s="115"/>
      <c r="CF19" s="115"/>
      <c r="CG19" s="115"/>
      <c r="CH19" s="115"/>
      <c r="CI19" s="115"/>
      <c r="CJ19" s="115"/>
      <c r="CK19" s="115"/>
      <c r="CL19" s="115"/>
      <c r="CM19" s="115"/>
      <c r="CN19" s="115"/>
      <c r="CO19" s="115"/>
      <c r="CP19" s="115"/>
      <c r="CQ19" s="115"/>
      <c r="CR19" s="115"/>
      <c r="CS19" s="115"/>
      <c r="CT19" s="115"/>
      <c r="CU19" s="115"/>
      <c r="CV19" s="115"/>
      <c r="CW19" s="115"/>
      <c r="CX19" s="115"/>
      <c r="CY19" s="115"/>
      <c r="CZ19" s="115"/>
      <c r="DA19" s="115"/>
      <c r="DB19" s="115"/>
      <c r="DC19" s="115"/>
      <c r="DD19" s="115"/>
      <c r="DE19" s="115"/>
      <c r="DF19" s="115"/>
      <c r="DG19" s="115"/>
      <c r="DH19" s="115"/>
      <c r="DI19" s="115"/>
      <c r="DJ19" s="115"/>
      <c r="DK19" s="115"/>
      <c r="DL19" s="115"/>
      <c r="DM19" s="115"/>
      <c r="DN19" s="115"/>
      <c r="DO19" s="115"/>
      <c r="DP19" s="115"/>
      <c r="DQ19" s="115"/>
      <c r="DR19" s="115"/>
      <c r="DS19" s="115"/>
      <c r="DT19" s="115"/>
      <c r="DU19" s="115"/>
      <c r="DV19" s="115"/>
      <c r="DW19" s="115"/>
      <c r="DX19" s="115"/>
      <c r="DY19" s="115"/>
      <c r="DZ19" s="115"/>
      <c r="EA19" s="115"/>
      <c r="EB19" s="115"/>
      <c r="EC19" s="115"/>
      <c r="ED19" s="115"/>
      <c r="EE19" s="115"/>
      <c r="EF19" s="115"/>
      <c r="EG19" s="115"/>
      <c r="EH19" s="115"/>
      <c r="EI19" s="115"/>
      <c r="EJ19" s="115"/>
      <c r="EK19" s="115"/>
      <c r="EL19" s="115"/>
      <c r="EM19" s="115"/>
      <c r="EN19" s="115"/>
      <c r="EO19" s="115"/>
      <c r="EP19" s="115"/>
      <c r="EQ19" s="115"/>
      <c r="ER19" s="115"/>
      <c r="ES19" s="115"/>
      <c r="ET19" s="115"/>
      <c r="EU19" s="115"/>
      <c r="EV19" s="115"/>
      <c r="EW19" s="115"/>
      <c r="EX19" s="115"/>
      <c r="EY19" s="115"/>
      <c r="EZ19" s="115"/>
      <c r="FA19" s="115"/>
      <c r="FB19" s="115"/>
      <c r="FC19" s="115"/>
      <c r="FD19" s="115"/>
      <c r="FE19" s="115"/>
      <c r="FF19" s="115"/>
      <c r="FG19" s="115"/>
      <c r="FH19" s="115"/>
      <c r="FI19" s="115"/>
      <c r="FJ19" s="115"/>
      <c r="FK19" s="115"/>
      <c r="FL19" s="115"/>
      <c r="FM19" s="115"/>
      <c r="FN19" s="115"/>
      <c r="FO19" s="115"/>
      <c r="FP19" s="115"/>
      <c r="FQ19" s="115"/>
      <c r="FR19" s="115"/>
      <c r="FS19" s="115"/>
      <c r="FT19" s="115"/>
      <c r="FU19" s="115"/>
      <c r="FV19" s="115"/>
      <c r="FW19" s="115"/>
      <c r="FX19" s="115"/>
      <c r="FY19" s="115"/>
      <c r="FZ19" s="115"/>
      <c r="GA19" s="115"/>
      <c r="GB19" s="115"/>
      <c r="GC19" s="115"/>
      <c r="GD19" s="115"/>
      <c r="GE19" s="115"/>
      <c r="GF19" s="115"/>
      <c r="GG19" s="115"/>
      <c r="GH19" s="115"/>
      <c r="GI19" s="115"/>
      <c r="GJ19" s="115"/>
      <c r="GK19" s="115"/>
      <c r="GL19" s="115"/>
      <c r="GM19" s="115"/>
      <c r="GN19" s="115"/>
      <c r="GO19" s="115"/>
      <c r="GP19" s="115"/>
      <c r="GQ19" s="115"/>
      <c r="GR19" s="115"/>
      <c r="GS19" s="115"/>
      <c r="GT19" s="115"/>
      <c r="GU19" s="115"/>
      <c r="GV19" s="115"/>
      <c r="GW19" s="115"/>
      <c r="GX19" s="115"/>
      <c r="GY19" s="115"/>
      <c r="GZ19" s="115"/>
      <c r="HA19" s="115"/>
      <c r="HB19" s="115"/>
      <c r="HC19" s="115"/>
      <c r="HD19" s="115"/>
      <c r="HE19" s="115"/>
      <c r="HF19" s="115"/>
      <c r="HG19" s="115"/>
      <c r="HH19" s="115"/>
      <c r="HI19" s="115"/>
      <c r="HJ19" s="115"/>
      <c r="HK19" s="115"/>
      <c r="HL19" s="115"/>
      <c r="HM19" s="115"/>
      <c r="HN19" s="115"/>
      <c r="HO19" s="115"/>
      <c r="HP19" s="115"/>
      <c r="HQ19" s="115"/>
      <c r="HR19" s="115"/>
      <c r="HS19" s="115"/>
      <c r="HT19" s="115"/>
      <c r="HU19" s="115"/>
      <c r="HV19" s="115"/>
      <c r="HW19" s="115"/>
      <c r="HX19" s="115"/>
      <c r="HY19" s="115"/>
      <c r="HZ19" s="115"/>
      <c r="IA19" s="115"/>
      <c r="IB19" s="115"/>
      <c r="IC19" s="115"/>
      <c r="ID19" s="115"/>
      <c r="IE19" s="115"/>
      <c r="IF19" s="115"/>
      <c r="IG19" s="115"/>
      <c r="IH19" s="115"/>
      <c r="II19" s="115"/>
      <c r="IJ19" s="115"/>
      <c r="IK19" s="115"/>
      <c r="IL19" s="115"/>
      <c r="IM19" s="115"/>
      <c r="IN19" s="115"/>
    </row>
    <row r="20" spans="1:248" x14ac:dyDescent="0.2">
      <c r="A20" s="119">
        <f t="shared" si="0"/>
        <v>42196</v>
      </c>
      <c r="B20" s="120" t="str">
        <f t="shared" si="1"/>
        <v>sáb</v>
      </c>
      <c r="C20" s="121">
        <f>SUMIF(Table13[DIA],'07.2015'!A20:A49,Table13[QUANTIDADE DE HORAS])</f>
        <v>0</v>
      </c>
      <c r="D20" s="122"/>
      <c r="E20" s="123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/>
      <c r="AS20" s="115"/>
      <c r="AT20" s="115"/>
      <c r="AU20" s="115"/>
      <c r="AV20" s="115"/>
      <c r="AW20" s="115"/>
      <c r="AX20" s="115"/>
      <c r="AY20" s="115"/>
      <c r="AZ20" s="115"/>
      <c r="BA20" s="115"/>
      <c r="BB20" s="115"/>
      <c r="BC20" s="115"/>
      <c r="BD20" s="115"/>
      <c r="BE20" s="115"/>
      <c r="BF20" s="115"/>
      <c r="BG20" s="115"/>
      <c r="BH20" s="115"/>
      <c r="BI20" s="115"/>
      <c r="BJ20" s="115"/>
      <c r="BK20" s="115"/>
      <c r="BL20" s="115"/>
      <c r="BM20" s="115"/>
      <c r="BN20" s="115"/>
      <c r="BO20" s="115"/>
      <c r="BP20" s="115"/>
      <c r="BQ20" s="115"/>
      <c r="BR20" s="115"/>
      <c r="BS20" s="115"/>
      <c r="BT20" s="115"/>
      <c r="BU20" s="115"/>
      <c r="BV20" s="115"/>
      <c r="BW20" s="115"/>
      <c r="BX20" s="115"/>
      <c r="BY20" s="115"/>
      <c r="BZ20" s="115"/>
      <c r="CA20" s="115"/>
      <c r="CB20" s="115"/>
      <c r="CC20" s="115"/>
      <c r="CD20" s="115"/>
      <c r="CE20" s="115"/>
      <c r="CF20" s="115"/>
      <c r="CG20" s="115"/>
      <c r="CH20" s="115"/>
      <c r="CI20" s="115"/>
      <c r="CJ20" s="115"/>
      <c r="CK20" s="115"/>
      <c r="CL20" s="115"/>
      <c r="CM20" s="115"/>
      <c r="CN20" s="115"/>
      <c r="CO20" s="115"/>
      <c r="CP20" s="115"/>
      <c r="CQ20" s="115"/>
      <c r="CR20" s="115"/>
      <c r="CS20" s="115"/>
      <c r="CT20" s="115"/>
      <c r="CU20" s="115"/>
      <c r="CV20" s="115"/>
      <c r="CW20" s="115"/>
      <c r="CX20" s="115"/>
      <c r="CY20" s="115"/>
      <c r="CZ20" s="115"/>
      <c r="DA20" s="115"/>
      <c r="DB20" s="115"/>
      <c r="DC20" s="115"/>
      <c r="DD20" s="115"/>
      <c r="DE20" s="115"/>
      <c r="DF20" s="115"/>
      <c r="DG20" s="115"/>
      <c r="DH20" s="115"/>
      <c r="DI20" s="115"/>
      <c r="DJ20" s="115"/>
      <c r="DK20" s="115"/>
      <c r="DL20" s="115"/>
      <c r="DM20" s="115"/>
      <c r="DN20" s="115"/>
      <c r="DO20" s="115"/>
      <c r="DP20" s="115"/>
      <c r="DQ20" s="115"/>
      <c r="DR20" s="115"/>
      <c r="DS20" s="115"/>
      <c r="DT20" s="115"/>
      <c r="DU20" s="115"/>
      <c r="DV20" s="115"/>
      <c r="DW20" s="115"/>
      <c r="DX20" s="115"/>
      <c r="DY20" s="115"/>
      <c r="DZ20" s="115"/>
      <c r="EA20" s="115"/>
      <c r="EB20" s="115"/>
      <c r="EC20" s="115"/>
      <c r="ED20" s="115"/>
      <c r="EE20" s="115"/>
      <c r="EF20" s="115"/>
      <c r="EG20" s="115"/>
      <c r="EH20" s="115"/>
      <c r="EI20" s="115"/>
      <c r="EJ20" s="115"/>
      <c r="EK20" s="115"/>
      <c r="EL20" s="115"/>
      <c r="EM20" s="115"/>
      <c r="EN20" s="115"/>
      <c r="EO20" s="115"/>
      <c r="EP20" s="115"/>
      <c r="EQ20" s="115"/>
      <c r="ER20" s="115"/>
      <c r="ES20" s="115"/>
      <c r="ET20" s="115"/>
      <c r="EU20" s="115"/>
      <c r="EV20" s="115"/>
      <c r="EW20" s="115"/>
      <c r="EX20" s="115"/>
      <c r="EY20" s="115"/>
      <c r="EZ20" s="115"/>
      <c r="FA20" s="115"/>
      <c r="FB20" s="115"/>
      <c r="FC20" s="115"/>
      <c r="FD20" s="115"/>
      <c r="FE20" s="115"/>
      <c r="FF20" s="115"/>
      <c r="FG20" s="115"/>
      <c r="FH20" s="115"/>
      <c r="FI20" s="115"/>
      <c r="FJ20" s="115"/>
      <c r="FK20" s="115"/>
      <c r="FL20" s="115"/>
      <c r="FM20" s="115"/>
      <c r="FN20" s="115"/>
      <c r="FO20" s="115"/>
      <c r="FP20" s="115"/>
      <c r="FQ20" s="115"/>
      <c r="FR20" s="115"/>
      <c r="FS20" s="115"/>
      <c r="FT20" s="115"/>
      <c r="FU20" s="115"/>
      <c r="FV20" s="115"/>
      <c r="FW20" s="115"/>
      <c r="FX20" s="115"/>
      <c r="FY20" s="115"/>
      <c r="FZ20" s="115"/>
      <c r="GA20" s="115"/>
      <c r="GB20" s="115"/>
      <c r="GC20" s="115"/>
      <c r="GD20" s="115"/>
      <c r="GE20" s="115"/>
      <c r="GF20" s="115"/>
      <c r="GG20" s="115"/>
      <c r="GH20" s="115"/>
      <c r="GI20" s="115"/>
      <c r="GJ20" s="115"/>
      <c r="GK20" s="115"/>
      <c r="GL20" s="115"/>
      <c r="GM20" s="115"/>
      <c r="GN20" s="115"/>
      <c r="GO20" s="115"/>
      <c r="GP20" s="115"/>
      <c r="GQ20" s="115"/>
      <c r="GR20" s="115"/>
      <c r="GS20" s="115"/>
      <c r="GT20" s="115"/>
      <c r="GU20" s="115"/>
      <c r="GV20" s="115"/>
      <c r="GW20" s="115"/>
      <c r="GX20" s="115"/>
      <c r="GY20" s="115"/>
      <c r="GZ20" s="115"/>
      <c r="HA20" s="115"/>
      <c r="HB20" s="115"/>
      <c r="HC20" s="115"/>
      <c r="HD20" s="115"/>
      <c r="HE20" s="115"/>
      <c r="HF20" s="115"/>
      <c r="HG20" s="115"/>
      <c r="HH20" s="115"/>
      <c r="HI20" s="115"/>
      <c r="HJ20" s="115"/>
      <c r="HK20" s="115"/>
      <c r="HL20" s="115"/>
      <c r="HM20" s="115"/>
      <c r="HN20" s="115"/>
      <c r="HO20" s="115"/>
      <c r="HP20" s="115"/>
      <c r="HQ20" s="115"/>
      <c r="HR20" s="115"/>
      <c r="HS20" s="115"/>
      <c r="HT20" s="115"/>
      <c r="HU20" s="115"/>
      <c r="HV20" s="115"/>
      <c r="HW20" s="115"/>
      <c r="HX20" s="115"/>
      <c r="HY20" s="115"/>
      <c r="HZ20" s="115"/>
      <c r="IA20" s="115"/>
      <c r="IB20" s="115"/>
      <c r="IC20" s="115"/>
      <c r="ID20" s="115"/>
      <c r="IE20" s="115"/>
      <c r="IF20" s="115"/>
      <c r="IG20" s="115"/>
      <c r="IH20" s="115"/>
      <c r="II20" s="115"/>
      <c r="IJ20" s="115"/>
      <c r="IK20" s="115"/>
      <c r="IL20" s="115"/>
      <c r="IM20" s="115"/>
      <c r="IN20" s="115"/>
    </row>
    <row r="21" spans="1:248" x14ac:dyDescent="0.2">
      <c r="A21" s="119">
        <f t="shared" si="0"/>
        <v>42197</v>
      </c>
      <c r="B21" s="120" t="str">
        <f t="shared" si="1"/>
        <v>dom</v>
      </c>
      <c r="C21" s="121">
        <f>SUMIF(Table13[DIA],'07.2015'!A21:A50,Table13[QUANTIDADE DE HORAS])</f>
        <v>0</v>
      </c>
      <c r="D21" s="122"/>
      <c r="E21" s="123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115"/>
      <c r="AK21" s="115"/>
      <c r="AL21" s="115"/>
      <c r="AM21" s="115"/>
      <c r="AN21" s="115"/>
      <c r="AO21" s="115"/>
      <c r="AP21" s="115"/>
      <c r="AQ21" s="115"/>
      <c r="AR21" s="115"/>
      <c r="AS21" s="115"/>
      <c r="AT21" s="115"/>
      <c r="AU21" s="115"/>
      <c r="AV21" s="115"/>
      <c r="AW21" s="115"/>
      <c r="AX21" s="115"/>
      <c r="AY21" s="115"/>
      <c r="AZ21" s="115"/>
      <c r="BA21" s="115"/>
      <c r="BB21" s="115"/>
      <c r="BC21" s="115"/>
      <c r="BD21" s="115"/>
      <c r="BE21" s="115"/>
      <c r="BF21" s="115"/>
      <c r="BG21" s="115"/>
      <c r="BH21" s="115"/>
      <c r="BI21" s="115"/>
      <c r="BJ21" s="115"/>
      <c r="BK21" s="115"/>
      <c r="BL21" s="115"/>
      <c r="BM21" s="115"/>
      <c r="BN21" s="115"/>
      <c r="BO21" s="115"/>
      <c r="BP21" s="115"/>
      <c r="BQ21" s="115"/>
      <c r="BR21" s="115"/>
      <c r="BS21" s="115"/>
      <c r="BT21" s="115"/>
      <c r="BU21" s="115"/>
      <c r="BV21" s="115"/>
      <c r="BW21" s="115"/>
      <c r="BX21" s="115"/>
      <c r="BY21" s="115"/>
      <c r="BZ21" s="115"/>
      <c r="CA21" s="115"/>
      <c r="CB21" s="115"/>
      <c r="CC21" s="115"/>
      <c r="CD21" s="115"/>
      <c r="CE21" s="115"/>
      <c r="CF21" s="115"/>
      <c r="CG21" s="115"/>
      <c r="CH21" s="115"/>
      <c r="CI21" s="115"/>
      <c r="CJ21" s="115"/>
      <c r="CK21" s="115"/>
      <c r="CL21" s="115"/>
      <c r="CM21" s="115"/>
      <c r="CN21" s="115"/>
      <c r="CO21" s="115"/>
      <c r="CP21" s="115"/>
      <c r="CQ21" s="115"/>
      <c r="CR21" s="115"/>
      <c r="CS21" s="115"/>
      <c r="CT21" s="115"/>
      <c r="CU21" s="115"/>
      <c r="CV21" s="115"/>
      <c r="CW21" s="115"/>
      <c r="CX21" s="115"/>
      <c r="CY21" s="115"/>
      <c r="CZ21" s="115"/>
      <c r="DA21" s="115"/>
      <c r="DB21" s="115"/>
      <c r="DC21" s="115"/>
      <c r="DD21" s="115"/>
      <c r="DE21" s="115"/>
      <c r="DF21" s="115"/>
      <c r="DG21" s="115"/>
      <c r="DH21" s="115"/>
      <c r="DI21" s="115"/>
      <c r="DJ21" s="115"/>
      <c r="DK21" s="115"/>
      <c r="DL21" s="115"/>
      <c r="DM21" s="115"/>
      <c r="DN21" s="115"/>
      <c r="DO21" s="115"/>
      <c r="DP21" s="115"/>
      <c r="DQ21" s="115"/>
      <c r="DR21" s="115"/>
      <c r="DS21" s="115"/>
      <c r="DT21" s="115"/>
      <c r="DU21" s="115"/>
      <c r="DV21" s="115"/>
      <c r="DW21" s="115"/>
      <c r="DX21" s="115"/>
      <c r="DY21" s="115"/>
      <c r="DZ21" s="115"/>
      <c r="EA21" s="115"/>
      <c r="EB21" s="115"/>
      <c r="EC21" s="115"/>
      <c r="ED21" s="115"/>
      <c r="EE21" s="115"/>
      <c r="EF21" s="115"/>
      <c r="EG21" s="115"/>
      <c r="EH21" s="115"/>
      <c r="EI21" s="115"/>
      <c r="EJ21" s="115"/>
      <c r="EK21" s="115"/>
      <c r="EL21" s="115"/>
      <c r="EM21" s="115"/>
      <c r="EN21" s="115"/>
      <c r="EO21" s="115"/>
      <c r="EP21" s="115"/>
      <c r="EQ21" s="115"/>
      <c r="ER21" s="115"/>
      <c r="ES21" s="115"/>
      <c r="ET21" s="115"/>
      <c r="EU21" s="115"/>
      <c r="EV21" s="115"/>
      <c r="EW21" s="115"/>
      <c r="EX21" s="115"/>
      <c r="EY21" s="115"/>
      <c r="EZ21" s="115"/>
      <c r="FA21" s="115"/>
      <c r="FB21" s="115"/>
      <c r="FC21" s="115"/>
      <c r="FD21" s="115"/>
      <c r="FE21" s="115"/>
      <c r="FF21" s="115"/>
      <c r="FG21" s="115"/>
      <c r="FH21" s="115"/>
      <c r="FI21" s="115"/>
      <c r="FJ21" s="115"/>
      <c r="FK21" s="115"/>
      <c r="FL21" s="115"/>
      <c r="FM21" s="115"/>
      <c r="FN21" s="115"/>
      <c r="FO21" s="115"/>
      <c r="FP21" s="115"/>
      <c r="FQ21" s="115"/>
      <c r="FR21" s="115"/>
      <c r="FS21" s="115"/>
      <c r="FT21" s="115"/>
      <c r="FU21" s="115"/>
      <c r="FV21" s="115"/>
      <c r="FW21" s="115"/>
      <c r="FX21" s="115"/>
      <c r="FY21" s="115"/>
      <c r="FZ21" s="115"/>
      <c r="GA21" s="115"/>
      <c r="GB21" s="115"/>
      <c r="GC21" s="115"/>
      <c r="GD21" s="115"/>
      <c r="GE21" s="115"/>
      <c r="GF21" s="115"/>
      <c r="GG21" s="115"/>
      <c r="GH21" s="115"/>
      <c r="GI21" s="115"/>
      <c r="GJ21" s="115"/>
      <c r="GK21" s="115"/>
      <c r="GL21" s="115"/>
      <c r="GM21" s="115"/>
      <c r="GN21" s="115"/>
      <c r="GO21" s="115"/>
      <c r="GP21" s="115"/>
      <c r="GQ21" s="115"/>
      <c r="GR21" s="115"/>
      <c r="GS21" s="115"/>
      <c r="GT21" s="115"/>
      <c r="GU21" s="115"/>
      <c r="GV21" s="115"/>
      <c r="GW21" s="115"/>
      <c r="GX21" s="115"/>
      <c r="GY21" s="115"/>
      <c r="GZ21" s="115"/>
      <c r="HA21" s="115"/>
      <c r="HB21" s="115"/>
      <c r="HC21" s="115"/>
      <c r="HD21" s="115"/>
      <c r="HE21" s="115"/>
      <c r="HF21" s="115"/>
      <c r="HG21" s="115"/>
      <c r="HH21" s="115"/>
      <c r="HI21" s="115"/>
      <c r="HJ21" s="115"/>
      <c r="HK21" s="115"/>
      <c r="HL21" s="115"/>
      <c r="HM21" s="115"/>
      <c r="HN21" s="115"/>
      <c r="HO21" s="115"/>
      <c r="HP21" s="115"/>
      <c r="HQ21" s="115"/>
      <c r="HR21" s="115"/>
      <c r="HS21" s="115"/>
      <c r="HT21" s="115"/>
      <c r="HU21" s="115"/>
      <c r="HV21" s="115"/>
      <c r="HW21" s="115"/>
      <c r="HX21" s="115"/>
      <c r="HY21" s="115"/>
      <c r="HZ21" s="115"/>
      <c r="IA21" s="115"/>
      <c r="IB21" s="115"/>
      <c r="IC21" s="115"/>
      <c r="ID21" s="115"/>
      <c r="IE21" s="115"/>
      <c r="IF21" s="115"/>
      <c r="IG21" s="115"/>
      <c r="IH21" s="115"/>
      <c r="II21" s="115"/>
      <c r="IJ21" s="115"/>
      <c r="IK21" s="115"/>
      <c r="IL21" s="115"/>
      <c r="IM21" s="115"/>
      <c r="IN21" s="115"/>
    </row>
    <row r="22" spans="1:248" ht="12.75" customHeight="1" x14ac:dyDescent="0.2">
      <c r="A22" s="119">
        <f t="shared" si="0"/>
        <v>42198</v>
      </c>
      <c r="B22" s="120" t="str">
        <f t="shared" si="1"/>
        <v>seg</v>
      </c>
      <c r="C22" s="121">
        <f>SUMIF(Table13[DIA],'07.2015'!A22:A51,Table13[QUANTIDADE DE HORAS])</f>
        <v>9</v>
      </c>
      <c r="D22" s="122"/>
      <c r="E22" s="123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115"/>
      <c r="AK22" s="115"/>
      <c r="AL22" s="115"/>
      <c r="AM22" s="115"/>
      <c r="AN22" s="115"/>
      <c r="AO22" s="115"/>
      <c r="AP22" s="115"/>
      <c r="AQ22" s="115"/>
      <c r="AR22" s="115"/>
      <c r="AS22" s="115"/>
      <c r="AT22" s="115"/>
      <c r="AU22" s="115"/>
      <c r="AV22" s="115"/>
      <c r="AW22" s="115"/>
      <c r="AX22" s="115"/>
      <c r="AY22" s="115"/>
      <c r="AZ22" s="115"/>
      <c r="BA22" s="115"/>
      <c r="BB22" s="115"/>
      <c r="BC22" s="115"/>
      <c r="BD22" s="115"/>
      <c r="BE22" s="115"/>
      <c r="BF22" s="115"/>
      <c r="BG22" s="115"/>
      <c r="BH22" s="115"/>
      <c r="BI22" s="115"/>
      <c r="BJ22" s="115"/>
      <c r="BK22" s="115"/>
      <c r="BL22" s="115"/>
      <c r="BM22" s="115"/>
      <c r="BN22" s="115"/>
      <c r="BO22" s="115"/>
      <c r="BP22" s="115"/>
      <c r="BQ22" s="115"/>
      <c r="BR22" s="115"/>
      <c r="BS22" s="115"/>
      <c r="BT22" s="115"/>
      <c r="BU22" s="115"/>
      <c r="BV22" s="115"/>
      <c r="BW22" s="115"/>
      <c r="BX22" s="115"/>
      <c r="BY22" s="115"/>
      <c r="BZ22" s="115"/>
      <c r="CA22" s="115"/>
      <c r="CB22" s="115"/>
      <c r="CC22" s="115"/>
      <c r="CD22" s="115"/>
      <c r="CE22" s="115"/>
      <c r="CF22" s="115"/>
      <c r="CG22" s="115"/>
      <c r="CH22" s="115"/>
      <c r="CI22" s="115"/>
      <c r="CJ22" s="115"/>
      <c r="CK22" s="115"/>
      <c r="CL22" s="115"/>
      <c r="CM22" s="115"/>
      <c r="CN22" s="115"/>
      <c r="CO22" s="115"/>
      <c r="CP22" s="115"/>
      <c r="CQ22" s="115"/>
      <c r="CR22" s="115"/>
      <c r="CS22" s="115"/>
      <c r="CT22" s="115"/>
      <c r="CU22" s="115"/>
      <c r="CV22" s="115"/>
      <c r="CW22" s="115"/>
      <c r="CX22" s="115"/>
      <c r="CY22" s="115"/>
      <c r="CZ22" s="115"/>
      <c r="DA22" s="115"/>
      <c r="DB22" s="115"/>
      <c r="DC22" s="115"/>
      <c r="DD22" s="115"/>
      <c r="DE22" s="115"/>
      <c r="DF22" s="115"/>
      <c r="DG22" s="115"/>
      <c r="DH22" s="115"/>
      <c r="DI22" s="115"/>
      <c r="DJ22" s="115"/>
      <c r="DK22" s="115"/>
      <c r="DL22" s="115"/>
      <c r="DM22" s="115"/>
      <c r="DN22" s="115"/>
      <c r="DO22" s="115"/>
      <c r="DP22" s="115"/>
      <c r="DQ22" s="115"/>
      <c r="DR22" s="115"/>
      <c r="DS22" s="115"/>
      <c r="DT22" s="115"/>
      <c r="DU22" s="115"/>
      <c r="DV22" s="115"/>
      <c r="DW22" s="115"/>
      <c r="DX22" s="115"/>
      <c r="DY22" s="115"/>
      <c r="DZ22" s="115"/>
      <c r="EA22" s="115"/>
      <c r="EB22" s="115"/>
      <c r="EC22" s="115"/>
      <c r="ED22" s="115"/>
      <c r="EE22" s="115"/>
      <c r="EF22" s="115"/>
      <c r="EG22" s="115"/>
      <c r="EH22" s="115"/>
      <c r="EI22" s="115"/>
      <c r="EJ22" s="115"/>
      <c r="EK22" s="115"/>
      <c r="EL22" s="115"/>
      <c r="EM22" s="115"/>
      <c r="EN22" s="115"/>
      <c r="EO22" s="115"/>
      <c r="EP22" s="115"/>
      <c r="EQ22" s="115"/>
      <c r="ER22" s="115"/>
      <c r="ES22" s="115"/>
      <c r="ET22" s="115"/>
      <c r="EU22" s="115"/>
      <c r="EV22" s="115"/>
      <c r="EW22" s="115"/>
      <c r="EX22" s="115"/>
      <c r="EY22" s="115"/>
      <c r="EZ22" s="115"/>
      <c r="FA22" s="115"/>
      <c r="FB22" s="115"/>
      <c r="FC22" s="115"/>
      <c r="FD22" s="115"/>
      <c r="FE22" s="115"/>
      <c r="FF22" s="115"/>
      <c r="FG22" s="115"/>
      <c r="FH22" s="115"/>
      <c r="FI22" s="115"/>
      <c r="FJ22" s="115"/>
      <c r="FK22" s="115"/>
      <c r="FL22" s="115"/>
      <c r="FM22" s="115"/>
      <c r="FN22" s="115"/>
      <c r="FO22" s="115"/>
      <c r="FP22" s="115"/>
      <c r="FQ22" s="115"/>
      <c r="FR22" s="115"/>
      <c r="FS22" s="115"/>
      <c r="FT22" s="115"/>
      <c r="FU22" s="115"/>
      <c r="FV22" s="115"/>
      <c r="FW22" s="115"/>
      <c r="FX22" s="115"/>
      <c r="FY22" s="115"/>
      <c r="FZ22" s="115"/>
      <c r="GA22" s="115"/>
      <c r="GB22" s="115"/>
      <c r="GC22" s="115"/>
      <c r="GD22" s="115"/>
      <c r="GE22" s="115"/>
      <c r="GF22" s="115"/>
      <c r="GG22" s="115"/>
      <c r="GH22" s="115"/>
      <c r="GI22" s="115"/>
      <c r="GJ22" s="115"/>
      <c r="GK22" s="115"/>
      <c r="GL22" s="115"/>
      <c r="GM22" s="115"/>
      <c r="GN22" s="115"/>
      <c r="GO22" s="115"/>
      <c r="GP22" s="115"/>
      <c r="GQ22" s="115"/>
      <c r="GR22" s="115"/>
      <c r="GS22" s="115"/>
      <c r="GT22" s="115"/>
      <c r="GU22" s="115"/>
      <c r="GV22" s="115"/>
      <c r="GW22" s="115"/>
      <c r="GX22" s="115"/>
      <c r="GY22" s="115"/>
      <c r="GZ22" s="115"/>
      <c r="HA22" s="115"/>
      <c r="HB22" s="115"/>
      <c r="HC22" s="115"/>
      <c r="HD22" s="115"/>
      <c r="HE22" s="115"/>
      <c r="HF22" s="115"/>
      <c r="HG22" s="115"/>
      <c r="HH22" s="115"/>
      <c r="HI22" s="115"/>
      <c r="HJ22" s="115"/>
      <c r="HK22" s="115"/>
      <c r="HL22" s="115"/>
      <c r="HM22" s="115"/>
      <c r="HN22" s="115"/>
      <c r="HO22" s="115"/>
      <c r="HP22" s="115"/>
      <c r="HQ22" s="115"/>
      <c r="HR22" s="115"/>
      <c r="HS22" s="115"/>
      <c r="HT22" s="115"/>
      <c r="HU22" s="115"/>
      <c r="HV22" s="115"/>
      <c r="HW22" s="115"/>
      <c r="HX22" s="115"/>
      <c r="HY22" s="115"/>
      <c r="HZ22" s="115"/>
      <c r="IA22" s="115"/>
      <c r="IB22" s="115"/>
      <c r="IC22" s="115"/>
      <c r="ID22" s="115"/>
      <c r="IE22" s="115"/>
      <c r="IF22" s="115"/>
      <c r="IG22" s="115"/>
      <c r="IH22" s="115"/>
      <c r="II22" s="115"/>
      <c r="IJ22" s="115"/>
      <c r="IK22" s="115"/>
      <c r="IL22" s="115"/>
      <c r="IM22" s="115"/>
      <c r="IN22" s="115"/>
    </row>
    <row r="23" spans="1:248" x14ac:dyDescent="0.2">
      <c r="A23" s="119">
        <f t="shared" si="0"/>
        <v>42199</v>
      </c>
      <c r="B23" s="120" t="str">
        <f t="shared" si="1"/>
        <v>ter</v>
      </c>
      <c r="C23" s="121">
        <f>SUMIF(Table13[DIA],'07.2015'!A23:A52,Table13[QUANTIDADE DE HORAS])</f>
        <v>10</v>
      </c>
      <c r="D23" s="122"/>
      <c r="E23" s="123"/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115"/>
      <c r="AK23" s="115"/>
      <c r="AL23" s="115"/>
      <c r="AM23" s="115"/>
      <c r="AN23" s="115"/>
      <c r="AO23" s="115"/>
      <c r="AP23" s="115"/>
      <c r="AQ23" s="115"/>
      <c r="AR23" s="115"/>
      <c r="AS23" s="115"/>
      <c r="AT23" s="115"/>
      <c r="AU23" s="115"/>
      <c r="AV23" s="115"/>
      <c r="AW23" s="115"/>
      <c r="AX23" s="115"/>
      <c r="AY23" s="115"/>
      <c r="AZ23" s="115"/>
      <c r="BA23" s="115"/>
      <c r="BB23" s="115"/>
      <c r="BC23" s="115"/>
      <c r="BD23" s="115"/>
      <c r="BE23" s="115"/>
      <c r="BF23" s="115"/>
      <c r="BG23" s="115"/>
      <c r="BH23" s="115"/>
      <c r="BI23" s="115"/>
      <c r="BJ23" s="115"/>
      <c r="BK23" s="115"/>
      <c r="BL23" s="115"/>
      <c r="BM23" s="115"/>
      <c r="BN23" s="115"/>
      <c r="BO23" s="115"/>
      <c r="BP23" s="115"/>
      <c r="BQ23" s="115"/>
      <c r="BR23" s="115"/>
      <c r="BS23" s="115"/>
      <c r="BT23" s="115"/>
      <c r="BU23" s="115"/>
      <c r="BV23" s="115"/>
      <c r="BW23" s="115"/>
      <c r="BX23" s="115"/>
      <c r="BY23" s="115"/>
      <c r="BZ23" s="115"/>
      <c r="CA23" s="115"/>
      <c r="CB23" s="115"/>
      <c r="CC23" s="115"/>
      <c r="CD23" s="115"/>
      <c r="CE23" s="115"/>
      <c r="CF23" s="115"/>
      <c r="CG23" s="115"/>
      <c r="CH23" s="115"/>
      <c r="CI23" s="115"/>
      <c r="CJ23" s="115"/>
      <c r="CK23" s="115"/>
      <c r="CL23" s="115"/>
      <c r="CM23" s="115"/>
      <c r="CN23" s="115"/>
      <c r="CO23" s="115"/>
      <c r="CP23" s="115"/>
      <c r="CQ23" s="115"/>
      <c r="CR23" s="115"/>
      <c r="CS23" s="115"/>
      <c r="CT23" s="115"/>
      <c r="CU23" s="115"/>
      <c r="CV23" s="115"/>
      <c r="CW23" s="115"/>
      <c r="CX23" s="115"/>
      <c r="CY23" s="115"/>
      <c r="CZ23" s="115"/>
      <c r="DA23" s="115"/>
      <c r="DB23" s="115"/>
      <c r="DC23" s="115"/>
      <c r="DD23" s="115"/>
      <c r="DE23" s="115"/>
      <c r="DF23" s="115"/>
      <c r="DG23" s="115"/>
      <c r="DH23" s="115"/>
      <c r="DI23" s="115"/>
      <c r="DJ23" s="115"/>
      <c r="DK23" s="115"/>
      <c r="DL23" s="115"/>
      <c r="DM23" s="115"/>
      <c r="DN23" s="115"/>
      <c r="DO23" s="115"/>
      <c r="DP23" s="115"/>
      <c r="DQ23" s="115"/>
      <c r="DR23" s="115"/>
      <c r="DS23" s="115"/>
      <c r="DT23" s="115"/>
      <c r="DU23" s="115"/>
      <c r="DV23" s="115"/>
      <c r="DW23" s="115"/>
      <c r="DX23" s="115"/>
      <c r="DY23" s="115"/>
      <c r="DZ23" s="115"/>
      <c r="EA23" s="115"/>
      <c r="EB23" s="115"/>
      <c r="EC23" s="115"/>
      <c r="ED23" s="115"/>
      <c r="EE23" s="115"/>
      <c r="EF23" s="115"/>
      <c r="EG23" s="115"/>
      <c r="EH23" s="115"/>
      <c r="EI23" s="115"/>
      <c r="EJ23" s="115"/>
      <c r="EK23" s="115"/>
      <c r="EL23" s="115"/>
      <c r="EM23" s="115"/>
      <c r="EN23" s="115"/>
      <c r="EO23" s="115"/>
      <c r="EP23" s="115"/>
      <c r="EQ23" s="115"/>
      <c r="ER23" s="115"/>
      <c r="ES23" s="115"/>
      <c r="ET23" s="115"/>
      <c r="EU23" s="115"/>
      <c r="EV23" s="115"/>
      <c r="EW23" s="115"/>
      <c r="EX23" s="115"/>
      <c r="EY23" s="115"/>
      <c r="EZ23" s="115"/>
      <c r="FA23" s="115"/>
      <c r="FB23" s="115"/>
      <c r="FC23" s="115"/>
      <c r="FD23" s="115"/>
      <c r="FE23" s="115"/>
      <c r="FF23" s="115"/>
      <c r="FG23" s="115"/>
      <c r="FH23" s="115"/>
      <c r="FI23" s="115"/>
      <c r="FJ23" s="115"/>
      <c r="FK23" s="115"/>
      <c r="FL23" s="115"/>
      <c r="FM23" s="115"/>
      <c r="FN23" s="115"/>
      <c r="FO23" s="115"/>
      <c r="FP23" s="115"/>
      <c r="FQ23" s="115"/>
      <c r="FR23" s="115"/>
      <c r="FS23" s="115"/>
      <c r="FT23" s="115"/>
      <c r="FU23" s="115"/>
      <c r="FV23" s="115"/>
      <c r="FW23" s="115"/>
      <c r="FX23" s="115"/>
      <c r="FY23" s="115"/>
      <c r="FZ23" s="115"/>
      <c r="GA23" s="115"/>
      <c r="GB23" s="115"/>
      <c r="GC23" s="115"/>
      <c r="GD23" s="115"/>
      <c r="GE23" s="115"/>
      <c r="GF23" s="115"/>
      <c r="GG23" s="115"/>
      <c r="GH23" s="115"/>
      <c r="GI23" s="115"/>
      <c r="GJ23" s="115"/>
      <c r="GK23" s="115"/>
      <c r="GL23" s="115"/>
      <c r="GM23" s="115"/>
      <c r="GN23" s="115"/>
      <c r="GO23" s="115"/>
      <c r="GP23" s="115"/>
      <c r="GQ23" s="115"/>
      <c r="GR23" s="115"/>
      <c r="GS23" s="115"/>
      <c r="GT23" s="115"/>
      <c r="GU23" s="115"/>
      <c r="GV23" s="115"/>
      <c r="GW23" s="115"/>
      <c r="GX23" s="115"/>
      <c r="GY23" s="115"/>
      <c r="GZ23" s="115"/>
      <c r="HA23" s="115"/>
      <c r="HB23" s="115"/>
      <c r="HC23" s="115"/>
      <c r="HD23" s="115"/>
      <c r="HE23" s="115"/>
      <c r="HF23" s="115"/>
      <c r="HG23" s="115"/>
      <c r="HH23" s="115"/>
      <c r="HI23" s="115"/>
      <c r="HJ23" s="115"/>
      <c r="HK23" s="115"/>
      <c r="HL23" s="115"/>
      <c r="HM23" s="115"/>
      <c r="HN23" s="115"/>
      <c r="HO23" s="115"/>
      <c r="HP23" s="115"/>
      <c r="HQ23" s="115"/>
      <c r="HR23" s="115"/>
      <c r="HS23" s="115"/>
      <c r="HT23" s="115"/>
      <c r="HU23" s="115"/>
      <c r="HV23" s="115"/>
      <c r="HW23" s="115"/>
      <c r="HX23" s="115"/>
      <c r="HY23" s="115"/>
      <c r="HZ23" s="115"/>
      <c r="IA23" s="115"/>
      <c r="IB23" s="115"/>
      <c r="IC23" s="115"/>
      <c r="ID23" s="115"/>
      <c r="IE23" s="115"/>
      <c r="IF23" s="115"/>
      <c r="IG23" s="115"/>
      <c r="IH23" s="115"/>
      <c r="II23" s="115"/>
      <c r="IJ23" s="115"/>
      <c r="IK23" s="115"/>
      <c r="IL23" s="115"/>
      <c r="IM23" s="115"/>
      <c r="IN23" s="115"/>
    </row>
    <row r="24" spans="1:248" x14ac:dyDescent="0.2">
      <c r="A24" s="119">
        <f t="shared" si="0"/>
        <v>42200</v>
      </c>
      <c r="B24" s="120" t="str">
        <f t="shared" si="1"/>
        <v>qua</v>
      </c>
      <c r="C24" s="121">
        <f>SUMIF(Table13[DIA],'07.2015'!A24:A53,Table13[QUANTIDADE DE HORAS])</f>
        <v>10</v>
      </c>
      <c r="D24" s="122"/>
      <c r="E24" s="123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  <c r="AC24" s="115"/>
      <c r="AD24" s="115"/>
      <c r="AE24" s="115"/>
      <c r="AF24" s="115"/>
      <c r="AG24" s="115"/>
      <c r="AH24" s="115"/>
      <c r="AI24" s="115"/>
      <c r="AJ24" s="115"/>
      <c r="AK24" s="115"/>
      <c r="AL24" s="115"/>
      <c r="AM24" s="115"/>
      <c r="AN24" s="115"/>
      <c r="AO24" s="115"/>
      <c r="AP24" s="115"/>
      <c r="AQ24" s="115"/>
      <c r="AR24" s="115"/>
      <c r="AS24" s="115"/>
      <c r="AT24" s="115"/>
      <c r="AU24" s="115"/>
      <c r="AV24" s="115"/>
      <c r="AW24" s="115"/>
      <c r="AX24" s="115"/>
      <c r="AY24" s="115"/>
      <c r="AZ24" s="115"/>
      <c r="BA24" s="115"/>
      <c r="BB24" s="115"/>
      <c r="BC24" s="115"/>
      <c r="BD24" s="115"/>
      <c r="BE24" s="115"/>
      <c r="BF24" s="115"/>
      <c r="BG24" s="115"/>
      <c r="BH24" s="115"/>
      <c r="BI24" s="115"/>
      <c r="BJ24" s="115"/>
      <c r="BK24" s="115"/>
      <c r="BL24" s="115"/>
      <c r="BM24" s="115"/>
      <c r="BN24" s="115"/>
      <c r="BO24" s="115"/>
      <c r="BP24" s="115"/>
      <c r="BQ24" s="115"/>
      <c r="BR24" s="115"/>
      <c r="BS24" s="115"/>
      <c r="BT24" s="115"/>
      <c r="BU24" s="115"/>
      <c r="BV24" s="115"/>
      <c r="BW24" s="115"/>
      <c r="BX24" s="115"/>
      <c r="BY24" s="115"/>
      <c r="BZ24" s="115"/>
      <c r="CA24" s="115"/>
      <c r="CB24" s="115"/>
      <c r="CC24" s="115"/>
      <c r="CD24" s="115"/>
      <c r="CE24" s="115"/>
      <c r="CF24" s="115"/>
      <c r="CG24" s="115"/>
      <c r="CH24" s="115"/>
      <c r="CI24" s="115"/>
      <c r="CJ24" s="115"/>
      <c r="CK24" s="115"/>
      <c r="CL24" s="115"/>
      <c r="CM24" s="115"/>
      <c r="CN24" s="115"/>
      <c r="CO24" s="115"/>
      <c r="CP24" s="115"/>
      <c r="CQ24" s="115"/>
      <c r="CR24" s="115"/>
      <c r="CS24" s="115"/>
      <c r="CT24" s="115"/>
      <c r="CU24" s="115"/>
      <c r="CV24" s="115"/>
      <c r="CW24" s="115"/>
      <c r="CX24" s="115"/>
      <c r="CY24" s="115"/>
      <c r="CZ24" s="115"/>
      <c r="DA24" s="115"/>
      <c r="DB24" s="115"/>
      <c r="DC24" s="115"/>
      <c r="DD24" s="115"/>
      <c r="DE24" s="115"/>
      <c r="DF24" s="115"/>
      <c r="DG24" s="115"/>
      <c r="DH24" s="115"/>
      <c r="DI24" s="115"/>
      <c r="DJ24" s="115"/>
      <c r="DK24" s="115"/>
      <c r="DL24" s="115"/>
      <c r="DM24" s="115"/>
      <c r="DN24" s="115"/>
      <c r="DO24" s="115"/>
      <c r="DP24" s="115"/>
      <c r="DQ24" s="115"/>
      <c r="DR24" s="115"/>
      <c r="DS24" s="115"/>
      <c r="DT24" s="115"/>
      <c r="DU24" s="115"/>
      <c r="DV24" s="115"/>
      <c r="DW24" s="115"/>
      <c r="DX24" s="115"/>
      <c r="DY24" s="115"/>
      <c r="DZ24" s="115"/>
      <c r="EA24" s="115"/>
      <c r="EB24" s="115"/>
      <c r="EC24" s="115"/>
      <c r="ED24" s="115"/>
      <c r="EE24" s="115"/>
      <c r="EF24" s="115"/>
      <c r="EG24" s="115"/>
      <c r="EH24" s="115"/>
      <c r="EI24" s="115"/>
      <c r="EJ24" s="115"/>
      <c r="EK24" s="115"/>
      <c r="EL24" s="115"/>
      <c r="EM24" s="115"/>
      <c r="EN24" s="115"/>
      <c r="EO24" s="115"/>
      <c r="EP24" s="115"/>
      <c r="EQ24" s="115"/>
      <c r="ER24" s="115"/>
      <c r="ES24" s="115"/>
      <c r="ET24" s="115"/>
      <c r="EU24" s="115"/>
      <c r="EV24" s="115"/>
      <c r="EW24" s="115"/>
      <c r="EX24" s="115"/>
      <c r="EY24" s="115"/>
      <c r="EZ24" s="115"/>
      <c r="FA24" s="115"/>
      <c r="FB24" s="115"/>
      <c r="FC24" s="115"/>
      <c r="FD24" s="115"/>
      <c r="FE24" s="115"/>
      <c r="FF24" s="115"/>
      <c r="FG24" s="115"/>
      <c r="FH24" s="115"/>
      <c r="FI24" s="115"/>
      <c r="FJ24" s="115"/>
      <c r="FK24" s="115"/>
      <c r="FL24" s="115"/>
      <c r="FM24" s="115"/>
      <c r="FN24" s="115"/>
      <c r="FO24" s="115"/>
      <c r="FP24" s="115"/>
      <c r="FQ24" s="115"/>
      <c r="FR24" s="115"/>
      <c r="FS24" s="115"/>
      <c r="FT24" s="115"/>
      <c r="FU24" s="115"/>
      <c r="FV24" s="115"/>
      <c r="FW24" s="115"/>
      <c r="FX24" s="115"/>
      <c r="FY24" s="115"/>
      <c r="FZ24" s="115"/>
      <c r="GA24" s="115"/>
      <c r="GB24" s="115"/>
      <c r="GC24" s="115"/>
      <c r="GD24" s="115"/>
      <c r="GE24" s="115"/>
      <c r="GF24" s="115"/>
      <c r="GG24" s="115"/>
      <c r="GH24" s="115"/>
      <c r="GI24" s="115"/>
      <c r="GJ24" s="115"/>
      <c r="GK24" s="115"/>
      <c r="GL24" s="115"/>
      <c r="GM24" s="115"/>
      <c r="GN24" s="115"/>
      <c r="GO24" s="115"/>
      <c r="GP24" s="115"/>
      <c r="GQ24" s="115"/>
      <c r="GR24" s="115"/>
      <c r="GS24" s="115"/>
      <c r="GT24" s="115"/>
      <c r="GU24" s="115"/>
      <c r="GV24" s="115"/>
      <c r="GW24" s="115"/>
      <c r="GX24" s="115"/>
      <c r="GY24" s="115"/>
      <c r="GZ24" s="115"/>
      <c r="HA24" s="115"/>
      <c r="HB24" s="115"/>
      <c r="HC24" s="115"/>
      <c r="HD24" s="115"/>
      <c r="HE24" s="115"/>
      <c r="HF24" s="115"/>
      <c r="HG24" s="115"/>
      <c r="HH24" s="115"/>
      <c r="HI24" s="115"/>
      <c r="HJ24" s="115"/>
      <c r="HK24" s="115"/>
      <c r="HL24" s="115"/>
      <c r="HM24" s="115"/>
      <c r="HN24" s="115"/>
      <c r="HO24" s="115"/>
      <c r="HP24" s="115"/>
      <c r="HQ24" s="115"/>
      <c r="HR24" s="115"/>
      <c r="HS24" s="115"/>
      <c r="HT24" s="115"/>
      <c r="HU24" s="115"/>
      <c r="HV24" s="115"/>
      <c r="HW24" s="115"/>
      <c r="HX24" s="115"/>
      <c r="HY24" s="115"/>
      <c r="HZ24" s="115"/>
      <c r="IA24" s="115"/>
      <c r="IB24" s="115"/>
      <c r="IC24" s="115"/>
      <c r="ID24" s="115"/>
      <c r="IE24" s="115"/>
      <c r="IF24" s="115"/>
      <c r="IG24" s="115"/>
      <c r="IH24" s="115"/>
      <c r="II24" s="115"/>
      <c r="IJ24" s="115"/>
      <c r="IK24" s="115"/>
      <c r="IL24" s="115"/>
      <c r="IM24" s="115"/>
      <c r="IN24" s="115"/>
    </row>
    <row r="25" spans="1:248" x14ac:dyDescent="0.2">
      <c r="A25" s="119">
        <f t="shared" si="0"/>
        <v>42201</v>
      </c>
      <c r="B25" s="120" t="str">
        <f t="shared" si="1"/>
        <v>qui</v>
      </c>
      <c r="C25" s="121">
        <f>SUMIF(Table13[DIA],'07.2015'!A25:A54,Table13[QUANTIDADE DE HORAS])</f>
        <v>10</v>
      </c>
      <c r="D25" s="122"/>
      <c r="E25" s="123"/>
      <c r="F25" s="115"/>
      <c r="G25" s="115"/>
      <c r="H25" s="115"/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115"/>
      <c r="AK25" s="115"/>
      <c r="AL25" s="115"/>
      <c r="AM25" s="115"/>
      <c r="AN25" s="115"/>
      <c r="AO25" s="115"/>
      <c r="AP25" s="115"/>
      <c r="AQ25" s="115"/>
      <c r="AR25" s="115"/>
      <c r="AS25" s="115"/>
      <c r="AT25" s="115"/>
      <c r="AU25" s="115"/>
      <c r="AV25" s="115"/>
      <c r="AW25" s="115"/>
      <c r="AX25" s="115"/>
      <c r="AY25" s="115"/>
      <c r="AZ25" s="115"/>
      <c r="BA25" s="115"/>
      <c r="BB25" s="115"/>
      <c r="BC25" s="115"/>
      <c r="BD25" s="115"/>
      <c r="BE25" s="115"/>
      <c r="BF25" s="115"/>
      <c r="BG25" s="115"/>
      <c r="BH25" s="115"/>
      <c r="BI25" s="115"/>
      <c r="BJ25" s="115"/>
      <c r="BK25" s="115"/>
      <c r="BL25" s="115"/>
      <c r="BM25" s="115"/>
      <c r="BN25" s="115"/>
      <c r="BO25" s="115"/>
      <c r="BP25" s="115"/>
      <c r="BQ25" s="115"/>
      <c r="BR25" s="115"/>
      <c r="BS25" s="115"/>
      <c r="BT25" s="115"/>
      <c r="BU25" s="115"/>
      <c r="BV25" s="115"/>
      <c r="BW25" s="115"/>
      <c r="BX25" s="115"/>
      <c r="BY25" s="115"/>
      <c r="BZ25" s="115"/>
      <c r="CA25" s="115"/>
      <c r="CB25" s="115"/>
      <c r="CC25" s="115"/>
      <c r="CD25" s="115"/>
      <c r="CE25" s="115"/>
      <c r="CF25" s="115"/>
      <c r="CG25" s="115"/>
      <c r="CH25" s="115"/>
      <c r="CI25" s="115"/>
      <c r="CJ25" s="115"/>
      <c r="CK25" s="115"/>
      <c r="CL25" s="115"/>
      <c r="CM25" s="115"/>
      <c r="CN25" s="115"/>
      <c r="CO25" s="115"/>
      <c r="CP25" s="115"/>
      <c r="CQ25" s="115"/>
      <c r="CR25" s="115"/>
      <c r="CS25" s="115"/>
      <c r="CT25" s="115"/>
      <c r="CU25" s="115"/>
      <c r="CV25" s="115"/>
      <c r="CW25" s="115"/>
      <c r="CX25" s="115"/>
      <c r="CY25" s="115"/>
      <c r="CZ25" s="115"/>
      <c r="DA25" s="115"/>
      <c r="DB25" s="115"/>
      <c r="DC25" s="115"/>
      <c r="DD25" s="115"/>
      <c r="DE25" s="115"/>
      <c r="DF25" s="115"/>
      <c r="DG25" s="115"/>
      <c r="DH25" s="115"/>
      <c r="DI25" s="115"/>
      <c r="DJ25" s="115"/>
      <c r="DK25" s="115"/>
      <c r="DL25" s="115"/>
      <c r="DM25" s="115"/>
      <c r="DN25" s="115"/>
      <c r="DO25" s="115"/>
      <c r="DP25" s="115"/>
      <c r="DQ25" s="115"/>
      <c r="DR25" s="115"/>
      <c r="DS25" s="115"/>
      <c r="DT25" s="115"/>
      <c r="DU25" s="115"/>
      <c r="DV25" s="115"/>
      <c r="DW25" s="115"/>
      <c r="DX25" s="115"/>
      <c r="DY25" s="115"/>
      <c r="DZ25" s="115"/>
      <c r="EA25" s="115"/>
      <c r="EB25" s="115"/>
      <c r="EC25" s="115"/>
      <c r="ED25" s="115"/>
      <c r="EE25" s="115"/>
      <c r="EF25" s="115"/>
      <c r="EG25" s="115"/>
      <c r="EH25" s="115"/>
      <c r="EI25" s="115"/>
      <c r="EJ25" s="115"/>
      <c r="EK25" s="115"/>
      <c r="EL25" s="115"/>
      <c r="EM25" s="115"/>
      <c r="EN25" s="115"/>
      <c r="EO25" s="115"/>
      <c r="EP25" s="115"/>
      <c r="EQ25" s="115"/>
      <c r="ER25" s="115"/>
      <c r="ES25" s="115"/>
      <c r="ET25" s="115"/>
      <c r="EU25" s="115"/>
      <c r="EV25" s="115"/>
      <c r="EW25" s="115"/>
      <c r="EX25" s="115"/>
      <c r="EY25" s="115"/>
      <c r="EZ25" s="115"/>
      <c r="FA25" s="115"/>
      <c r="FB25" s="115"/>
      <c r="FC25" s="115"/>
      <c r="FD25" s="115"/>
      <c r="FE25" s="115"/>
      <c r="FF25" s="115"/>
      <c r="FG25" s="115"/>
      <c r="FH25" s="115"/>
      <c r="FI25" s="115"/>
      <c r="FJ25" s="115"/>
      <c r="FK25" s="115"/>
      <c r="FL25" s="115"/>
      <c r="FM25" s="115"/>
      <c r="FN25" s="115"/>
      <c r="FO25" s="115"/>
      <c r="FP25" s="115"/>
      <c r="FQ25" s="115"/>
      <c r="FR25" s="115"/>
      <c r="FS25" s="115"/>
      <c r="FT25" s="115"/>
      <c r="FU25" s="115"/>
      <c r="FV25" s="115"/>
      <c r="FW25" s="115"/>
      <c r="FX25" s="115"/>
      <c r="FY25" s="115"/>
      <c r="FZ25" s="115"/>
      <c r="GA25" s="115"/>
      <c r="GB25" s="115"/>
      <c r="GC25" s="115"/>
      <c r="GD25" s="115"/>
      <c r="GE25" s="115"/>
      <c r="GF25" s="115"/>
      <c r="GG25" s="115"/>
      <c r="GH25" s="115"/>
      <c r="GI25" s="115"/>
      <c r="GJ25" s="115"/>
      <c r="GK25" s="115"/>
      <c r="GL25" s="115"/>
      <c r="GM25" s="115"/>
      <c r="GN25" s="115"/>
      <c r="GO25" s="115"/>
      <c r="GP25" s="115"/>
      <c r="GQ25" s="115"/>
      <c r="GR25" s="115"/>
      <c r="GS25" s="115"/>
      <c r="GT25" s="115"/>
      <c r="GU25" s="115"/>
      <c r="GV25" s="115"/>
      <c r="GW25" s="115"/>
      <c r="GX25" s="115"/>
      <c r="GY25" s="115"/>
      <c r="GZ25" s="115"/>
      <c r="HA25" s="115"/>
      <c r="HB25" s="115"/>
      <c r="HC25" s="115"/>
      <c r="HD25" s="115"/>
      <c r="HE25" s="115"/>
      <c r="HF25" s="115"/>
      <c r="HG25" s="115"/>
      <c r="HH25" s="115"/>
      <c r="HI25" s="115"/>
      <c r="HJ25" s="115"/>
      <c r="HK25" s="115"/>
      <c r="HL25" s="115"/>
      <c r="HM25" s="115"/>
      <c r="HN25" s="115"/>
      <c r="HO25" s="115"/>
      <c r="HP25" s="115"/>
      <c r="HQ25" s="115"/>
      <c r="HR25" s="115"/>
      <c r="HS25" s="115"/>
      <c r="HT25" s="115"/>
      <c r="HU25" s="115"/>
      <c r="HV25" s="115"/>
      <c r="HW25" s="115"/>
      <c r="HX25" s="115"/>
      <c r="HY25" s="115"/>
      <c r="HZ25" s="115"/>
      <c r="IA25" s="115"/>
      <c r="IB25" s="115"/>
      <c r="IC25" s="115"/>
      <c r="ID25" s="115"/>
      <c r="IE25" s="115"/>
      <c r="IF25" s="115"/>
      <c r="IG25" s="115"/>
      <c r="IH25" s="115"/>
      <c r="II25" s="115"/>
      <c r="IJ25" s="115"/>
      <c r="IK25" s="115"/>
      <c r="IL25" s="115"/>
      <c r="IM25" s="115"/>
      <c r="IN25" s="115"/>
    </row>
    <row r="26" spans="1:248" x14ac:dyDescent="0.2">
      <c r="A26" s="119">
        <f t="shared" si="0"/>
        <v>42202</v>
      </c>
      <c r="B26" s="120" t="str">
        <f t="shared" si="1"/>
        <v>sex</v>
      </c>
      <c r="C26" s="121">
        <f>SUMIF(Table13[DIA],'07.2015'!A26:A55,Table13[QUANTIDADE DE HORAS])</f>
        <v>10</v>
      </c>
      <c r="D26" s="122"/>
      <c r="E26" s="123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5"/>
      <c r="AF26" s="115"/>
      <c r="AG26" s="115"/>
      <c r="AH26" s="115"/>
      <c r="AI26" s="115"/>
      <c r="AJ26" s="115"/>
      <c r="AK26" s="115"/>
      <c r="AL26" s="115"/>
      <c r="AM26" s="115"/>
      <c r="AN26" s="115"/>
      <c r="AO26" s="115"/>
      <c r="AP26" s="115"/>
      <c r="AQ26" s="115"/>
      <c r="AR26" s="115"/>
      <c r="AS26" s="115"/>
      <c r="AT26" s="115"/>
      <c r="AU26" s="115"/>
      <c r="AV26" s="115"/>
      <c r="AW26" s="115"/>
      <c r="AX26" s="115"/>
      <c r="AY26" s="115"/>
      <c r="AZ26" s="115"/>
      <c r="BA26" s="115"/>
      <c r="BB26" s="115"/>
      <c r="BC26" s="115"/>
      <c r="BD26" s="115"/>
      <c r="BE26" s="115"/>
      <c r="BF26" s="115"/>
      <c r="BG26" s="115"/>
      <c r="BH26" s="115"/>
      <c r="BI26" s="115"/>
      <c r="BJ26" s="115"/>
      <c r="BK26" s="115"/>
      <c r="BL26" s="115"/>
      <c r="BM26" s="115"/>
      <c r="BN26" s="115"/>
      <c r="BO26" s="115"/>
      <c r="BP26" s="115"/>
      <c r="BQ26" s="115"/>
      <c r="BR26" s="115"/>
      <c r="BS26" s="115"/>
      <c r="BT26" s="115"/>
      <c r="BU26" s="115"/>
      <c r="BV26" s="115"/>
      <c r="BW26" s="115"/>
      <c r="BX26" s="115"/>
      <c r="BY26" s="115"/>
      <c r="BZ26" s="115"/>
      <c r="CA26" s="115"/>
      <c r="CB26" s="115"/>
      <c r="CC26" s="115"/>
      <c r="CD26" s="115"/>
      <c r="CE26" s="115"/>
      <c r="CF26" s="115"/>
      <c r="CG26" s="115"/>
      <c r="CH26" s="115"/>
      <c r="CI26" s="115"/>
      <c r="CJ26" s="115"/>
      <c r="CK26" s="115"/>
      <c r="CL26" s="115"/>
      <c r="CM26" s="115"/>
      <c r="CN26" s="115"/>
      <c r="CO26" s="115"/>
      <c r="CP26" s="115"/>
      <c r="CQ26" s="115"/>
      <c r="CR26" s="115"/>
      <c r="CS26" s="115"/>
      <c r="CT26" s="115"/>
      <c r="CU26" s="115"/>
      <c r="CV26" s="115"/>
      <c r="CW26" s="115"/>
      <c r="CX26" s="115"/>
      <c r="CY26" s="115"/>
      <c r="CZ26" s="115"/>
      <c r="DA26" s="115"/>
      <c r="DB26" s="115"/>
      <c r="DC26" s="115"/>
      <c r="DD26" s="115"/>
      <c r="DE26" s="115"/>
      <c r="DF26" s="115"/>
      <c r="DG26" s="115"/>
      <c r="DH26" s="115"/>
      <c r="DI26" s="115"/>
      <c r="DJ26" s="115"/>
      <c r="DK26" s="115"/>
      <c r="DL26" s="115"/>
      <c r="DM26" s="115"/>
      <c r="DN26" s="115"/>
      <c r="DO26" s="115"/>
      <c r="DP26" s="115"/>
      <c r="DQ26" s="115"/>
      <c r="DR26" s="115"/>
      <c r="DS26" s="115"/>
      <c r="DT26" s="115"/>
      <c r="DU26" s="115"/>
      <c r="DV26" s="115"/>
      <c r="DW26" s="115"/>
      <c r="DX26" s="115"/>
      <c r="DY26" s="115"/>
      <c r="DZ26" s="115"/>
      <c r="EA26" s="115"/>
      <c r="EB26" s="115"/>
      <c r="EC26" s="115"/>
      <c r="ED26" s="115"/>
      <c r="EE26" s="115"/>
      <c r="EF26" s="115"/>
      <c r="EG26" s="115"/>
      <c r="EH26" s="115"/>
      <c r="EI26" s="115"/>
      <c r="EJ26" s="115"/>
      <c r="EK26" s="115"/>
      <c r="EL26" s="115"/>
      <c r="EM26" s="115"/>
      <c r="EN26" s="115"/>
      <c r="EO26" s="115"/>
      <c r="EP26" s="115"/>
      <c r="EQ26" s="115"/>
      <c r="ER26" s="115"/>
      <c r="ES26" s="115"/>
      <c r="ET26" s="115"/>
      <c r="EU26" s="115"/>
      <c r="EV26" s="115"/>
      <c r="EW26" s="115"/>
      <c r="EX26" s="115"/>
      <c r="EY26" s="115"/>
      <c r="EZ26" s="115"/>
      <c r="FA26" s="115"/>
      <c r="FB26" s="115"/>
      <c r="FC26" s="115"/>
      <c r="FD26" s="115"/>
      <c r="FE26" s="115"/>
      <c r="FF26" s="115"/>
      <c r="FG26" s="115"/>
      <c r="FH26" s="115"/>
      <c r="FI26" s="115"/>
      <c r="FJ26" s="115"/>
      <c r="FK26" s="115"/>
      <c r="FL26" s="115"/>
      <c r="FM26" s="115"/>
      <c r="FN26" s="115"/>
      <c r="FO26" s="115"/>
      <c r="FP26" s="115"/>
      <c r="FQ26" s="115"/>
      <c r="FR26" s="115"/>
      <c r="FS26" s="115"/>
      <c r="FT26" s="115"/>
      <c r="FU26" s="115"/>
      <c r="FV26" s="115"/>
      <c r="FW26" s="115"/>
      <c r="FX26" s="115"/>
      <c r="FY26" s="115"/>
      <c r="FZ26" s="115"/>
      <c r="GA26" s="115"/>
      <c r="GB26" s="115"/>
      <c r="GC26" s="115"/>
      <c r="GD26" s="115"/>
      <c r="GE26" s="115"/>
      <c r="GF26" s="115"/>
      <c r="GG26" s="115"/>
      <c r="GH26" s="115"/>
      <c r="GI26" s="115"/>
      <c r="GJ26" s="115"/>
      <c r="GK26" s="115"/>
      <c r="GL26" s="115"/>
      <c r="GM26" s="115"/>
      <c r="GN26" s="115"/>
      <c r="GO26" s="115"/>
      <c r="GP26" s="115"/>
      <c r="GQ26" s="115"/>
      <c r="GR26" s="115"/>
      <c r="GS26" s="115"/>
      <c r="GT26" s="115"/>
      <c r="GU26" s="115"/>
      <c r="GV26" s="115"/>
      <c r="GW26" s="115"/>
      <c r="GX26" s="115"/>
      <c r="GY26" s="115"/>
      <c r="GZ26" s="115"/>
      <c r="HA26" s="115"/>
      <c r="HB26" s="115"/>
      <c r="HC26" s="115"/>
      <c r="HD26" s="115"/>
      <c r="HE26" s="115"/>
      <c r="HF26" s="115"/>
      <c r="HG26" s="115"/>
      <c r="HH26" s="115"/>
      <c r="HI26" s="115"/>
      <c r="HJ26" s="115"/>
      <c r="HK26" s="115"/>
      <c r="HL26" s="115"/>
      <c r="HM26" s="115"/>
      <c r="HN26" s="115"/>
      <c r="HO26" s="115"/>
      <c r="HP26" s="115"/>
      <c r="HQ26" s="115"/>
      <c r="HR26" s="115"/>
      <c r="HS26" s="115"/>
      <c r="HT26" s="115"/>
      <c r="HU26" s="115"/>
      <c r="HV26" s="115"/>
      <c r="HW26" s="115"/>
      <c r="HX26" s="115"/>
      <c r="HY26" s="115"/>
      <c r="HZ26" s="115"/>
      <c r="IA26" s="115"/>
      <c r="IB26" s="115"/>
      <c r="IC26" s="115"/>
      <c r="ID26" s="115"/>
      <c r="IE26" s="115"/>
      <c r="IF26" s="115"/>
      <c r="IG26" s="115"/>
      <c r="IH26" s="115"/>
      <c r="II26" s="115"/>
      <c r="IJ26" s="115"/>
      <c r="IK26" s="115"/>
      <c r="IL26" s="115"/>
      <c r="IM26" s="115"/>
      <c r="IN26" s="115"/>
    </row>
    <row r="27" spans="1:248" x14ac:dyDescent="0.2">
      <c r="A27" s="119">
        <f t="shared" si="0"/>
        <v>42203</v>
      </c>
      <c r="B27" s="120" t="str">
        <f t="shared" si="1"/>
        <v>sáb</v>
      </c>
      <c r="C27" s="121">
        <f>SUMIF(Table13[DIA],'07.2015'!A27:A56,Table13[QUANTIDADE DE HORAS])</f>
        <v>10</v>
      </c>
      <c r="D27" s="122"/>
      <c r="E27" s="123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  <c r="AA27" s="115"/>
      <c r="AB27" s="115"/>
      <c r="AC27" s="115"/>
      <c r="AD27" s="115"/>
      <c r="AE27" s="115"/>
      <c r="AF27" s="115"/>
      <c r="AG27" s="115"/>
      <c r="AH27" s="115"/>
      <c r="AI27" s="115"/>
      <c r="AJ27" s="115"/>
      <c r="AK27" s="115"/>
      <c r="AL27" s="115"/>
      <c r="AM27" s="115"/>
      <c r="AN27" s="115"/>
      <c r="AO27" s="115"/>
      <c r="AP27" s="115"/>
      <c r="AQ27" s="115"/>
      <c r="AR27" s="115"/>
      <c r="AS27" s="115"/>
      <c r="AT27" s="115"/>
      <c r="AU27" s="115"/>
      <c r="AV27" s="115"/>
      <c r="AW27" s="115"/>
      <c r="AX27" s="115"/>
      <c r="AY27" s="115"/>
      <c r="AZ27" s="115"/>
      <c r="BA27" s="115"/>
      <c r="BB27" s="115"/>
      <c r="BC27" s="115"/>
      <c r="BD27" s="115"/>
      <c r="BE27" s="115"/>
      <c r="BF27" s="115"/>
      <c r="BG27" s="115"/>
      <c r="BH27" s="115"/>
      <c r="BI27" s="115"/>
      <c r="BJ27" s="115"/>
      <c r="BK27" s="115"/>
      <c r="BL27" s="115"/>
      <c r="BM27" s="115"/>
      <c r="BN27" s="115"/>
      <c r="BO27" s="115"/>
      <c r="BP27" s="115"/>
      <c r="BQ27" s="115"/>
      <c r="BR27" s="115"/>
      <c r="BS27" s="115"/>
      <c r="BT27" s="115"/>
      <c r="BU27" s="115"/>
      <c r="BV27" s="115"/>
      <c r="BW27" s="115"/>
      <c r="BX27" s="115"/>
      <c r="BY27" s="115"/>
      <c r="BZ27" s="115"/>
      <c r="CA27" s="115"/>
      <c r="CB27" s="115"/>
      <c r="CC27" s="115"/>
      <c r="CD27" s="115"/>
      <c r="CE27" s="115"/>
      <c r="CF27" s="115"/>
      <c r="CG27" s="115"/>
      <c r="CH27" s="115"/>
      <c r="CI27" s="115"/>
      <c r="CJ27" s="115"/>
      <c r="CK27" s="115"/>
      <c r="CL27" s="115"/>
      <c r="CM27" s="115"/>
      <c r="CN27" s="115"/>
      <c r="CO27" s="115"/>
      <c r="CP27" s="115"/>
      <c r="CQ27" s="115"/>
      <c r="CR27" s="115"/>
      <c r="CS27" s="115"/>
      <c r="CT27" s="115"/>
      <c r="CU27" s="115"/>
      <c r="CV27" s="115"/>
      <c r="CW27" s="115"/>
      <c r="CX27" s="115"/>
      <c r="CY27" s="115"/>
      <c r="CZ27" s="115"/>
      <c r="DA27" s="115"/>
      <c r="DB27" s="115"/>
      <c r="DC27" s="115"/>
      <c r="DD27" s="115"/>
      <c r="DE27" s="115"/>
      <c r="DF27" s="115"/>
      <c r="DG27" s="115"/>
      <c r="DH27" s="115"/>
      <c r="DI27" s="115"/>
      <c r="DJ27" s="115"/>
      <c r="DK27" s="115"/>
      <c r="DL27" s="115"/>
      <c r="DM27" s="115"/>
      <c r="DN27" s="115"/>
      <c r="DO27" s="115"/>
      <c r="DP27" s="115"/>
      <c r="DQ27" s="115"/>
      <c r="DR27" s="115"/>
      <c r="DS27" s="115"/>
      <c r="DT27" s="115"/>
      <c r="DU27" s="115"/>
      <c r="DV27" s="115"/>
      <c r="DW27" s="115"/>
      <c r="DX27" s="115"/>
      <c r="DY27" s="115"/>
      <c r="DZ27" s="115"/>
      <c r="EA27" s="115"/>
      <c r="EB27" s="115"/>
      <c r="EC27" s="115"/>
      <c r="ED27" s="115"/>
      <c r="EE27" s="115"/>
      <c r="EF27" s="115"/>
      <c r="EG27" s="115"/>
      <c r="EH27" s="115"/>
      <c r="EI27" s="115"/>
      <c r="EJ27" s="115"/>
      <c r="EK27" s="115"/>
      <c r="EL27" s="115"/>
      <c r="EM27" s="115"/>
      <c r="EN27" s="115"/>
      <c r="EO27" s="115"/>
      <c r="EP27" s="115"/>
      <c r="EQ27" s="115"/>
      <c r="ER27" s="115"/>
      <c r="ES27" s="115"/>
      <c r="ET27" s="115"/>
      <c r="EU27" s="115"/>
      <c r="EV27" s="115"/>
      <c r="EW27" s="115"/>
      <c r="EX27" s="115"/>
      <c r="EY27" s="115"/>
      <c r="EZ27" s="115"/>
      <c r="FA27" s="115"/>
      <c r="FB27" s="115"/>
      <c r="FC27" s="115"/>
      <c r="FD27" s="115"/>
      <c r="FE27" s="115"/>
      <c r="FF27" s="115"/>
      <c r="FG27" s="115"/>
      <c r="FH27" s="115"/>
      <c r="FI27" s="115"/>
      <c r="FJ27" s="115"/>
      <c r="FK27" s="115"/>
      <c r="FL27" s="115"/>
      <c r="FM27" s="115"/>
      <c r="FN27" s="115"/>
      <c r="FO27" s="115"/>
      <c r="FP27" s="115"/>
      <c r="FQ27" s="115"/>
      <c r="FR27" s="115"/>
      <c r="FS27" s="115"/>
      <c r="FT27" s="115"/>
      <c r="FU27" s="115"/>
      <c r="FV27" s="115"/>
      <c r="FW27" s="115"/>
      <c r="FX27" s="115"/>
      <c r="FY27" s="115"/>
      <c r="FZ27" s="115"/>
      <c r="GA27" s="115"/>
      <c r="GB27" s="115"/>
      <c r="GC27" s="115"/>
      <c r="GD27" s="115"/>
      <c r="GE27" s="115"/>
      <c r="GF27" s="115"/>
      <c r="GG27" s="115"/>
      <c r="GH27" s="115"/>
      <c r="GI27" s="115"/>
      <c r="GJ27" s="115"/>
      <c r="GK27" s="115"/>
      <c r="GL27" s="115"/>
      <c r="GM27" s="115"/>
      <c r="GN27" s="115"/>
      <c r="GO27" s="115"/>
      <c r="GP27" s="115"/>
      <c r="GQ27" s="115"/>
      <c r="GR27" s="115"/>
      <c r="GS27" s="115"/>
      <c r="GT27" s="115"/>
      <c r="GU27" s="115"/>
      <c r="GV27" s="115"/>
      <c r="GW27" s="115"/>
      <c r="GX27" s="115"/>
      <c r="GY27" s="115"/>
      <c r="GZ27" s="115"/>
      <c r="HA27" s="115"/>
      <c r="HB27" s="115"/>
      <c r="HC27" s="115"/>
      <c r="HD27" s="115"/>
      <c r="HE27" s="115"/>
      <c r="HF27" s="115"/>
      <c r="HG27" s="115"/>
      <c r="HH27" s="115"/>
      <c r="HI27" s="115"/>
      <c r="HJ27" s="115"/>
      <c r="HK27" s="115"/>
      <c r="HL27" s="115"/>
      <c r="HM27" s="115"/>
      <c r="HN27" s="115"/>
      <c r="HO27" s="115"/>
      <c r="HP27" s="115"/>
      <c r="HQ27" s="115"/>
      <c r="HR27" s="115"/>
      <c r="HS27" s="115"/>
      <c r="HT27" s="115"/>
      <c r="HU27" s="115"/>
      <c r="HV27" s="115"/>
      <c r="HW27" s="115"/>
      <c r="HX27" s="115"/>
      <c r="HY27" s="115"/>
      <c r="HZ27" s="115"/>
      <c r="IA27" s="115"/>
      <c r="IB27" s="115"/>
      <c r="IC27" s="115"/>
      <c r="ID27" s="115"/>
      <c r="IE27" s="115"/>
      <c r="IF27" s="115"/>
      <c r="IG27" s="115"/>
      <c r="IH27" s="115"/>
      <c r="II27" s="115"/>
      <c r="IJ27" s="115"/>
      <c r="IK27" s="115"/>
      <c r="IL27" s="115"/>
      <c r="IM27" s="115"/>
      <c r="IN27" s="115"/>
    </row>
    <row r="28" spans="1:248" x14ac:dyDescent="0.2">
      <c r="A28" s="119">
        <f t="shared" si="0"/>
        <v>42204</v>
      </c>
      <c r="B28" s="120" t="str">
        <f t="shared" si="1"/>
        <v>dom</v>
      </c>
      <c r="C28" s="121">
        <f>SUMIF(Table13[DIA],'07.2015'!A28:A57,Table13[QUANTIDADE DE HORAS])</f>
        <v>10</v>
      </c>
      <c r="D28" s="122"/>
      <c r="E28" s="123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  <c r="AA28" s="115"/>
      <c r="AB28" s="115"/>
      <c r="AC28" s="115"/>
      <c r="AD28" s="115"/>
      <c r="AE28" s="115"/>
      <c r="AF28" s="115"/>
      <c r="AG28" s="115"/>
      <c r="AH28" s="115"/>
      <c r="AI28" s="115"/>
      <c r="AJ28" s="115"/>
      <c r="AK28" s="115"/>
      <c r="AL28" s="115"/>
      <c r="AM28" s="115"/>
      <c r="AN28" s="115"/>
      <c r="AO28" s="115"/>
      <c r="AP28" s="115"/>
      <c r="AQ28" s="115"/>
      <c r="AR28" s="115"/>
      <c r="AS28" s="115"/>
      <c r="AT28" s="115"/>
      <c r="AU28" s="115"/>
      <c r="AV28" s="115"/>
      <c r="AW28" s="115"/>
      <c r="AX28" s="115"/>
      <c r="AY28" s="115"/>
      <c r="AZ28" s="115"/>
      <c r="BA28" s="115"/>
      <c r="BB28" s="115"/>
      <c r="BC28" s="115"/>
      <c r="BD28" s="115"/>
      <c r="BE28" s="115"/>
      <c r="BF28" s="115"/>
      <c r="BG28" s="115"/>
      <c r="BH28" s="115"/>
      <c r="BI28" s="115"/>
      <c r="BJ28" s="115"/>
      <c r="BK28" s="115"/>
      <c r="BL28" s="115"/>
      <c r="BM28" s="115"/>
      <c r="BN28" s="115"/>
      <c r="BO28" s="115"/>
      <c r="BP28" s="115"/>
      <c r="BQ28" s="115"/>
      <c r="BR28" s="115"/>
      <c r="BS28" s="115"/>
      <c r="BT28" s="115"/>
      <c r="BU28" s="115"/>
      <c r="BV28" s="115"/>
      <c r="BW28" s="115"/>
      <c r="BX28" s="115"/>
      <c r="BY28" s="115"/>
      <c r="BZ28" s="115"/>
      <c r="CA28" s="115"/>
      <c r="CB28" s="115"/>
      <c r="CC28" s="115"/>
      <c r="CD28" s="115"/>
      <c r="CE28" s="115"/>
      <c r="CF28" s="115"/>
      <c r="CG28" s="115"/>
      <c r="CH28" s="115"/>
      <c r="CI28" s="115"/>
      <c r="CJ28" s="115"/>
      <c r="CK28" s="115"/>
      <c r="CL28" s="115"/>
      <c r="CM28" s="115"/>
      <c r="CN28" s="115"/>
      <c r="CO28" s="115"/>
      <c r="CP28" s="115"/>
      <c r="CQ28" s="115"/>
      <c r="CR28" s="115"/>
      <c r="CS28" s="115"/>
      <c r="CT28" s="115"/>
      <c r="CU28" s="115"/>
      <c r="CV28" s="115"/>
      <c r="CW28" s="115"/>
      <c r="CX28" s="115"/>
      <c r="CY28" s="115"/>
      <c r="CZ28" s="115"/>
      <c r="DA28" s="115"/>
      <c r="DB28" s="115"/>
      <c r="DC28" s="115"/>
      <c r="DD28" s="115"/>
      <c r="DE28" s="115"/>
      <c r="DF28" s="115"/>
      <c r="DG28" s="115"/>
      <c r="DH28" s="115"/>
      <c r="DI28" s="115"/>
      <c r="DJ28" s="115"/>
      <c r="DK28" s="115"/>
      <c r="DL28" s="115"/>
      <c r="DM28" s="115"/>
      <c r="DN28" s="115"/>
      <c r="DO28" s="115"/>
      <c r="DP28" s="115"/>
      <c r="DQ28" s="115"/>
      <c r="DR28" s="115"/>
      <c r="DS28" s="115"/>
      <c r="DT28" s="115"/>
      <c r="DU28" s="115"/>
      <c r="DV28" s="115"/>
      <c r="DW28" s="115"/>
      <c r="DX28" s="115"/>
      <c r="DY28" s="115"/>
      <c r="DZ28" s="115"/>
      <c r="EA28" s="115"/>
      <c r="EB28" s="115"/>
      <c r="EC28" s="115"/>
      <c r="ED28" s="115"/>
      <c r="EE28" s="115"/>
      <c r="EF28" s="115"/>
      <c r="EG28" s="115"/>
      <c r="EH28" s="115"/>
      <c r="EI28" s="115"/>
      <c r="EJ28" s="115"/>
      <c r="EK28" s="115"/>
      <c r="EL28" s="115"/>
      <c r="EM28" s="115"/>
      <c r="EN28" s="115"/>
      <c r="EO28" s="115"/>
      <c r="EP28" s="115"/>
      <c r="EQ28" s="115"/>
      <c r="ER28" s="115"/>
      <c r="ES28" s="115"/>
      <c r="ET28" s="115"/>
      <c r="EU28" s="115"/>
      <c r="EV28" s="115"/>
      <c r="EW28" s="115"/>
      <c r="EX28" s="115"/>
      <c r="EY28" s="115"/>
      <c r="EZ28" s="115"/>
      <c r="FA28" s="115"/>
      <c r="FB28" s="115"/>
      <c r="FC28" s="115"/>
      <c r="FD28" s="115"/>
      <c r="FE28" s="115"/>
      <c r="FF28" s="115"/>
      <c r="FG28" s="115"/>
      <c r="FH28" s="115"/>
      <c r="FI28" s="115"/>
      <c r="FJ28" s="115"/>
      <c r="FK28" s="115"/>
      <c r="FL28" s="115"/>
      <c r="FM28" s="115"/>
      <c r="FN28" s="115"/>
      <c r="FO28" s="115"/>
      <c r="FP28" s="115"/>
      <c r="FQ28" s="115"/>
      <c r="FR28" s="115"/>
      <c r="FS28" s="115"/>
      <c r="FT28" s="115"/>
      <c r="FU28" s="115"/>
      <c r="FV28" s="115"/>
      <c r="FW28" s="115"/>
      <c r="FX28" s="115"/>
      <c r="FY28" s="115"/>
      <c r="FZ28" s="115"/>
      <c r="GA28" s="115"/>
      <c r="GB28" s="115"/>
      <c r="GC28" s="115"/>
      <c r="GD28" s="115"/>
      <c r="GE28" s="115"/>
      <c r="GF28" s="115"/>
      <c r="GG28" s="115"/>
      <c r="GH28" s="115"/>
      <c r="GI28" s="115"/>
      <c r="GJ28" s="115"/>
      <c r="GK28" s="115"/>
      <c r="GL28" s="115"/>
      <c r="GM28" s="115"/>
      <c r="GN28" s="115"/>
      <c r="GO28" s="115"/>
      <c r="GP28" s="115"/>
      <c r="GQ28" s="115"/>
      <c r="GR28" s="115"/>
      <c r="GS28" s="115"/>
      <c r="GT28" s="115"/>
      <c r="GU28" s="115"/>
      <c r="GV28" s="115"/>
      <c r="GW28" s="115"/>
      <c r="GX28" s="115"/>
      <c r="GY28" s="115"/>
      <c r="GZ28" s="115"/>
      <c r="HA28" s="115"/>
      <c r="HB28" s="115"/>
      <c r="HC28" s="115"/>
      <c r="HD28" s="115"/>
      <c r="HE28" s="115"/>
      <c r="HF28" s="115"/>
      <c r="HG28" s="115"/>
      <c r="HH28" s="115"/>
      <c r="HI28" s="115"/>
      <c r="HJ28" s="115"/>
      <c r="HK28" s="115"/>
      <c r="HL28" s="115"/>
      <c r="HM28" s="115"/>
      <c r="HN28" s="115"/>
      <c r="HO28" s="115"/>
      <c r="HP28" s="115"/>
      <c r="HQ28" s="115"/>
      <c r="HR28" s="115"/>
      <c r="HS28" s="115"/>
      <c r="HT28" s="115"/>
      <c r="HU28" s="115"/>
      <c r="HV28" s="115"/>
      <c r="HW28" s="115"/>
      <c r="HX28" s="115"/>
      <c r="HY28" s="115"/>
      <c r="HZ28" s="115"/>
      <c r="IA28" s="115"/>
      <c r="IB28" s="115"/>
      <c r="IC28" s="115"/>
      <c r="ID28" s="115"/>
      <c r="IE28" s="115"/>
      <c r="IF28" s="115"/>
      <c r="IG28" s="115"/>
      <c r="IH28" s="115"/>
      <c r="II28" s="115"/>
      <c r="IJ28" s="115"/>
      <c r="IK28" s="115"/>
      <c r="IL28" s="115"/>
      <c r="IM28" s="115"/>
      <c r="IN28" s="115"/>
    </row>
    <row r="29" spans="1:248" x14ac:dyDescent="0.2">
      <c r="A29" s="119">
        <f t="shared" si="0"/>
        <v>42205</v>
      </c>
      <c r="B29" s="120" t="str">
        <f t="shared" si="1"/>
        <v>seg</v>
      </c>
      <c r="C29" s="121">
        <f>SUMIF(Table13[DIA],'07.2015'!A29:A58,Table13[QUANTIDADE DE HORAS])</f>
        <v>0</v>
      </c>
      <c r="D29" s="122"/>
      <c r="E29" s="124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5"/>
      <c r="AF29" s="115"/>
      <c r="AG29" s="115"/>
      <c r="AH29" s="115"/>
      <c r="AI29" s="115"/>
      <c r="AJ29" s="115"/>
      <c r="AK29" s="115"/>
      <c r="AL29" s="115"/>
      <c r="AM29" s="115"/>
      <c r="AN29" s="115"/>
      <c r="AO29" s="115"/>
      <c r="AP29" s="115"/>
      <c r="AQ29" s="115"/>
      <c r="AR29" s="115"/>
      <c r="AS29" s="115"/>
      <c r="AT29" s="115"/>
      <c r="AU29" s="115"/>
      <c r="AV29" s="115"/>
      <c r="AW29" s="115"/>
      <c r="AX29" s="115"/>
      <c r="AY29" s="115"/>
      <c r="AZ29" s="115"/>
      <c r="BA29" s="115"/>
      <c r="BB29" s="115"/>
      <c r="BC29" s="115"/>
      <c r="BD29" s="115"/>
      <c r="BE29" s="115"/>
      <c r="BF29" s="115"/>
      <c r="BG29" s="115"/>
      <c r="BH29" s="115"/>
      <c r="BI29" s="115"/>
      <c r="BJ29" s="115"/>
      <c r="BK29" s="115"/>
      <c r="BL29" s="115"/>
      <c r="BM29" s="115"/>
      <c r="BN29" s="115"/>
      <c r="BO29" s="115"/>
      <c r="BP29" s="115"/>
      <c r="BQ29" s="115"/>
      <c r="BR29" s="115"/>
      <c r="BS29" s="115"/>
      <c r="BT29" s="115"/>
      <c r="BU29" s="115"/>
      <c r="BV29" s="115"/>
      <c r="BW29" s="115"/>
      <c r="BX29" s="115"/>
      <c r="BY29" s="115"/>
      <c r="BZ29" s="115"/>
      <c r="CA29" s="115"/>
      <c r="CB29" s="115"/>
      <c r="CC29" s="115"/>
      <c r="CD29" s="115"/>
      <c r="CE29" s="115"/>
      <c r="CF29" s="115"/>
      <c r="CG29" s="115"/>
      <c r="CH29" s="115"/>
      <c r="CI29" s="115"/>
      <c r="CJ29" s="115"/>
      <c r="CK29" s="115"/>
      <c r="CL29" s="115"/>
      <c r="CM29" s="115"/>
      <c r="CN29" s="115"/>
      <c r="CO29" s="115"/>
      <c r="CP29" s="115"/>
      <c r="CQ29" s="115"/>
      <c r="CR29" s="115"/>
      <c r="CS29" s="115"/>
      <c r="CT29" s="115"/>
      <c r="CU29" s="115"/>
      <c r="CV29" s="115"/>
      <c r="CW29" s="115"/>
      <c r="CX29" s="115"/>
      <c r="CY29" s="115"/>
      <c r="CZ29" s="115"/>
      <c r="DA29" s="115"/>
      <c r="DB29" s="115"/>
      <c r="DC29" s="115"/>
      <c r="DD29" s="115"/>
      <c r="DE29" s="115"/>
      <c r="DF29" s="115"/>
      <c r="DG29" s="115"/>
      <c r="DH29" s="115"/>
      <c r="DI29" s="115"/>
      <c r="DJ29" s="115"/>
      <c r="DK29" s="115"/>
      <c r="DL29" s="115"/>
      <c r="DM29" s="115"/>
      <c r="DN29" s="115"/>
      <c r="DO29" s="115"/>
      <c r="DP29" s="115"/>
      <c r="DQ29" s="115"/>
      <c r="DR29" s="115"/>
      <c r="DS29" s="115"/>
      <c r="DT29" s="115"/>
      <c r="DU29" s="115"/>
      <c r="DV29" s="115"/>
      <c r="DW29" s="115"/>
      <c r="DX29" s="115"/>
      <c r="DY29" s="115"/>
      <c r="DZ29" s="115"/>
      <c r="EA29" s="115"/>
      <c r="EB29" s="115"/>
      <c r="EC29" s="115"/>
      <c r="ED29" s="115"/>
      <c r="EE29" s="115"/>
      <c r="EF29" s="115"/>
      <c r="EG29" s="115"/>
      <c r="EH29" s="115"/>
      <c r="EI29" s="115"/>
      <c r="EJ29" s="115"/>
      <c r="EK29" s="115"/>
      <c r="EL29" s="115"/>
      <c r="EM29" s="115"/>
      <c r="EN29" s="115"/>
      <c r="EO29" s="115"/>
      <c r="EP29" s="115"/>
      <c r="EQ29" s="115"/>
      <c r="ER29" s="115"/>
      <c r="ES29" s="115"/>
      <c r="ET29" s="115"/>
      <c r="EU29" s="115"/>
      <c r="EV29" s="115"/>
      <c r="EW29" s="115"/>
      <c r="EX29" s="115"/>
      <c r="EY29" s="115"/>
      <c r="EZ29" s="115"/>
      <c r="FA29" s="115"/>
      <c r="FB29" s="115"/>
      <c r="FC29" s="115"/>
      <c r="FD29" s="115"/>
      <c r="FE29" s="115"/>
      <c r="FF29" s="115"/>
      <c r="FG29" s="115"/>
      <c r="FH29" s="115"/>
      <c r="FI29" s="115"/>
      <c r="FJ29" s="115"/>
      <c r="FK29" s="115"/>
      <c r="FL29" s="115"/>
      <c r="FM29" s="115"/>
      <c r="FN29" s="115"/>
      <c r="FO29" s="115"/>
      <c r="FP29" s="115"/>
      <c r="FQ29" s="115"/>
      <c r="FR29" s="115"/>
      <c r="FS29" s="115"/>
      <c r="FT29" s="115"/>
      <c r="FU29" s="115"/>
      <c r="FV29" s="115"/>
      <c r="FW29" s="115"/>
      <c r="FX29" s="115"/>
      <c r="FY29" s="115"/>
      <c r="FZ29" s="115"/>
      <c r="GA29" s="115"/>
      <c r="GB29" s="115"/>
      <c r="GC29" s="115"/>
      <c r="GD29" s="115"/>
      <c r="GE29" s="115"/>
      <c r="GF29" s="115"/>
      <c r="GG29" s="115"/>
      <c r="GH29" s="115"/>
      <c r="GI29" s="115"/>
      <c r="GJ29" s="115"/>
      <c r="GK29" s="115"/>
      <c r="GL29" s="115"/>
      <c r="GM29" s="115"/>
      <c r="GN29" s="115"/>
      <c r="GO29" s="115"/>
      <c r="GP29" s="115"/>
      <c r="GQ29" s="115"/>
      <c r="GR29" s="115"/>
      <c r="GS29" s="115"/>
      <c r="GT29" s="115"/>
      <c r="GU29" s="115"/>
      <c r="GV29" s="115"/>
      <c r="GW29" s="115"/>
      <c r="GX29" s="115"/>
      <c r="GY29" s="115"/>
      <c r="GZ29" s="115"/>
      <c r="HA29" s="115"/>
      <c r="HB29" s="115"/>
      <c r="HC29" s="115"/>
      <c r="HD29" s="115"/>
      <c r="HE29" s="115"/>
      <c r="HF29" s="115"/>
      <c r="HG29" s="115"/>
      <c r="HH29" s="115"/>
      <c r="HI29" s="115"/>
      <c r="HJ29" s="115"/>
      <c r="HK29" s="115"/>
      <c r="HL29" s="115"/>
      <c r="HM29" s="115"/>
      <c r="HN29" s="115"/>
      <c r="HO29" s="115"/>
      <c r="HP29" s="115"/>
      <c r="HQ29" s="115"/>
      <c r="HR29" s="115"/>
      <c r="HS29" s="115"/>
      <c r="HT29" s="115"/>
      <c r="HU29" s="115"/>
      <c r="HV29" s="115"/>
      <c r="HW29" s="115"/>
      <c r="HX29" s="115"/>
      <c r="HY29" s="115"/>
      <c r="HZ29" s="115"/>
      <c r="IA29" s="115"/>
      <c r="IB29" s="115"/>
      <c r="IC29" s="115"/>
      <c r="ID29" s="115"/>
      <c r="IE29" s="115"/>
      <c r="IF29" s="115"/>
      <c r="IG29" s="115"/>
      <c r="IH29" s="115"/>
      <c r="II29" s="115"/>
      <c r="IJ29" s="115"/>
      <c r="IK29" s="115"/>
      <c r="IL29" s="115"/>
      <c r="IM29" s="115"/>
      <c r="IN29" s="115"/>
    </row>
    <row r="30" spans="1:248" x14ac:dyDescent="0.2">
      <c r="A30" s="119">
        <f t="shared" si="0"/>
        <v>42206</v>
      </c>
      <c r="B30" s="120" t="str">
        <f t="shared" si="1"/>
        <v>ter</v>
      </c>
      <c r="C30" s="121">
        <f>SUMIF(Table13[DIA],'07.2015'!A30:A59,Table13[QUANTIDADE DE HORAS])</f>
        <v>0</v>
      </c>
      <c r="D30" s="122"/>
      <c r="E30" s="123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5"/>
      <c r="AF30" s="115"/>
      <c r="AG30" s="115"/>
      <c r="AH30" s="115"/>
      <c r="AI30" s="115"/>
      <c r="AJ30" s="115"/>
      <c r="AK30" s="115"/>
      <c r="AL30" s="115"/>
      <c r="AM30" s="115"/>
      <c r="AN30" s="115"/>
      <c r="AO30" s="115"/>
      <c r="AP30" s="115"/>
      <c r="AQ30" s="115"/>
      <c r="AR30" s="115"/>
      <c r="AS30" s="115"/>
      <c r="AT30" s="115"/>
      <c r="AU30" s="115"/>
      <c r="AV30" s="115"/>
      <c r="AW30" s="115"/>
      <c r="AX30" s="115"/>
      <c r="AY30" s="115"/>
      <c r="AZ30" s="115"/>
      <c r="BA30" s="115"/>
      <c r="BB30" s="115"/>
      <c r="BC30" s="115"/>
      <c r="BD30" s="115"/>
      <c r="BE30" s="115"/>
      <c r="BF30" s="115"/>
      <c r="BG30" s="115"/>
      <c r="BH30" s="115"/>
      <c r="BI30" s="115"/>
      <c r="BJ30" s="115"/>
      <c r="BK30" s="115"/>
      <c r="BL30" s="115"/>
      <c r="BM30" s="115"/>
      <c r="BN30" s="115"/>
      <c r="BO30" s="115"/>
      <c r="BP30" s="115"/>
      <c r="BQ30" s="115"/>
      <c r="BR30" s="115"/>
      <c r="BS30" s="115"/>
      <c r="BT30" s="115"/>
      <c r="BU30" s="115"/>
      <c r="BV30" s="115"/>
      <c r="BW30" s="115"/>
      <c r="BX30" s="115"/>
      <c r="BY30" s="115"/>
      <c r="BZ30" s="115"/>
      <c r="CA30" s="115"/>
      <c r="CB30" s="115"/>
      <c r="CC30" s="115"/>
      <c r="CD30" s="115"/>
      <c r="CE30" s="115"/>
      <c r="CF30" s="115"/>
      <c r="CG30" s="115"/>
      <c r="CH30" s="115"/>
      <c r="CI30" s="115"/>
      <c r="CJ30" s="115"/>
      <c r="CK30" s="115"/>
      <c r="CL30" s="115"/>
      <c r="CM30" s="115"/>
      <c r="CN30" s="115"/>
      <c r="CO30" s="115"/>
      <c r="CP30" s="115"/>
      <c r="CQ30" s="115"/>
      <c r="CR30" s="115"/>
      <c r="CS30" s="115"/>
      <c r="CT30" s="115"/>
      <c r="CU30" s="115"/>
      <c r="CV30" s="115"/>
      <c r="CW30" s="115"/>
      <c r="CX30" s="115"/>
      <c r="CY30" s="115"/>
      <c r="CZ30" s="115"/>
      <c r="DA30" s="115"/>
      <c r="DB30" s="115"/>
      <c r="DC30" s="115"/>
      <c r="DD30" s="115"/>
      <c r="DE30" s="115"/>
      <c r="DF30" s="115"/>
      <c r="DG30" s="115"/>
      <c r="DH30" s="115"/>
      <c r="DI30" s="115"/>
      <c r="DJ30" s="115"/>
      <c r="DK30" s="115"/>
      <c r="DL30" s="115"/>
      <c r="DM30" s="115"/>
      <c r="DN30" s="115"/>
      <c r="DO30" s="115"/>
      <c r="DP30" s="115"/>
      <c r="DQ30" s="115"/>
      <c r="DR30" s="115"/>
      <c r="DS30" s="115"/>
      <c r="DT30" s="115"/>
      <c r="DU30" s="115"/>
      <c r="DV30" s="115"/>
      <c r="DW30" s="115"/>
      <c r="DX30" s="115"/>
      <c r="DY30" s="115"/>
      <c r="DZ30" s="115"/>
      <c r="EA30" s="115"/>
      <c r="EB30" s="115"/>
      <c r="EC30" s="115"/>
      <c r="ED30" s="115"/>
      <c r="EE30" s="115"/>
      <c r="EF30" s="115"/>
      <c r="EG30" s="115"/>
      <c r="EH30" s="115"/>
      <c r="EI30" s="115"/>
      <c r="EJ30" s="115"/>
      <c r="EK30" s="115"/>
      <c r="EL30" s="115"/>
      <c r="EM30" s="115"/>
      <c r="EN30" s="115"/>
      <c r="EO30" s="115"/>
      <c r="EP30" s="115"/>
      <c r="EQ30" s="115"/>
      <c r="ER30" s="115"/>
      <c r="ES30" s="115"/>
      <c r="ET30" s="115"/>
      <c r="EU30" s="115"/>
      <c r="EV30" s="115"/>
      <c r="EW30" s="115"/>
      <c r="EX30" s="115"/>
      <c r="EY30" s="115"/>
      <c r="EZ30" s="115"/>
      <c r="FA30" s="115"/>
      <c r="FB30" s="115"/>
      <c r="FC30" s="115"/>
      <c r="FD30" s="115"/>
      <c r="FE30" s="115"/>
      <c r="FF30" s="115"/>
      <c r="FG30" s="115"/>
      <c r="FH30" s="115"/>
      <c r="FI30" s="115"/>
      <c r="FJ30" s="115"/>
      <c r="FK30" s="115"/>
      <c r="FL30" s="115"/>
      <c r="FM30" s="115"/>
      <c r="FN30" s="115"/>
      <c r="FO30" s="115"/>
      <c r="FP30" s="115"/>
      <c r="FQ30" s="115"/>
      <c r="FR30" s="115"/>
      <c r="FS30" s="115"/>
      <c r="FT30" s="115"/>
      <c r="FU30" s="115"/>
      <c r="FV30" s="115"/>
      <c r="FW30" s="115"/>
      <c r="FX30" s="115"/>
      <c r="FY30" s="115"/>
      <c r="FZ30" s="115"/>
      <c r="GA30" s="115"/>
      <c r="GB30" s="115"/>
      <c r="GC30" s="115"/>
      <c r="GD30" s="115"/>
      <c r="GE30" s="115"/>
      <c r="GF30" s="115"/>
      <c r="GG30" s="115"/>
      <c r="GH30" s="115"/>
      <c r="GI30" s="115"/>
      <c r="GJ30" s="115"/>
      <c r="GK30" s="115"/>
      <c r="GL30" s="115"/>
      <c r="GM30" s="115"/>
      <c r="GN30" s="115"/>
      <c r="GO30" s="115"/>
      <c r="GP30" s="115"/>
      <c r="GQ30" s="115"/>
      <c r="GR30" s="115"/>
      <c r="GS30" s="115"/>
      <c r="GT30" s="115"/>
      <c r="GU30" s="115"/>
      <c r="GV30" s="115"/>
      <c r="GW30" s="115"/>
      <c r="GX30" s="115"/>
      <c r="GY30" s="115"/>
      <c r="GZ30" s="115"/>
      <c r="HA30" s="115"/>
      <c r="HB30" s="115"/>
      <c r="HC30" s="115"/>
      <c r="HD30" s="115"/>
      <c r="HE30" s="115"/>
      <c r="HF30" s="115"/>
      <c r="HG30" s="115"/>
      <c r="HH30" s="115"/>
      <c r="HI30" s="115"/>
      <c r="HJ30" s="115"/>
      <c r="HK30" s="115"/>
      <c r="HL30" s="115"/>
      <c r="HM30" s="115"/>
      <c r="HN30" s="115"/>
      <c r="HO30" s="115"/>
      <c r="HP30" s="115"/>
      <c r="HQ30" s="115"/>
      <c r="HR30" s="115"/>
      <c r="HS30" s="115"/>
      <c r="HT30" s="115"/>
      <c r="HU30" s="115"/>
      <c r="HV30" s="115"/>
      <c r="HW30" s="115"/>
      <c r="HX30" s="115"/>
      <c r="HY30" s="115"/>
      <c r="HZ30" s="115"/>
      <c r="IA30" s="115"/>
      <c r="IB30" s="115"/>
      <c r="IC30" s="115"/>
      <c r="ID30" s="115"/>
      <c r="IE30" s="115"/>
      <c r="IF30" s="115"/>
      <c r="IG30" s="115"/>
      <c r="IH30" s="115"/>
      <c r="II30" s="115"/>
      <c r="IJ30" s="115"/>
      <c r="IK30" s="115"/>
      <c r="IL30" s="115"/>
      <c r="IM30" s="115"/>
      <c r="IN30" s="115"/>
    </row>
    <row r="31" spans="1:248" x14ac:dyDescent="0.2">
      <c r="A31" s="119">
        <f t="shared" si="0"/>
        <v>42207</v>
      </c>
      <c r="B31" s="120" t="str">
        <f t="shared" si="1"/>
        <v>qua</v>
      </c>
      <c r="C31" s="121">
        <f>SUMIF(Table13[DIA],'07.2015'!A31:A60,Table13[QUANTIDADE DE HORAS])</f>
        <v>0</v>
      </c>
      <c r="D31" s="122"/>
      <c r="E31" s="123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5"/>
      <c r="AF31" s="115"/>
      <c r="AG31" s="115"/>
      <c r="AH31" s="115"/>
      <c r="AI31" s="115"/>
      <c r="AJ31" s="115"/>
      <c r="AK31" s="115"/>
      <c r="AL31" s="115"/>
      <c r="AM31" s="115"/>
      <c r="AN31" s="115"/>
      <c r="AO31" s="115"/>
      <c r="AP31" s="115"/>
      <c r="AQ31" s="115"/>
      <c r="AR31" s="115"/>
      <c r="AS31" s="115"/>
      <c r="AT31" s="115"/>
      <c r="AU31" s="115"/>
      <c r="AV31" s="115"/>
      <c r="AW31" s="115"/>
      <c r="AX31" s="115"/>
      <c r="AY31" s="115"/>
      <c r="AZ31" s="115"/>
      <c r="BA31" s="115"/>
      <c r="BB31" s="115"/>
      <c r="BC31" s="115"/>
      <c r="BD31" s="115"/>
      <c r="BE31" s="115"/>
      <c r="BF31" s="115"/>
      <c r="BG31" s="115"/>
      <c r="BH31" s="115"/>
      <c r="BI31" s="115"/>
      <c r="BJ31" s="115"/>
      <c r="BK31" s="115"/>
      <c r="BL31" s="115"/>
      <c r="BM31" s="115"/>
      <c r="BN31" s="115"/>
      <c r="BO31" s="115"/>
      <c r="BP31" s="115"/>
      <c r="BQ31" s="115"/>
      <c r="BR31" s="115"/>
      <c r="BS31" s="115"/>
      <c r="BT31" s="115"/>
      <c r="BU31" s="115"/>
      <c r="BV31" s="115"/>
      <c r="BW31" s="115"/>
      <c r="BX31" s="115"/>
      <c r="BY31" s="115"/>
      <c r="BZ31" s="115"/>
      <c r="CA31" s="115"/>
      <c r="CB31" s="115"/>
      <c r="CC31" s="115"/>
      <c r="CD31" s="115"/>
      <c r="CE31" s="115"/>
      <c r="CF31" s="115"/>
      <c r="CG31" s="115"/>
      <c r="CH31" s="115"/>
      <c r="CI31" s="115"/>
      <c r="CJ31" s="115"/>
      <c r="CK31" s="115"/>
      <c r="CL31" s="115"/>
      <c r="CM31" s="115"/>
      <c r="CN31" s="115"/>
      <c r="CO31" s="115"/>
      <c r="CP31" s="115"/>
      <c r="CQ31" s="115"/>
      <c r="CR31" s="115"/>
      <c r="CS31" s="115"/>
      <c r="CT31" s="115"/>
      <c r="CU31" s="115"/>
      <c r="CV31" s="115"/>
      <c r="CW31" s="115"/>
      <c r="CX31" s="115"/>
      <c r="CY31" s="115"/>
      <c r="CZ31" s="115"/>
      <c r="DA31" s="115"/>
      <c r="DB31" s="115"/>
      <c r="DC31" s="115"/>
      <c r="DD31" s="115"/>
      <c r="DE31" s="115"/>
      <c r="DF31" s="115"/>
      <c r="DG31" s="115"/>
      <c r="DH31" s="115"/>
      <c r="DI31" s="115"/>
      <c r="DJ31" s="115"/>
      <c r="DK31" s="115"/>
      <c r="DL31" s="115"/>
      <c r="DM31" s="115"/>
      <c r="DN31" s="115"/>
      <c r="DO31" s="115"/>
      <c r="DP31" s="115"/>
      <c r="DQ31" s="115"/>
      <c r="DR31" s="115"/>
      <c r="DS31" s="115"/>
      <c r="DT31" s="115"/>
      <c r="DU31" s="115"/>
      <c r="DV31" s="115"/>
      <c r="DW31" s="115"/>
      <c r="DX31" s="115"/>
      <c r="DY31" s="115"/>
      <c r="DZ31" s="115"/>
      <c r="EA31" s="115"/>
      <c r="EB31" s="115"/>
      <c r="EC31" s="115"/>
      <c r="ED31" s="115"/>
      <c r="EE31" s="115"/>
      <c r="EF31" s="115"/>
      <c r="EG31" s="115"/>
      <c r="EH31" s="115"/>
      <c r="EI31" s="115"/>
      <c r="EJ31" s="115"/>
      <c r="EK31" s="115"/>
      <c r="EL31" s="115"/>
      <c r="EM31" s="115"/>
      <c r="EN31" s="115"/>
      <c r="EO31" s="115"/>
      <c r="EP31" s="115"/>
      <c r="EQ31" s="115"/>
      <c r="ER31" s="115"/>
      <c r="ES31" s="115"/>
      <c r="ET31" s="115"/>
      <c r="EU31" s="115"/>
      <c r="EV31" s="115"/>
      <c r="EW31" s="115"/>
      <c r="EX31" s="115"/>
      <c r="EY31" s="115"/>
      <c r="EZ31" s="115"/>
      <c r="FA31" s="115"/>
      <c r="FB31" s="115"/>
      <c r="FC31" s="115"/>
      <c r="FD31" s="115"/>
      <c r="FE31" s="115"/>
      <c r="FF31" s="115"/>
      <c r="FG31" s="115"/>
      <c r="FH31" s="115"/>
      <c r="FI31" s="115"/>
      <c r="FJ31" s="115"/>
      <c r="FK31" s="115"/>
      <c r="FL31" s="115"/>
      <c r="FM31" s="115"/>
      <c r="FN31" s="115"/>
      <c r="FO31" s="115"/>
      <c r="FP31" s="115"/>
      <c r="FQ31" s="115"/>
      <c r="FR31" s="115"/>
      <c r="FS31" s="115"/>
      <c r="FT31" s="115"/>
      <c r="FU31" s="115"/>
      <c r="FV31" s="115"/>
      <c r="FW31" s="115"/>
      <c r="FX31" s="115"/>
      <c r="FY31" s="115"/>
      <c r="FZ31" s="115"/>
      <c r="GA31" s="115"/>
      <c r="GB31" s="115"/>
      <c r="GC31" s="115"/>
      <c r="GD31" s="115"/>
      <c r="GE31" s="115"/>
      <c r="GF31" s="115"/>
      <c r="GG31" s="115"/>
      <c r="GH31" s="115"/>
      <c r="GI31" s="115"/>
      <c r="GJ31" s="115"/>
      <c r="GK31" s="115"/>
      <c r="GL31" s="115"/>
      <c r="GM31" s="115"/>
      <c r="GN31" s="115"/>
      <c r="GO31" s="115"/>
      <c r="GP31" s="115"/>
      <c r="GQ31" s="115"/>
      <c r="GR31" s="115"/>
      <c r="GS31" s="115"/>
      <c r="GT31" s="115"/>
      <c r="GU31" s="115"/>
      <c r="GV31" s="115"/>
      <c r="GW31" s="115"/>
      <c r="GX31" s="115"/>
      <c r="GY31" s="115"/>
      <c r="GZ31" s="115"/>
      <c r="HA31" s="115"/>
      <c r="HB31" s="115"/>
      <c r="HC31" s="115"/>
      <c r="HD31" s="115"/>
      <c r="HE31" s="115"/>
      <c r="HF31" s="115"/>
      <c r="HG31" s="115"/>
      <c r="HH31" s="115"/>
      <c r="HI31" s="115"/>
      <c r="HJ31" s="115"/>
      <c r="HK31" s="115"/>
      <c r="HL31" s="115"/>
      <c r="HM31" s="115"/>
      <c r="HN31" s="115"/>
      <c r="HO31" s="115"/>
      <c r="HP31" s="115"/>
      <c r="HQ31" s="115"/>
      <c r="HR31" s="115"/>
      <c r="HS31" s="115"/>
      <c r="HT31" s="115"/>
      <c r="HU31" s="115"/>
      <c r="HV31" s="115"/>
      <c r="HW31" s="115"/>
      <c r="HX31" s="115"/>
      <c r="HY31" s="115"/>
      <c r="HZ31" s="115"/>
      <c r="IA31" s="115"/>
      <c r="IB31" s="115"/>
      <c r="IC31" s="115"/>
      <c r="ID31" s="115"/>
      <c r="IE31" s="115"/>
      <c r="IF31" s="115"/>
      <c r="IG31" s="115"/>
      <c r="IH31" s="115"/>
      <c r="II31" s="115"/>
      <c r="IJ31" s="115"/>
      <c r="IK31" s="115"/>
      <c r="IL31" s="115"/>
      <c r="IM31" s="115"/>
      <c r="IN31" s="115"/>
    </row>
    <row r="32" spans="1:248" x14ac:dyDescent="0.2">
      <c r="A32" s="119">
        <f t="shared" si="0"/>
        <v>42208</v>
      </c>
      <c r="B32" s="120" t="str">
        <f t="shared" si="1"/>
        <v>qui</v>
      </c>
      <c r="C32" s="121">
        <f>SUMIF(Table13[DIA],'07.2015'!A32:A61,Table13[QUANTIDADE DE HORAS])</f>
        <v>0</v>
      </c>
      <c r="D32" s="122"/>
      <c r="E32" s="123"/>
      <c r="F32" s="115"/>
      <c r="G32" s="115"/>
      <c r="H32" s="115"/>
      <c r="I32" s="115"/>
      <c r="J32" s="115"/>
      <c r="K32" s="115"/>
      <c r="L32" s="115"/>
      <c r="M32" s="115"/>
      <c r="N32" s="115"/>
      <c r="O32" s="115"/>
      <c r="P32" s="115"/>
      <c r="Q32" s="115"/>
      <c r="R32" s="115"/>
      <c r="S32" s="115"/>
      <c r="T32" s="115"/>
      <c r="U32" s="115"/>
      <c r="V32" s="115"/>
      <c r="W32" s="115"/>
      <c r="X32" s="115"/>
      <c r="Y32" s="115"/>
      <c r="Z32" s="115"/>
      <c r="AA32" s="115"/>
      <c r="AB32" s="115"/>
      <c r="AC32" s="115"/>
      <c r="AD32" s="115"/>
      <c r="AE32" s="115"/>
      <c r="AF32" s="115"/>
      <c r="AG32" s="115"/>
      <c r="AH32" s="115"/>
      <c r="AI32" s="115"/>
      <c r="AJ32" s="115"/>
      <c r="AK32" s="115"/>
      <c r="AL32" s="115"/>
      <c r="AM32" s="115"/>
      <c r="AN32" s="115"/>
      <c r="AO32" s="115"/>
      <c r="AP32" s="115"/>
      <c r="AQ32" s="115"/>
      <c r="AR32" s="115"/>
      <c r="AS32" s="115"/>
      <c r="AT32" s="115"/>
      <c r="AU32" s="115"/>
      <c r="AV32" s="115"/>
      <c r="AW32" s="115"/>
      <c r="AX32" s="115"/>
      <c r="AY32" s="115"/>
      <c r="AZ32" s="115"/>
      <c r="BA32" s="115"/>
      <c r="BB32" s="115"/>
      <c r="BC32" s="115"/>
      <c r="BD32" s="115"/>
      <c r="BE32" s="115"/>
      <c r="BF32" s="115"/>
      <c r="BG32" s="115"/>
      <c r="BH32" s="115"/>
      <c r="BI32" s="115"/>
      <c r="BJ32" s="115"/>
      <c r="BK32" s="115"/>
      <c r="BL32" s="115"/>
      <c r="BM32" s="115"/>
      <c r="BN32" s="115"/>
      <c r="BO32" s="115"/>
      <c r="BP32" s="115"/>
      <c r="BQ32" s="115"/>
      <c r="BR32" s="115"/>
      <c r="BS32" s="115"/>
      <c r="BT32" s="115"/>
      <c r="BU32" s="115"/>
      <c r="BV32" s="115"/>
      <c r="BW32" s="115"/>
      <c r="BX32" s="115"/>
      <c r="BY32" s="115"/>
      <c r="BZ32" s="115"/>
      <c r="CA32" s="115"/>
      <c r="CB32" s="115"/>
      <c r="CC32" s="115"/>
      <c r="CD32" s="115"/>
      <c r="CE32" s="115"/>
      <c r="CF32" s="115"/>
      <c r="CG32" s="115"/>
      <c r="CH32" s="115"/>
      <c r="CI32" s="115"/>
      <c r="CJ32" s="115"/>
      <c r="CK32" s="115"/>
      <c r="CL32" s="115"/>
      <c r="CM32" s="115"/>
      <c r="CN32" s="115"/>
      <c r="CO32" s="115"/>
      <c r="CP32" s="115"/>
      <c r="CQ32" s="115"/>
      <c r="CR32" s="115"/>
      <c r="CS32" s="115"/>
      <c r="CT32" s="115"/>
      <c r="CU32" s="115"/>
      <c r="CV32" s="115"/>
      <c r="CW32" s="115"/>
      <c r="CX32" s="115"/>
      <c r="CY32" s="115"/>
      <c r="CZ32" s="115"/>
      <c r="DA32" s="115"/>
      <c r="DB32" s="115"/>
      <c r="DC32" s="115"/>
      <c r="DD32" s="115"/>
      <c r="DE32" s="115"/>
      <c r="DF32" s="115"/>
      <c r="DG32" s="115"/>
      <c r="DH32" s="115"/>
      <c r="DI32" s="115"/>
      <c r="DJ32" s="115"/>
      <c r="DK32" s="115"/>
      <c r="DL32" s="115"/>
      <c r="DM32" s="115"/>
      <c r="DN32" s="115"/>
      <c r="DO32" s="115"/>
      <c r="DP32" s="115"/>
      <c r="DQ32" s="115"/>
      <c r="DR32" s="115"/>
      <c r="DS32" s="115"/>
      <c r="DT32" s="115"/>
      <c r="DU32" s="115"/>
      <c r="DV32" s="115"/>
      <c r="DW32" s="115"/>
      <c r="DX32" s="115"/>
      <c r="DY32" s="115"/>
      <c r="DZ32" s="115"/>
      <c r="EA32" s="115"/>
      <c r="EB32" s="115"/>
      <c r="EC32" s="115"/>
      <c r="ED32" s="115"/>
      <c r="EE32" s="115"/>
      <c r="EF32" s="115"/>
      <c r="EG32" s="115"/>
      <c r="EH32" s="115"/>
      <c r="EI32" s="115"/>
      <c r="EJ32" s="115"/>
      <c r="EK32" s="115"/>
      <c r="EL32" s="115"/>
      <c r="EM32" s="115"/>
      <c r="EN32" s="115"/>
      <c r="EO32" s="115"/>
      <c r="EP32" s="115"/>
      <c r="EQ32" s="115"/>
      <c r="ER32" s="115"/>
      <c r="ES32" s="115"/>
      <c r="ET32" s="115"/>
      <c r="EU32" s="115"/>
      <c r="EV32" s="115"/>
      <c r="EW32" s="115"/>
      <c r="EX32" s="115"/>
      <c r="EY32" s="115"/>
      <c r="EZ32" s="115"/>
      <c r="FA32" s="115"/>
      <c r="FB32" s="115"/>
      <c r="FC32" s="115"/>
      <c r="FD32" s="115"/>
      <c r="FE32" s="115"/>
      <c r="FF32" s="115"/>
      <c r="FG32" s="115"/>
      <c r="FH32" s="115"/>
      <c r="FI32" s="115"/>
      <c r="FJ32" s="115"/>
      <c r="FK32" s="115"/>
      <c r="FL32" s="115"/>
      <c r="FM32" s="115"/>
      <c r="FN32" s="115"/>
      <c r="FO32" s="115"/>
      <c r="FP32" s="115"/>
      <c r="FQ32" s="115"/>
      <c r="FR32" s="115"/>
      <c r="FS32" s="115"/>
      <c r="FT32" s="115"/>
      <c r="FU32" s="115"/>
      <c r="FV32" s="115"/>
      <c r="FW32" s="115"/>
      <c r="FX32" s="115"/>
      <c r="FY32" s="115"/>
      <c r="FZ32" s="115"/>
      <c r="GA32" s="115"/>
      <c r="GB32" s="115"/>
      <c r="GC32" s="115"/>
      <c r="GD32" s="115"/>
      <c r="GE32" s="115"/>
      <c r="GF32" s="115"/>
      <c r="GG32" s="115"/>
      <c r="GH32" s="115"/>
      <c r="GI32" s="115"/>
      <c r="GJ32" s="115"/>
      <c r="GK32" s="115"/>
      <c r="GL32" s="115"/>
      <c r="GM32" s="115"/>
      <c r="GN32" s="115"/>
      <c r="GO32" s="115"/>
      <c r="GP32" s="115"/>
      <c r="GQ32" s="115"/>
      <c r="GR32" s="115"/>
      <c r="GS32" s="115"/>
      <c r="GT32" s="115"/>
      <c r="GU32" s="115"/>
      <c r="GV32" s="115"/>
      <c r="GW32" s="115"/>
      <c r="GX32" s="115"/>
      <c r="GY32" s="115"/>
      <c r="GZ32" s="115"/>
      <c r="HA32" s="115"/>
      <c r="HB32" s="115"/>
      <c r="HC32" s="115"/>
      <c r="HD32" s="115"/>
      <c r="HE32" s="115"/>
      <c r="HF32" s="115"/>
      <c r="HG32" s="115"/>
      <c r="HH32" s="115"/>
      <c r="HI32" s="115"/>
      <c r="HJ32" s="115"/>
      <c r="HK32" s="115"/>
      <c r="HL32" s="115"/>
      <c r="HM32" s="115"/>
      <c r="HN32" s="115"/>
      <c r="HO32" s="115"/>
      <c r="HP32" s="115"/>
      <c r="HQ32" s="115"/>
      <c r="HR32" s="115"/>
      <c r="HS32" s="115"/>
      <c r="HT32" s="115"/>
      <c r="HU32" s="115"/>
      <c r="HV32" s="115"/>
      <c r="HW32" s="115"/>
      <c r="HX32" s="115"/>
      <c r="HY32" s="115"/>
      <c r="HZ32" s="115"/>
      <c r="IA32" s="115"/>
      <c r="IB32" s="115"/>
      <c r="IC32" s="115"/>
      <c r="ID32" s="115"/>
      <c r="IE32" s="115"/>
      <c r="IF32" s="115"/>
      <c r="IG32" s="115"/>
      <c r="IH32" s="115"/>
      <c r="II32" s="115"/>
      <c r="IJ32" s="115"/>
      <c r="IK32" s="115"/>
      <c r="IL32" s="115"/>
      <c r="IM32" s="115"/>
      <c r="IN32" s="115"/>
    </row>
    <row r="33" spans="1:255" x14ac:dyDescent="0.2">
      <c r="A33" s="119">
        <f t="shared" si="0"/>
        <v>42209</v>
      </c>
      <c r="B33" s="120" t="str">
        <f t="shared" si="1"/>
        <v>sex</v>
      </c>
      <c r="C33" s="121">
        <f>SUMIF(Table13[DIA],'07.2015'!A33:A62,Table13[QUANTIDADE DE HORAS])</f>
        <v>0</v>
      </c>
      <c r="D33" s="122"/>
      <c r="E33" s="123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  <c r="X33" s="115"/>
      <c r="Y33" s="115"/>
      <c r="Z33" s="115"/>
      <c r="AA33" s="115"/>
      <c r="AB33" s="115"/>
      <c r="AC33" s="115"/>
      <c r="AD33" s="115"/>
      <c r="AE33" s="115"/>
      <c r="AF33" s="115"/>
      <c r="AG33" s="115"/>
      <c r="AH33" s="115"/>
      <c r="AI33" s="115"/>
      <c r="AJ33" s="115"/>
      <c r="AK33" s="115"/>
      <c r="AL33" s="115"/>
      <c r="AM33" s="115"/>
      <c r="AN33" s="115"/>
      <c r="AO33" s="115"/>
      <c r="AP33" s="115"/>
      <c r="AQ33" s="115"/>
      <c r="AR33" s="115"/>
      <c r="AS33" s="115"/>
      <c r="AT33" s="115"/>
      <c r="AU33" s="115"/>
      <c r="AV33" s="115"/>
      <c r="AW33" s="115"/>
      <c r="AX33" s="115"/>
      <c r="AY33" s="115"/>
      <c r="AZ33" s="115"/>
      <c r="BA33" s="115"/>
      <c r="BB33" s="115"/>
      <c r="BC33" s="115"/>
      <c r="BD33" s="115"/>
      <c r="BE33" s="115"/>
      <c r="BF33" s="115"/>
      <c r="BG33" s="115"/>
      <c r="BH33" s="115"/>
      <c r="BI33" s="115"/>
      <c r="BJ33" s="115"/>
      <c r="BK33" s="115"/>
      <c r="BL33" s="115"/>
      <c r="BM33" s="115"/>
      <c r="BN33" s="115"/>
      <c r="BO33" s="115"/>
      <c r="BP33" s="115"/>
      <c r="BQ33" s="115"/>
      <c r="BR33" s="115"/>
      <c r="BS33" s="115"/>
      <c r="BT33" s="115"/>
      <c r="BU33" s="115"/>
      <c r="BV33" s="115"/>
      <c r="BW33" s="115"/>
      <c r="BX33" s="115"/>
      <c r="BY33" s="115"/>
      <c r="BZ33" s="115"/>
      <c r="CA33" s="115"/>
      <c r="CB33" s="115"/>
      <c r="CC33" s="115"/>
      <c r="CD33" s="115"/>
      <c r="CE33" s="115"/>
      <c r="CF33" s="115"/>
      <c r="CG33" s="115"/>
      <c r="CH33" s="115"/>
      <c r="CI33" s="115"/>
      <c r="CJ33" s="115"/>
      <c r="CK33" s="115"/>
      <c r="CL33" s="115"/>
      <c r="CM33" s="115"/>
      <c r="CN33" s="115"/>
      <c r="CO33" s="115"/>
      <c r="CP33" s="115"/>
      <c r="CQ33" s="115"/>
      <c r="CR33" s="115"/>
      <c r="CS33" s="115"/>
      <c r="CT33" s="115"/>
      <c r="CU33" s="115"/>
      <c r="CV33" s="115"/>
      <c r="CW33" s="115"/>
      <c r="CX33" s="115"/>
      <c r="CY33" s="115"/>
      <c r="CZ33" s="115"/>
      <c r="DA33" s="115"/>
      <c r="DB33" s="115"/>
      <c r="DC33" s="115"/>
      <c r="DD33" s="115"/>
      <c r="DE33" s="115"/>
      <c r="DF33" s="115"/>
      <c r="DG33" s="115"/>
      <c r="DH33" s="115"/>
      <c r="DI33" s="115"/>
      <c r="DJ33" s="115"/>
      <c r="DK33" s="115"/>
      <c r="DL33" s="115"/>
      <c r="DM33" s="115"/>
      <c r="DN33" s="115"/>
      <c r="DO33" s="115"/>
      <c r="DP33" s="115"/>
      <c r="DQ33" s="115"/>
      <c r="DR33" s="115"/>
      <c r="DS33" s="115"/>
      <c r="DT33" s="115"/>
      <c r="DU33" s="115"/>
      <c r="DV33" s="115"/>
      <c r="DW33" s="115"/>
      <c r="DX33" s="115"/>
      <c r="DY33" s="115"/>
      <c r="DZ33" s="115"/>
      <c r="EA33" s="115"/>
      <c r="EB33" s="115"/>
      <c r="EC33" s="115"/>
      <c r="ED33" s="115"/>
      <c r="EE33" s="115"/>
      <c r="EF33" s="115"/>
      <c r="EG33" s="115"/>
      <c r="EH33" s="115"/>
      <c r="EI33" s="115"/>
      <c r="EJ33" s="115"/>
      <c r="EK33" s="115"/>
      <c r="EL33" s="115"/>
      <c r="EM33" s="115"/>
      <c r="EN33" s="115"/>
      <c r="EO33" s="115"/>
      <c r="EP33" s="115"/>
      <c r="EQ33" s="115"/>
      <c r="ER33" s="115"/>
      <c r="ES33" s="115"/>
      <c r="ET33" s="115"/>
      <c r="EU33" s="115"/>
      <c r="EV33" s="115"/>
      <c r="EW33" s="115"/>
      <c r="EX33" s="115"/>
      <c r="EY33" s="115"/>
      <c r="EZ33" s="115"/>
      <c r="FA33" s="115"/>
      <c r="FB33" s="115"/>
      <c r="FC33" s="115"/>
      <c r="FD33" s="115"/>
      <c r="FE33" s="115"/>
      <c r="FF33" s="115"/>
      <c r="FG33" s="115"/>
      <c r="FH33" s="115"/>
      <c r="FI33" s="115"/>
      <c r="FJ33" s="115"/>
      <c r="FK33" s="115"/>
      <c r="FL33" s="115"/>
      <c r="FM33" s="115"/>
      <c r="FN33" s="115"/>
      <c r="FO33" s="115"/>
      <c r="FP33" s="115"/>
      <c r="FQ33" s="115"/>
      <c r="FR33" s="115"/>
      <c r="FS33" s="115"/>
      <c r="FT33" s="115"/>
      <c r="FU33" s="115"/>
      <c r="FV33" s="115"/>
      <c r="FW33" s="115"/>
      <c r="FX33" s="115"/>
      <c r="FY33" s="115"/>
      <c r="FZ33" s="115"/>
      <c r="GA33" s="115"/>
      <c r="GB33" s="115"/>
      <c r="GC33" s="115"/>
      <c r="GD33" s="115"/>
      <c r="GE33" s="115"/>
      <c r="GF33" s="115"/>
      <c r="GG33" s="115"/>
      <c r="GH33" s="115"/>
      <c r="GI33" s="115"/>
      <c r="GJ33" s="115"/>
      <c r="GK33" s="115"/>
      <c r="GL33" s="115"/>
      <c r="GM33" s="115"/>
      <c r="GN33" s="115"/>
      <c r="GO33" s="115"/>
      <c r="GP33" s="115"/>
      <c r="GQ33" s="115"/>
      <c r="GR33" s="115"/>
      <c r="GS33" s="115"/>
      <c r="GT33" s="115"/>
      <c r="GU33" s="115"/>
      <c r="GV33" s="115"/>
      <c r="GW33" s="115"/>
      <c r="GX33" s="115"/>
      <c r="GY33" s="115"/>
      <c r="GZ33" s="115"/>
      <c r="HA33" s="115"/>
      <c r="HB33" s="115"/>
      <c r="HC33" s="115"/>
      <c r="HD33" s="115"/>
      <c r="HE33" s="115"/>
      <c r="HF33" s="115"/>
      <c r="HG33" s="115"/>
      <c r="HH33" s="115"/>
      <c r="HI33" s="115"/>
      <c r="HJ33" s="115"/>
      <c r="HK33" s="115"/>
      <c r="HL33" s="115"/>
      <c r="HM33" s="115"/>
      <c r="HN33" s="115"/>
      <c r="HO33" s="115"/>
      <c r="HP33" s="115"/>
      <c r="HQ33" s="115"/>
      <c r="HR33" s="115"/>
      <c r="HS33" s="115"/>
      <c r="HT33" s="115"/>
      <c r="HU33" s="115"/>
      <c r="HV33" s="115"/>
      <c r="HW33" s="115"/>
      <c r="HX33" s="115"/>
      <c r="HY33" s="115"/>
      <c r="HZ33" s="115"/>
      <c r="IA33" s="115"/>
      <c r="IB33" s="115"/>
      <c r="IC33" s="115"/>
      <c r="ID33" s="115"/>
      <c r="IE33" s="115"/>
      <c r="IF33" s="115"/>
      <c r="IG33" s="115"/>
      <c r="IH33" s="115"/>
      <c r="II33" s="115"/>
      <c r="IJ33" s="115"/>
      <c r="IK33" s="115"/>
      <c r="IL33" s="115"/>
      <c r="IM33" s="115"/>
      <c r="IN33" s="115"/>
    </row>
    <row r="34" spans="1:255" x14ac:dyDescent="0.2">
      <c r="A34" s="119">
        <f t="shared" si="0"/>
        <v>42210</v>
      </c>
      <c r="B34" s="120" t="str">
        <f t="shared" si="1"/>
        <v>sáb</v>
      </c>
      <c r="C34" s="121">
        <f>SUMIF(Table13[DIA],'07.2015'!A34:A63,Table13[QUANTIDADE DE HORAS])</f>
        <v>0</v>
      </c>
      <c r="D34" s="122"/>
      <c r="E34" s="123"/>
      <c r="F34" s="115"/>
      <c r="G34" s="115"/>
      <c r="H34" s="115"/>
      <c r="I34" s="115"/>
      <c r="J34" s="115"/>
      <c r="K34" s="115"/>
      <c r="L34" s="115"/>
      <c r="M34" s="115"/>
      <c r="N34" s="115"/>
      <c r="O34" s="115"/>
      <c r="P34" s="115"/>
      <c r="Q34" s="115"/>
      <c r="R34" s="115"/>
      <c r="S34" s="115"/>
      <c r="T34" s="115"/>
      <c r="U34" s="115"/>
      <c r="V34" s="115"/>
      <c r="W34" s="115"/>
      <c r="X34" s="115"/>
      <c r="Y34" s="115"/>
      <c r="Z34" s="115"/>
      <c r="AA34" s="115"/>
      <c r="AB34" s="115"/>
      <c r="AC34" s="115"/>
      <c r="AD34" s="115"/>
      <c r="AE34" s="115"/>
      <c r="AF34" s="115"/>
      <c r="AG34" s="115"/>
      <c r="AH34" s="115"/>
      <c r="AI34" s="115"/>
      <c r="AJ34" s="115"/>
      <c r="AK34" s="115"/>
      <c r="AL34" s="115"/>
      <c r="AM34" s="115"/>
      <c r="AN34" s="115"/>
      <c r="AO34" s="115"/>
      <c r="AP34" s="115"/>
      <c r="AQ34" s="115"/>
      <c r="AR34" s="115"/>
      <c r="AS34" s="115"/>
      <c r="AT34" s="115"/>
      <c r="AU34" s="115"/>
      <c r="AV34" s="115"/>
      <c r="AW34" s="115"/>
      <c r="AX34" s="115"/>
      <c r="AY34" s="115"/>
      <c r="AZ34" s="115"/>
      <c r="BA34" s="115"/>
      <c r="BB34" s="115"/>
      <c r="BC34" s="115"/>
      <c r="BD34" s="115"/>
      <c r="BE34" s="115"/>
      <c r="BF34" s="115"/>
      <c r="BG34" s="115"/>
      <c r="BH34" s="115"/>
      <c r="BI34" s="115"/>
      <c r="BJ34" s="115"/>
      <c r="BK34" s="115"/>
      <c r="BL34" s="115"/>
      <c r="BM34" s="115"/>
      <c r="BN34" s="115"/>
      <c r="BO34" s="115"/>
      <c r="BP34" s="115"/>
      <c r="BQ34" s="115"/>
      <c r="BR34" s="115"/>
      <c r="BS34" s="115"/>
      <c r="BT34" s="115"/>
      <c r="BU34" s="115"/>
      <c r="BV34" s="115"/>
      <c r="BW34" s="115"/>
      <c r="BX34" s="115"/>
      <c r="BY34" s="115"/>
      <c r="BZ34" s="115"/>
      <c r="CA34" s="115"/>
      <c r="CB34" s="115"/>
      <c r="CC34" s="115"/>
      <c r="CD34" s="115"/>
      <c r="CE34" s="115"/>
      <c r="CF34" s="115"/>
      <c r="CG34" s="115"/>
      <c r="CH34" s="115"/>
      <c r="CI34" s="115"/>
      <c r="CJ34" s="115"/>
      <c r="CK34" s="115"/>
      <c r="CL34" s="115"/>
      <c r="CM34" s="115"/>
      <c r="CN34" s="115"/>
      <c r="CO34" s="115"/>
      <c r="CP34" s="115"/>
      <c r="CQ34" s="115"/>
      <c r="CR34" s="115"/>
      <c r="CS34" s="115"/>
      <c r="CT34" s="115"/>
      <c r="CU34" s="115"/>
      <c r="CV34" s="115"/>
      <c r="CW34" s="115"/>
      <c r="CX34" s="115"/>
      <c r="CY34" s="115"/>
      <c r="CZ34" s="115"/>
      <c r="DA34" s="115"/>
      <c r="DB34" s="115"/>
      <c r="DC34" s="115"/>
      <c r="DD34" s="115"/>
      <c r="DE34" s="115"/>
      <c r="DF34" s="115"/>
      <c r="DG34" s="115"/>
      <c r="DH34" s="115"/>
      <c r="DI34" s="115"/>
      <c r="DJ34" s="115"/>
      <c r="DK34" s="115"/>
      <c r="DL34" s="115"/>
      <c r="DM34" s="115"/>
      <c r="DN34" s="115"/>
      <c r="DO34" s="115"/>
      <c r="DP34" s="115"/>
      <c r="DQ34" s="115"/>
      <c r="DR34" s="115"/>
      <c r="DS34" s="115"/>
      <c r="DT34" s="115"/>
      <c r="DU34" s="115"/>
      <c r="DV34" s="115"/>
      <c r="DW34" s="115"/>
      <c r="DX34" s="115"/>
      <c r="DY34" s="115"/>
      <c r="DZ34" s="115"/>
      <c r="EA34" s="115"/>
      <c r="EB34" s="115"/>
      <c r="EC34" s="115"/>
      <c r="ED34" s="115"/>
      <c r="EE34" s="115"/>
      <c r="EF34" s="115"/>
      <c r="EG34" s="115"/>
      <c r="EH34" s="115"/>
      <c r="EI34" s="115"/>
      <c r="EJ34" s="115"/>
      <c r="EK34" s="115"/>
      <c r="EL34" s="115"/>
      <c r="EM34" s="115"/>
      <c r="EN34" s="115"/>
      <c r="EO34" s="115"/>
      <c r="EP34" s="115"/>
      <c r="EQ34" s="115"/>
      <c r="ER34" s="115"/>
      <c r="ES34" s="115"/>
      <c r="ET34" s="115"/>
      <c r="EU34" s="115"/>
      <c r="EV34" s="115"/>
      <c r="EW34" s="115"/>
      <c r="EX34" s="115"/>
      <c r="EY34" s="115"/>
      <c r="EZ34" s="115"/>
      <c r="FA34" s="115"/>
      <c r="FB34" s="115"/>
      <c r="FC34" s="115"/>
      <c r="FD34" s="115"/>
      <c r="FE34" s="115"/>
      <c r="FF34" s="115"/>
      <c r="FG34" s="115"/>
      <c r="FH34" s="115"/>
      <c r="FI34" s="115"/>
      <c r="FJ34" s="115"/>
      <c r="FK34" s="115"/>
      <c r="FL34" s="115"/>
      <c r="FM34" s="115"/>
      <c r="FN34" s="115"/>
      <c r="FO34" s="115"/>
      <c r="FP34" s="115"/>
      <c r="FQ34" s="115"/>
      <c r="FR34" s="115"/>
      <c r="FS34" s="115"/>
      <c r="FT34" s="115"/>
      <c r="FU34" s="115"/>
      <c r="FV34" s="115"/>
      <c r="FW34" s="115"/>
      <c r="FX34" s="115"/>
      <c r="FY34" s="115"/>
      <c r="FZ34" s="115"/>
      <c r="GA34" s="115"/>
      <c r="GB34" s="115"/>
      <c r="GC34" s="115"/>
      <c r="GD34" s="115"/>
      <c r="GE34" s="115"/>
      <c r="GF34" s="115"/>
      <c r="GG34" s="115"/>
      <c r="GH34" s="115"/>
      <c r="GI34" s="115"/>
      <c r="GJ34" s="115"/>
      <c r="GK34" s="115"/>
      <c r="GL34" s="115"/>
      <c r="GM34" s="115"/>
      <c r="GN34" s="115"/>
      <c r="GO34" s="115"/>
      <c r="GP34" s="115"/>
      <c r="GQ34" s="115"/>
      <c r="GR34" s="115"/>
      <c r="GS34" s="115"/>
      <c r="GT34" s="115"/>
      <c r="GU34" s="115"/>
      <c r="GV34" s="115"/>
      <c r="GW34" s="115"/>
      <c r="GX34" s="115"/>
      <c r="GY34" s="115"/>
      <c r="GZ34" s="115"/>
      <c r="HA34" s="115"/>
      <c r="HB34" s="115"/>
      <c r="HC34" s="115"/>
      <c r="HD34" s="115"/>
      <c r="HE34" s="115"/>
      <c r="HF34" s="115"/>
      <c r="HG34" s="115"/>
      <c r="HH34" s="115"/>
      <c r="HI34" s="115"/>
      <c r="HJ34" s="115"/>
      <c r="HK34" s="115"/>
      <c r="HL34" s="115"/>
      <c r="HM34" s="115"/>
      <c r="HN34" s="115"/>
      <c r="HO34" s="115"/>
      <c r="HP34" s="115"/>
      <c r="HQ34" s="115"/>
      <c r="HR34" s="115"/>
      <c r="HS34" s="115"/>
      <c r="HT34" s="115"/>
      <c r="HU34" s="115"/>
      <c r="HV34" s="115"/>
      <c r="HW34" s="115"/>
      <c r="HX34" s="115"/>
      <c r="HY34" s="115"/>
      <c r="HZ34" s="115"/>
      <c r="IA34" s="115"/>
      <c r="IB34" s="115"/>
      <c r="IC34" s="115"/>
      <c r="ID34" s="115"/>
      <c r="IE34" s="115"/>
      <c r="IF34" s="115"/>
      <c r="IG34" s="115"/>
      <c r="IH34" s="115"/>
      <c r="II34" s="115"/>
      <c r="IJ34" s="115"/>
      <c r="IK34" s="115"/>
      <c r="IL34" s="115"/>
      <c r="IM34" s="115"/>
      <c r="IN34" s="115"/>
    </row>
    <row r="35" spans="1:255" x14ac:dyDescent="0.2">
      <c r="A35" s="119">
        <f t="shared" si="0"/>
        <v>42211</v>
      </c>
      <c r="B35" s="120" t="str">
        <f t="shared" si="1"/>
        <v>dom</v>
      </c>
      <c r="C35" s="121">
        <f>SUMIF(Table13[DIA],'07.2015'!A35:A64,Table13[QUANTIDADE DE HORAS])</f>
        <v>0</v>
      </c>
      <c r="D35" s="122"/>
      <c r="E35" s="123"/>
      <c r="F35" s="115"/>
      <c r="G35" s="115"/>
      <c r="H35" s="115"/>
      <c r="I35" s="115"/>
      <c r="J35" s="115"/>
      <c r="K35" s="115"/>
      <c r="L35" s="115"/>
      <c r="M35" s="115"/>
      <c r="N35" s="115"/>
      <c r="O35" s="115"/>
      <c r="P35" s="115"/>
      <c r="Q35" s="115"/>
      <c r="R35" s="115"/>
      <c r="S35" s="115"/>
      <c r="T35" s="115"/>
      <c r="U35" s="115"/>
      <c r="V35" s="115"/>
      <c r="W35" s="115"/>
      <c r="X35" s="115"/>
      <c r="Y35" s="115"/>
      <c r="Z35" s="115"/>
      <c r="AA35" s="115"/>
      <c r="AB35" s="115"/>
      <c r="AC35" s="115"/>
      <c r="AD35" s="115"/>
      <c r="AE35" s="115"/>
      <c r="AF35" s="115"/>
      <c r="AG35" s="115"/>
      <c r="AH35" s="115"/>
      <c r="AI35" s="115"/>
      <c r="AJ35" s="115"/>
      <c r="AK35" s="115"/>
      <c r="AL35" s="115"/>
      <c r="AM35" s="115"/>
      <c r="AN35" s="115"/>
      <c r="AO35" s="115"/>
      <c r="AP35" s="115"/>
      <c r="AQ35" s="115"/>
      <c r="AR35" s="115"/>
      <c r="AS35" s="115"/>
      <c r="AT35" s="115"/>
      <c r="AU35" s="115"/>
      <c r="AV35" s="115"/>
      <c r="AW35" s="115"/>
      <c r="AX35" s="115"/>
      <c r="AY35" s="115"/>
      <c r="AZ35" s="115"/>
      <c r="BA35" s="115"/>
      <c r="BB35" s="115"/>
      <c r="BC35" s="115"/>
      <c r="BD35" s="115"/>
      <c r="BE35" s="115"/>
      <c r="BF35" s="115"/>
      <c r="BG35" s="115"/>
      <c r="BH35" s="115"/>
      <c r="BI35" s="115"/>
      <c r="BJ35" s="115"/>
      <c r="BK35" s="115"/>
      <c r="BL35" s="115"/>
      <c r="BM35" s="115"/>
      <c r="BN35" s="115"/>
      <c r="BO35" s="115"/>
      <c r="BP35" s="115"/>
      <c r="BQ35" s="115"/>
      <c r="BR35" s="115"/>
      <c r="BS35" s="115"/>
      <c r="BT35" s="115"/>
      <c r="BU35" s="115"/>
      <c r="BV35" s="115"/>
      <c r="BW35" s="115"/>
      <c r="BX35" s="115"/>
      <c r="BY35" s="115"/>
      <c r="BZ35" s="115"/>
      <c r="CA35" s="115"/>
      <c r="CB35" s="115"/>
      <c r="CC35" s="115"/>
      <c r="CD35" s="115"/>
      <c r="CE35" s="115"/>
      <c r="CF35" s="115"/>
      <c r="CG35" s="115"/>
      <c r="CH35" s="115"/>
      <c r="CI35" s="115"/>
      <c r="CJ35" s="115"/>
      <c r="CK35" s="115"/>
      <c r="CL35" s="115"/>
      <c r="CM35" s="115"/>
      <c r="CN35" s="115"/>
      <c r="CO35" s="115"/>
      <c r="CP35" s="115"/>
      <c r="CQ35" s="115"/>
      <c r="CR35" s="115"/>
      <c r="CS35" s="115"/>
      <c r="CT35" s="115"/>
      <c r="CU35" s="115"/>
      <c r="CV35" s="115"/>
      <c r="CW35" s="115"/>
      <c r="CX35" s="115"/>
      <c r="CY35" s="115"/>
      <c r="CZ35" s="115"/>
      <c r="DA35" s="115"/>
      <c r="DB35" s="115"/>
      <c r="DC35" s="115"/>
      <c r="DD35" s="115"/>
      <c r="DE35" s="115"/>
      <c r="DF35" s="115"/>
      <c r="DG35" s="115"/>
      <c r="DH35" s="115"/>
      <c r="DI35" s="115"/>
      <c r="DJ35" s="115"/>
      <c r="DK35" s="115"/>
      <c r="DL35" s="115"/>
      <c r="DM35" s="115"/>
      <c r="DN35" s="115"/>
      <c r="DO35" s="115"/>
      <c r="DP35" s="115"/>
      <c r="DQ35" s="115"/>
      <c r="DR35" s="115"/>
      <c r="DS35" s="115"/>
      <c r="DT35" s="115"/>
      <c r="DU35" s="115"/>
      <c r="DV35" s="115"/>
      <c r="DW35" s="115"/>
      <c r="DX35" s="115"/>
      <c r="DY35" s="115"/>
      <c r="DZ35" s="115"/>
      <c r="EA35" s="115"/>
      <c r="EB35" s="115"/>
      <c r="EC35" s="115"/>
      <c r="ED35" s="115"/>
      <c r="EE35" s="115"/>
      <c r="EF35" s="115"/>
      <c r="EG35" s="115"/>
      <c r="EH35" s="115"/>
      <c r="EI35" s="115"/>
      <c r="EJ35" s="115"/>
      <c r="EK35" s="115"/>
      <c r="EL35" s="115"/>
      <c r="EM35" s="115"/>
      <c r="EN35" s="115"/>
      <c r="EO35" s="115"/>
      <c r="EP35" s="115"/>
      <c r="EQ35" s="115"/>
      <c r="ER35" s="115"/>
      <c r="ES35" s="115"/>
      <c r="ET35" s="115"/>
      <c r="EU35" s="115"/>
      <c r="EV35" s="115"/>
      <c r="EW35" s="115"/>
      <c r="EX35" s="115"/>
      <c r="EY35" s="115"/>
      <c r="EZ35" s="115"/>
      <c r="FA35" s="115"/>
      <c r="FB35" s="115"/>
      <c r="FC35" s="115"/>
      <c r="FD35" s="115"/>
      <c r="FE35" s="115"/>
      <c r="FF35" s="115"/>
      <c r="FG35" s="115"/>
      <c r="FH35" s="115"/>
      <c r="FI35" s="115"/>
      <c r="FJ35" s="115"/>
      <c r="FK35" s="115"/>
      <c r="FL35" s="115"/>
      <c r="FM35" s="115"/>
      <c r="FN35" s="115"/>
      <c r="FO35" s="115"/>
      <c r="FP35" s="115"/>
      <c r="FQ35" s="115"/>
      <c r="FR35" s="115"/>
      <c r="FS35" s="115"/>
      <c r="FT35" s="115"/>
      <c r="FU35" s="115"/>
      <c r="FV35" s="115"/>
      <c r="FW35" s="115"/>
      <c r="FX35" s="115"/>
      <c r="FY35" s="115"/>
      <c r="FZ35" s="115"/>
      <c r="GA35" s="115"/>
      <c r="GB35" s="115"/>
      <c r="GC35" s="115"/>
      <c r="GD35" s="115"/>
      <c r="GE35" s="115"/>
      <c r="GF35" s="115"/>
      <c r="GG35" s="115"/>
      <c r="GH35" s="115"/>
      <c r="GI35" s="115"/>
      <c r="GJ35" s="115"/>
      <c r="GK35" s="115"/>
      <c r="GL35" s="115"/>
      <c r="GM35" s="115"/>
      <c r="GN35" s="115"/>
      <c r="GO35" s="115"/>
      <c r="GP35" s="115"/>
      <c r="GQ35" s="115"/>
      <c r="GR35" s="115"/>
      <c r="GS35" s="115"/>
      <c r="GT35" s="115"/>
      <c r="GU35" s="115"/>
      <c r="GV35" s="115"/>
      <c r="GW35" s="115"/>
      <c r="GX35" s="115"/>
      <c r="GY35" s="115"/>
      <c r="GZ35" s="115"/>
      <c r="HA35" s="115"/>
      <c r="HB35" s="115"/>
      <c r="HC35" s="115"/>
      <c r="HD35" s="115"/>
      <c r="HE35" s="115"/>
      <c r="HF35" s="115"/>
      <c r="HG35" s="115"/>
      <c r="HH35" s="115"/>
      <c r="HI35" s="115"/>
      <c r="HJ35" s="115"/>
      <c r="HK35" s="115"/>
      <c r="HL35" s="115"/>
      <c r="HM35" s="115"/>
      <c r="HN35" s="115"/>
      <c r="HO35" s="115"/>
      <c r="HP35" s="115"/>
      <c r="HQ35" s="115"/>
      <c r="HR35" s="115"/>
      <c r="HS35" s="115"/>
      <c r="HT35" s="115"/>
      <c r="HU35" s="115"/>
      <c r="HV35" s="115"/>
      <c r="HW35" s="115"/>
      <c r="HX35" s="115"/>
      <c r="HY35" s="115"/>
      <c r="HZ35" s="115"/>
      <c r="IA35" s="115"/>
      <c r="IB35" s="115"/>
      <c r="IC35" s="115"/>
      <c r="ID35" s="115"/>
      <c r="IE35" s="115"/>
      <c r="IF35" s="115"/>
      <c r="IG35" s="115"/>
      <c r="IH35" s="115"/>
      <c r="II35" s="115"/>
      <c r="IJ35" s="115"/>
      <c r="IK35" s="115"/>
      <c r="IL35" s="115"/>
      <c r="IM35" s="115"/>
      <c r="IN35" s="115"/>
    </row>
    <row r="36" spans="1:255" x14ac:dyDescent="0.2">
      <c r="A36" s="119">
        <f t="shared" si="0"/>
        <v>42212</v>
      </c>
      <c r="B36" s="120" t="str">
        <f t="shared" si="1"/>
        <v>seg</v>
      </c>
      <c r="C36" s="121">
        <f>SUMIF(Table13[DIA],'07.2015'!A36:A65,Table13[QUANTIDADE DE HORAS])</f>
        <v>0</v>
      </c>
      <c r="D36" s="122"/>
      <c r="E36" s="123"/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115"/>
      <c r="Q36" s="115"/>
      <c r="R36" s="115"/>
      <c r="S36" s="115"/>
      <c r="T36" s="115"/>
      <c r="U36" s="115"/>
      <c r="V36" s="115"/>
      <c r="W36" s="115"/>
      <c r="X36" s="115"/>
      <c r="Y36" s="115"/>
      <c r="Z36" s="115"/>
      <c r="AA36" s="115"/>
      <c r="AB36" s="115"/>
      <c r="AC36" s="115"/>
      <c r="AD36" s="115"/>
      <c r="AE36" s="115"/>
      <c r="AF36" s="115"/>
      <c r="AG36" s="115"/>
      <c r="AH36" s="115"/>
      <c r="AI36" s="115"/>
      <c r="AJ36" s="115"/>
      <c r="AK36" s="115"/>
      <c r="AL36" s="115"/>
      <c r="AM36" s="115"/>
      <c r="AN36" s="115"/>
      <c r="AO36" s="115"/>
      <c r="AP36" s="115"/>
      <c r="AQ36" s="115"/>
      <c r="AR36" s="115"/>
      <c r="AS36" s="115"/>
      <c r="AT36" s="115"/>
      <c r="AU36" s="115"/>
      <c r="AV36" s="115"/>
      <c r="AW36" s="115"/>
      <c r="AX36" s="115"/>
      <c r="AY36" s="115"/>
      <c r="AZ36" s="115"/>
      <c r="BA36" s="115"/>
      <c r="BB36" s="115"/>
      <c r="BC36" s="115"/>
      <c r="BD36" s="115"/>
      <c r="BE36" s="115"/>
      <c r="BF36" s="115"/>
      <c r="BG36" s="115"/>
      <c r="BH36" s="115"/>
      <c r="BI36" s="115"/>
      <c r="BJ36" s="115"/>
      <c r="BK36" s="115"/>
      <c r="BL36" s="115"/>
      <c r="BM36" s="115"/>
      <c r="BN36" s="115"/>
      <c r="BO36" s="115"/>
      <c r="BP36" s="115"/>
      <c r="BQ36" s="115"/>
      <c r="BR36" s="115"/>
      <c r="BS36" s="115"/>
      <c r="BT36" s="115"/>
      <c r="BU36" s="115"/>
      <c r="BV36" s="115"/>
      <c r="BW36" s="115"/>
      <c r="BX36" s="115"/>
      <c r="BY36" s="115"/>
      <c r="BZ36" s="115"/>
      <c r="CA36" s="115"/>
      <c r="CB36" s="115"/>
      <c r="CC36" s="115"/>
      <c r="CD36" s="115"/>
      <c r="CE36" s="115"/>
      <c r="CF36" s="115"/>
      <c r="CG36" s="115"/>
      <c r="CH36" s="115"/>
      <c r="CI36" s="115"/>
      <c r="CJ36" s="115"/>
      <c r="CK36" s="115"/>
      <c r="CL36" s="115"/>
      <c r="CM36" s="115"/>
      <c r="CN36" s="115"/>
      <c r="CO36" s="115"/>
      <c r="CP36" s="115"/>
      <c r="CQ36" s="115"/>
      <c r="CR36" s="115"/>
      <c r="CS36" s="115"/>
      <c r="CT36" s="115"/>
      <c r="CU36" s="115"/>
      <c r="CV36" s="115"/>
      <c r="CW36" s="115"/>
      <c r="CX36" s="115"/>
      <c r="CY36" s="115"/>
      <c r="CZ36" s="115"/>
      <c r="DA36" s="115"/>
      <c r="DB36" s="115"/>
      <c r="DC36" s="115"/>
      <c r="DD36" s="115"/>
      <c r="DE36" s="115"/>
      <c r="DF36" s="115"/>
      <c r="DG36" s="115"/>
      <c r="DH36" s="115"/>
      <c r="DI36" s="115"/>
      <c r="DJ36" s="115"/>
      <c r="DK36" s="115"/>
      <c r="DL36" s="115"/>
      <c r="DM36" s="115"/>
      <c r="DN36" s="115"/>
      <c r="DO36" s="115"/>
      <c r="DP36" s="115"/>
      <c r="DQ36" s="115"/>
      <c r="DR36" s="115"/>
      <c r="DS36" s="115"/>
      <c r="DT36" s="115"/>
      <c r="DU36" s="115"/>
      <c r="DV36" s="115"/>
      <c r="DW36" s="115"/>
      <c r="DX36" s="115"/>
      <c r="DY36" s="115"/>
      <c r="DZ36" s="115"/>
      <c r="EA36" s="115"/>
      <c r="EB36" s="115"/>
      <c r="EC36" s="115"/>
      <c r="ED36" s="115"/>
      <c r="EE36" s="115"/>
      <c r="EF36" s="115"/>
      <c r="EG36" s="115"/>
      <c r="EH36" s="115"/>
      <c r="EI36" s="115"/>
      <c r="EJ36" s="115"/>
      <c r="EK36" s="115"/>
      <c r="EL36" s="115"/>
      <c r="EM36" s="115"/>
      <c r="EN36" s="115"/>
      <c r="EO36" s="115"/>
      <c r="EP36" s="115"/>
      <c r="EQ36" s="115"/>
      <c r="ER36" s="115"/>
      <c r="ES36" s="115"/>
      <c r="ET36" s="115"/>
      <c r="EU36" s="115"/>
      <c r="EV36" s="115"/>
      <c r="EW36" s="115"/>
      <c r="EX36" s="115"/>
      <c r="EY36" s="115"/>
      <c r="EZ36" s="115"/>
      <c r="FA36" s="115"/>
      <c r="FB36" s="115"/>
      <c r="FC36" s="115"/>
      <c r="FD36" s="115"/>
      <c r="FE36" s="115"/>
      <c r="FF36" s="115"/>
      <c r="FG36" s="115"/>
      <c r="FH36" s="115"/>
      <c r="FI36" s="115"/>
      <c r="FJ36" s="115"/>
      <c r="FK36" s="115"/>
      <c r="FL36" s="115"/>
      <c r="FM36" s="115"/>
      <c r="FN36" s="115"/>
      <c r="FO36" s="115"/>
      <c r="FP36" s="115"/>
      <c r="FQ36" s="115"/>
      <c r="FR36" s="115"/>
      <c r="FS36" s="115"/>
      <c r="FT36" s="115"/>
      <c r="FU36" s="115"/>
      <c r="FV36" s="115"/>
      <c r="FW36" s="115"/>
      <c r="FX36" s="115"/>
      <c r="FY36" s="115"/>
      <c r="FZ36" s="115"/>
      <c r="GA36" s="115"/>
      <c r="GB36" s="115"/>
      <c r="GC36" s="115"/>
      <c r="GD36" s="115"/>
      <c r="GE36" s="115"/>
      <c r="GF36" s="115"/>
      <c r="GG36" s="115"/>
      <c r="GH36" s="115"/>
      <c r="GI36" s="115"/>
      <c r="GJ36" s="115"/>
      <c r="GK36" s="115"/>
      <c r="GL36" s="115"/>
      <c r="GM36" s="115"/>
      <c r="GN36" s="115"/>
      <c r="GO36" s="115"/>
      <c r="GP36" s="115"/>
      <c r="GQ36" s="115"/>
      <c r="GR36" s="115"/>
      <c r="GS36" s="115"/>
      <c r="GT36" s="115"/>
      <c r="GU36" s="115"/>
      <c r="GV36" s="115"/>
      <c r="GW36" s="115"/>
      <c r="GX36" s="115"/>
      <c r="GY36" s="115"/>
      <c r="GZ36" s="115"/>
      <c r="HA36" s="115"/>
      <c r="HB36" s="115"/>
      <c r="HC36" s="115"/>
      <c r="HD36" s="115"/>
      <c r="HE36" s="115"/>
      <c r="HF36" s="115"/>
      <c r="HG36" s="115"/>
      <c r="HH36" s="115"/>
      <c r="HI36" s="115"/>
      <c r="HJ36" s="115"/>
      <c r="HK36" s="115"/>
      <c r="HL36" s="115"/>
      <c r="HM36" s="115"/>
      <c r="HN36" s="115"/>
      <c r="HO36" s="115"/>
      <c r="HP36" s="115"/>
      <c r="HQ36" s="115"/>
      <c r="HR36" s="115"/>
      <c r="HS36" s="115"/>
      <c r="HT36" s="115"/>
      <c r="HU36" s="115"/>
      <c r="HV36" s="115"/>
      <c r="HW36" s="115"/>
      <c r="HX36" s="115"/>
      <c r="HY36" s="115"/>
      <c r="HZ36" s="115"/>
      <c r="IA36" s="115"/>
      <c r="IB36" s="115"/>
      <c r="IC36" s="115"/>
      <c r="ID36" s="115"/>
      <c r="IE36" s="115"/>
      <c r="IF36" s="115"/>
      <c r="IG36" s="115"/>
      <c r="IH36" s="115"/>
      <c r="II36" s="115"/>
      <c r="IJ36" s="115"/>
      <c r="IK36" s="115"/>
      <c r="IL36" s="115"/>
      <c r="IM36" s="115"/>
      <c r="IN36" s="115"/>
    </row>
    <row r="37" spans="1:255" x14ac:dyDescent="0.2">
      <c r="A37" s="119">
        <f t="shared" si="0"/>
        <v>42213</v>
      </c>
      <c r="B37" s="120" t="str">
        <f t="shared" si="1"/>
        <v>ter</v>
      </c>
      <c r="C37" s="121">
        <f>SUMIF(Table13[DIA],'07.2015'!A37:A66,Table13[QUANTIDADE DE HORAS])</f>
        <v>0</v>
      </c>
      <c r="D37" s="122"/>
      <c r="E37" s="123"/>
      <c r="F37" s="115"/>
      <c r="G37" s="115"/>
      <c r="H37" s="115"/>
      <c r="I37" s="115"/>
      <c r="J37" s="115"/>
      <c r="K37" s="115"/>
      <c r="L37" s="115"/>
      <c r="M37" s="115"/>
      <c r="N37" s="115"/>
      <c r="O37" s="115"/>
      <c r="P37" s="115"/>
      <c r="Q37" s="115"/>
      <c r="R37" s="115"/>
      <c r="S37" s="115"/>
      <c r="T37" s="115"/>
      <c r="U37" s="115"/>
      <c r="V37" s="115"/>
      <c r="W37" s="115"/>
      <c r="X37" s="115"/>
      <c r="Y37" s="115"/>
      <c r="Z37" s="115"/>
      <c r="AA37" s="115"/>
      <c r="AB37" s="115"/>
      <c r="AC37" s="115"/>
      <c r="AD37" s="115"/>
      <c r="AE37" s="115"/>
      <c r="AF37" s="115"/>
      <c r="AG37" s="115"/>
      <c r="AH37" s="115"/>
      <c r="AI37" s="115"/>
      <c r="AJ37" s="115"/>
      <c r="AK37" s="115"/>
      <c r="AL37" s="115"/>
      <c r="AM37" s="115"/>
      <c r="AN37" s="115"/>
      <c r="AO37" s="115"/>
      <c r="AP37" s="115"/>
      <c r="AQ37" s="115"/>
      <c r="AR37" s="115"/>
      <c r="AS37" s="115"/>
      <c r="AT37" s="115"/>
      <c r="AU37" s="115"/>
      <c r="AV37" s="115"/>
      <c r="AW37" s="115"/>
      <c r="AX37" s="115"/>
      <c r="AY37" s="115"/>
      <c r="AZ37" s="115"/>
      <c r="BA37" s="115"/>
      <c r="BB37" s="115"/>
      <c r="BC37" s="115"/>
      <c r="BD37" s="115"/>
      <c r="BE37" s="115"/>
      <c r="BF37" s="115"/>
      <c r="BG37" s="115"/>
      <c r="BH37" s="115"/>
      <c r="BI37" s="115"/>
      <c r="BJ37" s="115"/>
      <c r="BK37" s="115"/>
      <c r="BL37" s="115"/>
      <c r="BM37" s="115"/>
      <c r="BN37" s="115"/>
      <c r="BO37" s="115"/>
      <c r="BP37" s="115"/>
      <c r="BQ37" s="115"/>
      <c r="BR37" s="115"/>
      <c r="BS37" s="115"/>
      <c r="BT37" s="115"/>
      <c r="BU37" s="115"/>
      <c r="BV37" s="115"/>
      <c r="BW37" s="115"/>
      <c r="BX37" s="115"/>
      <c r="BY37" s="115"/>
      <c r="BZ37" s="115"/>
      <c r="CA37" s="115"/>
      <c r="CB37" s="115"/>
      <c r="CC37" s="115"/>
      <c r="CD37" s="115"/>
      <c r="CE37" s="115"/>
      <c r="CF37" s="115"/>
      <c r="CG37" s="115"/>
      <c r="CH37" s="115"/>
      <c r="CI37" s="115"/>
      <c r="CJ37" s="115"/>
      <c r="CK37" s="115"/>
      <c r="CL37" s="115"/>
      <c r="CM37" s="115"/>
      <c r="CN37" s="115"/>
      <c r="CO37" s="115"/>
      <c r="CP37" s="115"/>
      <c r="CQ37" s="115"/>
      <c r="CR37" s="115"/>
      <c r="CS37" s="115"/>
      <c r="CT37" s="115"/>
      <c r="CU37" s="115"/>
      <c r="CV37" s="115"/>
      <c r="CW37" s="115"/>
      <c r="CX37" s="115"/>
      <c r="CY37" s="115"/>
      <c r="CZ37" s="115"/>
      <c r="DA37" s="115"/>
      <c r="DB37" s="115"/>
      <c r="DC37" s="115"/>
      <c r="DD37" s="115"/>
      <c r="DE37" s="115"/>
      <c r="DF37" s="115"/>
      <c r="DG37" s="115"/>
      <c r="DH37" s="115"/>
      <c r="DI37" s="115"/>
      <c r="DJ37" s="115"/>
      <c r="DK37" s="115"/>
      <c r="DL37" s="115"/>
      <c r="DM37" s="115"/>
      <c r="DN37" s="115"/>
      <c r="DO37" s="115"/>
      <c r="DP37" s="115"/>
      <c r="DQ37" s="115"/>
      <c r="DR37" s="115"/>
      <c r="DS37" s="115"/>
      <c r="DT37" s="115"/>
      <c r="DU37" s="115"/>
      <c r="DV37" s="115"/>
      <c r="DW37" s="115"/>
      <c r="DX37" s="115"/>
      <c r="DY37" s="115"/>
      <c r="DZ37" s="115"/>
      <c r="EA37" s="115"/>
      <c r="EB37" s="115"/>
      <c r="EC37" s="115"/>
      <c r="ED37" s="115"/>
      <c r="EE37" s="115"/>
      <c r="EF37" s="115"/>
      <c r="EG37" s="115"/>
      <c r="EH37" s="115"/>
      <c r="EI37" s="115"/>
      <c r="EJ37" s="115"/>
      <c r="EK37" s="115"/>
      <c r="EL37" s="115"/>
      <c r="EM37" s="115"/>
      <c r="EN37" s="115"/>
      <c r="EO37" s="115"/>
      <c r="EP37" s="115"/>
      <c r="EQ37" s="115"/>
      <c r="ER37" s="115"/>
      <c r="ES37" s="115"/>
      <c r="ET37" s="115"/>
      <c r="EU37" s="115"/>
      <c r="EV37" s="115"/>
      <c r="EW37" s="115"/>
      <c r="EX37" s="115"/>
      <c r="EY37" s="115"/>
      <c r="EZ37" s="115"/>
      <c r="FA37" s="115"/>
      <c r="FB37" s="115"/>
      <c r="FC37" s="115"/>
      <c r="FD37" s="115"/>
      <c r="FE37" s="115"/>
      <c r="FF37" s="115"/>
      <c r="FG37" s="115"/>
      <c r="FH37" s="115"/>
      <c r="FI37" s="115"/>
      <c r="FJ37" s="115"/>
      <c r="FK37" s="115"/>
      <c r="FL37" s="115"/>
      <c r="FM37" s="115"/>
      <c r="FN37" s="115"/>
      <c r="FO37" s="115"/>
      <c r="FP37" s="115"/>
      <c r="FQ37" s="115"/>
      <c r="FR37" s="115"/>
      <c r="FS37" s="115"/>
      <c r="FT37" s="115"/>
      <c r="FU37" s="115"/>
      <c r="FV37" s="115"/>
      <c r="FW37" s="115"/>
      <c r="FX37" s="115"/>
      <c r="FY37" s="115"/>
      <c r="FZ37" s="115"/>
      <c r="GA37" s="115"/>
      <c r="GB37" s="115"/>
      <c r="GC37" s="115"/>
      <c r="GD37" s="115"/>
      <c r="GE37" s="115"/>
      <c r="GF37" s="115"/>
      <c r="GG37" s="115"/>
      <c r="GH37" s="115"/>
      <c r="GI37" s="115"/>
      <c r="GJ37" s="115"/>
      <c r="GK37" s="115"/>
      <c r="GL37" s="115"/>
      <c r="GM37" s="115"/>
      <c r="GN37" s="115"/>
      <c r="GO37" s="115"/>
      <c r="GP37" s="115"/>
      <c r="GQ37" s="115"/>
      <c r="GR37" s="115"/>
      <c r="GS37" s="115"/>
      <c r="GT37" s="115"/>
      <c r="GU37" s="115"/>
      <c r="GV37" s="115"/>
      <c r="GW37" s="115"/>
      <c r="GX37" s="115"/>
      <c r="GY37" s="115"/>
      <c r="GZ37" s="115"/>
      <c r="HA37" s="115"/>
      <c r="HB37" s="115"/>
      <c r="HC37" s="115"/>
      <c r="HD37" s="115"/>
      <c r="HE37" s="115"/>
      <c r="HF37" s="115"/>
      <c r="HG37" s="115"/>
      <c r="HH37" s="115"/>
      <c r="HI37" s="115"/>
      <c r="HJ37" s="115"/>
      <c r="HK37" s="115"/>
      <c r="HL37" s="115"/>
      <c r="HM37" s="115"/>
      <c r="HN37" s="115"/>
      <c r="HO37" s="115"/>
      <c r="HP37" s="115"/>
      <c r="HQ37" s="115"/>
      <c r="HR37" s="115"/>
      <c r="HS37" s="115"/>
      <c r="HT37" s="115"/>
      <c r="HU37" s="115"/>
      <c r="HV37" s="115"/>
      <c r="HW37" s="115"/>
      <c r="HX37" s="115"/>
      <c r="HY37" s="115"/>
      <c r="HZ37" s="115"/>
      <c r="IA37" s="115"/>
      <c r="IB37" s="115"/>
      <c r="IC37" s="115"/>
      <c r="ID37" s="115"/>
      <c r="IE37" s="115"/>
      <c r="IF37" s="115"/>
      <c r="IG37" s="115"/>
      <c r="IH37" s="115"/>
      <c r="II37" s="115"/>
      <c r="IJ37" s="115"/>
      <c r="IK37" s="115"/>
      <c r="IL37" s="115"/>
      <c r="IM37" s="115"/>
      <c r="IN37" s="115"/>
    </row>
    <row r="38" spans="1:255" x14ac:dyDescent="0.2">
      <c r="A38" s="119">
        <f>A37+1</f>
        <v>42214</v>
      </c>
      <c r="B38" s="120" t="str">
        <f t="shared" si="1"/>
        <v>qua</v>
      </c>
      <c r="C38" s="121">
        <f>SUMIF(Table13[DIA],'07.2015'!A38:A67,Table13[QUANTIDADE DE HORAS])</f>
        <v>0</v>
      </c>
      <c r="D38" s="122"/>
      <c r="E38" s="123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  <c r="AA38" s="115"/>
      <c r="AB38" s="115"/>
      <c r="AC38" s="115"/>
      <c r="AD38" s="115"/>
      <c r="AE38" s="115"/>
      <c r="AF38" s="115"/>
      <c r="AG38" s="115"/>
      <c r="AH38" s="115"/>
      <c r="AI38" s="115"/>
      <c r="AJ38" s="115"/>
      <c r="AK38" s="115"/>
      <c r="AL38" s="115"/>
      <c r="AM38" s="115"/>
      <c r="AN38" s="115"/>
      <c r="AO38" s="115"/>
      <c r="AP38" s="115"/>
      <c r="AQ38" s="115"/>
      <c r="AR38" s="115"/>
      <c r="AS38" s="115"/>
      <c r="AT38" s="115"/>
      <c r="AU38" s="115"/>
      <c r="AV38" s="115"/>
      <c r="AW38" s="115"/>
      <c r="AX38" s="115"/>
      <c r="AY38" s="115"/>
      <c r="AZ38" s="115"/>
      <c r="BA38" s="115"/>
      <c r="BB38" s="115"/>
      <c r="BC38" s="115"/>
      <c r="BD38" s="115"/>
      <c r="BE38" s="115"/>
      <c r="BF38" s="115"/>
      <c r="BG38" s="115"/>
      <c r="BH38" s="115"/>
      <c r="BI38" s="115"/>
      <c r="BJ38" s="115"/>
      <c r="BK38" s="115"/>
      <c r="BL38" s="115"/>
      <c r="BM38" s="115"/>
      <c r="BN38" s="115"/>
      <c r="BO38" s="115"/>
      <c r="BP38" s="115"/>
      <c r="BQ38" s="115"/>
      <c r="BR38" s="115"/>
      <c r="BS38" s="115"/>
      <c r="BT38" s="115"/>
      <c r="BU38" s="115"/>
      <c r="BV38" s="115"/>
      <c r="BW38" s="115"/>
      <c r="BX38" s="115"/>
      <c r="BY38" s="115"/>
      <c r="BZ38" s="115"/>
      <c r="CA38" s="115"/>
      <c r="CB38" s="115"/>
      <c r="CC38" s="115"/>
      <c r="CD38" s="115"/>
      <c r="CE38" s="115"/>
      <c r="CF38" s="115"/>
      <c r="CG38" s="115"/>
      <c r="CH38" s="115"/>
      <c r="CI38" s="115"/>
      <c r="CJ38" s="115"/>
      <c r="CK38" s="115"/>
      <c r="CL38" s="115"/>
      <c r="CM38" s="115"/>
      <c r="CN38" s="115"/>
      <c r="CO38" s="115"/>
      <c r="CP38" s="115"/>
      <c r="CQ38" s="115"/>
      <c r="CR38" s="115"/>
      <c r="CS38" s="115"/>
      <c r="CT38" s="115"/>
      <c r="CU38" s="115"/>
      <c r="CV38" s="115"/>
      <c r="CW38" s="115"/>
      <c r="CX38" s="115"/>
      <c r="CY38" s="115"/>
      <c r="CZ38" s="115"/>
      <c r="DA38" s="115"/>
      <c r="DB38" s="115"/>
      <c r="DC38" s="115"/>
      <c r="DD38" s="115"/>
      <c r="DE38" s="115"/>
      <c r="DF38" s="115"/>
      <c r="DG38" s="115"/>
      <c r="DH38" s="115"/>
      <c r="DI38" s="115"/>
      <c r="DJ38" s="115"/>
      <c r="DK38" s="115"/>
      <c r="DL38" s="115"/>
      <c r="DM38" s="115"/>
      <c r="DN38" s="115"/>
      <c r="DO38" s="115"/>
      <c r="DP38" s="115"/>
      <c r="DQ38" s="115"/>
      <c r="DR38" s="115"/>
      <c r="DS38" s="115"/>
      <c r="DT38" s="115"/>
      <c r="DU38" s="115"/>
      <c r="DV38" s="115"/>
      <c r="DW38" s="115"/>
      <c r="DX38" s="115"/>
      <c r="DY38" s="115"/>
      <c r="DZ38" s="115"/>
      <c r="EA38" s="115"/>
      <c r="EB38" s="115"/>
      <c r="EC38" s="115"/>
      <c r="ED38" s="115"/>
      <c r="EE38" s="115"/>
      <c r="EF38" s="115"/>
      <c r="EG38" s="115"/>
      <c r="EH38" s="115"/>
      <c r="EI38" s="115"/>
      <c r="EJ38" s="115"/>
      <c r="EK38" s="115"/>
      <c r="EL38" s="115"/>
      <c r="EM38" s="115"/>
      <c r="EN38" s="115"/>
      <c r="EO38" s="115"/>
      <c r="EP38" s="115"/>
      <c r="EQ38" s="115"/>
      <c r="ER38" s="115"/>
      <c r="ES38" s="115"/>
      <c r="ET38" s="115"/>
      <c r="EU38" s="115"/>
      <c r="EV38" s="115"/>
      <c r="EW38" s="115"/>
      <c r="EX38" s="115"/>
      <c r="EY38" s="115"/>
      <c r="EZ38" s="115"/>
      <c r="FA38" s="115"/>
      <c r="FB38" s="115"/>
      <c r="FC38" s="115"/>
      <c r="FD38" s="115"/>
      <c r="FE38" s="115"/>
      <c r="FF38" s="115"/>
      <c r="FG38" s="115"/>
      <c r="FH38" s="115"/>
      <c r="FI38" s="115"/>
      <c r="FJ38" s="115"/>
      <c r="FK38" s="115"/>
      <c r="FL38" s="115"/>
      <c r="FM38" s="115"/>
      <c r="FN38" s="115"/>
      <c r="FO38" s="115"/>
      <c r="FP38" s="115"/>
      <c r="FQ38" s="115"/>
      <c r="FR38" s="115"/>
      <c r="FS38" s="115"/>
      <c r="FT38" s="115"/>
      <c r="FU38" s="115"/>
      <c r="FV38" s="115"/>
      <c r="FW38" s="115"/>
      <c r="FX38" s="115"/>
      <c r="FY38" s="115"/>
      <c r="FZ38" s="115"/>
      <c r="GA38" s="115"/>
      <c r="GB38" s="115"/>
      <c r="GC38" s="115"/>
      <c r="GD38" s="115"/>
      <c r="GE38" s="115"/>
      <c r="GF38" s="115"/>
      <c r="GG38" s="115"/>
      <c r="GH38" s="115"/>
      <c r="GI38" s="115"/>
      <c r="GJ38" s="115"/>
      <c r="GK38" s="115"/>
      <c r="GL38" s="115"/>
      <c r="GM38" s="115"/>
      <c r="GN38" s="115"/>
      <c r="GO38" s="115"/>
      <c r="GP38" s="115"/>
      <c r="GQ38" s="115"/>
      <c r="GR38" s="115"/>
      <c r="GS38" s="115"/>
      <c r="GT38" s="115"/>
      <c r="GU38" s="115"/>
      <c r="GV38" s="115"/>
      <c r="GW38" s="115"/>
      <c r="GX38" s="115"/>
      <c r="GY38" s="115"/>
      <c r="GZ38" s="115"/>
      <c r="HA38" s="115"/>
      <c r="HB38" s="115"/>
      <c r="HC38" s="115"/>
      <c r="HD38" s="115"/>
      <c r="HE38" s="115"/>
      <c r="HF38" s="115"/>
      <c r="HG38" s="115"/>
      <c r="HH38" s="115"/>
      <c r="HI38" s="115"/>
      <c r="HJ38" s="115"/>
      <c r="HK38" s="115"/>
      <c r="HL38" s="115"/>
      <c r="HM38" s="115"/>
      <c r="HN38" s="115"/>
      <c r="HO38" s="115"/>
      <c r="HP38" s="115"/>
      <c r="HQ38" s="115"/>
      <c r="HR38" s="115"/>
      <c r="HS38" s="115"/>
      <c r="HT38" s="115"/>
      <c r="HU38" s="115"/>
      <c r="HV38" s="115"/>
      <c r="HW38" s="115"/>
      <c r="HX38" s="115"/>
      <c r="HY38" s="115"/>
      <c r="HZ38" s="115"/>
      <c r="IA38" s="115"/>
      <c r="IB38" s="115"/>
      <c r="IC38" s="115"/>
      <c r="ID38" s="115"/>
      <c r="IE38" s="115"/>
      <c r="IF38" s="115"/>
      <c r="IG38" s="115"/>
      <c r="IH38" s="115"/>
      <c r="II38" s="115"/>
      <c r="IJ38" s="115"/>
      <c r="IK38" s="115"/>
      <c r="IL38" s="115"/>
      <c r="IM38" s="115"/>
      <c r="IN38" s="115"/>
    </row>
    <row r="39" spans="1:255" x14ac:dyDescent="0.2">
      <c r="A39" s="119">
        <f t="shared" ref="A39" si="2">A38+1</f>
        <v>42215</v>
      </c>
      <c r="B39" s="120" t="str">
        <f t="shared" si="1"/>
        <v>qui</v>
      </c>
      <c r="C39" s="121">
        <f>SUMIF(Table13[DIA],'07.2015'!A39:A68,Table13[QUANTIDADE DE HORAS])</f>
        <v>0</v>
      </c>
      <c r="D39" s="122"/>
      <c r="E39" s="123"/>
      <c r="F39" s="115"/>
      <c r="G39" s="115"/>
      <c r="H39" s="115"/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  <c r="U39" s="115"/>
      <c r="V39" s="115"/>
      <c r="W39" s="115"/>
      <c r="X39" s="115"/>
      <c r="Y39" s="115"/>
      <c r="Z39" s="115"/>
      <c r="AA39" s="115"/>
      <c r="AB39" s="115"/>
      <c r="AC39" s="115"/>
      <c r="AD39" s="115"/>
      <c r="AE39" s="115"/>
      <c r="AF39" s="115"/>
      <c r="AG39" s="115"/>
      <c r="AH39" s="115"/>
      <c r="AI39" s="115"/>
      <c r="AJ39" s="115"/>
      <c r="AK39" s="115"/>
      <c r="AL39" s="115"/>
      <c r="AM39" s="115"/>
      <c r="AN39" s="115"/>
      <c r="AO39" s="115"/>
      <c r="AP39" s="115"/>
      <c r="AQ39" s="115"/>
      <c r="AR39" s="115"/>
      <c r="AS39" s="115"/>
      <c r="AT39" s="115"/>
      <c r="AU39" s="115"/>
      <c r="AV39" s="115"/>
      <c r="AW39" s="115"/>
      <c r="AX39" s="115"/>
      <c r="AY39" s="115"/>
      <c r="AZ39" s="115"/>
      <c r="BA39" s="115"/>
      <c r="BB39" s="115"/>
      <c r="BC39" s="115"/>
      <c r="BD39" s="115"/>
      <c r="BE39" s="115"/>
      <c r="BF39" s="115"/>
      <c r="BG39" s="115"/>
      <c r="BH39" s="115"/>
      <c r="BI39" s="115"/>
      <c r="BJ39" s="115"/>
      <c r="BK39" s="115"/>
      <c r="BL39" s="115"/>
      <c r="BM39" s="115"/>
      <c r="BN39" s="115"/>
      <c r="BO39" s="115"/>
      <c r="BP39" s="115"/>
      <c r="BQ39" s="115"/>
      <c r="BR39" s="115"/>
      <c r="BS39" s="115"/>
      <c r="BT39" s="115"/>
      <c r="BU39" s="115"/>
      <c r="BV39" s="115"/>
      <c r="BW39" s="115"/>
      <c r="BX39" s="115"/>
      <c r="BY39" s="115"/>
      <c r="BZ39" s="115"/>
      <c r="CA39" s="115"/>
      <c r="CB39" s="115"/>
      <c r="CC39" s="115"/>
      <c r="CD39" s="115"/>
      <c r="CE39" s="115"/>
      <c r="CF39" s="115"/>
      <c r="CG39" s="115"/>
      <c r="CH39" s="115"/>
      <c r="CI39" s="115"/>
      <c r="CJ39" s="115"/>
      <c r="CK39" s="115"/>
      <c r="CL39" s="115"/>
      <c r="CM39" s="115"/>
      <c r="CN39" s="115"/>
      <c r="CO39" s="115"/>
      <c r="CP39" s="115"/>
      <c r="CQ39" s="115"/>
      <c r="CR39" s="115"/>
      <c r="CS39" s="115"/>
      <c r="CT39" s="115"/>
      <c r="CU39" s="115"/>
      <c r="CV39" s="115"/>
      <c r="CW39" s="115"/>
      <c r="CX39" s="115"/>
      <c r="CY39" s="115"/>
      <c r="CZ39" s="115"/>
      <c r="DA39" s="115"/>
      <c r="DB39" s="115"/>
      <c r="DC39" s="115"/>
      <c r="DD39" s="115"/>
      <c r="DE39" s="115"/>
      <c r="DF39" s="115"/>
      <c r="DG39" s="115"/>
      <c r="DH39" s="115"/>
      <c r="DI39" s="115"/>
      <c r="DJ39" s="115"/>
      <c r="DK39" s="115"/>
      <c r="DL39" s="115"/>
      <c r="DM39" s="115"/>
      <c r="DN39" s="115"/>
      <c r="DO39" s="115"/>
      <c r="DP39" s="115"/>
      <c r="DQ39" s="115"/>
      <c r="DR39" s="115"/>
      <c r="DS39" s="115"/>
      <c r="DT39" s="115"/>
      <c r="DU39" s="115"/>
      <c r="DV39" s="115"/>
      <c r="DW39" s="115"/>
      <c r="DX39" s="115"/>
      <c r="DY39" s="115"/>
      <c r="DZ39" s="115"/>
      <c r="EA39" s="115"/>
      <c r="EB39" s="115"/>
      <c r="EC39" s="115"/>
      <c r="ED39" s="115"/>
      <c r="EE39" s="115"/>
      <c r="EF39" s="115"/>
      <c r="EG39" s="115"/>
      <c r="EH39" s="115"/>
      <c r="EI39" s="115"/>
      <c r="EJ39" s="115"/>
      <c r="EK39" s="115"/>
      <c r="EL39" s="115"/>
      <c r="EM39" s="115"/>
      <c r="EN39" s="115"/>
      <c r="EO39" s="115"/>
      <c r="EP39" s="115"/>
      <c r="EQ39" s="115"/>
      <c r="ER39" s="115"/>
      <c r="ES39" s="115"/>
      <c r="ET39" s="115"/>
      <c r="EU39" s="115"/>
      <c r="EV39" s="115"/>
      <c r="EW39" s="115"/>
      <c r="EX39" s="115"/>
      <c r="EY39" s="115"/>
      <c r="EZ39" s="115"/>
      <c r="FA39" s="115"/>
      <c r="FB39" s="115"/>
      <c r="FC39" s="115"/>
      <c r="FD39" s="115"/>
      <c r="FE39" s="115"/>
      <c r="FF39" s="115"/>
      <c r="FG39" s="115"/>
      <c r="FH39" s="115"/>
      <c r="FI39" s="115"/>
      <c r="FJ39" s="115"/>
      <c r="FK39" s="115"/>
      <c r="FL39" s="115"/>
      <c r="FM39" s="115"/>
      <c r="FN39" s="115"/>
      <c r="FO39" s="115"/>
      <c r="FP39" s="115"/>
      <c r="FQ39" s="115"/>
      <c r="FR39" s="115"/>
      <c r="FS39" s="115"/>
      <c r="FT39" s="115"/>
      <c r="FU39" s="115"/>
      <c r="FV39" s="115"/>
      <c r="FW39" s="115"/>
      <c r="FX39" s="115"/>
      <c r="FY39" s="115"/>
      <c r="FZ39" s="115"/>
      <c r="GA39" s="115"/>
      <c r="GB39" s="115"/>
      <c r="GC39" s="115"/>
      <c r="GD39" s="115"/>
      <c r="GE39" s="115"/>
      <c r="GF39" s="115"/>
      <c r="GG39" s="115"/>
      <c r="GH39" s="115"/>
      <c r="GI39" s="115"/>
      <c r="GJ39" s="115"/>
      <c r="GK39" s="115"/>
      <c r="GL39" s="115"/>
      <c r="GM39" s="115"/>
      <c r="GN39" s="115"/>
      <c r="GO39" s="115"/>
      <c r="GP39" s="115"/>
      <c r="GQ39" s="115"/>
      <c r="GR39" s="115"/>
      <c r="GS39" s="115"/>
      <c r="GT39" s="115"/>
      <c r="GU39" s="115"/>
      <c r="GV39" s="115"/>
      <c r="GW39" s="115"/>
      <c r="GX39" s="115"/>
      <c r="GY39" s="115"/>
      <c r="GZ39" s="115"/>
      <c r="HA39" s="115"/>
      <c r="HB39" s="115"/>
      <c r="HC39" s="115"/>
      <c r="HD39" s="115"/>
      <c r="HE39" s="115"/>
      <c r="HF39" s="115"/>
      <c r="HG39" s="115"/>
      <c r="HH39" s="115"/>
      <c r="HI39" s="115"/>
      <c r="HJ39" s="115"/>
      <c r="HK39" s="115"/>
      <c r="HL39" s="115"/>
      <c r="HM39" s="115"/>
      <c r="HN39" s="115"/>
      <c r="HO39" s="115"/>
      <c r="HP39" s="115"/>
      <c r="HQ39" s="115"/>
      <c r="HR39" s="115"/>
      <c r="HS39" s="115"/>
      <c r="HT39" s="115"/>
      <c r="HU39" s="115"/>
      <c r="HV39" s="115"/>
      <c r="HW39" s="115"/>
      <c r="HX39" s="115"/>
      <c r="HY39" s="115"/>
      <c r="HZ39" s="115"/>
      <c r="IA39" s="115"/>
      <c r="IB39" s="115"/>
      <c r="IC39" s="115"/>
      <c r="ID39" s="115"/>
      <c r="IE39" s="115"/>
      <c r="IF39" s="115"/>
      <c r="IG39" s="115"/>
      <c r="IH39" s="115"/>
      <c r="II39" s="115"/>
      <c r="IJ39" s="115"/>
      <c r="IK39" s="115"/>
      <c r="IL39" s="115"/>
      <c r="IM39" s="115"/>
      <c r="IN39" s="115"/>
    </row>
    <row r="40" spans="1:255" ht="15" x14ac:dyDescent="0.25">
      <c r="A40" s="138" t="s">
        <v>269</v>
      </c>
      <c r="B40" s="139"/>
      <c r="C40" s="125">
        <f>SUM(C10:C39)</f>
        <v>143</v>
      </c>
      <c r="D40" s="126"/>
      <c r="E40" s="127"/>
      <c r="F40" s="115"/>
      <c r="G40" s="115"/>
      <c r="H40" s="115"/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  <c r="AA40" s="115"/>
      <c r="AB40" s="115"/>
      <c r="AC40" s="115"/>
      <c r="AD40" s="115"/>
      <c r="AE40" s="115"/>
      <c r="AF40" s="115"/>
      <c r="AG40" s="115"/>
      <c r="AH40" s="115"/>
      <c r="AI40" s="115"/>
      <c r="AJ40" s="115"/>
      <c r="AK40" s="115"/>
      <c r="AL40" s="115"/>
      <c r="AM40" s="115"/>
      <c r="AN40" s="115"/>
      <c r="AO40" s="115"/>
      <c r="AP40" s="115"/>
      <c r="AQ40" s="115"/>
      <c r="AR40" s="115"/>
      <c r="AS40" s="115"/>
      <c r="AT40" s="115"/>
      <c r="AU40" s="115"/>
      <c r="AV40" s="115"/>
      <c r="AW40" s="115"/>
      <c r="AX40" s="115"/>
      <c r="AY40" s="115"/>
      <c r="AZ40" s="115"/>
      <c r="BA40" s="115"/>
      <c r="BB40" s="115"/>
      <c r="BC40" s="115"/>
      <c r="BD40" s="115"/>
      <c r="BE40" s="115"/>
      <c r="BF40" s="115"/>
      <c r="BG40" s="115"/>
      <c r="BH40" s="115"/>
      <c r="BI40" s="115"/>
      <c r="BJ40" s="115"/>
      <c r="BK40" s="115"/>
      <c r="BL40" s="115"/>
      <c r="BM40" s="115"/>
      <c r="BN40" s="115"/>
      <c r="BO40" s="115"/>
      <c r="BP40" s="115"/>
      <c r="BQ40" s="115"/>
      <c r="BR40" s="115"/>
      <c r="BS40" s="115"/>
      <c r="BT40" s="115"/>
      <c r="BU40" s="115"/>
      <c r="BV40" s="115"/>
      <c r="BW40" s="115"/>
      <c r="BX40" s="115"/>
      <c r="BY40" s="115"/>
      <c r="BZ40" s="115"/>
      <c r="CA40" s="115"/>
      <c r="CB40" s="115"/>
      <c r="CC40" s="115"/>
      <c r="CD40" s="115"/>
      <c r="CE40" s="115"/>
      <c r="CF40" s="115"/>
      <c r="CG40" s="115"/>
      <c r="CH40" s="115"/>
      <c r="CI40" s="115"/>
      <c r="CJ40" s="115"/>
      <c r="CK40" s="115"/>
      <c r="CL40" s="115"/>
      <c r="CM40" s="115"/>
      <c r="CN40" s="115"/>
      <c r="CO40" s="115"/>
      <c r="CP40" s="115"/>
      <c r="CQ40" s="115"/>
      <c r="CR40" s="115"/>
      <c r="CS40" s="115"/>
      <c r="CT40" s="115"/>
      <c r="CU40" s="115"/>
      <c r="CV40" s="115"/>
      <c r="CW40" s="115"/>
      <c r="CX40" s="115"/>
      <c r="CY40" s="115"/>
      <c r="CZ40" s="115"/>
      <c r="DA40" s="115"/>
      <c r="DB40" s="115"/>
      <c r="DC40" s="115"/>
      <c r="DD40" s="115"/>
      <c r="DE40" s="115"/>
      <c r="DF40" s="115"/>
      <c r="DG40" s="115"/>
      <c r="DH40" s="115"/>
      <c r="DI40" s="115"/>
      <c r="DJ40" s="115"/>
      <c r="DK40" s="115"/>
      <c r="DL40" s="115"/>
      <c r="DM40" s="115"/>
      <c r="DN40" s="115"/>
      <c r="DO40" s="115"/>
      <c r="DP40" s="115"/>
      <c r="DQ40" s="115"/>
      <c r="DR40" s="115"/>
      <c r="DS40" s="115"/>
      <c r="DT40" s="115"/>
      <c r="DU40" s="115"/>
      <c r="DV40" s="115"/>
      <c r="DW40" s="115"/>
      <c r="DX40" s="115"/>
      <c r="DY40" s="115"/>
      <c r="DZ40" s="115"/>
      <c r="EA40" s="115"/>
      <c r="EB40" s="115"/>
      <c r="EC40" s="115"/>
      <c r="ED40" s="115"/>
      <c r="EE40" s="115"/>
      <c r="EF40" s="115"/>
      <c r="EG40" s="115"/>
      <c r="EH40" s="115"/>
      <c r="EI40" s="115"/>
      <c r="EJ40" s="115"/>
      <c r="EK40" s="115"/>
      <c r="EL40" s="115"/>
      <c r="EM40" s="115"/>
      <c r="EN40" s="115"/>
      <c r="EO40" s="115"/>
      <c r="EP40" s="115"/>
      <c r="EQ40" s="115"/>
      <c r="ER40" s="115"/>
      <c r="ES40" s="115"/>
      <c r="ET40" s="115"/>
      <c r="EU40" s="115"/>
      <c r="EV40" s="115"/>
      <c r="EW40" s="115"/>
      <c r="EX40" s="115"/>
      <c r="EY40" s="115"/>
      <c r="EZ40" s="115"/>
      <c r="FA40" s="115"/>
      <c r="FB40" s="115"/>
      <c r="FC40" s="115"/>
      <c r="FD40" s="115"/>
      <c r="FE40" s="115"/>
      <c r="FF40" s="115"/>
      <c r="FG40" s="115"/>
      <c r="FH40" s="115"/>
      <c r="FI40" s="115"/>
      <c r="FJ40" s="115"/>
      <c r="FK40" s="115"/>
      <c r="FL40" s="115"/>
      <c r="FM40" s="115"/>
      <c r="FN40" s="115"/>
      <c r="FO40" s="115"/>
      <c r="FP40" s="115"/>
      <c r="FQ40" s="115"/>
      <c r="FR40" s="115"/>
      <c r="FS40" s="115"/>
      <c r="FT40" s="115"/>
      <c r="FU40" s="115"/>
      <c r="FV40" s="115"/>
      <c r="FW40" s="115"/>
      <c r="FX40" s="115"/>
      <c r="FY40" s="115"/>
      <c r="FZ40" s="115"/>
      <c r="GA40" s="115"/>
      <c r="GB40" s="115"/>
      <c r="GC40" s="115"/>
      <c r="GD40" s="115"/>
      <c r="GE40" s="115"/>
      <c r="GF40" s="115"/>
      <c r="GG40" s="115"/>
      <c r="GH40" s="115"/>
      <c r="GI40" s="115"/>
      <c r="GJ40" s="115"/>
      <c r="GK40" s="115"/>
      <c r="GL40" s="115"/>
      <c r="GM40" s="115"/>
      <c r="GN40" s="115"/>
      <c r="GO40" s="115"/>
      <c r="GP40" s="115"/>
      <c r="GQ40" s="115"/>
      <c r="GR40" s="115"/>
      <c r="GS40" s="115"/>
      <c r="GT40" s="115"/>
      <c r="GU40" s="115"/>
      <c r="GV40" s="115"/>
      <c r="GW40" s="115"/>
      <c r="GX40" s="115"/>
      <c r="GY40" s="115"/>
      <c r="GZ40" s="115"/>
      <c r="HA40" s="115"/>
      <c r="HB40" s="115"/>
      <c r="HC40" s="115"/>
      <c r="HD40" s="115"/>
      <c r="HE40" s="115"/>
      <c r="HF40" s="115"/>
      <c r="HG40" s="115"/>
      <c r="HH40" s="115"/>
      <c r="HI40" s="115"/>
      <c r="HJ40" s="115"/>
      <c r="HK40" s="115"/>
      <c r="HL40" s="115"/>
      <c r="HM40" s="115"/>
      <c r="HN40" s="115"/>
      <c r="HO40" s="115"/>
      <c r="HP40" s="115"/>
      <c r="HQ40" s="115"/>
      <c r="HR40" s="115"/>
      <c r="HS40" s="115"/>
      <c r="HT40" s="115"/>
      <c r="HU40" s="115"/>
      <c r="HV40" s="115"/>
      <c r="HW40" s="115"/>
      <c r="HX40" s="115"/>
      <c r="HY40" s="115"/>
      <c r="HZ40" s="115"/>
      <c r="IA40" s="115"/>
      <c r="IB40" s="115"/>
      <c r="IC40" s="115"/>
      <c r="ID40" s="115"/>
      <c r="IE40" s="115"/>
      <c r="IF40" s="115"/>
      <c r="IG40" s="115"/>
      <c r="IH40" s="115"/>
      <c r="II40" s="115"/>
      <c r="IJ40" s="115"/>
      <c r="IK40" s="115"/>
      <c r="IL40" s="115"/>
      <c r="IM40" s="115"/>
      <c r="IN40" s="115"/>
    </row>
    <row r="41" spans="1:255" ht="15" x14ac:dyDescent="0.25">
      <c r="C41" s="128">
        <v>40</v>
      </c>
      <c r="F41" s="115"/>
      <c r="G41" s="115"/>
      <c r="H41" s="115"/>
      <c r="I41" s="115"/>
      <c r="J41" s="115"/>
      <c r="K41" s="115"/>
      <c r="L41" s="115"/>
      <c r="M41" s="115"/>
      <c r="N41" s="115"/>
      <c r="O41" s="115"/>
      <c r="P41" s="115"/>
      <c r="Q41" s="115"/>
      <c r="R41" s="115"/>
      <c r="S41" s="115"/>
      <c r="T41" s="115"/>
      <c r="U41" s="115"/>
      <c r="V41" s="115"/>
      <c r="W41" s="115"/>
      <c r="X41" s="115"/>
      <c r="Y41" s="115"/>
      <c r="Z41" s="115"/>
      <c r="AA41" s="115"/>
      <c r="AB41" s="115"/>
      <c r="AC41" s="115"/>
      <c r="AD41" s="115"/>
      <c r="AE41" s="115"/>
      <c r="AF41" s="115"/>
      <c r="AG41" s="115"/>
      <c r="AH41" s="115"/>
      <c r="AI41" s="115"/>
      <c r="AJ41" s="115"/>
      <c r="AK41" s="115"/>
      <c r="AL41" s="115"/>
      <c r="AM41" s="115"/>
      <c r="AN41" s="115"/>
      <c r="AO41" s="115"/>
      <c r="AP41" s="115"/>
      <c r="AQ41" s="115"/>
      <c r="AR41" s="115"/>
      <c r="AS41" s="115"/>
      <c r="AT41" s="115"/>
      <c r="AU41" s="115"/>
      <c r="AV41" s="115"/>
      <c r="AW41" s="115"/>
      <c r="AX41" s="115"/>
      <c r="AY41" s="115"/>
      <c r="AZ41" s="115"/>
      <c r="BA41" s="115"/>
      <c r="BB41" s="115"/>
      <c r="BC41" s="115"/>
      <c r="BD41" s="115"/>
      <c r="BE41" s="115"/>
      <c r="BF41" s="115"/>
      <c r="BG41" s="115"/>
      <c r="BH41" s="115"/>
      <c r="BI41" s="115"/>
      <c r="BJ41" s="115"/>
      <c r="BK41" s="115"/>
      <c r="BL41" s="115"/>
      <c r="BM41" s="115"/>
      <c r="BN41" s="115"/>
      <c r="BO41" s="115"/>
      <c r="BP41" s="115"/>
      <c r="BQ41" s="115"/>
      <c r="BR41" s="115"/>
      <c r="BS41" s="115"/>
      <c r="BT41" s="115"/>
      <c r="BU41" s="115"/>
      <c r="BV41" s="115"/>
      <c r="BW41" s="115"/>
      <c r="BX41" s="115"/>
      <c r="BY41" s="115"/>
      <c r="BZ41" s="115"/>
      <c r="CA41" s="115"/>
      <c r="CB41" s="115"/>
      <c r="CC41" s="115"/>
      <c r="CD41" s="115"/>
      <c r="CE41" s="115"/>
      <c r="CF41" s="115"/>
      <c r="CG41" s="115"/>
      <c r="CH41" s="115"/>
      <c r="CI41" s="115"/>
      <c r="CJ41" s="115"/>
      <c r="CK41" s="115"/>
      <c r="CL41" s="115"/>
      <c r="CM41" s="115"/>
      <c r="CN41" s="115"/>
      <c r="CO41" s="115"/>
      <c r="CP41" s="115"/>
      <c r="CQ41" s="115"/>
      <c r="CR41" s="115"/>
      <c r="CS41" s="115"/>
      <c r="CT41" s="115"/>
      <c r="CU41" s="115"/>
      <c r="CV41" s="115"/>
      <c r="CW41" s="115"/>
      <c r="CX41" s="115"/>
      <c r="CY41" s="115"/>
      <c r="CZ41" s="115"/>
      <c r="DA41" s="115"/>
      <c r="DB41" s="115"/>
      <c r="DC41" s="115"/>
      <c r="DD41" s="115"/>
      <c r="DE41" s="115"/>
      <c r="DF41" s="115"/>
      <c r="DG41" s="115"/>
      <c r="DH41" s="115"/>
      <c r="DI41" s="115"/>
      <c r="DJ41" s="115"/>
      <c r="DK41" s="115"/>
      <c r="DL41" s="115"/>
      <c r="DM41" s="115"/>
      <c r="DN41" s="115"/>
      <c r="DO41" s="115"/>
      <c r="DP41" s="115"/>
      <c r="DQ41" s="115"/>
      <c r="DR41" s="115"/>
      <c r="DS41" s="115"/>
      <c r="DT41" s="115"/>
      <c r="DU41" s="115"/>
      <c r="DV41" s="115"/>
      <c r="DW41" s="115"/>
      <c r="DX41" s="115"/>
      <c r="DY41" s="115"/>
      <c r="DZ41" s="115"/>
      <c r="EA41" s="115"/>
      <c r="EB41" s="115"/>
      <c r="EC41" s="115"/>
      <c r="ED41" s="115"/>
      <c r="EE41" s="115"/>
      <c r="EF41" s="115"/>
      <c r="EG41" s="115"/>
      <c r="EH41" s="115"/>
      <c r="EI41" s="115"/>
      <c r="EJ41" s="115"/>
      <c r="EK41" s="115"/>
      <c r="EL41" s="115"/>
      <c r="EM41" s="115"/>
      <c r="EN41" s="115"/>
      <c r="EO41" s="115"/>
      <c r="EP41" s="115"/>
      <c r="EQ41" s="115"/>
      <c r="ER41" s="115"/>
      <c r="ES41" s="115"/>
      <c r="ET41" s="115"/>
      <c r="EU41" s="115"/>
      <c r="EV41" s="115"/>
      <c r="EW41" s="115"/>
      <c r="EX41" s="115"/>
      <c r="EY41" s="115"/>
      <c r="EZ41" s="115"/>
      <c r="FA41" s="115"/>
      <c r="FB41" s="115"/>
      <c r="FC41" s="115"/>
      <c r="FD41" s="115"/>
      <c r="FE41" s="115"/>
      <c r="FF41" s="115"/>
      <c r="FG41" s="115"/>
      <c r="FH41" s="115"/>
      <c r="FI41" s="115"/>
      <c r="FJ41" s="115"/>
      <c r="FK41" s="115"/>
      <c r="FL41" s="115"/>
      <c r="FM41" s="115"/>
      <c r="FN41" s="115"/>
      <c r="FO41" s="115"/>
      <c r="FP41" s="115"/>
      <c r="FQ41" s="115"/>
      <c r="FR41" s="115"/>
      <c r="FS41" s="115"/>
      <c r="FT41" s="115"/>
      <c r="FU41" s="115"/>
      <c r="FV41" s="115"/>
      <c r="FW41" s="115"/>
      <c r="FX41" s="115"/>
      <c r="FY41" s="115"/>
      <c r="FZ41" s="115"/>
      <c r="GA41" s="115"/>
      <c r="GB41" s="115"/>
      <c r="GC41" s="115"/>
      <c r="GD41" s="115"/>
      <c r="GE41" s="115"/>
      <c r="GF41" s="115"/>
      <c r="GG41" s="115"/>
      <c r="GH41" s="115"/>
      <c r="GI41" s="115"/>
      <c r="GJ41" s="115"/>
      <c r="GK41" s="115"/>
      <c r="GL41" s="115"/>
      <c r="GM41" s="115"/>
      <c r="GN41" s="115"/>
      <c r="GO41" s="115"/>
      <c r="GP41" s="115"/>
      <c r="GQ41" s="115"/>
      <c r="GR41" s="115"/>
      <c r="GS41" s="115"/>
      <c r="GT41" s="115"/>
      <c r="GU41" s="115"/>
      <c r="GV41" s="115"/>
      <c r="GW41" s="115"/>
      <c r="GX41" s="115"/>
      <c r="GY41" s="115"/>
      <c r="GZ41" s="115"/>
      <c r="HA41" s="115"/>
      <c r="HB41" s="115"/>
      <c r="HC41" s="115"/>
      <c r="HD41" s="115"/>
      <c r="HE41" s="115"/>
      <c r="HF41" s="115"/>
      <c r="HG41" s="115"/>
      <c r="HH41" s="115"/>
      <c r="HI41" s="115"/>
      <c r="HJ41" s="115"/>
      <c r="HK41" s="115"/>
      <c r="HL41" s="115"/>
      <c r="HM41" s="115"/>
      <c r="HN41" s="115"/>
      <c r="HO41" s="115"/>
      <c r="HP41" s="115"/>
      <c r="HQ41" s="115"/>
      <c r="HR41" s="115"/>
      <c r="HS41" s="115"/>
      <c r="HT41" s="115"/>
      <c r="HU41" s="115"/>
      <c r="HV41" s="115"/>
      <c r="HW41" s="115"/>
      <c r="HX41" s="115"/>
      <c r="HY41" s="115"/>
      <c r="HZ41" s="115"/>
      <c r="IA41" s="115"/>
      <c r="IB41" s="115"/>
      <c r="IC41" s="115"/>
      <c r="ID41" s="115"/>
      <c r="IE41" s="115"/>
      <c r="IF41" s="115"/>
      <c r="IG41" s="115"/>
      <c r="IH41" s="115"/>
      <c r="II41" s="115"/>
      <c r="IJ41" s="115"/>
      <c r="IK41" s="115"/>
      <c r="IL41" s="115"/>
      <c r="IM41" s="115"/>
      <c r="IN41" s="115"/>
    </row>
    <row r="42" spans="1:255" ht="15" x14ac:dyDescent="0.25">
      <c r="A42" s="129"/>
      <c r="C42" s="128">
        <f>C40*C41</f>
        <v>5720</v>
      </c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  <c r="AA42" s="115"/>
      <c r="AB42" s="115"/>
      <c r="AC42" s="115"/>
      <c r="AD42" s="115"/>
      <c r="AE42" s="115"/>
      <c r="AF42" s="115"/>
      <c r="AG42" s="115"/>
      <c r="AH42" s="115"/>
      <c r="AI42" s="115"/>
      <c r="AJ42" s="115"/>
      <c r="AK42" s="115"/>
      <c r="AL42" s="115"/>
      <c r="AM42" s="115"/>
      <c r="AN42" s="115"/>
      <c r="AO42" s="115"/>
      <c r="AP42" s="115"/>
      <c r="AQ42" s="115"/>
      <c r="AR42" s="115"/>
      <c r="AS42" s="115"/>
      <c r="AT42" s="115"/>
      <c r="AU42" s="115"/>
      <c r="AV42" s="115"/>
      <c r="AW42" s="115"/>
      <c r="AX42" s="115"/>
      <c r="AY42" s="115"/>
      <c r="AZ42" s="115"/>
      <c r="BA42" s="115"/>
      <c r="BB42" s="115"/>
      <c r="BC42" s="115"/>
      <c r="BD42" s="115"/>
      <c r="BE42" s="115"/>
      <c r="BF42" s="115"/>
      <c r="BG42" s="115"/>
      <c r="BH42" s="115"/>
      <c r="BI42" s="115"/>
      <c r="BJ42" s="115"/>
      <c r="BK42" s="115"/>
      <c r="BL42" s="115"/>
      <c r="BM42" s="115"/>
      <c r="BN42" s="115"/>
      <c r="BO42" s="115"/>
      <c r="BP42" s="115"/>
      <c r="BQ42" s="115"/>
      <c r="BR42" s="115"/>
      <c r="BS42" s="115"/>
      <c r="BT42" s="115"/>
      <c r="BU42" s="115"/>
      <c r="BV42" s="115"/>
      <c r="BW42" s="115"/>
      <c r="BX42" s="115"/>
      <c r="BY42" s="115"/>
      <c r="BZ42" s="115"/>
      <c r="CA42" s="115"/>
      <c r="CB42" s="115"/>
      <c r="CC42" s="115"/>
      <c r="CD42" s="115"/>
      <c r="CE42" s="115"/>
      <c r="CF42" s="115"/>
      <c r="CG42" s="115"/>
      <c r="CH42" s="115"/>
      <c r="CI42" s="115"/>
      <c r="CJ42" s="115"/>
      <c r="CK42" s="115"/>
      <c r="CL42" s="115"/>
      <c r="CM42" s="115"/>
      <c r="CN42" s="115"/>
      <c r="CO42" s="115"/>
      <c r="CP42" s="115"/>
      <c r="CQ42" s="115"/>
      <c r="CR42" s="115"/>
      <c r="CS42" s="115"/>
      <c r="CT42" s="115"/>
      <c r="CU42" s="115"/>
      <c r="CV42" s="115"/>
      <c r="CW42" s="115"/>
      <c r="CX42" s="115"/>
      <c r="CY42" s="115"/>
      <c r="CZ42" s="115"/>
      <c r="DA42" s="115"/>
      <c r="DB42" s="115"/>
      <c r="DC42" s="115"/>
      <c r="DD42" s="115"/>
      <c r="DE42" s="115"/>
      <c r="DF42" s="115"/>
      <c r="DG42" s="115"/>
      <c r="DH42" s="115"/>
      <c r="DI42" s="115"/>
      <c r="DJ42" s="115"/>
      <c r="DK42" s="115"/>
      <c r="DL42" s="115"/>
      <c r="DM42" s="115"/>
      <c r="DN42" s="115"/>
      <c r="DO42" s="115"/>
      <c r="DP42" s="115"/>
      <c r="DQ42" s="115"/>
      <c r="DR42" s="115"/>
      <c r="DS42" s="115"/>
      <c r="DT42" s="115"/>
      <c r="DU42" s="115"/>
      <c r="DV42" s="115"/>
      <c r="DW42" s="115"/>
      <c r="DX42" s="115"/>
      <c r="DY42" s="115"/>
      <c r="DZ42" s="115"/>
      <c r="EA42" s="115"/>
      <c r="EB42" s="115"/>
      <c r="EC42" s="115"/>
      <c r="ED42" s="115"/>
      <c r="EE42" s="115"/>
      <c r="EF42" s="115"/>
      <c r="EG42" s="115"/>
      <c r="EH42" s="115"/>
      <c r="EI42" s="115"/>
      <c r="EJ42" s="115"/>
      <c r="EK42" s="115"/>
      <c r="EL42" s="115"/>
      <c r="EM42" s="115"/>
      <c r="EN42" s="115"/>
      <c r="EO42" s="115"/>
      <c r="EP42" s="115"/>
      <c r="EQ42" s="115"/>
      <c r="ER42" s="115"/>
      <c r="ES42" s="115"/>
      <c r="ET42" s="115"/>
      <c r="EU42" s="115"/>
      <c r="EV42" s="115"/>
      <c r="EW42" s="115"/>
      <c r="EX42" s="115"/>
      <c r="EY42" s="115"/>
      <c r="EZ42" s="115"/>
      <c r="FA42" s="115"/>
      <c r="FB42" s="115"/>
      <c r="FC42" s="115"/>
      <c r="FD42" s="115"/>
      <c r="FE42" s="115"/>
      <c r="FF42" s="115"/>
      <c r="FG42" s="115"/>
      <c r="FH42" s="115"/>
      <c r="FI42" s="115"/>
      <c r="FJ42" s="115"/>
      <c r="FK42" s="115"/>
      <c r="FL42" s="115"/>
      <c r="FM42" s="115"/>
      <c r="FN42" s="115"/>
      <c r="FO42" s="115"/>
      <c r="FP42" s="115"/>
      <c r="FQ42" s="115"/>
      <c r="FR42" s="115"/>
      <c r="FS42" s="115"/>
      <c r="FT42" s="115"/>
      <c r="FU42" s="115"/>
      <c r="FV42" s="115"/>
      <c r="FW42" s="115"/>
      <c r="FX42" s="115"/>
      <c r="FY42" s="115"/>
      <c r="FZ42" s="115"/>
      <c r="GA42" s="115"/>
      <c r="GB42" s="115"/>
      <c r="GC42" s="115"/>
      <c r="GD42" s="115"/>
      <c r="GE42" s="115"/>
      <c r="GF42" s="115"/>
      <c r="GG42" s="115"/>
      <c r="GH42" s="115"/>
      <c r="GI42" s="115"/>
      <c r="GJ42" s="115"/>
      <c r="GK42" s="115"/>
      <c r="GL42" s="115"/>
      <c r="GM42" s="115"/>
      <c r="GN42" s="115"/>
      <c r="GO42" s="115"/>
      <c r="GP42" s="115"/>
      <c r="GQ42" s="115"/>
      <c r="GR42" s="115"/>
      <c r="GS42" s="115"/>
      <c r="GT42" s="115"/>
      <c r="GU42" s="115"/>
      <c r="GV42" s="115"/>
      <c r="GW42" s="115"/>
      <c r="GX42" s="115"/>
      <c r="GY42" s="115"/>
      <c r="GZ42" s="115"/>
      <c r="HA42" s="115"/>
      <c r="HB42" s="115"/>
      <c r="HC42" s="115"/>
      <c r="HD42" s="115"/>
      <c r="HE42" s="115"/>
      <c r="HF42" s="115"/>
      <c r="HG42" s="115"/>
      <c r="HH42" s="115"/>
      <c r="HI42" s="115"/>
      <c r="HJ42" s="115"/>
      <c r="HK42" s="115"/>
      <c r="HL42" s="115"/>
      <c r="HM42" s="115"/>
      <c r="HN42" s="115"/>
      <c r="HO42" s="115"/>
      <c r="HP42" s="115"/>
      <c r="HQ42" s="115"/>
      <c r="HR42" s="115"/>
      <c r="HS42" s="115"/>
      <c r="HT42" s="115"/>
      <c r="HU42" s="115"/>
      <c r="HV42" s="115"/>
      <c r="HW42" s="115"/>
      <c r="HX42" s="115"/>
      <c r="HY42" s="115"/>
      <c r="HZ42" s="115"/>
      <c r="IA42" s="115"/>
      <c r="IB42" s="115"/>
      <c r="IC42" s="115"/>
      <c r="ID42" s="115"/>
      <c r="IE42" s="115"/>
      <c r="IF42" s="115"/>
      <c r="IG42" s="115"/>
      <c r="IH42" s="115"/>
      <c r="II42" s="115"/>
      <c r="IJ42" s="115"/>
      <c r="IK42" s="115"/>
      <c r="IL42" s="115"/>
      <c r="IM42" s="115"/>
      <c r="IN42" s="115"/>
      <c r="IO42" s="115"/>
      <c r="IP42" s="115"/>
      <c r="IQ42" s="115"/>
      <c r="IR42" s="115"/>
      <c r="IS42" s="115"/>
      <c r="IT42" s="115"/>
      <c r="IU42" s="115"/>
    </row>
  </sheetData>
  <mergeCells count="4">
    <mergeCell ref="A1:E1"/>
    <mergeCell ref="A2:E2"/>
    <mergeCell ref="A9:B9"/>
    <mergeCell ref="A40:B40"/>
  </mergeCells>
  <conditionalFormatting sqref="B10:B39">
    <cfRule type="cellIs" dxfId="33" priority="6" operator="equal">
      <formula>"FERIADO"</formula>
    </cfRule>
    <cfRule type="cellIs" dxfId="32" priority="7" operator="equal">
      <formula>"dom"</formula>
    </cfRule>
    <cfRule type="cellIs" dxfId="31" priority="8" operator="equal">
      <formula>"sáb"</formula>
    </cfRule>
  </conditionalFormatting>
  <conditionalFormatting sqref="E10:E39">
    <cfRule type="cellIs" dxfId="30" priority="5" operator="lessThan">
      <formula>0.001</formula>
    </cfRule>
  </conditionalFormatting>
  <conditionalFormatting sqref="C40">
    <cfRule type="containsBlanks" dxfId="29" priority="4" stopIfTrue="1">
      <formula>LEN(TRIM(C40))=0</formula>
    </cfRule>
  </conditionalFormatting>
  <conditionalFormatting sqref="C10:C39">
    <cfRule type="cellIs" dxfId="28" priority="2" operator="greaterThan">
      <formula>8</formula>
    </cfRule>
    <cfRule type="cellIs" dxfId="27" priority="3" operator="equal">
      <formula>8</formula>
    </cfRule>
    <cfRule type="cellIs" dxfId="26" priority="9" operator="lessThan">
      <formula>8</formula>
    </cfRule>
  </conditionalFormatting>
  <conditionalFormatting sqref="C10:C39">
    <cfRule type="cellIs" priority="1" stopIfTrue="1" operator="equal">
      <formula>0</formula>
    </cfRule>
  </conditionalFormatting>
  <pageMargins left="0.78740157499999996" right="0.78740157499999996" top="0.984251969" bottom="0.984251969" header="0.49212598499999999" footer="0.49212598499999999"/>
  <pageSetup paperSize="9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5"/>
  <sheetViews>
    <sheetView workbookViewId="0">
      <selection sqref="A1:D1"/>
    </sheetView>
  </sheetViews>
  <sheetFormatPr defaultRowHeight="12.75" x14ac:dyDescent="0.2"/>
  <cols>
    <col min="1" max="1" width="13.85546875" style="115" customWidth="1"/>
    <col min="2" max="2" width="9.140625" style="115"/>
    <col min="3" max="3" width="19.85546875" style="115" customWidth="1"/>
    <col min="4" max="4" width="122.28515625" style="115" customWidth="1"/>
    <col min="5" max="16384" width="9.140625" style="115"/>
  </cols>
  <sheetData>
    <row r="1" spans="1:4" x14ac:dyDescent="0.2">
      <c r="A1" s="141" t="s">
        <v>270</v>
      </c>
      <c r="B1" s="141"/>
      <c r="C1" s="141"/>
      <c r="D1" s="141"/>
    </row>
    <row r="5" spans="1:4" x14ac:dyDescent="0.2">
      <c r="D5" s="109" t="s">
        <v>271</v>
      </c>
    </row>
    <row r="6" spans="1:4" x14ac:dyDescent="0.2">
      <c r="A6" s="142" t="s">
        <v>260</v>
      </c>
      <c r="B6" s="143"/>
      <c r="C6" s="130">
        <f>'07.2015'!D3</f>
        <v>42186</v>
      </c>
      <c r="D6" s="131" t="s">
        <v>272</v>
      </c>
    </row>
    <row r="7" spans="1:4" x14ac:dyDescent="0.2">
      <c r="A7" s="142" t="s">
        <v>261</v>
      </c>
      <c r="B7" s="143"/>
      <c r="C7" s="114" t="str">
        <f>'07.2015'!D4</f>
        <v>AILTON ZACARIAS DA SILVA</v>
      </c>
      <c r="D7" s="131" t="s">
        <v>273</v>
      </c>
    </row>
    <row r="8" spans="1:4" x14ac:dyDescent="0.2">
      <c r="A8" s="142" t="s">
        <v>262</v>
      </c>
      <c r="B8" s="143"/>
      <c r="C8" s="114" t="str">
        <f>'07.2015'!D5</f>
        <v>TELEFONICA</v>
      </c>
      <c r="D8" s="131" t="s">
        <v>274</v>
      </c>
    </row>
    <row r="9" spans="1:4" x14ac:dyDescent="0.2">
      <c r="A9" s="142" t="s">
        <v>264</v>
      </c>
      <c r="B9" s="143"/>
      <c r="C9" s="114" t="str">
        <f>'07.2015'!D6</f>
        <v>Carolina Santore</v>
      </c>
      <c r="D9" s="131" t="s">
        <v>275</v>
      </c>
    </row>
    <row r="13" spans="1:4" x14ac:dyDescent="0.2">
      <c r="A13" s="140" t="s">
        <v>267</v>
      </c>
      <c r="B13" s="140"/>
      <c r="C13" s="140"/>
      <c r="D13" s="132" t="s">
        <v>276</v>
      </c>
    </row>
    <row r="14" spans="1:4" x14ac:dyDescent="0.2">
      <c r="A14" s="140" t="s">
        <v>266</v>
      </c>
      <c r="B14" s="140"/>
      <c r="C14" s="140"/>
      <c r="D14" s="133">
        <f>'07.2015'!C40</f>
        <v>143</v>
      </c>
    </row>
    <row r="15" spans="1:4" x14ac:dyDescent="0.2">
      <c r="A15" s="140" t="s">
        <v>268</v>
      </c>
      <c r="B15" s="140"/>
      <c r="C15" s="140"/>
      <c r="D15" s="132" t="s">
        <v>277</v>
      </c>
    </row>
  </sheetData>
  <mergeCells count="8">
    <mergeCell ref="A14:C14"/>
    <mergeCell ref="A15:C15"/>
    <mergeCell ref="A1:D1"/>
    <mergeCell ref="A6:B6"/>
    <mergeCell ref="A7:B7"/>
    <mergeCell ref="A8:B8"/>
    <mergeCell ref="A9:B9"/>
    <mergeCell ref="A13:C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6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5.85546875" style="16" bestFit="1" customWidth="1"/>
    <col min="2" max="2" width="35.42578125" style="16" bestFit="1" customWidth="1"/>
    <col min="3" max="3" width="11.7109375" style="16" bestFit="1" customWidth="1"/>
    <col min="4" max="4" width="15" style="16" bestFit="1" customWidth="1"/>
    <col min="5" max="5" width="12.7109375" style="16" bestFit="1" customWidth="1"/>
    <col min="6" max="6" width="32" style="16" bestFit="1" customWidth="1"/>
    <col min="7" max="8" width="10.7109375" style="16" bestFit="1" customWidth="1"/>
    <col min="9" max="9" width="11.85546875" style="16" bestFit="1" customWidth="1"/>
    <col min="10" max="10" width="11.7109375" style="16" bestFit="1" customWidth="1"/>
    <col min="11" max="11" width="4.7109375" style="16" bestFit="1" customWidth="1"/>
    <col min="12" max="12" width="10.28515625" style="16" bestFit="1" customWidth="1"/>
    <col min="13" max="13" width="15.5703125" style="16" bestFit="1" customWidth="1"/>
    <col min="14" max="14" width="18.5703125" style="16" bestFit="1" customWidth="1"/>
    <col min="15" max="16" width="5.28515625" style="16" bestFit="1" customWidth="1"/>
    <col min="17" max="16384" width="9.140625" style="16"/>
  </cols>
  <sheetData>
    <row r="1" spans="1:16" x14ac:dyDescent="0.25">
      <c r="A1" s="15" t="s">
        <v>27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5" t="s">
        <v>60</v>
      </c>
      <c r="H1" s="15" t="s">
        <v>61</v>
      </c>
      <c r="I1" s="15" t="s">
        <v>81</v>
      </c>
      <c r="J1" s="15" t="s">
        <v>228</v>
      </c>
      <c r="K1" s="15" t="s">
        <v>229</v>
      </c>
      <c r="L1" s="15" t="s">
        <v>82</v>
      </c>
      <c r="M1" s="15" t="s">
        <v>83</v>
      </c>
      <c r="N1" s="15" t="s">
        <v>84</v>
      </c>
      <c r="O1" s="15" t="s">
        <v>85</v>
      </c>
      <c r="P1" s="15" t="s">
        <v>86</v>
      </c>
    </row>
    <row r="2" spans="1:16" x14ac:dyDescent="0.25">
      <c r="A2" s="92" t="s">
        <v>98</v>
      </c>
      <c r="B2" s="17" t="s">
        <v>45</v>
      </c>
      <c r="C2" s="17" t="s">
        <v>88</v>
      </c>
      <c r="D2" s="18" t="s">
        <v>89</v>
      </c>
      <c r="E2" s="18" t="s">
        <v>90</v>
      </c>
      <c r="F2" s="19" t="s">
        <v>91</v>
      </c>
      <c r="G2" s="20">
        <v>42181</v>
      </c>
      <c r="H2" s="20">
        <v>42184</v>
      </c>
      <c r="I2" s="21">
        <f ca="1">IF(NETWORKDAYS(G2,TODAY())/NETWORKDAYS(G2,H2,)&lt;0,0,IF(NETWORKDAYS(G2,TODAY())/NETWORKDAYS(G2,H2,)&gt;1,1,NETWORKDAYS(G2,TODAY())/NETWORKDAYS(G2,H2,)))</f>
        <v>1</v>
      </c>
      <c r="J2" s="21">
        <v>1</v>
      </c>
      <c r="K2" s="22">
        <f t="shared" ref="K2:K16" si="0">NETWORKDAYS(G2,H2)</f>
        <v>2</v>
      </c>
      <c r="L2" s="23">
        <f>K2*8</f>
        <v>16</v>
      </c>
      <c r="M2" s="23" t="s">
        <v>92</v>
      </c>
      <c r="N2" s="23" t="s">
        <v>93</v>
      </c>
      <c r="O2" s="18">
        <f ca="1">I2*L2</f>
        <v>16</v>
      </c>
      <c r="P2" s="18">
        <f>J2*L2</f>
        <v>16</v>
      </c>
    </row>
    <row r="3" spans="1:16" x14ac:dyDescent="0.25">
      <c r="A3" s="92" t="s">
        <v>98</v>
      </c>
      <c r="B3" s="17" t="s">
        <v>45</v>
      </c>
      <c r="C3" s="17" t="s">
        <v>88</v>
      </c>
      <c r="D3" s="18" t="s">
        <v>89</v>
      </c>
      <c r="E3" s="18" t="s">
        <v>90</v>
      </c>
      <c r="F3" s="19" t="s">
        <v>94</v>
      </c>
      <c r="G3" s="20">
        <v>42185</v>
      </c>
      <c r="H3" s="20" t="s">
        <v>231</v>
      </c>
      <c r="I3" s="21">
        <f ca="1">IF(NETWORKDAYS(G3,TODAY())/NETWORKDAYS(G3,H3,)&lt;0,0,IF(NETWORKDAYS(G3,TODAY())/NETWORKDAYS(G3,H3,)&gt;1,1,NETWORKDAYS(G3,TODAY())/NETWORKDAYS(G3,H3,)))</f>
        <v>1</v>
      </c>
      <c r="J3" s="21">
        <v>1</v>
      </c>
      <c r="K3" s="22">
        <f t="shared" si="0"/>
        <v>2</v>
      </c>
      <c r="L3" s="23">
        <f>K3*8</f>
        <v>16</v>
      </c>
      <c r="M3" s="23" t="s">
        <v>92</v>
      </c>
      <c r="N3" s="23" t="s">
        <v>93</v>
      </c>
      <c r="O3" s="18">
        <f ca="1">I3*L3</f>
        <v>16</v>
      </c>
      <c r="P3" s="18">
        <f>J3*L3</f>
        <v>16</v>
      </c>
    </row>
    <row r="4" spans="1:16" x14ac:dyDescent="0.25">
      <c r="A4" s="92" t="s">
        <v>98</v>
      </c>
      <c r="B4" s="17" t="s">
        <v>45</v>
      </c>
      <c r="C4" s="17" t="s">
        <v>88</v>
      </c>
      <c r="D4" s="18" t="s">
        <v>89</v>
      </c>
      <c r="E4" s="18" t="s">
        <v>90</v>
      </c>
      <c r="F4" s="19" t="s">
        <v>95</v>
      </c>
      <c r="G4" s="20" t="s">
        <v>232</v>
      </c>
      <c r="H4" s="20" t="s">
        <v>232</v>
      </c>
      <c r="I4" s="21">
        <f ca="1">IF(NETWORKDAYS(G4,TODAY())/NETWORKDAYS(G4,H4,)&lt;0,0,IF(NETWORKDAYS(G4,TODAY())/NETWORKDAYS(G4,H4,)&gt;1,1,NETWORKDAYS(G4,TODAY())/NETWORKDAYS(G4,H4,)))</f>
        <v>1</v>
      </c>
      <c r="J4" s="21">
        <v>1</v>
      </c>
      <c r="K4" s="22">
        <f t="shared" si="0"/>
        <v>1</v>
      </c>
      <c r="L4" s="23">
        <f>K4*8</f>
        <v>8</v>
      </c>
      <c r="M4" s="23" t="s">
        <v>92</v>
      </c>
      <c r="N4" s="23" t="s">
        <v>93</v>
      </c>
      <c r="O4" s="18">
        <f ca="1">I4*L4</f>
        <v>8</v>
      </c>
      <c r="P4" s="18">
        <f>J4*L4</f>
        <v>8</v>
      </c>
    </row>
    <row r="5" spans="1:16" x14ac:dyDescent="0.25">
      <c r="A5" s="92" t="s">
        <v>98</v>
      </c>
      <c r="B5" s="17" t="s">
        <v>45</v>
      </c>
      <c r="C5" s="17" t="s">
        <v>88</v>
      </c>
      <c r="D5" s="18" t="s">
        <v>89</v>
      </c>
      <c r="E5" s="18" t="s">
        <v>90</v>
      </c>
      <c r="F5" s="19" t="s">
        <v>96</v>
      </c>
      <c r="G5" s="20" t="s">
        <v>233</v>
      </c>
      <c r="H5" s="20" t="str">
        <f>G5</f>
        <v>03/07/2015</v>
      </c>
      <c r="I5" s="21">
        <f ca="1">IF(NETWORKDAYS(G5,TODAY())/NETWORKDAYS(G5,H5,)&lt;0,0,IF(NETWORKDAYS(G5,TODAY())/NETWORKDAYS(G5,H5,)&gt;1,1,NETWORKDAYS(G5,TODAY())/NETWORKDAYS(G5,H5,)))</f>
        <v>1</v>
      </c>
      <c r="J5" s="21">
        <v>0.9</v>
      </c>
      <c r="K5" s="22">
        <f t="shared" si="0"/>
        <v>1</v>
      </c>
      <c r="L5" s="23">
        <f>K5*8</f>
        <v>8</v>
      </c>
      <c r="M5" s="23" t="s">
        <v>92</v>
      </c>
      <c r="N5" s="23" t="s">
        <v>93</v>
      </c>
      <c r="O5" s="18">
        <f ca="1">I5*L5</f>
        <v>8</v>
      </c>
      <c r="P5" s="18">
        <f>J5*L5</f>
        <v>7.2</v>
      </c>
    </row>
    <row r="6" spans="1:16" x14ac:dyDescent="0.25">
      <c r="A6" s="24" t="s">
        <v>98</v>
      </c>
      <c r="B6" s="25" t="s">
        <v>45</v>
      </c>
      <c r="C6" s="25" t="s">
        <v>88</v>
      </c>
      <c r="D6" s="26" t="s">
        <v>89</v>
      </c>
      <c r="E6" s="26" t="s">
        <v>90</v>
      </c>
      <c r="F6" s="26" t="s">
        <v>97</v>
      </c>
      <c r="G6" s="27">
        <f>G2</f>
        <v>42181</v>
      </c>
      <c r="H6" s="27" t="str">
        <f>H5</f>
        <v>03/07/2015</v>
      </c>
      <c r="I6" s="28">
        <f ca="1">SUM(O2:O5)/L6</f>
        <v>1</v>
      </c>
      <c r="J6" s="28">
        <f>SUM(P2:P5)/L6</f>
        <v>0.98333333333333339</v>
      </c>
      <c r="K6" s="29">
        <f t="shared" si="0"/>
        <v>6</v>
      </c>
      <c r="L6" s="24">
        <f>SUM(L2:L5)</f>
        <v>48</v>
      </c>
      <c r="M6" s="28" t="s">
        <v>92</v>
      </c>
      <c r="N6" s="28" t="s">
        <v>93</v>
      </c>
      <c r="O6" s="18"/>
      <c r="P6" s="18"/>
    </row>
    <row r="7" spans="1:16" x14ac:dyDescent="0.25">
      <c r="A7" s="92" t="s">
        <v>99</v>
      </c>
      <c r="B7" s="17" t="s">
        <v>53</v>
      </c>
      <c r="C7" s="17" t="s">
        <v>88</v>
      </c>
      <c r="D7" s="18" t="s">
        <v>89</v>
      </c>
      <c r="E7" s="18" t="s">
        <v>90</v>
      </c>
      <c r="F7" s="19" t="s">
        <v>91</v>
      </c>
      <c r="G7" s="20" t="s">
        <v>234</v>
      </c>
      <c r="H7" s="20" t="s">
        <v>234</v>
      </c>
      <c r="I7" s="21">
        <f ca="1">IF(NETWORKDAYS(G7,TODAY())/NETWORKDAYS(G7,H7,)&lt;0,0,IF(NETWORKDAYS(G7,TODAY())/NETWORKDAYS(G7,H7,)&gt;1,1,NETWORKDAYS(G7,TODAY())/NETWORKDAYS(G7,H7,)))</f>
        <v>1</v>
      </c>
      <c r="J7" s="21">
        <v>1</v>
      </c>
      <c r="K7" s="22">
        <f t="shared" si="0"/>
        <v>1</v>
      </c>
      <c r="L7" s="23">
        <f>K7*8</f>
        <v>8</v>
      </c>
      <c r="M7" s="23" t="s">
        <v>92</v>
      </c>
      <c r="N7" s="23" t="s">
        <v>93</v>
      </c>
      <c r="O7" s="18">
        <f ca="1">I7*L7</f>
        <v>8</v>
      </c>
      <c r="P7" s="18">
        <f>J7*L7</f>
        <v>8</v>
      </c>
    </row>
    <row r="8" spans="1:16" x14ac:dyDescent="0.25">
      <c r="A8" s="92" t="s">
        <v>99</v>
      </c>
      <c r="B8" s="17" t="s">
        <v>53</v>
      </c>
      <c r="C8" s="17" t="s">
        <v>88</v>
      </c>
      <c r="D8" s="18" t="s">
        <v>89</v>
      </c>
      <c r="E8" s="18" t="s">
        <v>90</v>
      </c>
      <c r="F8" s="19" t="s">
        <v>94</v>
      </c>
      <c r="G8" s="20" t="s">
        <v>235</v>
      </c>
      <c r="H8" s="20" t="s">
        <v>235</v>
      </c>
      <c r="I8" s="21">
        <f ca="1">IF(NETWORKDAYS(G8,TODAY())/NETWORKDAYS(G8,H8,)&lt;0,0,IF(NETWORKDAYS(G8,TODAY())/NETWORKDAYS(G8,H8,)&gt;1,1,NETWORKDAYS(G8,TODAY())/NETWORKDAYS(G8,H8,)))</f>
        <v>1</v>
      </c>
      <c r="J8" s="21">
        <v>1</v>
      </c>
      <c r="K8" s="22">
        <f t="shared" si="0"/>
        <v>1</v>
      </c>
      <c r="L8" s="23">
        <f>K8*8</f>
        <v>8</v>
      </c>
      <c r="M8" s="23" t="s">
        <v>92</v>
      </c>
      <c r="N8" s="23" t="s">
        <v>93</v>
      </c>
      <c r="O8" s="18">
        <f ca="1">I8*L8</f>
        <v>8</v>
      </c>
      <c r="P8" s="18">
        <f>J8*L8</f>
        <v>8</v>
      </c>
    </row>
    <row r="9" spans="1:16" x14ac:dyDescent="0.25">
      <c r="A9" s="92" t="s">
        <v>99</v>
      </c>
      <c r="B9" s="17" t="s">
        <v>53</v>
      </c>
      <c r="C9" s="17" t="s">
        <v>88</v>
      </c>
      <c r="D9" s="18" t="s">
        <v>89</v>
      </c>
      <c r="E9" s="18" t="s">
        <v>90</v>
      </c>
      <c r="F9" s="19" t="s">
        <v>95</v>
      </c>
      <c r="G9" s="20" t="s">
        <v>236</v>
      </c>
      <c r="H9" s="20" t="s">
        <v>237</v>
      </c>
      <c r="I9" s="21">
        <f ca="1">IF(NETWORKDAYS(G9,TODAY())/NETWORKDAYS(G9,H9,)&lt;0,0,IF(NETWORKDAYS(G9,TODAY())/NETWORKDAYS(G9,H9,)&gt;1,1,NETWORKDAYS(G9,TODAY())/NETWORKDAYS(G9,H9,)))</f>
        <v>1</v>
      </c>
      <c r="J9" s="21">
        <v>1</v>
      </c>
      <c r="K9" s="22">
        <f t="shared" si="0"/>
        <v>2</v>
      </c>
      <c r="L9" s="23">
        <f>K9*8</f>
        <v>16</v>
      </c>
      <c r="M9" s="23" t="s">
        <v>92</v>
      </c>
      <c r="N9" s="23" t="s">
        <v>93</v>
      </c>
      <c r="O9" s="18">
        <f ca="1">I9*L9</f>
        <v>16</v>
      </c>
      <c r="P9" s="18">
        <f>J9*L9</f>
        <v>16</v>
      </c>
    </row>
    <row r="10" spans="1:16" x14ac:dyDescent="0.25">
      <c r="A10" s="92" t="s">
        <v>99</v>
      </c>
      <c r="B10" s="17" t="s">
        <v>53</v>
      </c>
      <c r="C10" s="17" t="s">
        <v>88</v>
      </c>
      <c r="D10" s="18" t="s">
        <v>89</v>
      </c>
      <c r="E10" s="18" t="s">
        <v>90</v>
      </c>
      <c r="F10" s="19" t="s">
        <v>96</v>
      </c>
      <c r="G10" s="20" t="s">
        <v>238</v>
      </c>
      <c r="H10" s="20" t="s">
        <v>238</v>
      </c>
      <c r="I10" s="21">
        <f ca="1">IF(NETWORKDAYS(G10,TODAY())/NETWORKDAYS(G10,H10,)&lt;0,0,IF(NETWORKDAYS(G10,TODAY())/NETWORKDAYS(G10,H10,)&gt;1,1,NETWORKDAYS(G10,TODAY())/NETWORKDAYS(G10,H10,)))</f>
        <v>1</v>
      </c>
      <c r="J10" s="21">
        <v>0.9</v>
      </c>
      <c r="K10" s="22">
        <f t="shared" si="0"/>
        <v>1</v>
      </c>
      <c r="L10" s="23">
        <f>K10*8</f>
        <v>8</v>
      </c>
      <c r="M10" s="23" t="s">
        <v>92</v>
      </c>
      <c r="N10" s="23" t="s">
        <v>93</v>
      </c>
      <c r="O10" s="18">
        <f ca="1">I10*L10</f>
        <v>8</v>
      </c>
      <c r="P10" s="18">
        <f>J10*L10</f>
        <v>7.2</v>
      </c>
    </row>
    <row r="11" spans="1:16" x14ac:dyDescent="0.25">
      <c r="A11" s="24" t="s">
        <v>99</v>
      </c>
      <c r="B11" s="25" t="s">
        <v>53</v>
      </c>
      <c r="C11" s="25" t="s">
        <v>88</v>
      </c>
      <c r="D11" s="26" t="s">
        <v>89</v>
      </c>
      <c r="E11" s="26" t="s">
        <v>90</v>
      </c>
      <c r="F11" s="26" t="s">
        <v>97</v>
      </c>
      <c r="G11" s="27" t="str">
        <f>G7</f>
        <v>13/07/2015</v>
      </c>
      <c r="H11" s="27" t="str">
        <f>H10</f>
        <v>17/07/2015</v>
      </c>
      <c r="I11" s="28">
        <f ca="1">SUM(O7:O10)/L11</f>
        <v>1</v>
      </c>
      <c r="J11" s="28">
        <f>SUM(P7:P10)/L11</f>
        <v>0.98000000000000009</v>
      </c>
      <c r="K11" s="29">
        <f t="shared" si="0"/>
        <v>5</v>
      </c>
      <c r="L11" s="24">
        <f>SUM(L7:L10)</f>
        <v>40</v>
      </c>
      <c r="M11" s="28" t="s">
        <v>92</v>
      </c>
      <c r="N11" s="28" t="s">
        <v>93</v>
      </c>
      <c r="O11" s="18"/>
      <c r="P11" s="18"/>
    </row>
    <row r="12" spans="1:16" x14ac:dyDescent="0.25">
      <c r="A12" s="92" t="s">
        <v>58</v>
      </c>
      <c r="B12" s="17" t="s">
        <v>59</v>
      </c>
      <c r="C12" s="17" t="s">
        <v>100</v>
      </c>
      <c r="D12" s="18" t="s">
        <v>101</v>
      </c>
      <c r="E12" s="18" t="s">
        <v>239</v>
      </c>
      <c r="F12" s="19" t="s">
        <v>91</v>
      </c>
      <c r="G12" s="20" t="s">
        <v>240</v>
      </c>
      <c r="H12" s="20" t="s">
        <v>241</v>
      </c>
      <c r="I12" s="21">
        <f ca="1">IF(NETWORKDAYS(G12,TODAY())/NETWORKDAYS(G12,H12,)&lt;0,0,IF(NETWORKDAYS(G12,TODAY())/NETWORKDAYS(G12,H12,)&gt;1,1,NETWORKDAYS(G12,TODAY())/NETWORKDAYS(G12,H12,)))</f>
        <v>1</v>
      </c>
      <c r="J12" s="21">
        <v>1</v>
      </c>
      <c r="K12" s="22">
        <f t="shared" si="0"/>
        <v>5</v>
      </c>
      <c r="L12" s="23">
        <f>K12*8</f>
        <v>40</v>
      </c>
      <c r="M12" s="23" t="s">
        <v>92</v>
      </c>
      <c r="N12" s="23" t="s">
        <v>93</v>
      </c>
      <c r="O12" s="18">
        <f ca="1">I12*L12</f>
        <v>40</v>
      </c>
      <c r="P12" s="18">
        <f>J12*L12</f>
        <v>40</v>
      </c>
    </row>
    <row r="13" spans="1:16" x14ac:dyDescent="0.25">
      <c r="A13" s="92" t="s">
        <v>58</v>
      </c>
      <c r="B13" s="17" t="s">
        <v>59</v>
      </c>
      <c r="C13" s="17" t="s">
        <v>100</v>
      </c>
      <c r="D13" s="18" t="s">
        <v>101</v>
      </c>
      <c r="E13" s="18" t="s">
        <v>239</v>
      </c>
      <c r="F13" s="19" t="s">
        <v>94</v>
      </c>
      <c r="G13" s="20" t="s">
        <v>234</v>
      </c>
      <c r="H13" s="20" t="s">
        <v>238</v>
      </c>
      <c r="I13" s="21">
        <f ca="1">IF(NETWORKDAYS(G13,TODAY())/NETWORKDAYS(G13,H13,)&lt;0,0,IF(NETWORKDAYS(G13,TODAY())/NETWORKDAYS(G13,H13,)&gt;1,1,NETWORKDAYS(G13,TODAY())/NETWORKDAYS(G13,H13,)))</f>
        <v>1</v>
      </c>
      <c r="J13" s="21">
        <v>1</v>
      </c>
      <c r="K13" s="22">
        <f t="shared" si="0"/>
        <v>5</v>
      </c>
      <c r="L13" s="23">
        <f>K13*8</f>
        <v>40</v>
      </c>
      <c r="M13" s="23" t="s">
        <v>92</v>
      </c>
      <c r="N13" s="23" t="s">
        <v>93</v>
      </c>
      <c r="O13" s="18">
        <f ca="1">I13*L13</f>
        <v>40</v>
      </c>
      <c r="P13" s="18">
        <f>J13*L13</f>
        <v>40</v>
      </c>
    </row>
    <row r="14" spans="1:16" x14ac:dyDescent="0.25">
      <c r="A14" s="92" t="s">
        <v>58</v>
      </c>
      <c r="B14" s="17" t="s">
        <v>59</v>
      </c>
      <c r="C14" s="17" t="s">
        <v>100</v>
      </c>
      <c r="D14" s="18" t="s">
        <v>101</v>
      </c>
      <c r="E14" s="18" t="s">
        <v>239</v>
      </c>
      <c r="F14" s="19" t="s">
        <v>95</v>
      </c>
      <c r="G14" s="20" t="s">
        <v>242</v>
      </c>
      <c r="H14" s="20" t="s">
        <v>243</v>
      </c>
      <c r="I14" s="21">
        <f ca="1">IF(NETWORKDAYS(G14,TODAY())/NETWORKDAYS(G14,H14,)&lt;0,0,IF(NETWORKDAYS(G14,TODAY())/NETWORKDAYS(G14,H14,)&gt;1,1,NETWORKDAYS(G14,TODAY())/NETWORKDAYS(G14,H14,)))</f>
        <v>0.5</v>
      </c>
      <c r="J14" s="21">
        <v>0</v>
      </c>
      <c r="K14" s="22">
        <f t="shared" si="0"/>
        <v>2</v>
      </c>
      <c r="L14" s="23">
        <f>K14*8</f>
        <v>16</v>
      </c>
      <c r="M14" s="23" t="s">
        <v>92</v>
      </c>
      <c r="N14" s="23" t="s">
        <v>93</v>
      </c>
      <c r="O14" s="18">
        <f ca="1">I14*L14</f>
        <v>8</v>
      </c>
      <c r="P14" s="18">
        <f>J14*L14</f>
        <v>0</v>
      </c>
    </row>
    <row r="15" spans="1:16" x14ac:dyDescent="0.25">
      <c r="A15" s="92" t="s">
        <v>58</v>
      </c>
      <c r="B15" s="17" t="s">
        <v>59</v>
      </c>
      <c r="C15" s="17" t="s">
        <v>100</v>
      </c>
      <c r="D15" s="18" t="s">
        <v>101</v>
      </c>
      <c r="E15" s="18" t="s">
        <v>239</v>
      </c>
      <c r="F15" s="19" t="s">
        <v>96</v>
      </c>
      <c r="G15" s="20" t="s">
        <v>244</v>
      </c>
      <c r="H15" s="20" t="s">
        <v>245</v>
      </c>
      <c r="I15" s="21">
        <f ca="1">IF(NETWORKDAYS(G15,TODAY())/NETWORKDAYS(G15,H15,)&lt;0,0,IF(NETWORKDAYS(G15,TODAY())/NETWORKDAYS(G15,H15,)&gt;1,1,NETWORKDAYS(G15,TODAY())/NETWORKDAYS(G15,H15,)))</f>
        <v>0</v>
      </c>
      <c r="J15" s="21">
        <v>0</v>
      </c>
      <c r="K15" s="22">
        <f t="shared" si="0"/>
        <v>3</v>
      </c>
      <c r="L15" s="23">
        <f>K15*8</f>
        <v>24</v>
      </c>
      <c r="M15" s="23" t="s">
        <v>92</v>
      </c>
      <c r="N15" s="23" t="s">
        <v>93</v>
      </c>
      <c r="O15" s="18">
        <f ca="1">I15*L15</f>
        <v>0</v>
      </c>
      <c r="P15" s="18">
        <f>J15*L15</f>
        <v>0</v>
      </c>
    </row>
    <row r="16" spans="1:16" x14ac:dyDescent="0.25">
      <c r="A16" s="24" t="s">
        <v>58</v>
      </c>
      <c r="B16" s="25" t="s">
        <v>59</v>
      </c>
      <c r="C16" s="25" t="s">
        <v>100</v>
      </c>
      <c r="D16" s="26" t="s">
        <v>101</v>
      </c>
      <c r="E16" s="26" t="s">
        <v>239</v>
      </c>
      <c r="F16" s="26" t="s">
        <v>97</v>
      </c>
      <c r="G16" s="27" t="s">
        <v>230</v>
      </c>
      <c r="H16" s="27" t="str">
        <f>H15</f>
        <v>24/07/2015</v>
      </c>
      <c r="I16" s="28">
        <f ca="1">SUM(O12:O15)/L16</f>
        <v>0.73333333333333328</v>
      </c>
      <c r="J16" s="28">
        <f>SUM(P12:P15)/L16</f>
        <v>0.66666666666666663</v>
      </c>
      <c r="K16" s="29">
        <f t="shared" si="0"/>
        <v>25</v>
      </c>
      <c r="L16" s="24">
        <f>SUM(L12:L15)</f>
        <v>120</v>
      </c>
      <c r="M16" s="28" t="s">
        <v>92</v>
      </c>
      <c r="N16" s="28" t="s">
        <v>93</v>
      </c>
      <c r="O16" s="18"/>
      <c r="P16" s="1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43"/>
  <sheetViews>
    <sheetView zoomScale="70" zoomScaleNormal="7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3" sqref="A3:XFD3"/>
    </sheetView>
  </sheetViews>
  <sheetFormatPr defaultRowHeight="15" x14ac:dyDescent="0.25"/>
  <cols>
    <col min="1" max="1" width="9.140625" style="50"/>
    <col min="2" max="2" width="7.42578125" style="51" bestFit="1" customWidth="1"/>
    <col min="3" max="3" width="56.7109375" style="50" bestFit="1" customWidth="1"/>
    <col min="4" max="4" width="18.28515625" style="51" bestFit="1" customWidth="1"/>
    <col min="5" max="5" width="77.85546875" style="2" bestFit="1" customWidth="1"/>
    <col min="6" max="6" width="45.140625" style="52" bestFit="1" customWidth="1"/>
    <col min="7" max="7" width="103" style="50" customWidth="1"/>
    <col min="8" max="8" width="39.85546875" style="51" customWidth="1"/>
    <col min="9" max="9" width="28.85546875" style="2" bestFit="1" customWidth="1"/>
    <col min="10" max="10" width="26.42578125" style="51" customWidth="1"/>
    <col min="11" max="11" width="28.7109375" style="51" bestFit="1" customWidth="1"/>
    <col min="12" max="12" width="31.28515625" style="51" customWidth="1"/>
    <col min="13" max="13" width="55.85546875" style="50" bestFit="1" customWidth="1"/>
    <col min="14" max="16384" width="9.140625" style="50"/>
  </cols>
  <sheetData>
    <row r="1" spans="1:13" x14ac:dyDescent="0.25">
      <c r="B1" s="51" t="s">
        <v>27</v>
      </c>
      <c r="C1" s="51" t="s">
        <v>118</v>
      </c>
      <c r="D1" s="51" t="s">
        <v>119</v>
      </c>
      <c r="E1" s="2" t="s">
        <v>120</v>
      </c>
      <c r="F1" s="52" t="s">
        <v>121</v>
      </c>
      <c r="G1" s="51" t="s">
        <v>122</v>
      </c>
      <c r="H1" s="51" t="s">
        <v>123</v>
      </c>
      <c r="I1" s="51" t="s">
        <v>124</v>
      </c>
      <c r="J1" s="51" t="s">
        <v>125</v>
      </c>
      <c r="K1" s="51" t="s">
        <v>126</v>
      </c>
      <c r="L1" s="51" t="s">
        <v>127</v>
      </c>
      <c r="M1" s="51" t="s">
        <v>128</v>
      </c>
    </row>
    <row r="2" spans="1:13" x14ac:dyDescent="0.25">
      <c r="A2" s="50" t="s">
        <v>129</v>
      </c>
      <c r="B2" s="51">
        <v>100</v>
      </c>
      <c r="C2" s="2" t="s">
        <v>130</v>
      </c>
      <c r="D2" s="51" t="s">
        <v>131</v>
      </c>
      <c r="E2" s="2" t="s">
        <v>132</v>
      </c>
      <c r="F2" s="52" t="s">
        <v>133</v>
      </c>
      <c r="G2" s="53" t="s">
        <v>134</v>
      </c>
      <c r="H2" s="51" t="s">
        <v>135</v>
      </c>
      <c r="I2" s="2" t="s">
        <v>136</v>
      </c>
      <c r="J2" s="51" t="s">
        <v>135</v>
      </c>
      <c r="K2" s="51" t="s">
        <v>137</v>
      </c>
      <c r="L2" s="51" t="s">
        <v>137</v>
      </c>
      <c r="M2" s="51"/>
    </row>
    <row r="3" spans="1:13" ht="60" x14ac:dyDescent="0.25">
      <c r="A3" s="54" t="s">
        <v>138</v>
      </c>
      <c r="B3" s="51">
        <v>101</v>
      </c>
      <c r="C3" s="2" t="s">
        <v>34</v>
      </c>
      <c r="D3" s="51" t="s">
        <v>89</v>
      </c>
      <c r="E3" s="2" t="s">
        <v>139</v>
      </c>
      <c r="F3" s="55" t="s">
        <v>140</v>
      </c>
      <c r="G3" s="53" t="s">
        <v>141</v>
      </c>
      <c r="I3" s="2" t="s">
        <v>142</v>
      </c>
      <c r="L3" s="30"/>
      <c r="M3" s="30" t="s">
        <v>143</v>
      </c>
    </row>
    <row r="4" spans="1:13" ht="75" x14ac:dyDescent="0.25">
      <c r="A4" s="54" t="s">
        <v>138</v>
      </c>
      <c r="B4" s="51">
        <v>102</v>
      </c>
      <c r="C4" s="2" t="s">
        <v>144</v>
      </c>
      <c r="D4" s="51" t="s">
        <v>145</v>
      </c>
      <c r="E4" s="2" t="s">
        <v>146</v>
      </c>
      <c r="F4" s="52" t="s">
        <v>147</v>
      </c>
      <c r="G4" s="53" t="s">
        <v>148</v>
      </c>
      <c r="I4" s="2" t="s">
        <v>142</v>
      </c>
      <c r="M4" s="30" t="s">
        <v>149</v>
      </c>
    </row>
    <row r="5" spans="1:13" ht="45" x14ac:dyDescent="0.25">
      <c r="A5" s="50" t="s">
        <v>129</v>
      </c>
      <c r="B5" s="51">
        <v>103</v>
      </c>
      <c r="C5" s="50" t="s">
        <v>150</v>
      </c>
      <c r="D5" s="51" t="s">
        <v>145</v>
      </c>
      <c r="E5" s="56" t="s">
        <v>151</v>
      </c>
      <c r="F5" s="56"/>
      <c r="G5" s="53" t="s">
        <v>152</v>
      </c>
      <c r="I5" s="2" t="s">
        <v>142</v>
      </c>
      <c r="M5" s="51"/>
    </row>
    <row r="6" spans="1:13" ht="75" x14ac:dyDescent="0.25">
      <c r="A6" s="54" t="s">
        <v>138</v>
      </c>
      <c r="B6" s="51">
        <v>104</v>
      </c>
      <c r="C6" s="2" t="s">
        <v>153</v>
      </c>
      <c r="D6" s="51" t="s">
        <v>145</v>
      </c>
      <c r="E6" s="2" t="s">
        <v>154</v>
      </c>
      <c r="F6" s="55" t="s">
        <v>155</v>
      </c>
      <c r="G6" s="53" t="s">
        <v>156</v>
      </c>
      <c r="I6" s="2" t="s">
        <v>142</v>
      </c>
      <c r="L6" s="30"/>
      <c r="M6" s="30" t="s">
        <v>157</v>
      </c>
    </row>
    <row r="7" spans="1:13" ht="75" x14ac:dyDescent="0.25">
      <c r="A7" s="50" t="s">
        <v>129</v>
      </c>
      <c r="B7" s="51">
        <v>105</v>
      </c>
      <c r="C7" s="52" t="s">
        <v>158</v>
      </c>
      <c r="D7" s="51" t="s">
        <v>159</v>
      </c>
      <c r="E7" s="2" t="s">
        <v>160</v>
      </c>
      <c r="F7" s="56" t="s">
        <v>161</v>
      </c>
      <c r="G7" s="53" t="s">
        <v>162</v>
      </c>
      <c r="H7" s="51" t="s">
        <v>163</v>
      </c>
      <c r="I7" s="2" t="s">
        <v>164</v>
      </c>
      <c r="M7" s="51"/>
    </row>
    <row r="8" spans="1:13" x14ac:dyDescent="0.25">
      <c r="B8" s="51">
        <v>106</v>
      </c>
      <c r="C8" s="52"/>
      <c r="F8" s="56"/>
      <c r="G8" s="57"/>
      <c r="M8" s="51"/>
    </row>
    <row r="9" spans="1:13" x14ac:dyDescent="0.25">
      <c r="B9" s="51">
        <v>107</v>
      </c>
      <c r="C9" s="52"/>
      <c r="G9" s="53"/>
      <c r="M9" s="51"/>
    </row>
    <row r="10" spans="1:13" x14ac:dyDescent="0.25">
      <c r="B10" s="51">
        <v>108</v>
      </c>
      <c r="C10" s="2"/>
      <c r="D10" s="30"/>
      <c r="G10" s="53"/>
      <c r="M10" s="51"/>
    </row>
    <row r="11" spans="1:13" x14ac:dyDescent="0.25">
      <c r="B11" s="51">
        <v>109</v>
      </c>
      <c r="C11" s="2"/>
      <c r="G11" s="53"/>
      <c r="M11" s="51"/>
    </row>
    <row r="12" spans="1:13" x14ac:dyDescent="0.25">
      <c r="B12" s="51">
        <v>110</v>
      </c>
      <c r="C12" s="2"/>
      <c r="D12" s="30"/>
      <c r="G12" s="53"/>
      <c r="M12" s="51"/>
    </row>
    <row r="13" spans="1:13" x14ac:dyDescent="0.25">
      <c r="B13" s="51">
        <v>111</v>
      </c>
      <c r="C13" s="52"/>
      <c r="D13" s="30"/>
      <c r="G13" s="53"/>
      <c r="M13" s="51"/>
    </row>
    <row r="14" spans="1:13" x14ac:dyDescent="0.25">
      <c r="B14" s="51">
        <v>112</v>
      </c>
      <c r="E14" s="52"/>
      <c r="G14" s="58"/>
      <c r="M14" s="51"/>
    </row>
    <row r="15" spans="1:13" x14ac:dyDescent="0.25">
      <c r="B15" s="51">
        <v>113</v>
      </c>
      <c r="E15" s="52"/>
      <c r="G15" s="58"/>
      <c r="M15" s="51"/>
    </row>
    <row r="16" spans="1:13" x14ac:dyDescent="0.25">
      <c r="B16" s="51">
        <v>114</v>
      </c>
      <c r="C16" s="2"/>
      <c r="D16" s="30"/>
      <c r="G16" s="53"/>
      <c r="M16" s="51"/>
    </row>
    <row r="17" spans="2:13" x14ac:dyDescent="0.25">
      <c r="B17" s="51">
        <v>115</v>
      </c>
      <c r="F17" s="58"/>
      <c r="G17" s="58"/>
      <c r="M17" s="51"/>
    </row>
    <row r="18" spans="2:13" x14ac:dyDescent="0.25">
      <c r="B18" s="51">
        <v>116</v>
      </c>
      <c r="F18" s="58"/>
      <c r="G18" s="58"/>
      <c r="M18" s="51"/>
    </row>
    <row r="19" spans="2:13" x14ac:dyDescent="0.25">
      <c r="B19" s="51">
        <v>117</v>
      </c>
      <c r="D19" s="30"/>
      <c r="E19" s="52"/>
      <c r="F19" s="58"/>
      <c r="G19" s="58"/>
      <c r="M19" s="51"/>
    </row>
    <row r="20" spans="2:13" x14ac:dyDescent="0.25">
      <c r="B20" s="51">
        <v>118</v>
      </c>
      <c r="D20" s="30"/>
      <c r="E20" s="52"/>
      <c r="F20" s="58"/>
      <c r="G20" s="58"/>
      <c r="M20" s="51"/>
    </row>
    <row r="21" spans="2:13" x14ac:dyDescent="0.25">
      <c r="B21" s="51">
        <v>119</v>
      </c>
      <c r="F21" s="53"/>
      <c r="G21" s="58"/>
      <c r="M21" s="51"/>
    </row>
    <row r="22" spans="2:13" x14ac:dyDescent="0.25">
      <c r="B22" s="51">
        <v>120</v>
      </c>
      <c r="F22" s="53"/>
      <c r="G22" s="58"/>
      <c r="M22" s="51"/>
    </row>
    <row r="23" spans="2:13" x14ac:dyDescent="0.25">
      <c r="B23" s="51">
        <v>121</v>
      </c>
      <c r="F23" s="53"/>
      <c r="G23" s="58"/>
      <c r="M23" s="51"/>
    </row>
    <row r="24" spans="2:13" x14ac:dyDescent="0.25">
      <c r="B24" s="51">
        <v>122</v>
      </c>
      <c r="F24" s="53"/>
      <c r="G24" s="58"/>
      <c r="M24" s="51"/>
    </row>
    <row r="25" spans="2:13" x14ac:dyDescent="0.25">
      <c r="B25" s="51">
        <v>123</v>
      </c>
      <c r="F25" s="53"/>
      <c r="G25" s="58"/>
      <c r="M25" s="51"/>
    </row>
    <row r="26" spans="2:13" x14ac:dyDescent="0.25">
      <c r="B26" s="51">
        <v>124</v>
      </c>
      <c r="F26" s="53"/>
      <c r="G26" s="58"/>
      <c r="M26" s="51"/>
    </row>
    <row r="27" spans="2:13" x14ac:dyDescent="0.25">
      <c r="B27" s="51">
        <v>125</v>
      </c>
      <c r="F27" s="53"/>
      <c r="G27" s="58"/>
      <c r="M27" s="51"/>
    </row>
    <row r="28" spans="2:13" x14ac:dyDescent="0.25">
      <c r="B28" s="51">
        <v>126</v>
      </c>
      <c r="F28" s="53"/>
      <c r="G28" s="58"/>
      <c r="M28" s="51"/>
    </row>
    <row r="29" spans="2:13" x14ac:dyDescent="0.25">
      <c r="B29" s="51">
        <v>127</v>
      </c>
      <c r="F29" s="53"/>
      <c r="G29" s="58"/>
      <c r="M29" s="51"/>
    </row>
    <row r="30" spans="2:13" x14ac:dyDescent="0.25">
      <c r="B30" s="51">
        <v>128</v>
      </c>
      <c r="F30" s="53"/>
      <c r="G30" s="58"/>
      <c r="M30" s="51"/>
    </row>
    <row r="31" spans="2:13" x14ac:dyDescent="0.25">
      <c r="B31" s="51">
        <v>129</v>
      </c>
      <c r="F31" s="53"/>
      <c r="G31" s="58"/>
      <c r="M31" s="51"/>
    </row>
    <row r="32" spans="2:13" x14ac:dyDescent="0.25">
      <c r="B32" s="51">
        <v>130</v>
      </c>
      <c r="F32" s="53"/>
      <c r="G32" s="58"/>
      <c r="M32" s="51"/>
    </row>
    <row r="33" spans="2:13" x14ac:dyDescent="0.25">
      <c r="B33" s="51">
        <v>131</v>
      </c>
      <c r="F33" s="53"/>
      <c r="G33" s="58"/>
      <c r="M33" s="51"/>
    </row>
    <row r="34" spans="2:13" x14ac:dyDescent="0.25">
      <c r="B34" s="51">
        <v>132</v>
      </c>
      <c r="F34" s="53"/>
      <c r="G34" s="58"/>
      <c r="M34" s="51"/>
    </row>
    <row r="35" spans="2:13" x14ac:dyDescent="0.25">
      <c r="B35" s="51">
        <v>133</v>
      </c>
      <c r="F35" s="53"/>
      <c r="G35" s="58"/>
      <c r="M35" s="51"/>
    </row>
    <row r="36" spans="2:13" x14ac:dyDescent="0.25">
      <c r="B36" s="51">
        <v>134</v>
      </c>
      <c r="F36" s="53"/>
      <c r="G36" s="58"/>
      <c r="M36" s="51"/>
    </row>
    <row r="37" spans="2:13" x14ac:dyDescent="0.25">
      <c r="B37" s="51">
        <v>135</v>
      </c>
      <c r="F37" s="53"/>
      <c r="G37" s="58"/>
      <c r="M37" s="51"/>
    </row>
    <row r="38" spans="2:13" x14ac:dyDescent="0.25">
      <c r="B38" s="51">
        <v>136</v>
      </c>
      <c r="F38" s="53"/>
      <c r="G38" s="58"/>
      <c r="M38" s="51"/>
    </row>
    <row r="39" spans="2:13" x14ac:dyDescent="0.25">
      <c r="B39" s="51">
        <v>137</v>
      </c>
      <c r="C39" s="59"/>
      <c r="F39" s="53"/>
      <c r="G39" s="60"/>
      <c r="H39" s="61"/>
      <c r="L39" s="61"/>
      <c r="M39" s="51"/>
    </row>
    <row r="40" spans="2:13" x14ac:dyDescent="0.25">
      <c r="B40" s="51">
        <v>138</v>
      </c>
      <c r="F40" s="53"/>
      <c r="G40" s="58"/>
      <c r="L40" s="61"/>
      <c r="M40" s="51"/>
    </row>
    <row r="41" spans="2:13" x14ac:dyDescent="0.25">
      <c r="B41" s="51">
        <v>139</v>
      </c>
      <c r="C41" s="59"/>
      <c r="F41" s="53"/>
      <c r="G41" s="60"/>
      <c r="H41" s="61"/>
      <c r="L41" s="61"/>
      <c r="M41" s="51"/>
    </row>
    <row r="42" spans="2:13" x14ac:dyDescent="0.25">
      <c r="B42" s="51">
        <v>140</v>
      </c>
      <c r="C42" s="62"/>
      <c r="D42" s="30"/>
      <c r="E42" s="63"/>
      <c r="F42" s="64"/>
      <c r="G42" s="58"/>
      <c r="H42" s="65"/>
      <c r="I42" s="63"/>
      <c r="J42" s="65"/>
      <c r="L42" s="65"/>
      <c r="M42" s="51"/>
    </row>
    <row r="43" spans="2:13" x14ac:dyDescent="0.25">
      <c r="G43" s="58"/>
      <c r="M43" s="5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D105"/>
  <sheetViews>
    <sheetView view="pageBreakPreview" zoomScale="70" zoomScaleNormal="100" zoomScaleSheetLayoutView="70" workbookViewId="0"/>
  </sheetViews>
  <sheetFormatPr defaultRowHeight="15" x14ac:dyDescent="0.25"/>
  <cols>
    <col min="3" max="3" width="100.140625" bestFit="1" customWidth="1"/>
    <col min="4" max="4" width="40.42578125" bestFit="1" customWidth="1"/>
  </cols>
  <sheetData>
    <row r="1" spans="3:4" x14ac:dyDescent="0.25">
      <c r="C1" s="8" t="s">
        <v>43</v>
      </c>
    </row>
    <row r="3" spans="3:4" x14ac:dyDescent="0.25">
      <c r="C3" s="11" t="s">
        <v>38</v>
      </c>
    </row>
    <row r="4" spans="3:4" x14ac:dyDescent="0.25">
      <c r="C4" s="11" t="s">
        <v>39</v>
      </c>
    </row>
    <row r="5" spans="3:4" x14ac:dyDescent="0.25">
      <c r="C5" s="11" t="s">
        <v>31</v>
      </c>
    </row>
    <row r="7" spans="3:4" x14ac:dyDescent="0.25">
      <c r="C7" s="3" t="s">
        <v>26</v>
      </c>
    </row>
    <row r="9" spans="3:4" x14ac:dyDescent="0.25">
      <c r="C9" s="12" t="s">
        <v>27</v>
      </c>
      <c r="D9" s="9" t="s">
        <v>35</v>
      </c>
    </row>
    <row r="10" spans="3:4" x14ac:dyDescent="0.25">
      <c r="C10" s="12" t="s">
        <v>28</v>
      </c>
      <c r="D10" s="9" t="s">
        <v>34</v>
      </c>
    </row>
    <row r="11" spans="3:4" x14ac:dyDescent="0.25">
      <c r="C11" s="12" t="s">
        <v>60</v>
      </c>
      <c r="D11" s="14"/>
    </row>
    <row r="12" spans="3:4" x14ac:dyDescent="0.25">
      <c r="C12" s="12" t="s">
        <v>61</v>
      </c>
      <c r="D12" s="14"/>
    </row>
    <row r="13" spans="3:4" x14ac:dyDescent="0.25">
      <c r="C13" s="12" t="s">
        <v>36</v>
      </c>
      <c r="D13" s="9" t="s">
        <v>37</v>
      </c>
    </row>
    <row r="14" spans="3:4" x14ac:dyDescent="0.25">
      <c r="C14" s="12" t="s">
        <v>41</v>
      </c>
      <c r="D14" s="9"/>
    </row>
    <row r="15" spans="3:4" x14ac:dyDescent="0.25">
      <c r="C15" s="12" t="s">
        <v>42</v>
      </c>
      <c r="D15" s="9"/>
    </row>
    <row r="16" spans="3:4" x14ac:dyDescent="0.25">
      <c r="C16" s="12" t="s">
        <v>54</v>
      </c>
      <c r="D16" s="9" t="s">
        <v>56</v>
      </c>
    </row>
    <row r="17" spans="3:4" x14ac:dyDescent="0.25">
      <c r="C17" s="12" t="s">
        <v>55</v>
      </c>
      <c r="D17" s="9" t="s">
        <v>57</v>
      </c>
    </row>
    <row r="18" spans="3:4" x14ac:dyDescent="0.25">
      <c r="C18" s="12" t="s">
        <v>168</v>
      </c>
      <c r="D18" s="9" t="s">
        <v>169</v>
      </c>
    </row>
    <row r="19" spans="3:4" ht="15.75" thickBot="1" x14ac:dyDescent="0.3">
      <c r="C19" s="12"/>
      <c r="D19" s="9"/>
    </row>
    <row r="20" spans="3:4" x14ac:dyDescent="0.25">
      <c r="C20" s="88" t="s">
        <v>226</v>
      </c>
      <c r="D20" s="89"/>
    </row>
    <row r="21" spans="3:4" ht="15.75" thickBot="1" x14ac:dyDescent="0.3">
      <c r="C21" s="90" t="s">
        <v>227</v>
      </c>
      <c r="D21" s="91"/>
    </row>
    <row r="22" spans="3:4" x14ac:dyDescent="0.25">
      <c r="C22" s="12"/>
      <c r="D22" s="9"/>
    </row>
    <row r="24" spans="3:4" x14ac:dyDescent="0.25">
      <c r="C24" s="3" t="s">
        <v>44</v>
      </c>
    </row>
    <row r="26" spans="3:4" x14ac:dyDescent="0.25">
      <c r="C26" s="5" t="str">
        <f>D37</f>
        <v xml:space="preserve">adriana.a.domingues@accenture.com </v>
      </c>
      <c r="D26" s="5"/>
    </row>
    <row r="27" spans="3:4" x14ac:dyDescent="0.25">
      <c r="C27" s="5" t="s">
        <v>29</v>
      </c>
      <c r="D27" s="5"/>
    </row>
    <row r="28" spans="3:4" x14ac:dyDescent="0.25">
      <c r="C28" s="5" t="s">
        <v>30</v>
      </c>
      <c r="D28" s="5"/>
    </row>
    <row r="29" spans="3:4" x14ac:dyDescent="0.25">
      <c r="C29" s="5" t="s">
        <v>31</v>
      </c>
      <c r="D29" s="5"/>
    </row>
    <row r="33" spans="3:4" x14ac:dyDescent="0.25">
      <c r="C33" s="3" t="s">
        <v>15</v>
      </c>
    </row>
    <row r="34" spans="3:4" x14ac:dyDescent="0.25">
      <c r="C34" s="1"/>
    </row>
    <row r="35" spans="3:4" x14ac:dyDescent="0.25">
      <c r="C35" s="13" t="s">
        <v>16</v>
      </c>
      <c r="D35" s="9" t="s">
        <v>33</v>
      </c>
    </row>
    <row r="36" spans="3:4" x14ac:dyDescent="0.25">
      <c r="C36" s="13" t="s">
        <v>17</v>
      </c>
      <c r="D36" s="9" t="s">
        <v>40</v>
      </c>
    </row>
    <row r="37" spans="3:4" x14ac:dyDescent="0.25">
      <c r="C37" s="13" t="s">
        <v>18</v>
      </c>
      <c r="D37" s="10" t="s">
        <v>32</v>
      </c>
    </row>
    <row r="38" spans="3:4" x14ac:dyDescent="0.25">
      <c r="C38" s="13" t="s">
        <v>19</v>
      </c>
      <c r="D38" s="9"/>
    </row>
    <row r="39" spans="3:4" x14ac:dyDescent="0.25">
      <c r="C39" s="13" t="s">
        <v>20</v>
      </c>
      <c r="D39" s="9"/>
    </row>
    <row r="41" spans="3:4" x14ac:dyDescent="0.25">
      <c r="C41" s="3" t="s">
        <v>166</v>
      </c>
    </row>
    <row r="42" spans="3:4" x14ac:dyDescent="0.25">
      <c r="C42" s="13" t="s">
        <v>167</v>
      </c>
    </row>
    <row r="44" spans="3:4" x14ac:dyDescent="0.25">
      <c r="C44" t="s">
        <v>171</v>
      </c>
      <c r="D44" s="5" t="s">
        <v>172</v>
      </c>
    </row>
    <row r="45" spans="3:4" x14ac:dyDescent="0.25">
      <c r="C45" t="s">
        <v>173</v>
      </c>
      <c r="D45" t="s">
        <v>174</v>
      </c>
    </row>
    <row r="46" spans="3:4" x14ac:dyDescent="0.25">
      <c r="C46" t="s">
        <v>175</v>
      </c>
      <c r="D46" t="s">
        <v>176</v>
      </c>
    </row>
    <row r="52" spans="3:3" x14ac:dyDescent="0.25">
      <c r="C52" s="3" t="s">
        <v>0</v>
      </c>
    </row>
    <row r="54" spans="3:3" x14ac:dyDescent="0.25">
      <c r="C54" t="str">
        <f>"Preciso do detalhamento de todo o procedimento para a construção do robo  " &amp; D10 &amp;" "</f>
        <v xml:space="preserve">Preciso do detalhamento de todo o procedimento para a construção do robo  CONSULTA DE OS RETTAR </v>
      </c>
    </row>
    <row r="56" spans="3:3" x14ac:dyDescent="0.25">
      <c r="C56" t="str">
        <f xml:space="preserve"> "Já tenho o arquivo " &amp; D13 &amp; " porem não tenho como utilizar"</f>
        <v>Já tenho o arquivo 4N _ O010_V213.mdb porem não tenho como utilizar</v>
      </c>
    </row>
    <row r="58" spans="3:3" x14ac:dyDescent="0.25">
      <c r="C58" s="3" t="s">
        <v>1</v>
      </c>
    </row>
    <row r="60" spans="3:3" x14ac:dyDescent="0.25">
      <c r="C60" t="s">
        <v>5</v>
      </c>
    </row>
    <row r="62" spans="3:3" x14ac:dyDescent="0.25">
      <c r="C62" t="s">
        <v>6</v>
      </c>
    </row>
    <row r="63" spans="3:3" x14ac:dyDescent="0.25">
      <c r="C63" t="s">
        <v>7</v>
      </c>
    </row>
    <row r="64" spans="3:3" x14ac:dyDescent="0.25">
      <c r="C64" t="s">
        <v>8</v>
      </c>
    </row>
    <row r="65" spans="3:3" x14ac:dyDescent="0.25">
      <c r="C65" t="s">
        <v>9</v>
      </c>
    </row>
    <row r="68" spans="3:3" x14ac:dyDescent="0.25">
      <c r="C68" s="3" t="s">
        <v>2</v>
      </c>
    </row>
    <row r="70" spans="3:3" x14ac:dyDescent="0.25">
      <c r="C70" t="s">
        <v>10</v>
      </c>
    </row>
    <row r="72" spans="3:3" x14ac:dyDescent="0.25">
      <c r="C72" s="3" t="s">
        <v>3</v>
      </c>
    </row>
    <row r="74" spans="3:3" x14ac:dyDescent="0.25">
      <c r="C74" t="s">
        <v>11</v>
      </c>
    </row>
    <row r="76" spans="3:3" x14ac:dyDescent="0.25">
      <c r="C76" s="3" t="s">
        <v>4</v>
      </c>
    </row>
    <row r="78" spans="3:3" x14ac:dyDescent="0.25">
      <c r="C78" t="s">
        <v>12</v>
      </c>
    </row>
    <row r="80" spans="3:3" x14ac:dyDescent="0.25">
      <c r="C80" s="3" t="s">
        <v>14</v>
      </c>
    </row>
    <row r="82" spans="3:4" x14ac:dyDescent="0.25">
      <c r="C82" t="s">
        <v>13</v>
      </c>
    </row>
    <row r="85" spans="3:4" x14ac:dyDescent="0.25">
      <c r="C85" s="4" t="s">
        <v>25</v>
      </c>
      <c r="D85" s="6"/>
    </row>
    <row r="86" spans="3:4" x14ac:dyDescent="0.25">
      <c r="C86" t="str">
        <f xml:space="preserve"> "[ENTREGA] - ROBO - " &amp; D10 &amp; " - (" &amp; D9 &amp; ")"</f>
        <v>[ENTREGA] - ROBO - CONSULTA DE OS RETTAR - (ID081)</v>
      </c>
    </row>
    <row r="89" spans="3:4" x14ac:dyDescent="0.25">
      <c r="C89" t="s">
        <v>21</v>
      </c>
    </row>
    <row r="91" spans="3:4" x14ac:dyDescent="0.25">
      <c r="C91" t="str">
        <f>"Segue entrega de " &amp; D10 &amp; " - (" &amp; D9 &amp; ")"</f>
        <v>Segue entrega de CONSULTA DE OS RETTAR - (ID081)</v>
      </c>
    </row>
    <row r="93" spans="3:4" x14ac:dyDescent="0.25">
      <c r="C93" t="s">
        <v>22</v>
      </c>
    </row>
    <row r="95" spans="3:4" x14ac:dyDescent="0.25">
      <c r="C95" t="str">
        <f>"[ROBO_" &amp; SUBSTITUTE(D10," ","_") &amp; ".zip] - Robô para execução;"</f>
        <v>[ROBO_CONSULTA_DE_OS_RETTAR.zip] - Robô para execução;</v>
      </c>
    </row>
    <row r="97" spans="3:4" x14ac:dyDescent="0.25">
      <c r="C97" t="s">
        <v>23</v>
      </c>
    </row>
    <row r="99" spans="3:4" x14ac:dyDescent="0.25">
      <c r="C99" t="s">
        <v>24</v>
      </c>
    </row>
    <row r="102" spans="3:4" x14ac:dyDescent="0.25">
      <c r="C102" t="str">
        <f>"Qualquer duvida estou a disposição pelo seguinte telefone: " &amp;C4</f>
        <v>Qualquer duvida estou a disposição pelo seguinte telefone: 11 9.5064-1754</v>
      </c>
    </row>
    <row r="105" spans="3:4" x14ac:dyDescent="0.25">
      <c r="C105" s="7" t="e">
        <f ca="1">listEmails(C26:C29)</f>
        <v>#NAME?</v>
      </c>
      <c r="D105" s="7"/>
    </row>
  </sheetData>
  <hyperlinks>
    <hyperlink ref="D37" r:id="rId1"/>
    <hyperlink ref="C5" r:id="rId2"/>
    <hyperlink ref="C27" r:id="rId3"/>
    <hyperlink ref="C28" r:id="rId4"/>
    <hyperlink ref="C29" r:id="rId5"/>
    <hyperlink ref="C26" r:id="rId6" display="adriana.a.domingues@accenture.com "/>
  </hyperlinks>
  <pageMargins left="0.7" right="0.7" top="0.75" bottom="0.75" header="0.3" footer="0.3"/>
  <pageSetup paperSize="9" scale="59" orientation="portrait" r:id="rId7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1:D85"/>
  <sheetViews>
    <sheetView view="pageBreakPreview" zoomScale="55" zoomScaleNormal="100" zoomScaleSheetLayoutView="55" workbookViewId="0">
      <selection activeCell="C1" sqref="C1"/>
    </sheetView>
  </sheetViews>
  <sheetFormatPr defaultRowHeight="15" x14ac:dyDescent="0.25"/>
  <cols>
    <col min="3" max="3" width="100.140625" bestFit="1" customWidth="1"/>
    <col min="4" max="4" width="40.42578125" bestFit="1" customWidth="1"/>
  </cols>
  <sheetData>
    <row r="1" spans="3:4" x14ac:dyDescent="0.25">
      <c r="C1" s="8" t="s">
        <v>43</v>
      </c>
    </row>
    <row r="3" spans="3:4" x14ac:dyDescent="0.25">
      <c r="C3" s="11" t="s">
        <v>38</v>
      </c>
    </row>
    <row r="4" spans="3:4" x14ac:dyDescent="0.25">
      <c r="C4" s="11" t="s">
        <v>39</v>
      </c>
    </row>
    <row r="5" spans="3:4" x14ac:dyDescent="0.25">
      <c r="C5" s="11" t="s">
        <v>31</v>
      </c>
    </row>
    <row r="7" spans="3:4" x14ac:dyDescent="0.25">
      <c r="C7" s="3" t="s">
        <v>26</v>
      </c>
    </row>
    <row r="9" spans="3:4" x14ac:dyDescent="0.25">
      <c r="C9" s="12" t="s">
        <v>27</v>
      </c>
      <c r="D9" s="9" t="s">
        <v>52</v>
      </c>
    </row>
    <row r="10" spans="3:4" x14ac:dyDescent="0.25">
      <c r="C10" s="12" t="s">
        <v>28</v>
      </c>
      <c r="D10" s="9" t="s">
        <v>45</v>
      </c>
    </row>
    <row r="11" spans="3:4" x14ac:dyDescent="0.25">
      <c r="C11" s="12" t="s">
        <v>36</v>
      </c>
      <c r="D11" s="9" t="s">
        <v>50</v>
      </c>
    </row>
    <row r="12" spans="3:4" x14ac:dyDescent="0.25">
      <c r="C12" s="12" t="s">
        <v>41</v>
      </c>
      <c r="D12" s="9" t="s">
        <v>49</v>
      </c>
    </row>
    <row r="13" spans="3:4" x14ac:dyDescent="0.25">
      <c r="C13" s="12" t="s">
        <v>42</v>
      </c>
      <c r="D13" s="9"/>
    </row>
    <row r="15" spans="3:4" x14ac:dyDescent="0.25">
      <c r="C15" s="3" t="s">
        <v>44</v>
      </c>
    </row>
    <row r="17" spans="3:4" x14ac:dyDescent="0.25">
      <c r="C17" s="5" t="str">
        <f>D28</f>
        <v>cassia.rodrigues@accenture.com</v>
      </c>
      <c r="D17" s="5"/>
    </row>
    <row r="18" spans="3:4" x14ac:dyDescent="0.25">
      <c r="C18" s="5" t="s">
        <v>29</v>
      </c>
      <c r="D18" s="5"/>
    </row>
    <row r="19" spans="3:4" x14ac:dyDescent="0.25">
      <c r="C19" s="5" t="s">
        <v>30</v>
      </c>
      <c r="D19" s="5"/>
    </row>
    <row r="20" spans="3:4" x14ac:dyDescent="0.25">
      <c r="C20" s="5" t="s">
        <v>31</v>
      </c>
      <c r="D20" s="5"/>
    </row>
    <row r="24" spans="3:4" x14ac:dyDescent="0.25">
      <c r="C24" s="3" t="s">
        <v>15</v>
      </c>
    </row>
    <row r="25" spans="3:4" x14ac:dyDescent="0.25">
      <c r="C25" s="1"/>
    </row>
    <row r="26" spans="3:4" x14ac:dyDescent="0.25">
      <c r="C26" s="13" t="s">
        <v>16</v>
      </c>
      <c r="D26" s="9" t="s">
        <v>46</v>
      </c>
    </row>
    <row r="27" spans="3:4" x14ac:dyDescent="0.25">
      <c r="C27" s="13" t="s">
        <v>17</v>
      </c>
      <c r="D27" s="9" t="s">
        <v>47</v>
      </c>
    </row>
    <row r="28" spans="3:4" x14ac:dyDescent="0.25">
      <c r="C28" s="13" t="s">
        <v>18</v>
      </c>
      <c r="D28" s="10" t="s">
        <v>48</v>
      </c>
    </row>
    <row r="29" spans="3:4" x14ac:dyDescent="0.25">
      <c r="C29" s="13" t="s">
        <v>19</v>
      </c>
      <c r="D29" s="9"/>
    </row>
    <row r="30" spans="3:4" x14ac:dyDescent="0.25">
      <c r="C30" s="13" t="s">
        <v>20</v>
      </c>
      <c r="D30" s="9"/>
    </row>
    <row r="32" spans="3:4" x14ac:dyDescent="0.25">
      <c r="C32" s="3" t="s">
        <v>0</v>
      </c>
    </row>
    <row r="34" spans="3:3" x14ac:dyDescent="0.25">
      <c r="C34" t="str">
        <f>"Preciso do detalhamento de todo o procedimento para a construção do robo  " &amp; D10 &amp;" "</f>
        <v xml:space="preserve">Preciso do detalhamento de todo o procedimento para a construção do robo  Religue e Desligue do Speedy </v>
      </c>
    </row>
    <row r="36" spans="3:3" x14ac:dyDescent="0.25">
      <c r="C36" t="str">
        <f xml:space="preserve"> "Já tenho o arquivo " &amp; D11 &amp; " porem não tenho como utilizar"</f>
        <v>Já tenho o arquivo Robo_Religue e Desligue Speedy.mdb porem não tenho como utilizar</v>
      </c>
    </row>
    <row r="38" spans="3:3" x14ac:dyDescent="0.25">
      <c r="C38" s="3" t="s">
        <v>1</v>
      </c>
    </row>
    <row r="40" spans="3:3" x14ac:dyDescent="0.25">
      <c r="C40" t="s">
        <v>5</v>
      </c>
    </row>
    <row r="42" spans="3:3" x14ac:dyDescent="0.25">
      <c r="C42" t="s">
        <v>6</v>
      </c>
    </row>
    <row r="43" spans="3:3" x14ac:dyDescent="0.25">
      <c r="C43" t="s">
        <v>7</v>
      </c>
    </row>
    <row r="44" spans="3:3" x14ac:dyDescent="0.25">
      <c r="C44" t="s">
        <v>8</v>
      </c>
    </row>
    <row r="45" spans="3:3" x14ac:dyDescent="0.25">
      <c r="C45" t="s">
        <v>9</v>
      </c>
    </row>
    <row r="48" spans="3:3" x14ac:dyDescent="0.25">
      <c r="C48" s="3" t="s">
        <v>2</v>
      </c>
    </row>
    <row r="50" spans="3:3" x14ac:dyDescent="0.25">
      <c r="C50" t="s">
        <v>10</v>
      </c>
    </row>
    <row r="52" spans="3:3" x14ac:dyDescent="0.25">
      <c r="C52" s="3" t="s">
        <v>3</v>
      </c>
    </row>
    <row r="54" spans="3:3" x14ac:dyDescent="0.25">
      <c r="C54" t="s">
        <v>11</v>
      </c>
    </row>
    <row r="56" spans="3:3" x14ac:dyDescent="0.25">
      <c r="C56" s="3" t="s">
        <v>4</v>
      </c>
    </row>
    <row r="58" spans="3:3" x14ac:dyDescent="0.25">
      <c r="C58" t="s">
        <v>12</v>
      </c>
    </row>
    <row r="60" spans="3:3" x14ac:dyDescent="0.25">
      <c r="C60" s="3" t="s">
        <v>14</v>
      </c>
    </row>
    <row r="62" spans="3:3" x14ac:dyDescent="0.25">
      <c r="C62" t="s">
        <v>13</v>
      </c>
    </row>
    <row r="65" spans="3:4" x14ac:dyDescent="0.25">
      <c r="C65" s="4" t="s">
        <v>25</v>
      </c>
      <c r="D65" s="6"/>
    </row>
    <row r="66" spans="3:4" x14ac:dyDescent="0.25">
      <c r="C66" t="str">
        <f xml:space="preserve"> "[ENTREGA] - ROBO - " &amp; D10 &amp; " - (" &amp; D9 &amp; ")"</f>
        <v>[ENTREGA] - ROBO - Religue e Desligue do Speedy - (ID092)</v>
      </c>
    </row>
    <row r="69" spans="3:4" x14ac:dyDescent="0.25">
      <c r="C69" t="s">
        <v>21</v>
      </c>
    </row>
    <row r="71" spans="3:4" x14ac:dyDescent="0.25">
      <c r="C71" t="str">
        <f>"Segue entrega de " &amp; D10 &amp; " - (" &amp; D9 &amp; ")"</f>
        <v>Segue entrega de Religue e Desligue do Speedy - (ID092)</v>
      </c>
    </row>
    <row r="73" spans="3:4" x14ac:dyDescent="0.25">
      <c r="C73" t="s">
        <v>22</v>
      </c>
    </row>
    <row r="75" spans="3:4" x14ac:dyDescent="0.25">
      <c r="C75" t="str">
        <f>"[ROBO_" &amp; SUBSTITUTE(D10," ","_") &amp; ".zip] - Robô para execução;"</f>
        <v>[ROBO_Religue_e_Desligue_do_Speedy.zip] - Robô para execução;</v>
      </c>
    </row>
    <row r="77" spans="3:4" x14ac:dyDescent="0.25">
      <c r="C77" t="s">
        <v>23</v>
      </c>
    </row>
    <row r="79" spans="3:4" x14ac:dyDescent="0.25">
      <c r="C79" t="s">
        <v>24</v>
      </c>
    </row>
    <row r="82" spans="3:4" x14ac:dyDescent="0.25">
      <c r="C82" t="str">
        <f>"Qualquer duvida estou a disposição pelo seguinte telefone: " &amp;C4</f>
        <v>Qualquer duvida estou a disposição pelo seguinte telefone: 11 9.5064-1754</v>
      </c>
    </row>
    <row r="85" spans="3:4" x14ac:dyDescent="0.25">
      <c r="C85" s="7" t="e">
        <f ca="1">listEmails(C17:C20)</f>
        <v>#NAME?</v>
      </c>
      <c r="D85" s="7"/>
    </row>
  </sheetData>
  <hyperlinks>
    <hyperlink ref="D28" r:id="rId1"/>
    <hyperlink ref="C5" r:id="rId2"/>
    <hyperlink ref="C18" r:id="rId3"/>
    <hyperlink ref="C19" r:id="rId4"/>
    <hyperlink ref="C20" r:id="rId5"/>
    <hyperlink ref="C17" r:id="rId6" display="adriana.a.domingues@accenture.com "/>
  </hyperlinks>
  <pageMargins left="0.7" right="0.7" top="0.75" bottom="0.75" header="0.3" footer="0.3"/>
  <pageSetup paperSize="9" scale="59" orientation="portrait" r:id="rId7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1:D84"/>
  <sheetViews>
    <sheetView view="pageBreakPreview" topLeftCell="A2" zoomScale="85" zoomScaleNormal="100" zoomScaleSheetLayoutView="85" workbookViewId="0">
      <selection activeCell="D16" sqref="D16"/>
    </sheetView>
  </sheetViews>
  <sheetFormatPr defaultRowHeight="15" x14ac:dyDescent="0.25"/>
  <cols>
    <col min="3" max="3" width="100.140625" bestFit="1" customWidth="1"/>
    <col min="4" max="4" width="40.42578125" bestFit="1" customWidth="1"/>
  </cols>
  <sheetData>
    <row r="1" spans="3:4" x14ac:dyDescent="0.25">
      <c r="C1" s="8" t="s">
        <v>43</v>
      </c>
    </row>
    <row r="2" spans="3:4" x14ac:dyDescent="0.25">
      <c r="C2" s="11" t="s">
        <v>38</v>
      </c>
    </row>
    <row r="3" spans="3:4" x14ac:dyDescent="0.25">
      <c r="C3" s="11" t="s">
        <v>39</v>
      </c>
    </row>
    <row r="4" spans="3:4" x14ac:dyDescent="0.25">
      <c r="C4" s="11" t="s">
        <v>31</v>
      </c>
    </row>
    <row r="6" spans="3:4" x14ac:dyDescent="0.25">
      <c r="C6" s="3" t="s">
        <v>26</v>
      </c>
    </row>
    <row r="8" spans="3:4" x14ac:dyDescent="0.25">
      <c r="C8" s="12" t="s">
        <v>27</v>
      </c>
      <c r="D8" s="9" t="s">
        <v>51</v>
      </c>
    </row>
    <row r="9" spans="3:4" x14ac:dyDescent="0.25">
      <c r="C9" s="12" t="s">
        <v>28</v>
      </c>
      <c r="D9" s="9" t="s">
        <v>53</v>
      </c>
    </row>
    <row r="10" spans="3:4" x14ac:dyDescent="0.25">
      <c r="C10" s="12" t="s">
        <v>36</v>
      </c>
      <c r="D10" s="9"/>
    </row>
    <row r="11" spans="3:4" x14ac:dyDescent="0.25">
      <c r="C11" s="12" t="s">
        <v>41</v>
      </c>
      <c r="D11" s="9"/>
    </row>
    <row r="12" spans="3:4" x14ac:dyDescent="0.25">
      <c r="C12" s="12" t="s">
        <v>42</v>
      </c>
      <c r="D12" s="9"/>
    </row>
    <row r="14" spans="3:4" x14ac:dyDescent="0.25">
      <c r="C14" s="3" t="s">
        <v>44</v>
      </c>
    </row>
    <row r="16" spans="3:4" x14ac:dyDescent="0.25">
      <c r="C16" s="5" t="str">
        <f>D27</f>
        <v xml:space="preserve">adriana.a.domingues@accenture.com </v>
      </c>
      <c r="D16" s="5"/>
    </row>
    <row r="17" spans="3:4" x14ac:dyDescent="0.25">
      <c r="C17" s="5" t="s">
        <v>29</v>
      </c>
      <c r="D17" s="5"/>
    </row>
    <row r="18" spans="3:4" x14ac:dyDescent="0.25">
      <c r="C18" s="5" t="s">
        <v>30</v>
      </c>
      <c r="D18" s="5"/>
    </row>
    <row r="19" spans="3:4" x14ac:dyDescent="0.25">
      <c r="C19" s="5" t="s">
        <v>31</v>
      </c>
      <c r="D19" s="5"/>
    </row>
    <row r="23" spans="3:4" x14ac:dyDescent="0.25">
      <c r="C23" s="3" t="s">
        <v>15</v>
      </c>
    </row>
    <row r="24" spans="3:4" x14ac:dyDescent="0.25">
      <c r="C24" s="1"/>
    </row>
    <row r="25" spans="3:4" x14ac:dyDescent="0.25">
      <c r="C25" s="13" t="s">
        <v>16</v>
      </c>
      <c r="D25" s="9" t="s">
        <v>33</v>
      </c>
    </row>
    <row r="26" spans="3:4" x14ac:dyDescent="0.25">
      <c r="C26" s="13" t="s">
        <v>17</v>
      </c>
      <c r="D26" s="9" t="s">
        <v>40</v>
      </c>
    </row>
    <row r="27" spans="3:4" x14ac:dyDescent="0.25">
      <c r="C27" s="13" t="s">
        <v>18</v>
      </c>
      <c r="D27" s="10" t="s">
        <v>32</v>
      </c>
    </row>
    <row r="28" spans="3:4" x14ac:dyDescent="0.25">
      <c r="C28" s="13" t="s">
        <v>19</v>
      </c>
      <c r="D28" s="9"/>
    </row>
    <row r="29" spans="3:4" x14ac:dyDescent="0.25">
      <c r="C29" s="13" t="s">
        <v>20</v>
      </c>
      <c r="D29" s="9"/>
    </row>
    <row r="31" spans="3:4" x14ac:dyDescent="0.25">
      <c r="C31" s="3" t="s">
        <v>0</v>
      </c>
    </row>
    <row r="33" spans="3:3" x14ac:dyDescent="0.25">
      <c r="C33" t="str">
        <f>"Preciso do detalhamento de todo o procedimento para a construção do robo  " &amp; D9 &amp;" "</f>
        <v xml:space="preserve">Preciso do detalhamento de todo o procedimento para a construção do robo  Conferência de Cadastro de Clientes </v>
      </c>
    </row>
    <row r="35" spans="3:3" x14ac:dyDescent="0.25">
      <c r="C35" t="str">
        <f xml:space="preserve"> "Já tenho o arquivo " &amp; D10 &amp; " porem não tenho como utilizar"</f>
        <v>Já tenho o arquivo  porem não tenho como utilizar</v>
      </c>
    </row>
    <row r="37" spans="3:3" x14ac:dyDescent="0.25">
      <c r="C37" s="3" t="s">
        <v>1</v>
      </c>
    </row>
    <row r="39" spans="3:3" x14ac:dyDescent="0.25">
      <c r="C39" t="s">
        <v>5</v>
      </c>
    </row>
    <row r="41" spans="3:3" x14ac:dyDescent="0.25">
      <c r="C41" t="s">
        <v>6</v>
      </c>
    </row>
    <row r="42" spans="3:3" x14ac:dyDescent="0.25">
      <c r="C42" t="s">
        <v>7</v>
      </c>
    </row>
    <row r="43" spans="3:3" x14ac:dyDescent="0.25">
      <c r="C43" t="s">
        <v>8</v>
      </c>
    </row>
    <row r="44" spans="3:3" x14ac:dyDescent="0.25">
      <c r="C44" t="s">
        <v>9</v>
      </c>
    </row>
    <row r="47" spans="3:3" x14ac:dyDescent="0.25">
      <c r="C47" s="3" t="s">
        <v>2</v>
      </c>
    </row>
    <row r="49" spans="3:4" x14ac:dyDescent="0.25">
      <c r="C49" t="s">
        <v>10</v>
      </c>
    </row>
    <row r="51" spans="3:4" x14ac:dyDescent="0.25">
      <c r="C51" s="3" t="s">
        <v>3</v>
      </c>
    </row>
    <row r="53" spans="3:4" x14ac:dyDescent="0.25">
      <c r="C53" t="s">
        <v>11</v>
      </c>
    </row>
    <row r="55" spans="3:4" x14ac:dyDescent="0.25">
      <c r="C55" s="3" t="s">
        <v>4</v>
      </c>
    </row>
    <row r="57" spans="3:4" x14ac:dyDescent="0.25">
      <c r="C57" t="s">
        <v>12</v>
      </c>
    </row>
    <row r="59" spans="3:4" x14ac:dyDescent="0.25">
      <c r="C59" s="3" t="s">
        <v>14</v>
      </c>
    </row>
    <row r="61" spans="3:4" x14ac:dyDescent="0.25">
      <c r="C61" t="s">
        <v>13</v>
      </c>
    </row>
    <row r="64" spans="3:4" x14ac:dyDescent="0.25">
      <c r="C64" s="4" t="s">
        <v>25</v>
      </c>
      <c r="D64" s="6"/>
    </row>
    <row r="65" spans="3:3" x14ac:dyDescent="0.25">
      <c r="C65" t="str">
        <f xml:space="preserve"> "[ENTREGA] - ROBO - " &amp; D9 &amp; " - (" &amp; D8 &amp; ")"</f>
        <v>[ENTREGA] - ROBO - Conferência de Cadastro de Clientes - (ID084)</v>
      </c>
    </row>
    <row r="68" spans="3:3" x14ac:dyDescent="0.25">
      <c r="C68" t="s">
        <v>21</v>
      </c>
    </row>
    <row r="70" spans="3:3" x14ac:dyDescent="0.25">
      <c r="C70" t="str">
        <f>"Segue entrega de " &amp; D9 &amp; " - (" &amp; D8 &amp; ")"</f>
        <v>Segue entrega de Conferência de Cadastro de Clientes - (ID084)</v>
      </c>
    </row>
    <row r="72" spans="3:3" x14ac:dyDescent="0.25">
      <c r="C72" t="s">
        <v>22</v>
      </c>
    </row>
    <row r="74" spans="3:3" x14ac:dyDescent="0.25">
      <c r="C74" t="str">
        <f>"[ROBO_" &amp; SUBSTITUTE(D9," ","_") &amp; ".zip] - Robô para execução;"</f>
        <v>[ROBO_Conferência_de_Cadastro_de_Clientes.zip] - Robô para execução;</v>
      </c>
    </row>
    <row r="76" spans="3:3" x14ac:dyDescent="0.25">
      <c r="C76" t="s">
        <v>23</v>
      </c>
    </row>
    <row r="78" spans="3:3" x14ac:dyDescent="0.25">
      <c r="C78" t="s">
        <v>24</v>
      </c>
    </row>
    <row r="81" spans="3:4" x14ac:dyDescent="0.25">
      <c r="C81" t="str">
        <f>"Qualquer duvida estou a disposição pelo seguinte telefone: " &amp;C3</f>
        <v>Qualquer duvida estou a disposição pelo seguinte telefone: 11 9.5064-1754</v>
      </c>
    </row>
    <row r="84" spans="3:4" x14ac:dyDescent="0.25">
      <c r="C84" s="7" t="e">
        <f ca="1">listEmails(C16:C19)</f>
        <v>#NAME?</v>
      </c>
      <c r="D84" s="7"/>
    </row>
  </sheetData>
  <hyperlinks>
    <hyperlink ref="C4" r:id="rId1"/>
    <hyperlink ref="C17" r:id="rId2"/>
    <hyperlink ref="C18" r:id="rId3"/>
    <hyperlink ref="C19" r:id="rId4"/>
    <hyperlink ref="C16" r:id="rId5" display="adriana.a.domingues@accenture.com "/>
    <hyperlink ref="D27" r:id="rId6"/>
  </hyperlinks>
  <pageMargins left="0.7" right="0.7" top="0.75" bottom="0.75" header="0.3" footer="0.3"/>
  <pageSetup paperSize="9" scale="59" orientation="portrait" r:id="rId7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F103"/>
  <sheetViews>
    <sheetView topLeftCell="A12" zoomScale="85" zoomScaleNormal="85" zoomScaleSheetLayoutView="85" workbookViewId="0">
      <selection activeCell="D45" sqref="D45"/>
    </sheetView>
  </sheetViews>
  <sheetFormatPr defaultRowHeight="15" x14ac:dyDescent="0.25"/>
  <cols>
    <col min="2" max="2" width="3.7109375" bestFit="1" customWidth="1"/>
    <col min="3" max="3" width="100.140625" bestFit="1" customWidth="1"/>
    <col min="4" max="4" width="40.42578125" customWidth="1"/>
    <col min="5" max="5" width="41.7109375" bestFit="1" customWidth="1"/>
    <col min="6" max="6" width="47.5703125" bestFit="1" customWidth="1"/>
  </cols>
  <sheetData>
    <row r="1" spans="2:6" x14ac:dyDescent="0.25">
      <c r="B1" s="71">
        <v>1</v>
      </c>
      <c r="C1" s="8" t="s">
        <v>43</v>
      </c>
    </row>
    <row r="2" spans="2:6" x14ac:dyDescent="0.25">
      <c r="B2" s="72"/>
      <c r="C2" s="11" t="s">
        <v>38</v>
      </c>
    </row>
    <row r="3" spans="2:6" x14ac:dyDescent="0.25">
      <c r="B3" s="72"/>
      <c r="C3" s="11" t="s">
        <v>39</v>
      </c>
    </row>
    <row r="4" spans="2:6" x14ac:dyDescent="0.25">
      <c r="B4" s="72"/>
      <c r="C4" s="11" t="s">
        <v>31</v>
      </c>
      <c r="F4" t="s">
        <v>205</v>
      </c>
    </row>
    <row r="5" spans="2:6" x14ac:dyDescent="0.25">
      <c r="B5" s="72"/>
      <c r="F5" t="s">
        <v>206</v>
      </c>
    </row>
    <row r="6" spans="2:6" x14ac:dyDescent="0.25">
      <c r="B6" s="71">
        <v>1</v>
      </c>
      <c r="C6" s="8" t="s">
        <v>188</v>
      </c>
      <c r="F6" t="s">
        <v>207</v>
      </c>
    </row>
    <row r="7" spans="2:6" x14ac:dyDescent="0.25">
      <c r="B7" s="72"/>
    </row>
    <row r="8" spans="2:6" x14ac:dyDescent="0.25">
      <c r="B8" s="72"/>
      <c r="C8" s="12" t="s">
        <v>27</v>
      </c>
      <c r="D8" s="9" t="s">
        <v>58</v>
      </c>
    </row>
    <row r="9" spans="2:6" x14ac:dyDescent="0.25">
      <c r="B9" s="72"/>
      <c r="C9" s="12" t="s">
        <v>28</v>
      </c>
      <c r="D9" s="9" t="s">
        <v>59</v>
      </c>
      <c r="F9" t="s">
        <v>201</v>
      </c>
    </row>
    <row r="10" spans="2:6" x14ac:dyDescent="0.25">
      <c r="B10" s="72"/>
      <c r="C10" s="12" t="s">
        <v>60</v>
      </c>
      <c r="D10" s="14">
        <v>42177</v>
      </c>
      <c r="F10" t="s">
        <v>202</v>
      </c>
    </row>
    <row r="11" spans="2:6" x14ac:dyDescent="0.25">
      <c r="B11" s="72"/>
      <c r="C11" s="12" t="s">
        <v>61</v>
      </c>
      <c r="D11" s="14">
        <v>42195</v>
      </c>
      <c r="F11" t="s">
        <v>203</v>
      </c>
    </row>
    <row r="12" spans="2:6" x14ac:dyDescent="0.25">
      <c r="B12" s="72"/>
      <c r="C12" s="12" t="s">
        <v>36</v>
      </c>
      <c r="D12" s="9"/>
      <c r="F12" t="s">
        <v>204</v>
      </c>
    </row>
    <row r="13" spans="2:6" x14ac:dyDescent="0.25">
      <c r="B13" s="72"/>
      <c r="C13" s="12" t="s">
        <v>41</v>
      </c>
      <c r="D13" s="9"/>
    </row>
    <row r="14" spans="2:6" x14ac:dyDescent="0.25">
      <c r="B14" s="72"/>
      <c r="C14" s="12" t="s">
        <v>42</v>
      </c>
      <c r="D14" s="9" t="s">
        <v>170</v>
      </c>
    </row>
    <row r="15" spans="2:6" x14ac:dyDescent="0.25">
      <c r="B15" s="72"/>
      <c r="C15" s="12" t="s">
        <v>54</v>
      </c>
      <c r="D15" s="9" t="s">
        <v>170</v>
      </c>
    </row>
    <row r="16" spans="2:6" x14ac:dyDescent="0.25">
      <c r="B16" s="72"/>
      <c r="C16" s="12" t="s">
        <v>55</v>
      </c>
      <c r="D16" s="9" t="s">
        <v>170</v>
      </c>
    </row>
    <row r="17" spans="2:6" x14ac:dyDescent="0.25">
      <c r="B17" s="72"/>
      <c r="C17" s="12" t="s">
        <v>168</v>
      </c>
      <c r="D17" s="9" t="s">
        <v>170</v>
      </c>
    </row>
    <row r="18" spans="2:6" x14ac:dyDescent="0.25">
      <c r="B18" s="72"/>
    </row>
    <row r="19" spans="2:6" x14ac:dyDescent="0.25">
      <c r="B19" s="71">
        <v>1</v>
      </c>
      <c r="C19" s="8" t="s">
        <v>197</v>
      </c>
    </row>
    <row r="20" spans="2:6" x14ac:dyDescent="0.25">
      <c r="B20" s="72"/>
    </row>
    <row r="21" spans="2:6" ht="30" x14ac:dyDescent="0.25">
      <c r="B21" s="72"/>
      <c r="C21" s="35" t="str">
        <f>"Preciso do detalhamento de todo o procedimento para a construção do robo  " &amp; D9 &amp;" "</f>
        <v xml:space="preserve">Preciso do detalhamento de todo o procedimento para a construção do robo  MANUTENÇÃO DE PACOTES DE DADOS </v>
      </c>
    </row>
    <row r="22" spans="2:6" x14ac:dyDescent="0.25">
      <c r="B22" s="72"/>
    </row>
    <row r="23" spans="2:6" x14ac:dyDescent="0.25">
      <c r="B23" s="72"/>
      <c r="C23" t="str">
        <f xml:space="preserve"> "Já tenho o arquivo " &amp; D12 &amp; " porem não tenho como utilizar"</f>
        <v>Já tenho o arquivo  porem não tenho como utilizar</v>
      </c>
    </row>
    <row r="24" spans="2:6" x14ac:dyDescent="0.25">
      <c r="B24" s="72"/>
    </row>
    <row r="25" spans="2:6" x14ac:dyDescent="0.25">
      <c r="B25" s="71">
        <v>1</v>
      </c>
      <c r="C25" s="8" t="s">
        <v>166</v>
      </c>
    </row>
    <row r="27" spans="2:6" x14ac:dyDescent="0.25">
      <c r="C27" t="s">
        <v>171</v>
      </c>
      <c r="D27" s="5" t="s">
        <v>172</v>
      </c>
      <c r="E27" t="s">
        <v>178</v>
      </c>
      <c r="F27" t="s">
        <v>177</v>
      </c>
    </row>
    <row r="28" spans="2:6" x14ac:dyDescent="0.25">
      <c r="C28" t="s">
        <v>173</v>
      </c>
      <c r="D28" s="5" t="s">
        <v>174</v>
      </c>
    </row>
    <row r="29" spans="2:6" x14ac:dyDescent="0.25">
      <c r="C29" t="s">
        <v>175</v>
      </c>
      <c r="D29" s="5" t="s">
        <v>176</v>
      </c>
    </row>
    <row r="30" spans="2:6" x14ac:dyDescent="0.25">
      <c r="C30" t="s">
        <v>179</v>
      </c>
      <c r="D30" s="5" t="s">
        <v>29</v>
      </c>
    </row>
    <row r="31" spans="2:6" x14ac:dyDescent="0.25">
      <c r="C31" t="s">
        <v>180</v>
      </c>
      <c r="D31" s="5" t="s">
        <v>30</v>
      </c>
    </row>
    <row r="32" spans="2:6" x14ac:dyDescent="0.25">
      <c r="C32" t="s">
        <v>181</v>
      </c>
      <c r="D32" s="5" t="s">
        <v>31</v>
      </c>
    </row>
    <row r="33" spans="2:4" x14ac:dyDescent="0.25">
      <c r="C33" t="s">
        <v>182</v>
      </c>
      <c r="D33" s="5" t="s">
        <v>165</v>
      </c>
    </row>
    <row r="37" spans="2:4" x14ac:dyDescent="0.25">
      <c r="B37" s="69">
        <v>2</v>
      </c>
      <c r="C37" s="3" t="s">
        <v>199</v>
      </c>
    </row>
    <row r="38" spans="2:4" x14ac:dyDescent="0.25">
      <c r="B38" s="70"/>
    </row>
    <row r="39" spans="2:4" x14ac:dyDescent="0.25">
      <c r="B39" s="70"/>
      <c r="C39" t="s">
        <v>5</v>
      </c>
    </row>
    <row r="40" spans="2:4" x14ac:dyDescent="0.25">
      <c r="B40" s="70"/>
    </row>
    <row r="41" spans="2:4" x14ac:dyDescent="0.25">
      <c r="B41" s="70"/>
      <c r="C41" t="s">
        <v>6</v>
      </c>
      <c r="D41" t="s">
        <v>65</v>
      </c>
    </row>
    <row r="42" spans="2:4" x14ac:dyDescent="0.25">
      <c r="B42" s="70"/>
      <c r="C42" t="s">
        <v>183</v>
      </c>
      <c r="D42" t="s">
        <v>67</v>
      </c>
    </row>
    <row r="43" spans="2:4" x14ac:dyDescent="0.25">
      <c r="B43" s="70"/>
      <c r="C43" t="s">
        <v>184</v>
      </c>
      <c r="D43" t="s">
        <v>64</v>
      </c>
    </row>
    <row r="44" spans="2:4" x14ac:dyDescent="0.25">
      <c r="B44" s="70"/>
      <c r="C44" t="s">
        <v>185</v>
      </c>
      <c r="D44" t="s">
        <v>208</v>
      </c>
    </row>
    <row r="45" spans="2:4" x14ac:dyDescent="0.25">
      <c r="B45" s="70"/>
      <c r="C45" t="s">
        <v>186</v>
      </c>
      <c r="D45" t="s">
        <v>209</v>
      </c>
    </row>
    <row r="46" spans="2:4" x14ac:dyDescent="0.25">
      <c r="B46" s="70"/>
      <c r="C46" t="s">
        <v>187</v>
      </c>
    </row>
    <row r="47" spans="2:4" x14ac:dyDescent="0.25">
      <c r="B47" s="70"/>
      <c r="C47" t="s">
        <v>189</v>
      </c>
      <c r="D47" s="73">
        <v>1000</v>
      </c>
    </row>
    <row r="48" spans="2:4" x14ac:dyDescent="0.25">
      <c r="B48" s="70"/>
      <c r="C48" t="s">
        <v>190</v>
      </c>
    </row>
    <row r="49" spans="2:3" x14ac:dyDescent="0.25">
      <c r="B49" s="70"/>
    </row>
    <row r="50" spans="2:3" x14ac:dyDescent="0.25">
      <c r="B50" s="69">
        <v>2</v>
      </c>
      <c r="C50" s="3" t="s">
        <v>200</v>
      </c>
    </row>
    <row r="51" spans="2:3" x14ac:dyDescent="0.25">
      <c r="B51" s="70"/>
      <c r="C51" s="70"/>
    </row>
    <row r="52" spans="2:3" x14ac:dyDescent="0.25">
      <c r="B52" s="70"/>
      <c r="C52" s="70" t="s">
        <v>68</v>
      </c>
    </row>
    <row r="53" spans="2:3" x14ac:dyDescent="0.25">
      <c r="B53" s="70"/>
      <c r="C53" s="70" t="s">
        <v>69</v>
      </c>
    </row>
    <row r="54" spans="2:3" x14ac:dyDescent="0.25">
      <c r="B54" s="70"/>
      <c r="C54" s="70" t="s">
        <v>70</v>
      </c>
    </row>
    <row r="55" spans="2:3" x14ac:dyDescent="0.25">
      <c r="B55" s="70"/>
      <c r="C55" s="70" t="s">
        <v>71</v>
      </c>
    </row>
    <row r="56" spans="2:3" x14ac:dyDescent="0.25">
      <c r="B56" s="70"/>
      <c r="C56" s="70"/>
    </row>
    <row r="57" spans="2:3" x14ac:dyDescent="0.25">
      <c r="B57" s="70"/>
      <c r="C57" s="70" t="s">
        <v>72</v>
      </c>
    </row>
    <row r="58" spans="2:3" x14ac:dyDescent="0.25">
      <c r="B58" s="70"/>
      <c r="C58" s="70" t="s">
        <v>73</v>
      </c>
    </row>
    <row r="59" spans="2:3" x14ac:dyDescent="0.25">
      <c r="B59" s="70"/>
      <c r="C59" s="70" t="s">
        <v>74</v>
      </c>
    </row>
    <row r="60" spans="2:3" x14ac:dyDescent="0.25">
      <c r="B60" s="70"/>
      <c r="C60" s="70" t="s">
        <v>75</v>
      </c>
    </row>
    <row r="61" spans="2:3" x14ac:dyDescent="0.25">
      <c r="B61" s="70"/>
      <c r="C61" s="70"/>
    </row>
    <row r="62" spans="2:3" x14ac:dyDescent="0.25">
      <c r="B62" s="70"/>
      <c r="C62" s="74" t="s">
        <v>196</v>
      </c>
    </row>
    <row r="63" spans="2:3" x14ac:dyDescent="0.25">
      <c r="B63" s="70"/>
      <c r="C63" s="74"/>
    </row>
    <row r="64" spans="2:3" x14ac:dyDescent="0.25">
      <c r="B64" s="70"/>
      <c r="C64" s="75" t="s">
        <v>62</v>
      </c>
    </row>
    <row r="65" spans="2:3" x14ac:dyDescent="0.25">
      <c r="B65" s="70"/>
      <c r="C65" s="76" t="s">
        <v>66</v>
      </c>
    </row>
    <row r="66" spans="2:3" x14ac:dyDescent="0.25">
      <c r="B66" s="70"/>
      <c r="C66" s="75" t="s">
        <v>63</v>
      </c>
    </row>
    <row r="67" spans="2:3" x14ac:dyDescent="0.25">
      <c r="C67" s="66"/>
    </row>
    <row r="69" spans="2:3" x14ac:dyDescent="0.25">
      <c r="B69" s="68">
        <v>3</v>
      </c>
      <c r="C69" s="4" t="s">
        <v>25</v>
      </c>
    </row>
    <row r="70" spans="2:3" x14ac:dyDescent="0.25">
      <c r="B70" s="6"/>
    </row>
    <row r="71" spans="2:3" x14ac:dyDescent="0.25">
      <c r="B71" s="6"/>
      <c r="C71" t="str">
        <f xml:space="preserve"> "[ENTREGA] - ROBO - " &amp; D10 &amp; " - (" &amp; D9 &amp; ")"</f>
        <v>[ENTREGA] - ROBO - 42177 - (MANUTENÇÃO DE PACOTES DE DADOS)</v>
      </c>
    </row>
    <row r="72" spans="2:3" x14ac:dyDescent="0.25">
      <c r="B72" s="6"/>
    </row>
    <row r="73" spans="2:3" x14ac:dyDescent="0.25">
      <c r="B73" s="6"/>
      <c r="C73" t="s">
        <v>21</v>
      </c>
    </row>
    <row r="74" spans="2:3" x14ac:dyDescent="0.25">
      <c r="B74" s="6"/>
    </row>
    <row r="75" spans="2:3" x14ac:dyDescent="0.25">
      <c r="B75" s="6"/>
      <c r="C75" t="str">
        <f>"Segue entrega de " &amp; D9 &amp; " - (" &amp; D8 &amp; ")"</f>
        <v>Segue entrega de MANUTENÇÃO DE PACOTES DE DADOS - (ID373)</v>
      </c>
    </row>
    <row r="76" spans="2:3" x14ac:dyDescent="0.25">
      <c r="B76" s="6"/>
    </row>
    <row r="77" spans="2:3" x14ac:dyDescent="0.25">
      <c r="B77" s="6"/>
      <c r="C77" t="s">
        <v>22</v>
      </c>
    </row>
    <row r="78" spans="2:3" x14ac:dyDescent="0.25">
      <c r="B78" s="6"/>
    </row>
    <row r="79" spans="2:3" x14ac:dyDescent="0.25">
      <c r="B79" s="6"/>
      <c r="C79" t="str">
        <f>"[ROBO_" &amp; SUBSTITUTE(D9," ","_") &amp; ".zip] - Robô para execução;"</f>
        <v>[ROBO_MANUTENÇÃO_DE_PACOTES_DE_DADOS.zip] - Robô para execução;</v>
      </c>
    </row>
    <row r="80" spans="2:3" x14ac:dyDescent="0.25">
      <c r="B80" s="6"/>
    </row>
    <row r="81" spans="2:3" x14ac:dyDescent="0.25">
      <c r="B81" s="6"/>
      <c r="C81" t="s">
        <v>23</v>
      </c>
    </row>
    <row r="82" spans="2:3" x14ac:dyDescent="0.25">
      <c r="B82" s="6"/>
    </row>
    <row r="83" spans="2:3" x14ac:dyDescent="0.25">
      <c r="B83" s="6"/>
      <c r="C83" t="s">
        <v>24</v>
      </c>
    </row>
    <row r="84" spans="2:3" x14ac:dyDescent="0.25">
      <c r="B84" s="6"/>
    </row>
    <row r="85" spans="2:3" x14ac:dyDescent="0.25">
      <c r="B85" s="6"/>
      <c r="C85" t="str">
        <f>"Qualquer duvida estou a disposição pelo seguinte telefone: " &amp;C3</f>
        <v>Qualquer duvida estou a disposição pelo seguinte telefone: 11 9.5064-1754</v>
      </c>
    </row>
    <row r="86" spans="2:3" x14ac:dyDescent="0.25">
      <c r="B86" s="6"/>
    </row>
    <row r="87" spans="2:3" x14ac:dyDescent="0.25">
      <c r="B87" s="6"/>
    </row>
    <row r="88" spans="2:3" x14ac:dyDescent="0.25">
      <c r="B88" s="68">
        <v>3</v>
      </c>
      <c r="C88" s="4" t="s">
        <v>193</v>
      </c>
    </row>
    <row r="89" spans="2:3" x14ac:dyDescent="0.25">
      <c r="B89" s="6"/>
    </row>
    <row r="90" spans="2:3" ht="30" x14ac:dyDescent="0.25">
      <c r="B90" s="6"/>
      <c r="C90" s="35" t="s">
        <v>194</v>
      </c>
    </row>
    <row r="91" spans="2:3" x14ac:dyDescent="0.25">
      <c r="B91" s="6"/>
      <c r="C91" s="35"/>
    </row>
    <row r="92" spans="2:3" ht="30" x14ac:dyDescent="0.25">
      <c r="B92" s="6"/>
      <c r="C92" s="35" t="s">
        <v>195</v>
      </c>
    </row>
    <row r="93" spans="2:3" x14ac:dyDescent="0.25">
      <c r="B93" s="6"/>
      <c r="C93" s="35"/>
    </row>
    <row r="94" spans="2:3" x14ac:dyDescent="0.25">
      <c r="B94" s="68">
        <v>3</v>
      </c>
      <c r="C94" s="4" t="s">
        <v>198</v>
      </c>
    </row>
    <row r="95" spans="2:3" x14ac:dyDescent="0.25">
      <c r="B95" s="77"/>
      <c r="C95" s="77"/>
    </row>
    <row r="96" spans="2:3" x14ac:dyDescent="0.25">
      <c r="B96" s="77"/>
      <c r="C96" s="78" t="s">
        <v>192</v>
      </c>
    </row>
    <row r="97" spans="2:3" x14ac:dyDescent="0.25">
      <c r="B97" s="77"/>
      <c r="C97" s="77" t="s">
        <v>191</v>
      </c>
    </row>
    <row r="103" spans="2:3" x14ac:dyDescent="0.25">
      <c r="C103" s="67" t="e">
        <f ca="1">listEmails(D27:D33)</f>
        <v>#NAME?</v>
      </c>
    </row>
  </sheetData>
  <hyperlinks>
    <hyperlink ref="C4" r:id="rId1"/>
    <hyperlink ref="D33" r:id="rId2"/>
    <hyperlink ref="D32" r:id="rId3"/>
    <hyperlink ref="D31" r:id="rId4"/>
    <hyperlink ref="D30" r:id="rId5"/>
    <hyperlink ref="D29" r:id="rId6"/>
    <hyperlink ref="D28" r:id="rId7"/>
  </hyperlinks>
  <pageMargins left="0.7" right="0.7" top="0.75" bottom="0.75" header="0.3" footer="0.3"/>
  <pageSetup paperSize="9" scale="38" orientation="portrait"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K34"/>
  <sheetViews>
    <sheetView showGridLines="0" zoomScale="85" zoomScaleNormal="85" workbookViewId="0">
      <pane ySplit="2" topLeftCell="A3" activePane="bottomLeft" state="frozen"/>
      <selection pane="bottomLeft" activeCell="H26" sqref="H26"/>
    </sheetView>
  </sheetViews>
  <sheetFormatPr defaultRowHeight="15" x14ac:dyDescent="0.25"/>
  <cols>
    <col min="2" max="2" width="19.7109375" style="81" bestFit="1" customWidth="1"/>
    <col min="3" max="3" width="35.42578125" bestFit="1" customWidth="1"/>
    <col min="5" max="5" width="42.85546875" style="81" customWidth="1"/>
    <col min="6" max="7" width="42.85546875" customWidth="1"/>
    <col min="8" max="8" width="47.5703125" bestFit="1" customWidth="1"/>
    <col min="10" max="10" width="84" bestFit="1" customWidth="1"/>
  </cols>
  <sheetData>
    <row r="1" spans="2:11" ht="15.75" thickBot="1" x14ac:dyDescent="0.3"/>
    <row r="2" spans="2:11" x14ac:dyDescent="0.25">
      <c r="B2" s="144" t="s">
        <v>210</v>
      </c>
      <c r="C2" s="145"/>
      <c r="E2" s="144" t="s">
        <v>166</v>
      </c>
      <c r="F2" s="146"/>
      <c r="G2" s="146"/>
      <c r="H2" s="145"/>
      <c r="J2" s="144" t="s">
        <v>199</v>
      </c>
      <c r="K2" s="145"/>
    </row>
    <row r="3" spans="2:11" ht="15.75" thickBot="1" x14ac:dyDescent="0.3">
      <c r="B3" s="84" t="s">
        <v>213</v>
      </c>
      <c r="C3" s="86" t="s">
        <v>225</v>
      </c>
      <c r="E3" s="84" t="s">
        <v>16</v>
      </c>
      <c r="F3" s="85" t="s">
        <v>18</v>
      </c>
      <c r="G3" s="85" t="s">
        <v>211</v>
      </c>
      <c r="H3" s="86" t="s">
        <v>19</v>
      </c>
      <c r="J3" s="84" t="s">
        <v>28</v>
      </c>
      <c r="K3" s="86" t="s">
        <v>225</v>
      </c>
    </row>
    <row r="4" spans="2:11" x14ac:dyDescent="0.25">
      <c r="B4" s="87" t="s">
        <v>212</v>
      </c>
      <c r="C4" s="83" t="s">
        <v>58</v>
      </c>
      <c r="E4" s="83" t="s">
        <v>38</v>
      </c>
      <c r="F4" s="83" t="s">
        <v>31</v>
      </c>
      <c r="G4" s="83" t="s">
        <v>220</v>
      </c>
      <c r="H4" s="83" t="s">
        <v>224</v>
      </c>
      <c r="J4" s="83" t="s">
        <v>5</v>
      </c>
      <c r="K4" s="83"/>
    </row>
    <row r="5" spans="2:11" x14ac:dyDescent="0.25">
      <c r="B5" s="80" t="s">
        <v>213</v>
      </c>
      <c r="C5" s="79" t="s">
        <v>59</v>
      </c>
      <c r="E5" s="79" t="s">
        <v>171</v>
      </c>
      <c r="F5" s="79" t="s">
        <v>172</v>
      </c>
      <c r="G5" s="79" t="s">
        <v>221</v>
      </c>
      <c r="H5" s="79" t="s">
        <v>177</v>
      </c>
      <c r="J5" s="79"/>
      <c r="K5" s="79"/>
    </row>
    <row r="6" spans="2:11" x14ac:dyDescent="0.25">
      <c r="B6" s="80" t="s">
        <v>222</v>
      </c>
      <c r="C6" s="82">
        <v>42177</v>
      </c>
      <c r="E6" s="79" t="s">
        <v>173</v>
      </c>
      <c r="F6" s="79" t="s">
        <v>174</v>
      </c>
      <c r="G6" s="79"/>
      <c r="H6" s="79"/>
      <c r="J6" s="79" t="s">
        <v>6</v>
      </c>
      <c r="K6" s="79" t="s">
        <v>65</v>
      </c>
    </row>
    <row r="7" spans="2:11" x14ac:dyDescent="0.25">
      <c r="B7" s="80" t="s">
        <v>223</v>
      </c>
      <c r="C7" s="82">
        <v>42195</v>
      </c>
      <c r="E7" s="79" t="s">
        <v>175</v>
      </c>
      <c r="F7" s="79" t="s">
        <v>176</v>
      </c>
      <c r="G7" s="79"/>
      <c r="H7" s="79"/>
      <c r="J7" s="79" t="s">
        <v>183</v>
      </c>
      <c r="K7" s="79" t="s">
        <v>67</v>
      </c>
    </row>
    <row r="8" spans="2:11" x14ac:dyDescent="0.25">
      <c r="B8" s="80" t="s">
        <v>214</v>
      </c>
      <c r="C8" s="79"/>
      <c r="E8" s="79" t="s">
        <v>179</v>
      </c>
      <c r="F8" s="79" t="s">
        <v>29</v>
      </c>
      <c r="G8" s="79"/>
      <c r="H8" s="79"/>
      <c r="J8" s="79" t="s">
        <v>184</v>
      </c>
      <c r="K8" s="79" t="s">
        <v>64</v>
      </c>
    </row>
    <row r="9" spans="2:11" x14ac:dyDescent="0.25">
      <c r="B9" s="80" t="s">
        <v>215</v>
      </c>
      <c r="C9" s="79"/>
      <c r="E9" s="79" t="s">
        <v>180</v>
      </c>
      <c r="F9" s="79" t="s">
        <v>30</v>
      </c>
      <c r="G9" s="79"/>
      <c r="H9" s="79"/>
      <c r="J9" s="79" t="s">
        <v>185</v>
      </c>
      <c r="K9" s="79" t="s">
        <v>208</v>
      </c>
    </row>
    <row r="10" spans="2:11" x14ac:dyDescent="0.25">
      <c r="B10" s="80" t="s">
        <v>216</v>
      </c>
      <c r="C10" s="79" t="s">
        <v>170</v>
      </c>
      <c r="E10" s="79" t="s">
        <v>181</v>
      </c>
      <c r="F10" s="79" t="s">
        <v>31</v>
      </c>
      <c r="G10" s="79"/>
      <c r="H10" s="79"/>
      <c r="J10" s="79" t="s">
        <v>186</v>
      </c>
      <c r="K10" s="79" t="s">
        <v>209</v>
      </c>
    </row>
    <row r="11" spans="2:11" x14ac:dyDescent="0.25">
      <c r="B11" s="80" t="s">
        <v>217</v>
      </c>
      <c r="C11" s="79" t="s">
        <v>170</v>
      </c>
      <c r="E11" s="79" t="s">
        <v>182</v>
      </c>
      <c r="F11" s="79" t="s">
        <v>165</v>
      </c>
      <c r="G11" s="79"/>
      <c r="H11" s="79"/>
      <c r="J11" s="79" t="s">
        <v>187</v>
      </c>
      <c r="K11" s="79"/>
    </row>
    <row r="12" spans="2:11" x14ac:dyDescent="0.25">
      <c r="B12" s="80" t="s">
        <v>218</v>
      </c>
      <c r="C12" s="79" t="s">
        <v>170</v>
      </c>
      <c r="E12" s="80"/>
      <c r="F12" s="79"/>
      <c r="G12" s="79"/>
      <c r="H12" s="79"/>
      <c r="J12" s="79" t="s">
        <v>189</v>
      </c>
      <c r="K12" s="79">
        <v>1000</v>
      </c>
    </row>
    <row r="13" spans="2:11" x14ac:dyDescent="0.25">
      <c r="B13" s="80" t="s">
        <v>219</v>
      </c>
      <c r="C13" s="79" t="s">
        <v>170</v>
      </c>
      <c r="E13" s="80"/>
      <c r="F13" s="79"/>
      <c r="G13" s="79"/>
      <c r="H13" s="79"/>
      <c r="J13" s="79" t="s">
        <v>190</v>
      </c>
      <c r="K13" s="79"/>
    </row>
    <row r="14" spans="2:11" x14ac:dyDescent="0.25">
      <c r="B14" s="80"/>
      <c r="C14" s="79"/>
      <c r="E14" s="80"/>
      <c r="F14" s="79"/>
      <c r="G14" s="79"/>
      <c r="H14" s="79"/>
      <c r="J14" s="79"/>
      <c r="K14" s="79"/>
    </row>
    <row r="15" spans="2:11" x14ac:dyDescent="0.25">
      <c r="B15" s="80"/>
      <c r="C15" s="79"/>
      <c r="E15" s="80"/>
      <c r="F15" s="79"/>
      <c r="G15" s="79"/>
      <c r="H15" s="79"/>
      <c r="J15" s="79"/>
      <c r="K15" s="79"/>
    </row>
    <row r="16" spans="2:11" x14ac:dyDescent="0.25">
      <c r="B16" s="80"/>
      <c r="C16" s="79"/>
      <c r="E16" s="80"/>
      <c r="F16" s="79"/>
      <c r="G16" s="79"/>
      <c r="H16" s="79"/>
      <c r="J16" s="79"/>
      <c r="K16" s="79"/>
    </row>
    <row r="17" spans="2:11" x14ac:dyDescent="0.25">
      <c r="B17" s="80"/>
      <c r="C17" s="79"/>
      <c r="E17" s="80"/>
      <c r="F17" s="79"/>
      <c r="G17" s="79"/>
      <c r="H17" s="79"/>
      <c r="J17" s="79"/>
      <c r="K17" s="79"/>
    </row>
    <row r="18" spans="2:11" x14ac:dyDescent="0.25">
      <c r="B18" s="80"/>
      <c r="C18" s="79"/>
      <c r="E18" s="80"/>
      <c r="F18" s="79"/>
      <c r="G18" s="79"/>
      <c r="H18" s="79"/>
      <c r="J18" s="79"/>
      <c r="K18" s="79"/>
    </row>
    <row r="19" spans="2:11" x14ac:dyDescent="0.25">
      <c r="B19" s="80"/>
      <c r="C19" s="79"/>
      <c r="E19" s="80"/>
      <c r="F19" s="79"/>
      <c r="G19" s="79"/>
      <c r="H19" s="79"/>
      <c r="J19" s="79"/>
      <c r="K19" s="79"/>
    </row>
    <row r="20" spans="2:11" x14ac:dyDescent="0.25">
      <c r="B20" s="80"/>
      <c r="C20" s="79"/>
      <c r="E20" s="80"/>
      <c r="F20" s="79"/>
      <c r="G20" s="79"/>
      <c r="H20" s="79"/>
      <c r="J20" s="79"/>
      <c r="K20" s="79"/>
    </row>
    <row r="21" spans="2:11" x14ac:dyDescent="0.25">
      <c r="B21" s="80"/>
      <c r="C21" s="79"/>
      <c r="E21" s="80"/>
      <c r="F21" s="79"/>
      <c r="G21" s="79"/>
      <c r="H21" s="79"/>
      <c r="J21" s="79"/>
      <c r="K21" s="79"/>
    </row>
    <row r="22" spans="2:11" x14ac:dyDescent="0.25">
      <c r="B22" s="80"/>
      <c r="C22" s="79"/>
      <c r="E22" s="80"/>
      <c r="F22" s="79"/>
      <c r="G22" s="79"/>
      <c r="H22" s="79"/>
      <c r="J22" s="79"/>
      <c r="K22" s="79"/>
    </row>
    <row r="34" spans="8:8" x14ac:dyDescent="0.25">
      <c r="H34" s="7" t="e">
        <f>sendTeste</f>
        <v>#NAME?</v>
      </c>
    </row>
  </sheetData>
  <mergeCells count="3">
    <mergeCell ref="B2:C2"/>
    <mergeCell ref="E2:H2"/>
    <mergeCell ref="J2:K2"/>
  </mergeCells>
  <pageMargins left="0.7" right="0.7" top="0.75" bottom="0.75" header="0.3" footer="0.3"/>
</worksheet>
</file>

<file path=customUI/customUI.xml><?xml version="1.0" encoding="utf-8"?>
<customUI xmlns="http://schemas.microsoft.com/office/2006/01/customui">
  <ribbon startFromScratch="false">
    <tabs>
      <tab id="customTab" label="Controle Gerencial" insertBeforeMso="TabHome">
        <group id="grpUsuario" label="Usuário">
          <button id="cmdUserName" label="Nome do usuário" size="large" onAction="cmdUserName_Click" imageMso="AccessTableContacts"/>
          <button id="cmdUserCell" label="Celular do usuário" size="large" onAction="cmdUserCell_Click" imageMso="AutoDial"/>
          <button id="cmdValorHoraTecnica" label="Valor da hora técnica" size="large" onAction="cmdValorHoraTecnica_Click" imageMso="ReviewAcceptChange"/>
          <button id="cmdShowHideDespesas" label="Despesas" size="large" onAction="cmdShowHideDespesas_Click" imageMso="Calculator"/>
        </group>
        <group id="grpK2" label="K2 CONSULTING">
          <button id="cmdShowHideK2" label="Lançamento de Horas" onAction="cmdShowHideK2_Click" imageMso="MailMergeSelectRecipients"/>
          <button id="cmdEnvioDeHorasK2" label="Envio De Horas Técnicas" onAction="cmdEnvioDeHorasK2_Click" imageMso="FileSendAsAttachment"/>
          <button id="cmdUpdateSendToK2" label="E-mails para envio" onAction="cmdUpdateSendToK2_Click" imageMso="NameDefine"/>
        </group>
        <group id="grpConfiguracoes" label="Configurações">
          <button id="cmdUpdateSendTo" label="E-mails para envio" size="large" onAction="cmdUpdateSendTo_Click" imageMso="NameDefine"/>
          <button id="cmdJustificativas" label="Justificativas" size="large" onAction="cmdJustificativas_Click" imageMso="ChartResetToMatchStyle"/>
        </group>
        <group id="grpAdm" label="Administração">
          <button id="cmdShowHideHours" label="Lançamento de Horas" size="large" onAction="cmdShowHideHours_Click" imageMso="StartAfterPrevious"/>
          <button id="cmdHorasTrabalhadas" label="Horas Trabalhadas" size="large" onAction="cmdHorasTrabalhadas_Click" imageMso="FilePrepareMenu"/>
          <button id="cmdEnvioDeHoras" label="Envio De Horas Técnicas" size="large" onAction="cmdEnvioDeHoras_Click" imageMso="FileSendAsAttachment"/>
          <button id="cmdEnvioDeCronograma" label="Envio De Cronograma" size="large" onAction="cmdEnvioDeCronograma_Click" imageMso="FileSendAsAttachment"/>
        </group>
        <group id="grpSolicitacao" label="Solicitações">
          <button id="cmdSolicitacaoHorasAdicionais" label="Solicitação de horas adicionais" size="large" onAction="cmdSolicitacaoHorasAdicionais_Click" imageMso="ReviewEditCommen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Leia-Me</vt:lpstr>
      <vt:lpstr>CRONOGRAMA</vt:lpstr>
      <vt:lpstr>DETALHADO</vt:lpstr>
      <vt:lpstr>ID081</vt:lpstr>
      <vt:lpstr>ID092</vt:lpstr>
      <vt:lpstr>ID084</vt:lpstr>
      <vt:lpstr>ID373</vt:lpstr>
      <vt:lpstr>CONTROLE</vt:lpstr>
      <vt:lpstr>'ID081'!Print_Area</vt:lpstr>
      <vt:lpstr>'ID084'!Print_Area</vt:lpstr>
      <vt:lpstr>'ID092'!Print_Area</vt:lpstr>
      <vt:lpstr>'ID373'!Print_Area</vt:lpstr>
    </vt:vector>
  </TitlesOfParts>
  <Company>Accenture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Ailton Zacarias</dc:creator>
  <cp:lastModifiedBy>Ailton Zacarias</cp:lastModifiedBy>
  <cp:lastPrinted>2015-06-22T19:03:40Z</cp:lastPrinted>
  <dcterms:created xsi:type="dcterms:W3CDTF">2015-06-22T14:43:55Z</dcterms:created>
  <dcterms:modified xsi:type="dcterms:W3CDTF">2015-07-20T19:12:05Z</dcterms:modified>
</cp:coreProperties>
</file>