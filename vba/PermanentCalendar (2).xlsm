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9020" windowHeight="11895"/>
  </bookViews>
  <sheets>
    <sheet name="Calendário" sheetId="1" r:id="rId1"/>
    <sheet name="Feriados" sheetId="2" r:id="rId2"/>
    <sheet name="Feriados Estaduais" sheetId="5" r:id="rId3"/>
    <sheet name="Férias e emendas" sheetId="8" r:id="rId4"/>
    <sheet name="Datas comemorativas" sheetId="6" r:id="rId5"/>
    <sheet name="Aniversários" sheetId="7" r:id="rId6"/>
  </sheets>
  <functionGroups builtInGroupCount="17"/>
  <definedNames>
    <definedName name="CalendarArea">Calendário!$B$5:$AV$5,Calendário!$B$8:$AV$13,Calendário!$B$15:$AV$15,Calendário!$B$18:$AV$23</definedName>
    <definedName name="DaysArea">Calendário!$B$8:$AV$13,Calendário!$B$18:$AV$23</definedName>
    <definedName name="UF">"RJ"</definedName>
    <definedName name="WeekendArea">Calendário!$B$8:$B$13,Calendário!$H$8:$H$13,Calendário!$J$8:$J$13,Calendário!$P$8:$P$13,Calendário!$R$8:$R$13,Calendário!$X$8:$X$13,Calendário!$Z$8:$Z$13,Calendário!$AF$8:$AF$13,Calendário!$AH$8:$AH$13,Calendário!$AN$8:$AN$13,Calendário!$AP$8:$AP$13,Calendário!$AV$8:$AV$13,Calendário!$B$18:$B$23,Calendário!$H$18:$H$23,Calendário!$J$18:$J$23,Calendário!$P$18:$P$23,Calendário!$R$18:$R$23,Calendário!$X$18:$X$23,Calendário!$Z$18:$Z$23</definedName>
    <definedName name="WeekHeader">Calendário!$B$7:$H$7,Calendário!$J$7:$P$7,Calendário!$R$7:$X$7,Calendário!$Z$7:$AF$7,Calendário!$AH$7:$AN$7,Calendário!$AP$7:$AV$7,Calendário!$B$17:$H$17,Calendário!$J$17:$P$17,Calendário!$R$17:$X$17,Calendário!$Z$17:$AF$17,Calendário!$AH$17:$AM$17,Calendário!$AP$17:$AV$17</definedName>
    <definedName name="Year">Calendário!$D$2</definedName>
  </definedNames>
  <calcPr calcId="145621"/>
</workbook>
</file>

<file path=xl/calcChain.xml><?xml version="1.0" encoding="utf-8"?>
<calcChain xmlns="http://schemas.openxmlformats.org/spreadsheetml/2006/main">
  <c r="D11" i="2" l="1"/>
  <c r="E38" i="5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9" i="5"/>
  <c r="E40" i="5"/>
  <c r="E41" i="5"/>
  <c r="E42" i="5"/>
  <c r="E2" i="5"/>
  <c r="D10" i="2" l="1"/>
  <c r="D9" i="2"/>
  <c r="D8" i="2"/>
  <c r="D7" i="2"/>
  <c r="D6" i="2"/>
  <c r="D5" i="2"/>
  <c r="D4" i="2"/>
  <c r="C35" i="2"/>
  <c r="B35" i="2"/>
  <c r="D35" i="2" l="1"/>
  <c r="C33" i="2"/>
  <c r="C36" i="2" l="1"/>
  <c r="C34" i="2"/>
  <c r="B36" i="2"/>
  <c r="B34" i="2"/>
  <c r="B33" i="2"/>
  <c r="D33" i="2" l="1"/>
  <c r="D34" i="2"/>
  <c r="D36" i="2"/>
</calcChain>
</file>

<file path=xl/comments1.xml><?xml version="1.0" encoding="utf-8"?>
<comments xmlns="http://schemas.openxmlformats.org/spreadsheetml/2006/main">
  <authors>
    <author>Graciolli Junior, S.</author>
  </authors>
  <commentList>
    <comment ref="F8" authorId="0">
      <text>
        <r>
          <rPr>
            <b/>
            <sz val="9"/>
            <color indexed="81"/>
            <rFont val="Tahoma"/>
            <family val="2"/>
          </rPr>
          <t xml:space="preserve">01 de jan
</t>
        </r>
        <r>
          <rPr>
            <sz val="9"/>
            <color indexed="81"/>
            <rFont val="Tahoma"/>
            <family val="2"/>
          </rPr>
          <t xml:space="preserve">
Confraternização Universal 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 xml:space="preserve">03 de abr
</t>
        </r>
        <r>
          <rPr>
            <sz val="9"/>
            <color indexed="81"/>
            <rFont val="Tahoma"/>
            <family val="2"/>
          </rPr>
          <t xml:space="preserve">
Sexta-feira Santa</t>
        </r>
      </text>
    </comment>
    <comment ref="AM8" authorId="0">
      <text>
        <r>
          <rPr>
            <b/>
            <sz val="9"/>
            <color indexed="81"/>
            <rFont val="Tahoma"/>
            <family val="2"/>
          </rPr>
          <t xml:space="preserve">01 de mai
</t>
        </r>
        <r>
          <rPr>
            <sz val="9"/>
            <color indexed="81"/>
            <rFont val="Tahoma"/>
            <family val="2"/>
          </rPr>
          <t xml:space="preserve">
Dia do Trabalho</t>
        </r>
      </text>
    </comment>
    <comment ref="AT8" authorId="0">
      <text>
        <r>
          <rPr>
            <b/>
            <sz val="9"/>
            <color indexed="81"/>
            <rFont val="Tahoma"/>
            <family val="2"/>
          </rPr>
          <t xml:space="preserve">04 de jun
</t>
        </r>
        <r>
          <rPr>
            <sz val="9"/>
            <color indexed="81"/>
            <rFont val="Tahoma"/>
            <family val="2"/>
          </rPr>
          <t xml:space="preserve">
Corpus Cristi</t>
        </r>
      </text>
    </comment>
    <comment ref="Z9" authorId="0">
      <text>
        <r>
          <rPr>
            <b/>
            <sz val="9"/>
            <color indexed="81"/>
            <rFont val="Tahoma"/>
            <family val="2"/>
          </rPr>
          <t xml:space="preserve">05 de abr
</t>
        </r>
        <r>
          <rPr>
            <sz val="9"/>
            <color indexed="81"/>
            <rFont val="Tahoma"/>
            <family val="2"/>
          </rPr>
          <t xml:space="preserve">
Domingo de Páscoa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 xml:space="preserve">16 de fev
</t>
        </r>
        <r>
          <rPr>
            <sz val="9"/>
            <color indexed="81"/>
            <rFont val="Tahoma"/>
            <family val="2"/>
          </rPr>
          <t xml:space="preserve">
Carnaval</t>
        </r>
      </text>
    </comment>
    <comment ref="AB11" authorId="0">
      <text>
        <r>
          <rPr>
            <b/>
            <sz val="9"/>
            <color indexed="81"/>
            <rFont val="Tahoma"/>
            <family val="2"/>
          </rPr>
          <t xml:space="preserve">21 de abr
</t>
        </r>
        <r>
          <rPr>
            <sz val="9"/>
            <color indexed="81"/>
            <rFont val="Tahoma"/>
            <family val="2"/>
          </rPr>
          <t xml:space="preserve">
Tiradentes</t>
        </r>
      </text>
    </comment>
    <comment ref="AD11" authorId="0">
      <text>
        <r>
          <rPr>
            <b/>
            <sz val="9"/>
            <color indexed="81"/>
            <rFont val="Tahoma"/>
            <family val="2"/>
          </rPr>
          <t xml:space="preserve">23 de abr
</t>
        </r>
        <r>
          <rPr>
            <sz val="9"/>
            <color indexed="81"/>
            <rFont val="Tahoma"/>
            <family val="2"/>
          </rPr>
          <t xml:space="preserve">
(RJ) - Dia de São Jorge</t>
        </r>
      </text>
    </comment>
    <comment ref="AI18" authorId="0">
      <text>
        <r>
          <rPr>
            <b/>
            <sz val="9"/>
            <color indexed="81"/>
            <rFont val="Tahoma"/>
            <family val="2"/>
          </rPr>
          <t xml:space="preserve">02 de nov
</t>
        </r>
        <r>
          <rPr>
            <sz val="9"/>
            <color indexed="81"/>
            <rFont val="Tahoma"/>
            <family val="2"/>
          </rPr>
          <t xml:space="preserve">
Finados</t>
        </r>
      </text>
    </comment>
    <comment ref="S19" authorId="0">
      <text>
        <r>
          <rPr>
            <b/>
            <sz val="9"/>
            <color indexed="81"/>
            <rFont val="Tahoma"/>
            <family val="2"/>
          </rPr>
          <t xml:space="preserve">07 de set
</t>
        </r>
        <r>
          <rPr>
            <sz val="9"/>
            <color indexed="81"/>
            <rFont val="Tahoma"/>
            <family val="2"/>
          </rPr>
          <t xml:space="preserve">
Independência do Brasil</t>
        </r>
      </text>
    </comment>
    <comment ref="AA20" authorId="0">
      <text>
        <r>
          <rPr>
            <b/>
            <sz val="9"/>
            <color indexed="81"/>
            <rFont val="Tahoma"/>
            <family val="2"/>
          </rPr>
          <t xml:space="preserve">12 de out
</t>
        </r>
        <r>
          <rPr>
            <sz val="9"/>
            <color indexed="81"/>
            <rFont val="Tahoma"/>
            <family val="2"/>
          </rPr>
          <t xml:space="preserve">
Nossa Senhora Aparecida</t>
        </r>
      </text>
    </comment>
    <comment ref="AH20" authorId="0">
      <text>
        <r>
          <rPr>
            <b/>
            <sz val="9"/>
            <color indexed="81"/>
            <rFont val="Tahoma"/>
            <family val="2"/>
          </rPr>
          <t xml:space="preserve">15 de nov
</t>
        </r>
        <r>
          <rPr>
            <sz val="9"/>
            <color indexed="81"/>
            <rFont val="Tahoma"/>
            <family val="2"/>
          </rPr>
          <t xml:space="preserve">
Proclamação da República</t>
        </r>
      </text>
    </comment>
    <comment ref="AM20" authorId="0">
      <text>
        <r>
          <rPr>
            <b/>
            <sz val="9"/>
            <color indexed="81"/>
            <rFont val="Tahoma"/>
            <family val="2"/>
          </rPr>
          <t xml:space="preserve">20 de nov
</t>
        </r>
        <r>
          <rPr>
            <sz val="9"/>
            <color indexed="81"/>
            <rFont val="Tahoma"/>
            <family val="2"/>
          </rPr>
          <t xml:space="preserve">
(RJ) - Dia da Consciência Negra</t>
        </r>
      </text>
    </comment>
    <comment ref="AU21" authorId="0">
      <text>
        <r>
          <rPr>
            <b/>
            <sz val="9"/>
            <color indexed="81"/>
            <rFont val="Tahoma"/>
            <family val="2"/>
          </rPr>
          <t xml:space="preserve">25 de dez
</t>
        </r>
        <r>
          <rPr>
            <sz val="9"/>
            <color indexed="81"/>
            <rFont val="Tahoma"/>
            <family val="2"/>
          </rPr>
          <t xml:space="preserve">
Natal</t>
        </r>
      </text>
    </comment>
  </commentList>
</comments>
</file>

<file path=xl/sharedStrings.xml><?xml version="1.0" encoding="utf-8"?>
<sst xmlns="http://schemas.openxmlformats.org/spreadsheetml/2006/main" count="277" uniqueCount="124">
  <si>
    <t>Feriados fixos</t>
  </si>
  <si>
    <t>Dia</t>
  </si>
  <si>
    <t>Mês</t>
  </si>
  <si>
    <t>Data</t>
  </si>
  <si>
    <t>Descrição</t>
  </si>
  <si>
    <t>Feriados móveis</t>
  </si>
  <si>
    <t>Ano:</t>
  </si>
  <si>
    <t>Janeiro - 01</t>
  </si>
  <si>
    <t>Fevereiro - 02</t>
  </si>
  <si>
    <t>Março - 03</t>
  </si>
  <si>
    <t>Abril - 04</t>
  </si>
  <si>
    <t>Maio - 05</t>
  </si>
  <si>
    <t>Junho - 06</t>
  </si>
  <si>
    <t>D</t>
  </si>
  <si>
    <t>S</t>
  </si>
  <si>
    <t>T</t>
  </si>
  <si>
    <t>Q</t>
  </si>
  <si>
    <t>Julho - 07</t>
  </si>
  <si>
    <t>Agosto - 08</t>
  </si>
  <si>
    <t>Setembro - 09</t>
  </si>
  <si>
    <t>Outubro - 10</t>
  </si>
  <si>
    <t>Novembro - 11</t>
  </si>
  <si>
    <t>Dezembro - 12</t>
  </si>
  <si>
    <t xml:space="preserve">Confraternização Universal </t>
  </si>
  <si>
    <t>Tiradentes</t>
  </si>
  <si>
    <t>Dia do Trabalho</t>
  </si>
  <si>
    <t>Independência do Brasil</t>
  </si>
  <si>
    <t>Nossa Senhora Aparecida</t>
  </si>
  <si>
    <t>Finados</t>
  </si>
  <si>
    <t>Proclamação da República</t>
  </si>
  <si>
    <t>Natal</t>
  </si>
  <si>
    <t>Carnaval</t>
  </si>
  <si>
    <t>Sexta-feira Santa</t>
  </si>
  <si>
    <t>Domingo de Páscoa</t>
  </si>
  <si>
    <t>Corpus Cristi</t>
  </si>
  <si>
    <t>Feriado</t>
  </si>
  <si>
    <t>Dia do evangélico</t>
  </si>
  <si>
    <t>Alusivo ao Dia Internacional da Mulher</t>
  </si>
  <si>
    <t>Aniversário do estado</t>
  </si>
  <si>
    <t>Dia da Amazônia</t>
  </si>
  <si>
    <t>Assinatura do Tratado de Petrópolis</t>
  </si>
  <si>
    <t>São João</t>
  </si>
  <si>
    <t>São Pedro</t>
  </si>
  <si>
    <t>Emancipação política</t>
  </si>
  <si>
    <t>Morte de Zumbi dos Palmares</t>
  </si>
  <si>
    <t>Dia de São José, santo padroeiro do Estado do Amapá</t>
  </si>
  <si>
    <t>Criação do Território Federal (Data Magna do estado)</t>
  </si>
  <si>
    <t>Elevação do Amazonas à categoria de província</t>
  </si>
  <si>
    <t>Dia da Consciência Negra</t>
  </si>
  <si>
    <t>Independência da Bahia (Data magna do estado)</t>
  </si>
  <si>
    <t>Fundação de Brasília</t>
  </si>
  <si>
    <t>Adesão do Maranhão à independência do Brasil</t>
  </si>
  <si>
    <t>Criação do estado</t>
  </si>
  <si>
    <t>Data magna do estado</t>
  </si>
  <si>
    <t>Adesão do Grão-Pará à independência do Brasil (data magna)</t>
  </si>
  <si>
    <t>Homenagem à memória do ex-presidente João Pessoa</t>
  </si>
  <si>
    <t>Fundação do Estado em 1585</t>
  </si>
  <si>
    <t>Emancipação política (emancipação do Paraná)</t>
  </si>
  <si>
    <t>Dia do Piauí</t>
  </si>
  <si>
    <t>Dia de São Jorge</t>
  </si>
  <si>
    <t>Mártires de Cunhaú e Uruaçu</t>
  </si>
  <si>
    <t>Proclamação da República Rio-Grandense</t>
  </si>
  <si>
    <t>Criação do estado (data magna)</t>
  </si>
  <si>
    <t>Dia de Santa Catarina (criação da capitania, separando-se de São Paulo)</t>
  </si>
  <si>
    <t>Dia de Santa Catarina de Alexandria</t>
  </si>
  <si>
    <t>Revolução Constitucionalista de 1932 (Data magna do estado)</t>
  </si>
  <si>
    <t>Autonomia política de Sergipe</t>
  </si>
  <si>
    <t>Acre</t>
  </si>
  <si>
    <t>Alagoas</t>
  </si>
  <si>
    <t>Amapá</t>
  </si>
  <si>
    <t>Amazonas</t>
  </si>
  <si>
    <t>Bahia</t>
  </si>
  <si>
    <t>Ceará</t>
  </si>
  <si>
    <t>Distrito Federal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</si>
  <si>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</si>
  <si>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</si>
  <si>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</si>
  <si>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</si>
  <si>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</si>
  <si>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</si>
  <si>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</si>
  <si>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</si>
  <si>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</si>
  <si>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</si>
  <si>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</si>
  <si>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</si>
  <si>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</si>
  <si>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</si>
  <si>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</si>
  <si>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</si>
  <si>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</si>
  <si>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Estado</t>
  </si>
  <si>
    <t>Data magna do estado (data da abolição da escravidão no Ceará)</t>
  </si>
  <si>
    <t>UF</t>
  </si>
  <si>
    <t>PB</t>
  </si>
  <si>
    <t>AC</t>
  </si>
  <si>
    <t>AL</t>
  </si>
  <si>
    <t>AP</t>
  </si>
  <si>
    <t>AM</t>
  </si>
  <si>
    <t>BA</t>
  </si>
  <si>
    <t>CE</t>
  </si>
  <si>
    <t>DF</t>
  </si>
  <si>
    <t>MA</t>
  </si>
  <si>
    <t>MT</t>
  </si>
  <si>
    <t>MS</t>
  </si>
  <si>
    <t>MG</t>
  </si>
  <si>
    <t>PA</t>
  </si>
  <si>
    <t>PR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</si>
  <si>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</si>
  <si>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</si>
  <si>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</si>
  <si>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</si>
  <si>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</si>
  <si>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</si>
  <si>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</si>
  <si>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</si>
  <si>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</si>
  <si>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</si>
  <si>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Autonomia do Estado (criação da Comarca do Norte)</t>
  </si>
  <si>
    <t>Padroeira do Estado (Nossa Senhora da Natividade)</t>
  </si>
  <si>
    <t>Início</t>
  </si>
  <si>
    <t>Fim</t>
  </si>
  <si>
    <t>Férias</t>
  </si>
  <si>
    <t>Emendas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</si>
</sst>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"/>
    <numFmt numFmtId="165" formatCode="dd/mm/yy;@"/>
    <numFmt numFmtId="166" formatCode="dd"/>
  </numFmts>
  <fonts count="14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22"/>
      <name val="Arial"/>
      <family val="2"/>
    </font>
    <font>
      <sz val="1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4"/>
        <bgColor indexed="45"/>
      </patternFill>
    </fill>
    <fill>
      <patternFill patternType="solid">
        <fgColor rgb="FFFFFF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 vertical="center"/>
      <protection hidden="1"/>
    </xf>
    <xf numFmtId="22" fontId="5" fillId="0" borderId="0" xfId="0" applyNumberFormat="1" applyFont="1" applyAlignment="1" applyProtection="1">
      <alignment horizontal="center" vertical="center"/>
      <protection hidden="1"/>
    </xf>
    <xf numFmtId="14" fontId="5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shrinkToFit="1"/>
      <protection hidden="1"/>
    </xf>
    <xf numFmtId="0" fontId="6" fillId="0" borderId="12" xfId="0" applyFont="1" applyBorder="1" applyAlignment="1" applyProtection="1">
      <alignment horizontal="center" vertical="center" shrinkToFit="1"/>
      <protection hidden="1"/>
    </xf>
    <xf numFmtId="0" fontId="2" fillId="0" borderId="12" xfId="0" applyFont="1" applyBorder="1" applyAlignment="1" applyProtection="1">
      <alignment horizontal="center" vertical="center" shrinkToFit="1"/>
      <protection hidden="1"/>
    </xf>
    <xf numFmtId="166" fontId="0" fillId="0" borderId="0" xfId="0" applyNumberFormat="1"/>
    <xf numFmtId="166" fontId="0" fillId="0" borderId="12" xfId="0" applyNumberFormat="1" applyBorder="1"/>
    <xf numFmtId="166" fontId="7" fillId="0" borderId="12" xfId="0" applyNumberFormat="1" applyFont="1" applyBorder="1"/>
    <xf numFmtId="166" fontId="7" fillId="4" borderId="13" xfId="0" applyNumberFormat="1" applyFont="1" applyFill="1" applyBorder="1"/>
    <xf numFmtId="14" fontId="0" fillId="0" borderId="0" xfId="0" applyNumberFormat="1"/>
    <xf numFmtId="166" fontId="8" fillId="5" borderId="14" xfId="0" applyNumberFormat="1" applyFont="1" applyFill="1" applyBorder="1"/>
    <xf numFmtId="0" fontId="9" fillId="0" borderId="0" xfId="0" applyFont="1" applyBorder="1" applyAlignment="1">
      <alignment vertical="center"/>
    </xf>
    <xf numFmtId="164" fontId="9" fillId="0" borderId="0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9" fillId="0" borderId="0" xfId="0" applyFont="1"/>
    <xf numFmtId="164" fontId="9" fillId="0" borderId="1" xfId="0" applyNumberFormat="1" applyFont="1" applyBorder="1" applyAlignment="1">
      <alignment horizontal="left" vertical="center"/>
    </xf>
    <xf numFmtId="164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9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center"/>
    </xf>
    <xf numFmtId="164" fontId="9" fillId="7" borderId="1" xfId="0" applyNumberFormat="1" applyFont="1" applyFill="1" applyBorder="1" applyAlignment="1">
      <alignment horizontal="center" vertical="center"/>
    </xf>
    <xf numFmtId="164" fontId="9" fillId="7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6" fontId="7" fillId="8" borderId="12" xfId="0" applyNumberFormat="1" applyFont="1" applyFill="1" applyBorder="1"/>
    <xf numFmtId="166" fontId="10" fillId="8" borderId="12" xfId="0" applyNumberFormat="1" applyFont="1" applyFill="1" applyBorder="1"/>
    <xf numFmtId="166" fontId="11" fillId="0" borderId="15" xfId="0" applyNumberFormat="1" applyFont="1" applyFill="1" applyBorder="1"/>
    <xf numFmtId="165" fontId="9" fillId="0" borderId="1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 applyProtection="1">
      <alignment horizontal="center" vertical="center"/>
      <protection locked="0"/>
    </xf>
    <xf numFmtId="0" fontId="4" fillId="2" borderId="7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 applyProtection="1">
      <alignment horizontal="center" vertical="center"/>
      <protection locked="0"/>
    </xf>
    <xf numFmtId="16" fontId="2" fillId="3" borderId="9" xfId="0" quotePrefix="1" applyNumberFormat="1" applyFont="1" applyFill="1" applyBorder="1" applyAlignment="1" applyProtection="1">
      <alignment horizontal="center" vertical="center" shrinkToFit="1"/>
      <protection hidden="1"/>
    </xf>
    <xf numFmtId="0" fontId="2" fillId="3" borderId="10" xfId="0" applyFont="1" applyFill="1" applyBorder="1" applyAlignment="1" applyProtection="1">
      <alignment horizontal="center" vertical="center" shrinkToFit="1"/>
      <protection hidden="1"/>
    </xf>
    <xf numFmtId="0" fontId="2" fillId="3" borderId="11" xfId="0" applyFont="1" applyFill="1" applyBorder="1" applyAlignment="1" applyProtection="1">
      <alignment horizontal="center" vertical="center" shrinkToFit="1"/>
      <protection hidden="1"/>
    </xf>
    <xf numFmtId="0" fontId="1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numFmt numFmtId="167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1</xdr:row>
      <xdr:rowOff>47625</xdr:rowOff>
    </xdr:from>
    <xdr:to>
      <xdr:col>9</xdr:col>
      <xdr:colOff>190689</xdr:colOff>
      <xdr:row>2</xdr:row>
      <xdr:rowOff>140910</xdr:rowOff>
    </xdr:to>
    <xdr:grpSp>
      <xdr:nvGrpSpPr>
        <xdr:cNvPr id="2" name="Group 1"/>
        <xdr:cNvGrpSpPr/>
      </xdr:nvGrpSpPr>
      <xdr:grpSpPr>
        <a:xfrm>
          <a:off x="1705708" y="238125"/>
          <a:ext cx="133539" cy="291112"/>
          <a:chOff x="2133600" y="228600"/>
          <a:chExt cx="133539" cy="293310"/>
        </a:xfrm>
      </xdr:grpSpPr>
      <xdr:sp macro="[0]!cmdUp_Click" textlink="">
        <xdr:nvSpPr>
          <xdr:cNvPr id="3" name="cmdUp"/>
          <xdr:cNvSpPr/>
        </xdr:nvSpPr>
        <xdr:spPr>
          <a:xfrm>
            <a:off x="2133600" y="228600"/>
            <a:ext cx="133539" cy="113532"/>
          </a:xfrm>
          <a:prstGeom prst="triangle">
            <a:avLst/>
          </a:prstGeom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mdDown_Click" textlink="">
        <xdr:nvSpPr>
          <xdr:cNvPr id="4" name="cmdDown"/>
          <xdr:cNvSpPr/>
        </xdr:nvSpPr>
        <xdr:spPr>
          <a:xfrm rot="10800000">
            <a:off x="2133600" y="408378"/>
            <a:ext cx="133539" cy="113532"/>
          </a:xfrm>
          <a:prstGeom prst="triangle">
            <a:avLst/>
          </a:prstGeom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10</xdr:col>
      <xdr:colOff>133349</xdr:colOff>
      <xdr:row>1</xdr:row>
      <xdr:rowOff>38100</xdr:rowOff>
    </xdr:from>
    <xdr:to>
      <xdr:col>14</xdr:col>
      <xdr:colOff>66675</xdr:colOff>
      <xdr:row>2</xdr:row>
      <xdr:rowOff>161924</xdr:rowOff>
    </xdr:to>
    <xdr:sp macro="[0]!imgUF_Click" textlink="">
      <xdr:nvSpPr>
        <xdr:cNvPr id="5" name="imgUF"/>
        <xdr:cNvSpPr/>
      </xdr:nvSpPr>
      <xdr:spPr>
        <a:xfrm>
          <a:off x="2190749" y="228600"/>
          <a:ext cx="733426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RJ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F42" totalsRowShown="0" headerRowDxfId="1">
  <autoFilter ref="A1:F42"/>
  <tableColumns count="6">
    <tableColumn id="1" name="Estado"/>
    <tableColumn id="2" name="UF"/>
    <tableColumn id="3" name="Dia"/>
    <tableColumn id="4" name="Mês"/>
    <tableColumn id="5" name="Data" dataDxfId="0">
      <calculatedColumnFormula>DATE(Year,D2,C2)</calculatedColumnFormula>
    </tableColumn>
    <tableColumn id="6" name="Feriado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24"/>
  <sheetViews>
    <sheetView showGridLines="0" showRowColHeaders="0" tabSelected="1" zoomScale="130" zoomScaleNormal="130" workbookViewId="0">
      <selection activeCell="AK12" sqref="AK12"/>
    </sheetView>
  </sheetViews>
  <sheetFormatPr defaultColWidth="3.42578125" defaultRowHeight="15" x14ac:dyDescent="0.25"/>
  <cols>
    <col min="1" max="1" width="2" customWidth="1"/>
    <col min="2" max="8" width="3" bestFit="1" customWidth="1"/>
    <col min="9" max="9" width="2" customWidth="1"/>
    <col min="10" max="16" width="3" bestFit="1" customWidth="1"/>
    <col min="17" max="17" width="2" customWidth="1"/>
    <col min="18" max="24" width="3" bestFit="1" customWidth="1"/>
    <col min="25" max="25" width="2" customWidth="1"/>
    <col min="26" max="32" width="3" bestFit="1" customWidth="1"/>
    <col min="33" max="33" width="2" customWidth="1"/>
    <col min="34" max="40" width="3" bestFit="1" customWidth="1"/>
    <col min="41" max="41" width="2" customWidth="1"/>
    <col min="42" max="48" width="3" bestFit="1" customWidth="1"/>
  </cols>
  <sheetData>
    <row r="1" spans="1:4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15.75" customHeight="1" x14ac:dyDescent="0.25">
      <c r="A2" s="1"/>
      <c r="B2" s="33" t="s">
        <v>6</v>
      </c>
      <c r="C2" s="34"/>
      <c r="D2" s="35">
        <v>2015</v>
      </c>
      <c r="E2" s="36"/>
      <c r="F2" s="36"/>
      <c r="G2" s="36"/>
      <c r="H2" s="36"/>
      <c r="I2" s="37"/>
      <c r="J2" s="1"/>
      <c r="K2" s="1"/>
      <c r="L2" s="2"/>
      <c r="M2" s="1"/>
      <c r="N2" s="1"/>
      <c r="O2" s="1"/>
      <c r="P2" s="1"/>
      <c r="Q2" s="1"/>
      <c r="R2" s="1"/>
      <c r="S2" s="1"/>
      <c r="T2" s="1"/>
      <c r="U2" s="1"/>
      <c r="V2" s="1"/>
      <c r="W2" s="3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x14ac:dyDescent="0.25">
      <c r="A3" s="1"/>
      <c r="B3" s="33"/>
      <c r="C3" s="34"/>
      <c r="D3" s="38"/>
      <c r="E3" s="39"/>
      <c r="F3" s="39"/>
      <c r="G3" s="39"/>
      <c r="H3" s="39"/>
      <c r="I3" s="40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15.75" thickBot="1" x14ac:dyDescent="0.3">
      <c r="A4" s="1"/>
      <c r="B4" s="6"/>
      <c r="C4" s="4"/>
      <c r="D4" s="4"/>
      <c r="E4" s="4"/>
      <c r="F4" s="4"/>
      <c r="G4" s="4"/>
      <c r="H4" s="4"/>
      <c r="I4" s="4"/>
      <c r="J4" s="6"/>
      <c r="K4" s="4"/>
      <c r="L4" s="4"/>
      <c r="M4" s="4"/>
      <c r="N4" s="4"/>
      <c r="O4" s="4"/>
      <c r="P4" s="4"/>
      <c r="Q4" s="4"/>
      <c r="R4" s="6"/>
      <c r="S4" s="4"/>
      <c r="T4" s="4"/>
      <c r="U4" s="4"/>
      <c r="V4" s="4"/>
      <c r="W4" s="4"/>
      <c r="X4" s="4"/>
      <c r="Y4" s="4"/>
      <c r="Z4" s="6"/>
      <c r="AA4" s="4"/>
      <c r="AB4" s="4"/>
      <c r="AC4" s="4"/>
      <c r="AD4" s="4"/>
      <c r="AE4" s="4"/>
      <c r="AF4" s="4"/>
      <c r="AG4" s="4"/>
      <c r="AH4" s="6"/>
      <c r="AI4" s="4"/>
      <c r="AJ4" s="4"/>
      <c r="AK4" s="4"/>
      <c r="AL4" s="4"/>
      <c r="AM4" s="4"/>
      <c r="AN4" s="4"/>
      <c r="AO4" s="4"/>
      <c r="AP4" s="6"/>
      <c r="AQ4" s="4"/>
      <c r="AR4" s="4"/>
      <c r="AS4" s="4"/>
      <c r="AT4" s="4"/>
      <c r="AU4" s="4"/>
      <c r="AV4" s="4"/>
      <c r="AW4" s="1"/>
    </row>
    <row r="5" spans="1:49" ht="15.75" thickBot="1" x14ac:dyDescent="0.3">
      <c r="A5" s="1"/>
      <c r="B5" s="41" t="s">
        <v>7</v>
      </c>
      <c r="C5" s="42"/>
      <c r="D5" s="42"/>
      <c r="E5" s="42"/>
      <c r="F5" s="42"/>
      <c r="G5" s="42"/>
      <c r="H5" s="43"/>
      <c r="I5" s="1"/>
      <c r="J5" s="41" t="s">
        <v>8</v>
      </c>
      <c r="K5" s="42"/>
      <c r="L5" s="42"/>
      <c r="M5" s="42"/>
      <c r="N5" s="42"/>
      <c r="O5" s="42"/>
      <c r="P5" s="43"/>
      <c r="Q5" s="1"/>
      <c r="R5" s="41" t="s">
        <v>9</v>
      </c>
      <c r="S5" s="42"/>
      <c r="T5" s="42"/>
      <c r="U5" s="42"/>
      <c r="V5" s="42"/>
      <c r="W5" s="42"/>
      <c r="X5" s="43"/>
      <c r="Y5" s="1"/>
      <c r="Z5" s="41" t="s">
        <v>10</v>
      </c>
      <c r="AA5" s="42"/>
      <c r="AB5" s="42"/>
      <c r="AC5" s="42"/>
      <c r="AD5" s="42"/>
      <c r="AE5" s="42"/>
      <c r="AF5" s="43"/>
      <c r="AG5" s="1"/>
      <c r="AH5" s="41" t="s">
        <v>11</v>
      </c>
      <c r="AI5" s="42"/>
      <c r="AJ5" s="42"/>
      <c r="AK5" s="42"/>
      <c r="AL5" s="42"/>
      <c r="AM5" s="42"/>
      <c r="AN5" s="43"/>
      <c r="AO5" s="1"/>
      <c r="AP5" s="41" t="s">
        <v>12</v>
      </c>
      <c r="AQ5" s="42"/>
      <c r="AR5" s="42"/>
      <c r="AS5" s="42"/>
      <c r="AT5" s="42"/>
      <c r="AU5" s="42"/>
      <c r="AV5" s="43"/>
      <c r="AW5" s="1"/>
    </row>
    <row r="6" spans="1:49" ht="4.5" customHeight="1" x14ac:dyDescent="0.25">
      <c r="A6" s="1"/>
      <c r="B6" s="7"/>
      <c r="C6" s="7"/>
      <c r="D6" s="7"/>
      <c r="E6" s="7"/>
      <c r="F6" s="7"/>
      <c r="G6" s="7"/>
      <c r="H6" s="7"/>
      <c r="I6" s="1"/>
      <c r="J6" s="7"/>
      <c r="K6" s="7"/>
      <c r="L6" s="7"/>
      <c r="M6" s="7"/>
      <c r="N6" s="7"/>
      <c r="O6" s="7"/>
      <c r="P6" s="7"/>
      <c r="Q6" s="1"/>
      <c r="R6" s="7"/>
      <c r="S6" s="7"/>
      <c r="T6" s="7"/>
      <c r="U6" s="7"/>
      <c r="V6" s="7"/>
      <c r="W6" s="7"/>
      <c r="X6" s="7"/>
      <c r="Y6" s="1"/>
      <c r="Z6" s="7"/>
      <c r="AA6" s="7"/>
      <c r="AB6" s="7"/>
      <c r="AC6" s="7"/>
      <c r="AD6" s="7"/>
      <c r="AE6" s="7"/>
      <c r="AF6" s="7"/>
      <c r="AG6" s="1"/>
      <c r="AH6" s="7"/>
      <c r="AI6" s="7"/>
      <c r="AJ6" s="7"/>
      <c r="AK6" s="7"/>
      <c r="AL6" s="7"/>
      <c r="AM6" s="7"/>
      <c r="AN6" s="7"/>
      <c r="AO6" s="1"/>
      <c r="AP6" s="7"/>
      <c r="AQ6" s="7"/>
      <c r="AR6" s="7"/>
      <c r="AS6" s="7"/>
      <c r="AT6" s="7"/>
      <c r="AU6" s="7"/>
      <c r="AV6" s="7"/>
      <c r="AW6" s="1"/>
    </row>
    <row r="7" spans="1:49" x14ac:dyDescent="0.25">
      <c r="A7" s="1"/>
      <c r="B7" s="8" t="s">
        <v>13</v>
      </c>
      <c r="C7" s="9" t="s">
        <v>14</v>
      </c>
      <c r="D7" s="9" t="s">
        <v>15</v>
      </c>
      <c r="E7" s="9" t="s">
        <v>16</v>
      </c>
      <c r="F7" s="9" t="s">
        <v>16</v>
      </c>
      <c r="G7" s="9" t="s">
        <v>14</v>
      </c>
      <c r="H7" s="8" t="s">
        <v>14</v>
      </c>
      <c r="I7" s="1"/>
      <c r="J7" s="8" t="s">
        <v>13</v>
      </c>
      <c r="K7" s="9" t="s">
        <v>14</v>
      </c>
      <c r="L7" s="9" t="s">
        <v>15</v>
      </c>
      <c r="M7" s="9" t="s">
        <v>16</v>
      </c>
      <c r="N7" s="9" t="s">
        <v>16</v>
      </c>
      <c r="O7" s="9" t="s">
        <v>14</v>
      </c>
      <c r="P7" s="8" t="s">
        <v>14</v>
      </c>
      <c r="Q7" s="1"/>
      <c r="R7" s="8" t="s">
        <v>13</v>
      </c>
      <c r="S7" s="9" t="s">
        <v>14</v>
      </c>
      <c r="T7" s="9" t="s">
        <v>15</v>
      </c>
      <c r="U7" s="9" t="s">
        <v>16</v>
      </c>
      <c r="V7" s="9" t="s">
        <v>16</v>
      </c>
      <c r="W7" s="9" t="s">
        <v>14</v>
      </c>
      <c r="X7" s="8" t="s">
        <v>14</v>
      </c>
      <c r="Y7" s="1"/>
      <c r="Z7" s="8" t="s">
        <v>13</v>
      </c>
      <c r="AA7" s="9" t="s">
        <v>14</v>
      </c>
      <c r="AB7" s="9" t="s">
        <v>15</v>
      </c>
      <c r="AC7" s="9" t="s">
        <v>16</v>
      </c>
      <c r="AD7" s="9" t="s">
        <v>16</v>
      </c>
      <c r="AE7" s="9" t="s">
        <v>14</v>
      </c>
      <c r="AF7" s="8" t="s">
        <v>14</v>
      </c>
      <c r="AG7" s="1"/>
      <c r="AH7" s="8" t="s">
        <v>13</v>
      </c>
      <c r="AI7" s="9" t="s">
        <v>14</v>
      </c>
      <c r="AJ7" s="9" t="s">
        <v>15</v>
      </c>
      <c r="AK7" s="9" t="s">
        <v>16</v>
      </c>
      <c r="AL7" s="9" t="s">
        <v>16</v>
      </c>
      <c r="AM7" s="9" t="s">
        <v>14</v>
      </c>
      <c r="AN7" s="8" t="s">
        <v>14</v>
      </c>
      <c r="AO7" s="1"/>
      <c r="AP7" s="8" t="s">
        <v>13</v>
      </c>
      <c r="AQ7" s="9" t="s">
        <v>14</v>
      </c>
      <c r="AR7" s="9" t="s">
        <v>15</v>
      </c>
      <c r="AS7" s="9" t="s">
        <v>16</v>
      </c>
      <c r="AT7" s="9" t="s">
        <v>16</v>
      </c>
      <c r="AU7" s="9" t="s">
        <v>14</v>
      </c>
      <c r="AV7" s="8" t="s">
        <v>14</v>
      </c>
      <c r="AW7" s="1"/>
    </row>
    <row r="8" spans="1:49" x14ac:dyDescent="0.25">
      <c r="A8" s="1"/>
      <c r="B8" s="10"/>
      <c r="C8" s="10"/>
      <c r="D8" s="10"/>
      <c r="E8" s="10"/>
      <c r="F8" s="13">
        <v>42005</v>
      </c>
      <c r="G8" s="30">
        <v>42006</v>
      </c>
      <c r="H8" s="29">
        <v>42007</v>
      </c>
      <c r="I8" s="10"/>
      <c r="J8" s="12">
        <v>42036</v>
      </c>
      <c r="K8" s="11">
        <v>42037</v>
      </c>
      <c r="L8" s="11">
        <v>42038</v>
      </c>
      <c r="M8" s="11">
        <v>42039</v>
      </c>
      <c r="N8" s="11">
        <v>42040</v>
      </c>
      <c r="O8" s="11">
        <v>42041</v>
      </c>
      <c r="P8" s="12">
        <v>42042</v>
      </c>
      <c r="Q8" s="10"/>
      <c r="R8" s="12">
        <v>42064</v>
      </c>
      <c r="S8" s="11">
        <v>42065</v>
      </c>
      <c r="T8" s="11">
        <v>42066</v>
      </c>
      <c r="U8" s="11">
        <v>42067</v>
      </c>
      <c r="V8" s="11">
        <v>42068</v>
      </c>
      <c r="W8" s="11">
        <v>42069</v>
      </c>
      <c r="X8" s="12">
        <v>42070</v>
      </c>
      <c r="Y8" s="10"/>
      <c r="Z8" s="10"/>
      <c r="AA8" s="10"/>
      <c r="AB8" s="10"/>
      <c r="AC8" s="11">
        <v>42095</v>
      </c>
      <c r="AD8" s="11">
        <v>42096</v>
      </c>
      <c r="AE8" s="13">
        <v>42097</v>
      </c>
      <c r="AF8" s="12">
        <v>42098</v>
      </c>
      <c r="AG8" s="10"/>
      <c r="AH8" s="10"/>
      <c r="AI8" s="10"/>
      <c r="AJ8" s="10"/>
      <c r="AK8" s="10"/>
      <c r="AL8" s="10"/>
      <c r="AM8" s="13">
        <v>42125</v>
      </c>
      <c r="AN8" s="12">
        <v>42126</v>
      </c>
      <c r="AO8" s="10"/>
      <c r="AP8" s="10"/>
      <c r="AQ8" s="11">
        <v>42156</v>
      </c>
      <c r="AR8" s="11">
        <v>42157</v>
      </c>
      <c r="AS8" s="11">
        <v>42158</v>
      </c>
      <c r="AT8" s="13">
        <v>42159</v>
      </c>
      <c r="AU8" s="11">
        <v>42160</v>
      </c>
      <c r="AV8" s="12">
        <v>42161</v>
      </c>
      <c r="AW8" s="1"/>
    </row>
    <row r="9" spans="1:49" x14ac:dyDescent="0.25">
      <c r="A9" s="1"/>
      <c r="B9" s="29">
        <v>42008</v>
      </c>
      <c r="C9" s="11">
        <v>42009</v>
      </c>
      <c r="D9" s="11">
        <v>42010</v>
      </c>
      <c r="E9" s="11">
        <v>42011</v>
      </c>
      <c r="F9" s="11">
        <v>42012</v>
      </c>
      <c r="G9" s="11">
        <v>42013</v>
      </c>
      <c r="H9" s="12">
        <v>42014</v>
      </c>
      <c r="I9" s="10"/>
      <c r="J9" s="12">
        <v>42043</v>
      </c>
      <c r="K9" s="11">
        <v>42044</v>
      </c>
      <c r="L9" s="11">
        <v>42045</v>
      </c>
      <c r="M9" s="11">
        <v>42046</v>
      </c>
      <c r="N9" s="11">
        <v>42047</v>
      </c>
      <c r="O9" s="11">
        <v>42048</v>
      </c>
      <c r="P9" s="12">
        <v>42049</v>
      </c>
      <c r="Q9" s="10"/>
      <c r="R9" s="12">
        <v>42071</v>
      </c>
      <c r="S9" s="11">
        <v>42072</v>
      </c>
      <c r="T9" s="11">
        <v>42073</v>
      </c>
      <c r="U9" s="11">
        <v>42074</v>
      </c>
      <c r="V9" s="11">
        <v>42075</v>
      </c>
      <c r="W9" s="11">
        <v>42076</v>
      </c>
      <c r="X9" s="12">
        <v>42077</v>
      </c>
      <c r="Y9" s="10"/>
      <c r="Z9" s="13">
        <v>42099</v>
      </c>
      <c r="AA9" s="11">
        <v>42100</v>
      </c>
      <c r="AB9" s="11">
        <v>42101</v>
      </c>
      <c r="AC9" s="11">
        <v>42102</v>
      </c>
      <c r="AD9" s="11">
        <v>42103</v>
      </c>
      <c r="AE9" s="11">
        <v>42104</v>
      </c>
      <c r="AF9" s="12">
        <v>42105</v>
      </c>
      <c r="AG9" s="10"/>
      <c r="AH9" s="12">
        <v>42127</v>
      </c>
      <c r="AI9" s="11">
        <v>42128</v>
      </c>
      <c r="AJ9" s="11">
        <v>42129</v>
      </c>
      <c r="AK9" s="11">
        <v>42130</v>
      </c>
      <c r="AL9" s="11">
        <v>42131</v>
      </c>
      <c r="AM9" s="11">
        <v>42132</v>
      </c>
      <c r="AN9" s="12">
        <v>42133</v>
      </c>
      <c r="AO9" s="10"/>
      <c r="AP9" s="12">
        <v>42162</v>
      </c>
      <c r="AQ9" s="11">
        <v>42163</v>
      </c>
      <c r="AR9" s="11">
        <v>42164</v>
      </c>
      <c r="AS9" s="11">
        <v>42165</v>
      </c>
      <c r="AT9" s="11">
        <v>42166</v>
      </c>
      <c r="AU9" s="11">
        <v>42167</v>
      </c>
      <c r="AV9" s="12">
        <v>42168</v>
      </c>
      <c r="AW9" s="1"/>
    </row>
    <row r="10" spans="1:49" x14ac:dyDescent="0.25">
      <c r="A10" s="1"/>
      <c r="B10" s="12">
        <v>42015</v>
      </c>
      <c r="C10" s="11">
        <v>42016</v>
      </c>
      <c r="D10" s="11">
        <v>42017</v>
      </c>
      <c r="E10" s="11">
        <v>42018</v>
      </c>
      <c r="F10" s="11">
        <v>42019</v>
      </c>
      <c r="G10" s="11">
        <v>42020</v>
      </c>
      <c r="H10" s="12">
        <v>42021</v>
      </c>
      <c r="I10" s="10"/>
      <c r="J10" s="12">
        <v>42050</v>
      </c>
      <c r="K10" s="13">
        <v>42051</v>
      </c>
      <c r="L10" s="11">
        <v>42052</v>
      </c>
      <c r="M10" s="11">
        <v>42053</v>
      </c>
      <c r="N10" s="11">
        <v>42054</v>
      </c>
      <c r="O10" s="11">
        <v>42055</v>
      </c>
      <c r="P10" s="12">
        <v>42056</v>
      </c>
      <c r="Q10" s="10"/>
      <c r="R10" s="12">
        <v>42078</v>
      </c>
      <c r="S10" s="11">
        <v>42079</v>
      </c>
      <c r="T10" s="11">
        <v>42080</v>
      </c>
      <c r="U10" s="11">
        <v>42081</v>
      </c>
      <c r="V10" s="11">
        <v>42082</v>
      </c>
      <c r="W10" s="11">
        <v>42083</v>
      </c>
      <c r="X10" s="12">
        <v>42084</v>
      </c>
      <c r="Y10" s="10"/>
      <c r="Z10" s="12">
        <v>42106</v>
      </c>
      <c r="AA10" s="11">
        <v>42107</v>
      </c>
      <c r="AB10" s="11">
        <v>42108</v>
      </c>
      <c r="AC10" s="11">
        <v>42109</v>
      </c>
      <c r="AD10" s="11">
        <v>42110</v>
      </c>
      <c r="AE10" s="11">
        <v>42111</v>
      </c>
      <c r="AF10" s="12">
        <v>42112</v>
      </c>
      <c r="AG10" s="10"/>
      <c r="AH10" s="12">
        <v>42134</v>
      </c>
      <c r="AI10" s="11">
        <v>42135</v>
      </c>
      <c r="AJ10" s="11">
        <v>42136</v>
      </c>
      <c r="AK10" s="11">
        <v>42137</v>
      </c>
      <c r="AL10" s="11">
        <v>42138</v>
      </c>
      <c r="AM10" s="11">
        <v>42139</v>
      </c>
      <c r="AN10" s="12">
        <v>42140</v>
      </c>
      <c r="AO10" s="10"/>
      <c r="AP10" s="12">
        <v>42169</v>
      </c>
      <c r="AQ10" s="11">
        <v>42170</v>
      </c>
      <c r="AR10" s="11">
        <v>42171</v>
      </c>
      <c r="AS10" s="11">
        <v>42172</v>
      </c>
      <c r="AT10" s="11">
        <v>42173</v>
      </c>
      <c r="AU10" s="11">
        <v>42174</v>
      </c>
      <c r="AV10" s="12">
        <v>42175</v>
      </c>
      <c r="AW10" s="1"/>
    </row>
    <row r="11" spans="1:49" x14ac:dyDescent="0.25">
      <c r="A11" s="1"/>
      <c r="B11" s="12">
        <v>42022</v>
      </c>
      <c r="C11" s="11">
        <v>42023</v>
      </c>
      <c r="D11" s="11">
        <v>42024</v>
      </c>
      <c r="E11" s="11">
        <v>42025</v>
      </c>
      <c r="F11" s="11">
        <v>42026</v>
      </c>
      <c r="G11" s="11">
        <v>42027</v>
      </c>
      <c r="H11" s="12">
        <v>42028</v>
      </c>
      <c r="I11" s="10"/>
      <c r="J11" s="12">
        <v>42057</v>
      </c>
      <c r="K11" s="11">
        <v>42058</v>
      </c>
      <c r="L11" s="11">
        <v>42059</v>
      </c>
      <c r="M11" s="11">
        <v>42060</v>
      </c>
      <c r="N11" s="11">
        <v>42061</v>
      </c>
      <c r="O11" s="11">
        <v>42062</v>
      </c>
      <c r="P11" s="12">
        <v>42063</v>
      </c>
      <c r="Q11" s="10"/>
      <c r="R11" s="12">
        <v>42085</v>
      </c>
      <c r="S11" s="11">
        <v>42086</v>
      </c>
      <c r="T11" s="11">
        <v>42087</v>
      </c>
      <c r="U11" s="11">
        <v>42088</v>
      </c>
      <c r="V11" s="11">
        <v>42089</v>
      </c>
      <c r="W11" s="11">
        <v>42090</v>
      </c>
      <c r="X11" s="12">
        <v>42091</v>
      </c>
      <c r="Y11" s="10"/>
      <c r="Z11" s="12">
        <v>42113</v>
      </c>
      <c r="AA11" s="11">
        <v>42114</v>
      </c>
      <c r="AB11" s="13">
        <v>42115</v>
      </c>
      <c r="AC11" s="11">
        <v>42116</v>
      </c>
      <c r="AD11" s="15">
        <v>42117</v>
      </c>
      <c r="AE11" s="11">
        <v>42118</v>
      </c>
      <c r="AF11" s="12">
        <v>42119</v>
      </c>
      <c r="AG11" s="10"/>
      <c r="AH11" s="12">
        <v>42141</v>
      </c>
      <c r="AI11" s="11">
        <v>42142</v>
      </c>
      <c r="AJ11" s="11">
        <v>42143</v>
      </c>
      <c r="AK11" s="11">
        <v>42144</v>
      </c>
      <c r="AL11" s="11">
        <v>42145</v>
      </c>
      <c r="AM11" s="11">
        <v>42146</v>
      </c>
      <c r="AN11" s="12">
        <v>42147</v>
      </c>
      <c r="AO11" s="10"/>
      <c r="AP11" s="12">
        <v>42176</v>
      </c>
      <c r="AQ11" s="11">
        <v>42177</v>
      </c>
      <c r="AR11" s="11">
        <v>42178</v>
      </c>
      <c r="AS11" s="11">
        <v>42179</v>
      </c>
      <c r="AT11" s="11">
        <v>42180</v>
      </c>
      <c r="AU11" s="11">
        <v>42181</v>
      </c>
      <c r="AV11" s="12">
        <v>42182</v>
      </c>
      <c r="AW11" s="1"/>
    </row>
    <row r="12" spans="1:49" x14ac:dyDescent="0.25">
      <c r="A12" s="1"/>
      <c r="B12" s="12">
        <v>42029</v>
      </c>
      <c r="C12" s="11">
        <v>42030</v>
      </c>
      <c r="D12" s="11">
        <v>42031</v>
      </c>
      <c r="E12" s="11">
        <v>42032</v>
      </c>
      <c r="F12" s="11">
        <v>42033</v>
      </c>
      <c r="G12" s="11">
        <v>42034</v>
      </c>
      <c r="H12" s="12">
        <v>42035</v>
      </c>
      <c r="I12" s="10"/>
      <c r="J12" s="10"/>
      <c r="K12" s="10"/>
      <c r="L12" s="10"/>
      <c r="M12" s="10"/>
      <c r="N12" s="10"/>
      <c r="O12" s="10"/>
      <c r="P12" s="10"/>
      <c r="Q12" s="10"/>
      <c r="R12" s="12">
        <v>42092</v>
      </c>
      <c r="S12" s="11">
        <v>42093</v>
      </c>
      <c r="T12" s="11">
        <v>42094</v>
      </c>
      <c r="U12" s="10"/>
      <c r="V12" s="10"/>
      <c r="W12" s="10"/>
      <c r="X12" s="10"/>
      <c r="Y12" s="10"/>
      <c r="Z12" s="12">
        <v>42120</v>
      </c>
      <c r="AA12" s="11">
        <v>42121</v>
      </c>
      <c r="AB12" s="11">
        <v>42122</v>
      </c>
      <c r="AC12" s="11">
        <v>42123</v>
      </c>
      <c r="AD12" s="11">
        <v>42124</v>
      </c>
      <c r="AE12" s="10"/>
      <c r="AF12" s="10"/>
      <c r="AG12" s="10"/>
      <c r="AH12" s="12">
        <v>42148</v>
      </c>
      <c r="AI12" s="11">
        <v>42149</v>
      </c>
      <c r="AJ12" s="11">
        <v>42150</v>
      </c>
      <c r="AK12" s="31">
        <v>42151</v>
      </c>
      <c r="AL12" s="11">
        <v>42152</v>
      </c>
      <c r="AM12" s="11">
        <v>42153</v>
      </c>
      <c r="AN12" s="12">
        <v>42154</v>
      </c>
      <c r="AO12" s="10"/>
      <c r="AP12" s="12">
        <v>42183</v>
      </c>
      <c r="AQ12" s="11">
        <v>42184</v>
      </c>
      <c r="AR12" s="11">
        <v>42185</v>
      </c>
      <c r="AS12" s="10"/>
      <c r="AT12" s="10"/>
      <c r="AU12" s="10"/>
      <c r="AV12" s="10"/>
      <c r="AW12" s="1"/>
    </row>
    <row r="13" spans="1:49" x14ac:dyDescent="0.25">
      <c r="A13" s="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2">
        <v>42155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"/>
    </row>
    <row r="14" spans="1:49" ht="9" customHeight="1" thickBot="1" x14ac:dyDescent="0.3">
      <c r="A14" s="1"/>
      <c r="B14" s="6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4"/>
      <c r="P14" s="4"/>
      <c r="Q14" s="4"/>
      <c r="R14" s="6"/>
      <c r="S14" s="4"/>
      <c r="T14" s="4"/>
      <c r="U14" s="4"/>
      <c r="V14" s="4"/>
      <c r="W14" s="4"/>
      <c r="X14" s="4"/>
      <c r="Y14" s="4"/>
      <c r="Z14" s="6"/>
      <c r="AA14" s="4"/>
      <c r="AB14" s="4"/>
      <c r="AC14" s="4"/>
      <c r="AD14" s="4"/>
      <c r="AE14" s="4"/>
      <c r="AF14" s="4"/>
      <c r="AG14" s="4"/>
      <c r="AH14" s="6"/>
      <c r="AI14" s="4"/>
      <c r="AJ14" s="4"/>
      <c r="AK14" s="4"/>
      <c r="AL14" s="4"/>
      <c r="AM14" s="4"/>
      <c r="AN14" s="4"/>
      <c r="AO14" s="4"/>
      <c r="AP14" s="6"/>
      <c r="AQ14" s="4"/>
      <c r="AR14" s="4"/>
      <c r="AS14" s="4"/>
      <c r="AT14" s="4"/>
      <c r="AU14" s="4"/>
      <c r="AV14" s="4"/>
      <c r="AW14" s="1"/>
    </row>
    <row r="15" spans="1:49" ht="15.75" thickBot="1" x14ac:dyDescent="0.3">
      <c r="A15" s="1"/>
      <c r="B15" s="41" t="s">
        <v>17</v>
      </c>
      <c r="C15" s="42"/>
      <c r="D15" s="42"/>
      <c r="E15" s="42"/>
      <c r="F15" s="42"/>
      <c r="G15" s="42"/>
      <c r="H15" s="43"/>
      <c r="I15" s="1"/>
      <c r="J15" s="41" t="s">
        <v>18</v>
      </c>
      <c r="K15" s="42"/>
      <c r="L15" s="42"/>
      <c r="M15" s="42"/>
      <c r="N15" s="42"/>
      <c r="O15" s="42"/>
      <c r="P15" s="43"/>
      <c r="Q15" s="1"/>
      <c r="R15" s="41" t="s">
        <v>19</v>
      </c>
      <c r="S15" s="42"/>
      <c r="T15" s="42"/>
      <c r="U15" s="42"/>
      <c r="V15" s="42"/>
      <c r="W15" s="42"/>
      <c r="X15" s="43"/>
      <c r="Y15" s="1"/>
      <c r="Z15" s="41" t="s">
        <v>20</v>
      </c>
      <c r="AA15" s="42"/>
      <c r="AB15" s="42"/>
      <c r="AC15" s="42"/>
      <c r="AD15" s="42"/>
      <c r="AE15" s="42"/>
      <c r="AF15" s="43"/>
      <c r="AG15" s="1"/>
      <c r="AH15" s="41" t="s">
        <v>21</v>
      </c>
      <c r="AI15" s="42"/>
      <c r="AJ15" s="42"/>
      <c r="AK15" s="42"/>
      <c r="AL15" s="42"/>
      <c r="AM15" s="42"/>
      <c r="AN15" s="43"/>
      <c r="AO15" s="1"/>
      <c r="AP15" s="41" t="s">
        <v>22</v>
      </c>
      <c r="AQ15" s="42"/>
      <c r="AR15" s="42"/>
      <c r="AS15" s="42"/>
      <c r="AT15" s="42"/>
      <c r="AU15" s="42"/>
      <c r="AV15" s="43"/>
      <c r="AW15" s="1"/>
    </row>
    <row r="16" spans="1:49" ht="4.5" customHeight="1" x14ac:dyDescent="0.25">
      <c r="A16" s="1"/>
      <c r="B16" s="7"/>
      <c r="C16" s="7"/>
      <c r="D16" s="7"/>
      <c r="E16" s="7"/>
      <c r="F16" s="7"/>
      <c r="G16" s="7"/>
      <c r="H16" s="7"/>
      <c r="I16" s="1"/>
      <c r="J16" s="7"/>
      <c r="K16" s="7"/>
      <c r="L16" s="7"/>
      <c r="M16" s="7"/>
      <c r="N16" s="7"/>
      <c r="O16" s="7"/>
      <c r="P16" s="7"/>
      <c r="Q16" s="1"/>
      <c r="R16" s="7"/>
      <c r="S16" s="7"/>
      <c r="T16" s="7"/>
      <c r="U16" s="7"/>
      <c r="V16" s="7"/>
      <c r="W16" s="7"/>
      <c r="X16" s="7"/>
      <c r="Y16" s="1"/>
      <c r="Z16" s="7"/>
      <c r="AA16" s="7"/>
      <c r="AB16" s="7"/>
      <c r="AC16" s="7"/>
      <c r="AD16" s="7"/>
      <c r="AE16" s="7"/>
      <c r="AF16" s="7"/>
      <c r="AG16" s="1"/>
      <c r="AH16" s="7"/>
      <c r="AI16" s="7"/>
      <c r="AJ16" s="7"/>
      <c r="AK16" s="7"/>
      <c r="AL16" s="7"/>
      <c r="AM16" s="7"/>
      <c r="AN16" s="7"/>
      <c r="AO16" s="1"/>
      <c r="AP16" s="7"/>
      <c r="AQ16" s="7"/>
      <c r="AR16" s="7"/>
      <c r="AS16" s="7"/>
      <c r="AT16" s="7"/>
      <c r="AU16" s="7"/>
      <c r="AV16" s="7"/>
      <c r="AW16" s="1"/>
    </row>
    <row r="17" spans="1:49" x14ac:dyDescent="0.25">
      <c r="A17" s="1"/>
      <c r="B17" s="8" t="s">
        <v>13</v>
      </c>
      <c r="C17" s="9" t="s">
        <v>14</v>
      </c>
      <c r="D17" s="9" t="s">
        <v>15</v>
      </c>
      <c r="E17" s="9" t="s">
        <v>16</v>
      </c>
      <c r="F17" s="9" t="s">
        <v>16</v>
      </c>
      <c r="G17" s="9" t="s">
        <v>14</v>
      </c>
      <c r="H17" s="8" t="s">
        <v>14</v>
      </c>
      <c r="I17" s="1"/>
      <c r="J17" s="8" t="s">
        <v>13</v>
      </c>
      <c r="K17" s="9" t="s">
        <v>14</v>
      </c>
      <c r="L17" s="9" t="s">
        <v>15</v>
      </c>
      <c r="M17" s="9" t="s">
        <v>16</v>
      </c>
      <c r="N17" s="9" t="s">
        <v>16</v>
      </c>
      <c r="O17" s="9" t="s">
        <v>14</v>
      </c>
      <c r="P17" s="8" t="s">
        <v>14</v>
      </c>
      <c r="Q17" s="1"/>
      <c r="R17" s="8" t="s">
        <v>13</v>
      </c>
      <c r="S17" s="9" t="s">
        <v>14</v>
      </c>
      <c r="T17" s="9" t="s">
        <v>15</v>
      </c>
      <c r="U17" s="9" t="s">
        <v>16</v>
      </c>
      <c r="V17" s="9" t="s">
        <v>16</v>
      </c>
      <c r="W17" s="9" t="s">
        <v>14</v>
      </c>
      <c r="X17" s="8" t="s">
        <v>14</v>
      </c>
      <c r="Y17" s="1"/>
      <c r="Z17" s="8" t="s">
        <v>13</v>
      </c>
      <c r="AA17" s="9" t="s">
        <v>14</v>
      </c>
      <c r="AB17" s="9" t="s">
        <v>15</v>
      </c>
      <c r="AC17" s="9" t="s">
        <v>16</v>
      </c>
      <c r="AD17" s="9" t="s">
        <v>16</v>
      </c>
      <c r="AE17" s="9" t="s">
        <v>14</v>
      </c>
      <c r="AF17" s="8" t="s">
        <v>14</v>
      </c>
      <c r="AG17" s="1"/>
      <c r="AH17" s="8" t="s">
        <v>13</v>
      </c>
      <c r="AI17" s="9" t="s">
        <v>14</v>
      </c>
      <c r="AJ17" s="9" t="s">
        <v>15</v>
      </c>
      <c r="AK17" s="9" t="s">
        <v>16</v>
      </c>
      <c r="AL17" s="9" t="s">
        <v>16</v>
      </c>
      <c r="AM17" s="9" t="s">
        <v>14</v>
      </c>
      <c r="AN17" s="8" t="s">
        <v>14</v>
      </c>
      <c r="AO17" s="1"/>
      <c r="AP17" s="8" t="s">
        <v>13</v>
      </c>
      <c r="AQ17" s="9" t="s">
        <v>14</v>
      </c>
      <c r="AR17" s="9" t="s">
        <v>15</v>
      </c>
      <c r="AS17" s="9" t="s">
        <v>16</v>
      </c>
      <c r="AT17" s="9" t="s">
        <v>16</v>
      </c>
      <c r="AU17" s="9" t="s">
        <v>14</v>
      </c>
      <c r="AV17" s="8" t="s">
        <v>14</v>
      </c>
      <c r="AW17" s="1"/>
    </row>
    <row r="18" spans="1:49" x14ac:dyDescent="0.25">
      <c r="A18" s="1"/>
      <c r="B18" s="10"/>
      <c r="C18" s="10"/>
      <c r="D18" s="10"/>
      <c r="E18" s="11">
        <v>42186</v>
      </c>
      <c r="F18" s="11">
        <v>42187</v>
      </c>
      <c r="G18" s="11">
        <v>42188</v>
      </c>
      <c r="H18" s="12">
        <v>42189</v>
      </c>
      <c r="I18" s="10"/>
      <c r="J18" s="10"/>
      <c r="K18" s="10"/>
      <c r="L18" s="10"/>
      <c r="M18" s="10"/>
      <c r="N18" s="10"/>
      <c r="O18" s="10"/>
      <c r="P18" s="12">
        <v>42217</v>
      </c>
      <c r="Q18" s="10"/>
      <c r="R18" s="10"/>
      <c r="S18" s="10"/>
      <c r="T18" s="11">
        <v>42248</v>
      </c>
      <c r="U18" s="11">
        <v>42249</v>
      </c>
      <c r="V18" s="11">
        <v>42250</v>
      </c>
      <c r="W18" s="11">
        <v>42251</v>
      </c>
      <c r="X18" s="12">
        <v>42252</v>
      </c>
      <c r="Y18" s="10"/>
      <c r="Z18" s="10"/>
      <c r="AA18" s="10"/>
      <c r="AB18" s="10"/>
      <c r="AC18" s="10"/>
      <c r="AD18" s="11">
        <v>42278</v>
      </c>
      <c r="AE18" s="11">
        <v>42279</v>
      </c>
      <c r="AF18" s="12">
        <v>42280</v>
      </c>
      <c r="AG18" s="10"/>
      <c r="AH18" s="12">
        <v>42309</v>
      </c>
      <c r="AI18" s="13">
        <v>42310</v>
      </c>
      <c r="AJ18" s="11">
        <v>42311</v>
      </c>
      <c r="AK18" s="11">
        <v>42312</v>
      </c>
      <c r="AL18" s="11">
        <v>42313</v>
      </c>
      <c r="AM18" s="11">
        <v>42314</v>
      </c>
      <c r="AN18" s="12">
        <v>42315</v>
      </c>
      <c r="AO18" s="10"/>
      <c r="AP18" s="10"/>
      <c r="AQ18" s="10"/>
      <c r="AR18" s="11">
        <v>42339</v>
      </c>
      <c r="AS18" s="11">
        <v>42340</v>
      </c>
      <c r="AT18" s="11">
        <v>42341</v>
      </c>
      <c r="AU18" s="11">
        <v>42342</v>
      </c>
      <c r="AV18" s="12">
        <v>42343</v>
      </c>
      <c r="AW18" s="1"/>
    </row>
    <row r="19" spans="1:49" x14ac:dyDescent="0.25">
      <c r="A19" s="1"/>
      <c r="B19" s="12">
        <v>42190</v>
      </c>
      <c r="C19" s="11">
        <v>42191</v>
      </c>
      <c r="D19" s="11">
        <v>42192</v>
      </c>
      <c r="E19" s="11">
        <v>42193</v>
      </c>
      <c r="F19" s="11">
        <v>42194</v>
      </c>
      <c r="G19" s="11">
        <v>42195</v>
      </c>
      <c r="H19" s="12">
        <v>42196</v>
      </c>
      <c r="I19" s="10"/>
      <c r="J19" s="12">
        <v>42218</v>
      </c>
      <c r="K19" s="11">
        <v>42219</v>
      </c>
      <c r="L19" s="11">
        <v>42220</v>
      </c>
      <c r="M19" s="11">
        <v>42221</v>
      </c>
      <c r="N19" s="11">
        <v>42222</v>
      </c>
      <c r="O19" s="11">
        <v>42223</v>
      </c>
      <c r="P19" s="12">
        <v>42224</v>
      </c>
      <c r="Q19" s="10"/>
      <c r="R19" s="12">
        <v>42253</v>
      </c>
      <c r="S19" s="13">
        <v>42254</v>
      </c>
      <c r="T19" s="11">
        <v>42255</v>
      </c>
      <c r="U19" s="11">
        <v>42256</v>
      </c>
      <c r="V19" s="11">
        <v>42257</v>
      </c>
      <c r="W19" s="11">
        <v>42258</v>
      </c>
      <c r="X19" s="12">
        <v>42259</v>
      </c>
      <c r="Y19" s="10"/>
      <c r="Z19" s="12">
        <v>42281</v>
      </c>
      <c r="AA19" s="11">
        <v>42282</v>
      </c>
      <c r="AB19" s="11">
        <v>42283</v>
      </c>
      <c r="AC19" s="11">
        <v>42284</v>
      </c>
      <c r="AD19" s="11">
        <v>42285</v>
      </c>
      <c r="AE19" s="11">
        <v>42286</v>
      </c>
      <c r="AF19" s="12">
        <v>42287</v>
      </c>
      <c r="AG19" s="10"/>
      <c r="AH19" s="12">
        <v>42316</v>
      </c>
      <c r="AI19" s="11">
        <v>42317</v>
      </c>
      <c r="AJ19" s="11">
        <v>42318</v>
      </c>
      <c r="AK19" s="11">
        <v>42319</v>
      </c>
      <c r="AL19" s="11">
        <v>42320</v>
      </c>
      <c r="AM19" s="11">
        <v>42321</v>
      </c>
      <c r="AN19" s="12">
        <v>42322</v>
      </c>
      <c r="AO19" s="10"/>
      <c r="AP19" s="12">
        <v>42344</v>
      </c>
      <c r="AQ19" s="11">
        <v>42345</v>
      </c>
      <c r="AR19" s="11">
        <v>42346</v>
      </c>
      <c r="AS19" s="11">
        <v>42347</v>
      </c>
      <c r="AT19" s="11">
        <v>42348</v>
      </c>
      <c r="AU19" s="11">
        <v>42349</v>
      </c>
      <c r="AV19" s="12">
        <v>42350</v>
      </c>
      <c r="AW19" s="1"/>
    </row>
    <row r="20" spans="1:49" x14ac:dyDescent="0.25">
      <c r="A20" s="1"/>
      <c r="B20" s="12">
        <v>42197</v>
      </c>
      <c r="C20" s="11">
        <v>42198</v>
      </c>
      <c r="D20" s="11">
        <v>42199</v>
      </c>
      <c r="E20" s="11">
        <v>42200</v>
      </c>
      <c r="F20" s="11">
        <v>42201</v>
      </c>
      <c r="G20" s="11">
        <v>42202</v>
      </c>
      <c r="H20" s="12">
        <v>42203</v>
      </c>
      <c r="I20" s="10"/>
      <c r="J20" s="12">
        <v>42225</v>
      </c>
      <c r="K20" s="11">
        <v>42226</v>
      </c>
      <c r="L20" s="11">
        <v>42227</v>
      </c>
      <c r="M20" s="11">
        <v>42228</v>
      </c>
      <c r="N20" s="11">
        <v>42229</v>
      </c>
      <c r="O20" s="11">
        <v>42230</v>
      </c>
      <c r="P20" s="12">
        <v>42231</v>
      </c>
      <c r="Q20" s="10"/>
      <c r="R20" s="12">
        <v>42260</v>
      </c>
      <c r="S20" s="11">
        <v>42261</v>
      </c>
      <c r="T20" s="11">
        <v>42262</v>
      </c>
      <c r="U20" s="11">
        <v>42263</v>
      </c>
      <c r="V20" s="11">
        <v>42264</v>
      </c>
      <c r="W20" s="11">
        <v>42265</v>
      </c>
      <c r="X20" s="12">
        <v>42266</v>
      </c>
      <c r="Y20" s="10"/>
      <c r="Z20" s="12">
        <v>42288</v>
      </c>
      <c r="AA20" s="13">
        <v>42289</v>
      </c>
      <c r="AB20" s="11">
        <v>42290</v>
      </c>
      <c r="AC20" s="11">
        <v>42291</v>
      </c>
      <c r="AD20" s="11">
        <v>42292</v>
      </c>
      <c r="AE20" s="11">
        <v>42293</v>
      </c>
      <c r="AF20" s="12">
        <v>42294</v>
      </c>
      <c r="AG20" s="10"/>
      <c r="AH20" s="13">
        <v>42323</v>
      </c>
      <c r="AI20" s="11">
        <v>42324</v>
      </c>
      <c r="AJ20" s="11">
        <v>42325</v>
      </c>
      <c r="AK20" s="11">
        <v>42326</v>
      </c>
      <c r="AL20" s="11">
        <v>42327</v>
      </c>
      <c r="AM20" s="15">
        <v>42328</v>
      </c>
      <c r="AN20" s="12">
        <v>42329</v>
      </c>
      <c r="AO20" s="10"/>
      <c r="AP20" s="12">
        <v>42351</v>
      </c>
      <c r="AQ20" s="11">
        <v>42352</v>
      </c>
      <c r="AR20" s="11">
        <v>42353</v>
      </c>
      <c r="AS20" s="11">
        <v>42354</v>
      </c>
      <c r="AT20" s="11">
        <v>42355</v>
      </c>
      <c r="AU20" s="11">
        <v>42356</v>
      </c>
      <c r="AV20" s="12">
        <v>42357</v>
      </c>
      <c r="AW20" s="1"/>
    </row>
    <row r="21" spans="1:49" x14ac:dyDescent="0.25">
      <c r="A21" s="1"/>
      <c r="B21" s="12">
        <v>42204</v>
      </c>
      <c r="C21" s="11">
        <v>42205</v>
      </c>
      <c r="D21" s="11">
        <v>42206</v>
      </c>
      <c r="E21" s="11">
        <v>42207</v>
      </c>
      <c r="F21" s="11">
        <v>42208</v>
      </c>
      <c r="G21" s="11">
        <v>42209</v>
      </c>
      <c r="H21" s="12">
        <v>42210</v>
      </c>
      <c r="I21" s="10"/>
      <c r="J21" s="12">
        <v>42232</v>
      </c>
      <c r="K21" s="11">
        <v>42233</v>
      </c>
      <c r="L21" s="11">
        <v>42234</v>
      </c>
      <c r="M21" s="11">
        <v>42235</v>
      </c>
      <c r="N21" s="11">
        <v>42236</v>
      </c>
      <c r="O21" s="11">
        <v>42237</v>
      </c>
      <c r="P21" s="12">
        <v>42238</v>
      </c>
      <c r="Q21" s="10"/>
      <c r="R21" s="12">
        <v>42267</v>
      </c>
      <c r="S21" s="11">
        <v>42268</v>
      </c>
      <c r="T21" s="11">
        <v>42269</v>
      </c>
      <c r="U21" s="11">
        <v>42270</v>
      </c>
      <c r="V21" s="11">
        <v>42271</v>
      </c>
      <c r="W21" s="11">
        <v>42272</v>
      </c>
      <c r="X21" s="12">
        <v>42273</v>
      </c>
      <c r="Y21" s="10"/>
      <c r="Z21" s="12">
        <v>42295</v>
      </c>
      <c r="AA21" s="11">
        <v>42296</v>
      </c>
      <c r="AB21" s="11">
        <v>42297</v>
      </c>
      <c r="AC21" s="11">
        <v>42298</v>
      </c>
      <c r="AD21" s="11">
        <v>42299</v>
      </c>
      <c r="AE21" s="11">
        <v>42300</v>
      </c>
      <c r="AF21" s="12">
        <v>42301</v>
      </c>
      <c r="AG21" s="10"/>
      <c r="AH21" s="12">
        <v>42330</v>
      </c>
      <c r="AI21" s="11">
        <v>42331</v>
      </c>
      <c r="AJ21" s="11">
        <v>42332</v>
      </c>
      <c r="AK21" s="11">
        <v>42333</v>
      </c>
      <c r="AL21" s="11">
        <v>42334</v>
      </c>
      <c r="AM21" s="11">
        <v>42335</v>
      </c>
      <c r="AN21" s="12">
        <v>42336</v>
      </c>
      <c r="AO21" s="10"/>
      <c r="AP21" s="12">
        <v>42358</v>
      </c>
      <c r="AQ21" s="11">
        <v>42359</v>
      </c>
      <c r="AR21" s="11">
        <v>42360</v>
      </c>
      <c r="AS21" s="11">
        <v>42361</v>
      </c>
      <c r="AT21" s="11">
        <v>42362</v>
      </c>
      <c r="AU21" s="13">
        <v>42363</v>
      </c>
      <c r="AV21" s="12">
        <v>42364</v>
      </c>
      <c r="AW21" s="1"/>
    </row>
    <row r="22" spans="1:49" x14ac:dyDescent="0.25">
      <c r="A22" s="1"/>
      <c r="B22" s="12">
        <v>42211</v>
      </c>
      <c r="C22" s="11">
        <v>42212</v>
      </c>
      <c r="D22" s="11">
        <v>42213</v>
      </c>
      <c r="E22" s="11">
        <v>42214</v>
      </c>
      <c r="F22" s="11">
        <v>42215</v>
      </c>
      <c r="G22" s="11">
        <v>42216</v>
      </c>
      <c r="H22" s="10"/>
      <c r="I22" s="10"/>
      <c r="J22" s="12">
        <v>42239</v>
      </c>
      <c r="K22" s="11">
        <v>42240</v>
      </c>
      <c r="L22" s="11">
        <v>42241</v>
      </c>
      <c r="M22" s="11">
        <v>42242</v>
      </c>
      <c r="N22" s="11">
        <v>42243</v>
      </c>
      <c r="O22" s="11">
        <v>42244</v>
      </c>
      <c r="P22" s="12">
        <v>42245</v>
      </c>
      <c r="Q22" s="10"/>
      <c r="R22" s="12">
        <v>42274</v>
      </c>
      <c r="S22" s="11">
        <v>42275</v>
      </c>
      <c r="T22" s="11">
        <v>42276</v>
      </c>
      <c r="U22" s="11">
        <v>42277</v>
      </c>
      <c r="V22" s="10"/>
      <c r="W22" s="10"/>
      <c r="X22" s="10"/>
      <c r="Y22" s="10"/>
      <c r="Z22" s="12">
        <v>42302</v>
      </c>
      <c r="AA22" s="11">
        <v>42303</v>
      </c>
      <c r="AB22" s="11">
        <v>42304</v>
      </c>
      <c r="AC22" s="11">
        <v>42305</v>
      </c>
      <c r="AD22" s="11">
        <v>42306</v>
      </c>
      <c r="AE22" s="11">
        <v>42307</v>
      </c>
      <c r="AF22" s="12">
        <v>42308</v>
      </c>
      <c r="AG22" s="10"/>
      <c r="AH22" s="12">
        <v>42337</v>
      </c>
      <c r="AI22" s="11">
        <v>42338</v>
      </c>
      <c r="AJ22" s="10"/>
      <c r="AK22" s="10"/>
      <c r="AL22" s="10"/>
      <c r="AM22" s="10"/>
      <c r="AN22" s="10"/>
      <c r="AO22" s="10"/>
      <c r="AP22" s="12">
        <v>42365</v>
      </c>
      <c r="AQ22" s="11">
        <v>42366</v>
      </c>
      <c r="AR22" s="11">
        <v>42367</v>
      </c>
      <c r="AS22" s="11">
        <v>42368</v>
      </c>
      <c r="AT22" s="11">
        <v>42369</v>
      </c>
      <c r="AU22" s="10"/>
      <c r="AV22" s="10"/>
      <c r="AW22" s="1"/>
    </row>
    <row r="23" spans="1:49" x14ac:dyDescent="0.25">
      <c r="A23" s="1"/>
      <c r="B23" s="10"/>
      <c r="C23" s="10"/>
      <c r="D23" s="10"/>
      <c r="E23" s="10"/>
      <c r="F23" s="10"/>
      <c r="G23" s="10"/>
      <c r="H23" s="10"/>
      <c r="I23" s="10"/>
      <c r="J23" s="12">
        <v>42246</v>
      </c>
      <c r="K23" s="11">
        <v>42247</v>
      </c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"/>
    </row>
    <row r="24" spans="1:4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</sheetData>
  <mergeCells count="14">
    <mergeCell ref="Z5:AF5"/>
    <mergeCell ref="AH5:AN5"/>
    <mergeCell ref="AP5:AV5"/>
    <mergeCell ref="B15:H15"/>
    <mergeCell ref="J15:P15"/>
    <mergeCell ref="R15:X15"/>
    <mergeCell ref="Z15:AF15"/>
    <mergeCell ref="AH15:AN15"/>
    <mergeCell ref="AP15:AV15"/>
    <mergeCell ref="B2:C3"/>
    <mergeCell ref="D2:I3"/>
    <mergeCell ref="B5:H5"/>
    <mergeCell ref="J5:P5"/>
    <mergeCell ref="R5:X5"/>
  </mergeCells>
  <dataValidations count="2">
    <dataValidation type="whole" allowBlank="1" showInputMessage="1" showErrorMessage="1" errorTitle="Erro no preenchimento!" error="Por favor insira uma data entre 1582 e 2299" sqref="D2:I3">
      <formula1>1582</formula1>
      <formula2>2299</formula2>
    </dataValidation>
    <dataValidation allowBlank="1" showInputMessage="1" showErrorMessage="1" errorTitle="Erro no preenchimento!" error="Por favor, insira um ano entre 1582 e 2299" sqref="D4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"/>
  <sheetViews>
    <sheetView zoomScaleNormal="100" workbookViewId="0">
      <selection activeCell="B2" sqref="B2:E2"/>
    </sheetView>
  </sheetViews>
  <sheetFormatPr defaultColWidth="0" defaultRowHeight="14.25" zeroHeight="1" x14ac:dyDescent="0.2"/>
  <cols>
    <col min="1" max="1" width="2.85546875" style="19" customWidth="1"/>
    <col min="2" max="3" width="6.7109375" style="25" customWidth="1"/>
    <col min="4" max="4" width="9.140625" style="25" customWidth="1"/>
    <col min="5" max="5" width="52.7109375" style="19" customWidth="1"/>
    <col min="6" max="6" width="2.85546875" style="19" customWidth="1"/>
    <col min="7" max="16384" width="9.140625" style="19" hidden="1"/>
  </cols>
  <sheetData>
    <row r="1" spans="1:5" x14ac:dyDescent="0.2">
      <c r="A1" s="16"/>
      <c r="B1" s="17"/>
      <c r="C1" s="17"/>
      <c r="D1" s="18"/>
      <c r="E1" s="16"/>
    </row>
    <row r="2" spans="1:5" ht="23.25" x14ac:dyDescent="0.2">
      <c r="A2" s="16"/>
      <c r="B2" s="44" t="s">
        <v>0</v>
      </c>
      <c r="C2" s="44"/>
      <c r="D2" s="44"/>
      <c r="E2" s="44"/>
    </row>
    <row r="3" spans="1:5" x14ac:dyDescent="0.2">
      <c r="A3" s="16"/>
      <c r="B3" s="26" t="s">
        <v>1</v>
      </c>
      <c r="C3" s="26" t="s">
        <v>2</v>
      </c>
      <c r="D3" s="26" t="s">
        <v>3</v>
      </c>
      <c r="E3" s="27" t="s">
        <v>4</v>
      </c>
    </row>
    <row r="4" spans="1:5" x14ac:dyDescent="0.2">
      <c r="A4" s="16"/>
      <c r="B4" s="21">
        <v>1</v>
      </c>
      <c r="C4" s="21">
        <v>1</v>
      </c>
      <c r="D4" s="22">
        <f t="shared" ref="D4:D10" si="0">DATE(Year,C4,B4)</f>
        <v>42005</v>
      </c>
      <c r="E4" s="20" t="s">
        <v>23</v>
      </c>
    </row>
    <row r="5" spans="1:5" x14ac:dyDescent="0.2">
      <c r="A5" s="16"/>
      <c r="B5" s="21">
        <v>21</v>
      </c>
      <c r="C5" s="21">
        <v>4</v>
      </c>
      <c r="D5" s="22">
        <f t="shared" si="0"/>
        <v>42115</v>
      </c>
      <c r="E5" s="20" t="s">
        <v>24</v>
      </c>
    </row>
    <row r="6" spans="1:5" x14ac:dyDescent="0.2">
      <c r="A6" s="16"/>
      <c r="B6" s="21">
        <v>1</v>
      </c>
      <c r="C6" s="21">
        <v>5</v>
      </c>
      <c r="D6" s="22">
        <f t="shared" si="0"/>
        <v>42125</v>
      </c>
      <c r="E6" s="20" t="s">
        <v>25</v>
      </c>
    </row>
    <row r="7" spans="1:5" x14ac:dyDescent="0.2">
      <c r="A7" s="16"/>
      <c r="B7" s="23">
        <v>7</v>
      </c>
      <c r="C7" s="23">
        <v>9</v>
      </c>
      <c r="D7" s="22">
        <f t="shared" si="0"/>
        <v>42254</v>
      </c>
      <c r="E7" s="20" t="s">
        <v>26</v>
      </c>
    </row>
    <row r="8" spans="1:5" x14ac:dyDescent="0.2">
      <c r="A8" s="16"/>
      <c r="B8" s="23">
        <v>12</v>
      </c>
      <c r="C8" s="23">
        <v>10</v>
      </c>
      <c r="D8" s="22">
        <f t="shared" si="0"/>
        <v>42289</v>
      </c>
      <c r="E8" s="20" t="s">
        <v>27</v>
      </c>
    </row>
    <row r="9" spans="1:5" x14ac:dyDescent="0.2">
      <c r="A9" s="16"/>
      <c r="B9" s="23">
        <v>2</v>
      </c>
      <c r="C9" s="23">
        <v>11</v>
      </c>
      <c r="D9" s="22">
        <f t="shared" si="0"/>
        <v>42310</v>
      </c>
      <c r="E9" s="20" t="s">
        <v>28</v>
      </c>
    </row>
    <row r="10" spans="1:5" x14ac:dyDescent="0.2">
      <c r="A10" s="16"/>
      <c r="B10" s="23">
        <v>15</v>
      </c>
      <c r="C10" s="23">
        <v>11</v>
      </c>
      <c r="D10" s="22">
        <f t="shared" si="0"/>
        <v>42323</v>
      </c>
      <c r="E10" s="20" t="s">
        <v>29</v>
      </c>
    </row>
    <row r="11" spans="1:5" x14ac:dyDescent="0.2">
      <c r="A11" s="16"/>
      <c r="B11" s="21">
        <v>25</v>
      </c>
      <c r="C11" s="21">
        <v>12</v>
      </c>
      <c r="D11" s="22">
        <f t="shared" ref="D11" si="1">DATE(Year,C11,B11)</f>
        <v>42363</v>
      </c>
      <c r="E11" s="20" t="s">
        <v>30</v>
      </c>
    </row>
    <row r="12" spans="1:5" x14ac:dyDescent="0.2">
      <c r="A12" s="16"/>
      <c r="B12" s="21"/>
      <c r="C12" s="21"/>
      <c r="D12" s="22"/>
      <c r="E12" s="20"/>
    </row>
    <row r="13" spans="1:5" x14ac:dyDescent="0.2">
      <c r="A13" s="16"/>
      <c r="B13" s="21"/>
      <c r="C13" s="21"/>
      <c r="D13" s="22"/>
      <c r="E13" s="20"/>
    </row>
    <row r="14" spans="1:5" x14ac:dyDescent="0.2">
      <c r="A14" s="16"/>
      <c r="B14" s="21"/>
      <c r="C14" s="21"/>
      <c r="D14" s="22"/>
      <c r="E14" s="20"/>
    </row>
    <row r="15" spans="1:5" x14ac:dyDescent="0.2">
      <c r="A15" s="16"/>
      <c r="B15" s="21"/>
      <c r="C15" s="21"/>
      <c r="D15" s="22"/>
      <c r="E15" s="20"/>
    </row>
    <row r="16" spans="1:5" x14ac:dyDescent="0.2">
      <c r="A16" s="16"/>
      <c r="B16" s="21"/>
      <c r="C16" s="21"/>
      <c r="D16" s="22"/>
      <c r="E16" s="20"/>
    </row>
    <row r="17" spans="1:5" x14ac:dyDescent="0.2">
      <c r="A17" s="16"/>
      <c r="B17" s="21"/>
      <c r="C17" s="21"/>
      <c r="D17" s="22"/>
      <c r="E17" s="20"/>
    </row>
    <row r="18" spans="1:5" x14ac:dyDescent="0.2">
      <c r="A18" s="16"/>
      <c r="B18" s="21"/>
      <c r="C18" s="21"/>
      <c r="D18" s="22"/>
      <c r="E18" s="20"/>
    </row>
    <row r="19" spans="1:5" x14ac:dyDescent="0.2">
      <c r="A19" s="16"/>
      <c r="B19" s="21"/>
      <c r="C19" s="21"/>
      <c r="D19" s="22"/>
      <c r="E19" s="20"/>
    </row>
    <row r="20" spans="1:5" x14ac:dyDescent="0.2">
      <c r="A20" s="16"/>
      <c r="B20" s="21"/>
      <c r="C20" s="21"/>
      <c r="D20" s="22"/>
      <c r="E20" s="20"/>
    </row>
    <row r="21" spans="1:5" x14ac:dyDescent="0.2">
      <c r="A21" s="16"/>
      <c r="B21" s="21"/>
      <c r="C21" s="21"/>
      <c r="D21" s="22"/>
      <c r="E21" s="20"/>
    </row>
    <row r="22" spans="1:5" x14ac:dyDescent="0.2">
      <c r="A22" s="16"/>
      <c r="B22" s="21"/>
      <c r="C22" s="21"/>
      <c r="D22" s="22"/>
      <c r="E22" s="20"/>
    </row>
    <row r="23" spans="1:5" x14ac:dyDescent="0.2">
      <c r="A23" s="16"/>
      <c r="B23" s="21"/>
      <c r="C23" s="21"/>
      <c r="D23" s="22"/>
      <c r="E23" s="20"/>
    </row>
    <row r="24" spans="1:5" x14ac:dyDescent="0.2">
      <c r="A24" s="16"/>
      <c r="B24" s="21"/>
      <c r="C24" s="21"/>
      <c r="D24" s="22"/>
      <c r="E24" s="20"/>
    </row>
    <row r="25" spans="1:5" x14ac:dyDescent="0.2">
      <c r="A25" s="16"/>
      <c r="B25" s="21"/>
      <c r="C25" s="21"/>
      <c r="D25" s="22"/>
      <c r="E25" s="20"/>
    </row>
    <row r="26" spans="1:5" x14ac:dyDescent="0.2">
      <c r="A26" s="16"/>
      <c r="B26" s="21"/>
      <c r="C26" s="21"/>
      <c r="D26" s="22"/>
      <c r="E26" s="20"/>
    </row>
    <row r="27" spans="1:5" x14ac:dyDescent="0.2">
      <c r="A27" s="16"/>
      <c r="B27" s="21"/>
      <c r="C27" s="21"/>
      <c r="D27" s="22"/>
      <c r="E27" s="20"/>
    </row>
    <row r="28" spans="1:5" x14ac:dyDescent="0.2">
      <c r="A28" s="16"/>
      <c r="B28" s="21"/>
      <c r="C28" s="21"/>
      <c r="D28" s="22"/>
      <c r="E28" s="20"/>
    </row>
    <row r="29" spans="1:5" x14ac:dyDescent="0.2">
      <c r="A29" s="16"/>
      <c r="B29" s="21"/>
      <c r="C29" s="21"/>
      <c r="D29" s="22"/>
      <c r="E29" s="20"/>
    </row>
    <row r="30" spans="1:5" x14ac:dyDescent="0.2">
      <c r="A30" s="16"/>
      <c r="B30" s="17"/>
      <c r="C30" s="17"/>
      <c r="D30" s="18"/>
      <c r="E30" s="24"/>
    </row>
    <row r="31" spans="1:5" ht="23.25" x14ac:dyDescent="0.2">
      <c r="A31" s="16"/>
      <c r="B31" s="44" t="s">
        <v>5</v>
      </c>
      <c r="C31" s="44"/>
      <c r="D31" s="44"/>
      <c r="E31" s="44"/>
    </row>
    <row r="32" spans="1:5" x14ac:dyDescent="0.2">
      <c r="A32" s="16"/>
      <c r="B32" s="26" t="s">
        <v>1</v>
      </c>
      <c r="C32" s="26" t="s">
        <v>2</v>
      </c>
      <c r="D32" s="26" t="s">
        <v>3</v>
      </c>
      <c r="E32" s="27" t="s">
        <v>4</v>
      </c>
    </row>
    <row r="33" spans="1:5" x14ac:dyDescent="0.2">
      <c r="A33" s="16"/>
      <c r="B33" s="21">
        <f>IF(C33=3,DAY(D35-47),IF(GetLastMonthDay(2,Year)=29,DAY(D35-47),DAY(D35-48)))</f>
        <v>16</v>
      </c>
      <c r="C33" s="21">
        <f>IF(GetLastMonthDay(2,Year)=29,MONTH(D35-47),MONTH(D35-48))</f>
        <v>2</v>
      </c>
      <c r="D33" s="22">
        <f>DATE(Year,C33,B33)</f>
        <v>42051</v>
      </c>
      <c r="E33" s="20" t="s">
        <v>31</v>
      </c>
    </row>
    <row r="34" spans="1:5" x14ac:dyDescent="0.2">
      <c r="A34" s="16"/>
      <c r="B34" s="21">
        <f>DAY(D35-2)</f>
        <v>3</v>
      </c>
      <c r="C34" s="21">
        <f>MONTH(D35-2)</f>
        <v>4</v>
      </c>
      <c r="D34" s="22">
        <f>DATE(Year,C34,B34)</f>
        <v>42097</v>
      </c>
      <c r="E34" s="20" t="s">
        <v>32</v>
      </c>
    </row>
    <row r="35" spans="1:5" x14ac:dyDescent="0.2">
      <c r="A35" s="16"/>
      <c r="B35" s="21">
        <f>DPASCOA(Year)</f>
        <v>5</v>
      </c>
      <c r="C35" s="21">
        <f>mpascoa(Year)</f>
        <v>4</v>
      </c>
      <c r="D35" s="22">
        <f>DATE(Year,C35,B35)</f>
        <v>42099</v>
      </c>
      <c r="E35" s="20" t="s">
        <v>33</v>
      </c>
    </row>
    <row r="36" spans="1:5" x14ac:dyDescent="0.2">
      <c r="A36" s="16"/>
      <c r="B36" s="23">
        <f>DAY(D35+60)</f>
        <v>4</v>
      </c>
      <c r="C36" s="23">
        <f>MONTH(D35+60)</f>
        <v>6</v>
      </c>
      <c r="D36" s="22">
        <f>DATE(Year,C36,B36)</f>
        <v>42159</v>
      </c>
      <c r="E36" s="20" t="s">
        <v>34</v>
      </c>
    </row>
    <row r="37" spans="1:5" x14ac:dyDescent="0.2"/>
  </sheetData>
  <mergeCells count="2">
    <mergeCell ref="B2:E2"/>
    <mergeCell ref="B31:E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2"/>
  <sheetViews>
    <sheetView workbookViewId="0">
      <pane ySplit="1" topLeftCell="A2" activePane="bottomLeft" state="frozen"/>
      <selection pane="bottomLeft" activeCell="E6" sqref="E6"/>
    </sheetView>
  </sheetViews>
  <sheetFormatPr defaultColWidth="0" defaultRowHeight="15" x14ac:dyDescent="0.25"/>
  <cols>
    <col min="1" max="1" width="19.28515625" bestFit="1" customWidth="1"/>
    <col min="2" max="2" width="5.5703125" bestFit="1" customWidth="1"/>
    <col min="3" max="3" width="6" bestFit="1" customWidth="1"/>
    <col min="4" max="4" width="7" bestFit="1" customWidth="1"/>
    <col min="5" max="5" width="10.7109375" bestFit="1" customWidth="1"/>
    <col min="6" max="6" width="84.28515625" customWidth="1"/>
    <col min="7" max="16384" width="9.140625" hidden="1"/>
  </cols>
  <sheetData>
    <row r="1" spans="1:6" x14ac:dyDescent="0.25">
      <c r="A1" s="28" t="s">
        <v>91</v>
      </c>
      <c r="B1" s="28" t="s">
        <v>93</v>
      </c>
      <c r="C1" s="28" t="s">
        <v>1</v>
      </c>
      <c r="D1" s="28" t="s">
        <v>2</v>
      </c>
      <c r="E1" s="28" t="s">
        <v>3</v>
      </c>
      <c r="F1" s="28" t="s">
        <v>35</v>
      </c>
    </row>
    <row r="2" spans="1:6" x14ac:dyDescent="0.25">
      <c r="A2" t="s">
        <v>67</v>
      </c>
      <c r="B2" t="s">
        <v>95</v>
      </c>
      <c r="C2">
        <v>23</v>
      </c>
      <c r="D2">
        <v>1</v>
      </c>
      <c r="E2" s="14">
        <f t="shared" ref="E2:E42" si="0">DATE(Year,D2,C2)</f>
        <v>42027</v>
      </c>
      <c r="F2" t="s">
        <v>36</v>
      </c>
    </row>
    <row r="3" spans="1:6" x14ac:dyDescent="0.25">
      <c r="A3" t="s">
        <v>67</v>
      </c>
      <c r="B3" t="s">
        <v>95</v>
      </c>
      <c r="C3">
        <v>8</v>
      </c>
      <c r="D3">
        <v>3</v>
      </c>
      <c r="E3" s="14">
        <f t="shared" si="0"/>
        <v>42071</v>
      </c>
      <c r="F3" t="s">
        <v>37</v>
      </c>
    </row>
    <row r="4" spans="1:6" x14ac:dyDescent="0.25">
      <c r="A4" t="s">
        <v>67</v>
      </c>
      <c r="B4" t="s">
        <v>95</v>
      </c>
      <c r="C4">
        <v>15</v>
      </c>
      <c r="D4">
        <v>6</v>
      </c>
      <c r="E4" s="14">
        <f t="shared" si="0"/>
        <v>42170</v>
      </c>
      <c r="F4" t="s">
        <v>38</v>
      </c>
    </row>
    <row r="5" spans="1:6" x14ac:dyDescent="0.25">
      <c r="A5" t="s">
        <v>67</v>
      </c>
      <c r="B5" t="s">
        <v>95</v>
      </c>
      <c r="C5">
        <v>5</v>
      </c>
      <c r="D5">
        <v>9</v>
      </c>
      <c r="E5" s="14">
        <f t="shared" si="0"/>
        <v>42252</v>
      </c>
      <c r="F5" t="s">
        <v>39</v>
      </c>
    </row>
    <row r="6" spans="1:6" x14ac:dyDescent="0.25">
      <c r="A6" t="s">
        <v>67</v>
      </c>
      <c r="B6" t="s">
        <v>95</v>
      </c>
      <c r="C6">
        <v>17</v>
      </c>
      <c r="D6">
        <v>11</v>
      </c>
      <c r="E6" s="14">
        <f t="shared" si="0"/>
        <v>42325</v>
      </c>
      <c r="F6" t="s">
        <v>40</v>
      </c>
    </row>
    <row r="7" spans="1:6" x14ac:dyDescent="0.25">
      <c r="A7" t="s">
        <v>68</v>
      </c>
      <c r="B7" t="s">
        <v>96</v>
      </c>
      <c r="C7">
        <v>24</v>
      </c>
      <c r="D7">
        <v>6</v>
      </c>
      <c r="E7" s="14">
        <f t="shared" si="0"/>
        <v>42179</v>
      </c>
      <c r="F7" t="s">
        <v>41</v>
      </c>
    </row>
    <row r="8" spans="1:6" x14ac:dyDescent="0.25">
      <c r="A8" t="s">
        <v>68</v>
      </c>
      <c r="B8" t="s">
        <v>96</v>
      </c>
      <c r="C8">
        <v>29</v>
      </c>
      <c r="D8">
        <v>6</v>
      </c>
      <c r="E8" s="14">
        <f t="shared" si="0"/>
        <v>42184</v>
      </c>
      <c r="F8" t="s">
        <v>42</v>
      </c>
    </row>
    <row r="9" spans="1:6" x14ac:dyDescent="0.25">
      <c r="A9" t="s">
        <v>68</v>
      </c>
      <c r="B9" t="s">
        <v>96</v>
      </c>
      <c r="C9">
        <v>16</v>
      </c>
      <c r="D9">
        <v>9</v>
      </c>
      <c r="E9" s="14">
        <f t="shared" si="0"/>
        <v>42263</v>
      </c>
      <c r="F9" t="s">
        <v>43</v>
      </c>
    </row>
    <row r="10" spans="1:6" x14ac:dyDescent="0.25">
      <c r="A10" t="s">
        <v>68</v>
      </c>
      <c r="B10" t="s">
        <v>96</v>
      </c>
      <c r="C10">
        <v>20</v>
      </c>
      <c r="D10">
        <v>11</v>
      </c>
      <c r="E10" s="14">
        <f t="shared" si="0"/>
        <v>42328</v>
      </c>
      <c r="F10" t="s">
        <v>44</v>
      </c>
    </row>
    <row r="11" spans="1:6" x14ac:dyDescent="0.25">
      <c r="A11" t="s">
        <v>69</v>
      </c>
      <c r="B11" t="s">
        <v>97</v>
      </c>
      <c r="C11">
        <v>19</v>
      </c>
      <c r="D11">
        <v>3</v>
      </c>
      <c r="E11" s="14">
        <f t="shared" si="0"/>
        <v>42082</v>
      </c>
      <c r="F11" t="s">
        <v>45</v>
      </c>
    </row>
    <row r="12" spans="1:6" x14ac:dyDescent="0.25">
      <c r="A12" t="s">
        <v>69</v>
      </c>
      <c r="B12" t="s">
        <v>97</v>
      </c>
      <c r="C12">
        <v>13</v>
      </c>
      <c r="D12">
        <v>9</v>
      </c>
      <c r="E12" s="14">
        <f t="shared" si="0"/>
        <v>42260</v>
      </c>
      <c r="F12" t="s">
        <v>46</v>
      </c>
    </row>
    <row r="13" spans="1:6" x14ac:dyDescent="0.25">
      <c r="A13" t="s">
        <v>70</v>
      </c>
      <c r="B13" t="s">
        <v>98</v>
      </c>
      <c r="C13">
        <v>5</v>
      </c>
      <c r="D13">
        <v>9</v>
      </c>
      <c r="E13" s="14">
        <f t="shared" si="0"/>
        <v>42252</v>
      </c>
      <c r="F13" t="s">
        <v>47</v>
      </c>
    </row>
    <row r="14" spans="1:6" x14ac:dyDescent="0.25">
      <c r="A14" t="s">
        <v>70</v>
      </c>
      <c r="B14" t="s">
        <v>98</v>
      </c>
      <c r="C14">
        <v>20</v>
      </c>
      <c r="D14">
        <v>11</v>
      </c>
      <c r="E14" s="14">
        <f t="shared" si="0"/>
        <v>42328</v>
      </c>
      <c r="F14" t="s">
        <v>48</v>
      </c>
    </row>
    <row r="15" spans="1:6" x14ac:dyDescent="0.25">
      <c r="A15" t="s">
        <v>71</v>
      </c>
      <c r="B15" t="s">
        <v>99</v>
      </c>
      <c r="C15">
        <v>2</v>
      </c>
      <c r="D15">
        <v>7</v>
      </c>
      <c r="E15" s="14">
        <f t="shared" si="0"/>
        <v>42187</v>
      </c>
      <c r="F15" t="s">
        <v>49</v>
      </c>
    </row>
    <row r="16" spans="1:6" x14ac:dyDescent="0.25">
      <c r="A16" t="s">
        <v>72</v>
      </c>
      <c r="B16" t="s">
        <v>100</v>
      </c>
      <c r="C16">
        <v>25</v>
      </c>
      <c r="D16">
        <v>3</v>
      </c>
      <c r="E16" s="14">
        <f t="shared" si="0"/>
        <v>42088</v>
      </c>
      <c r="F16" t="s">
        <v>92</v>
      </c>
    </row>
    <row r="17" spans="1:6" x14ac:dyDescent="0.25">
      <c r="A17" t="s">
        <v>73</v>
      </c>
      <c r="B17" t="s">
        <v>101</v>
      </c>
      <c r="C17">
        <v>21</v>
      </c>
      <c r="D17">
        <v>4</v>
      </c>
      <c r="E17" s="14">
        <f t="shared" si="0"/>
        <v>42115</v>
      </c>
      <c r="F17" t="s">
        <v>50</v>
      </c>
    </row>
    <row r="18" spans="1:6" x14ac:dyDescent="0.25">
      <c r="A18" t="s">
        <v>73</v>
      </c>
      <c r="B18" t="s">
        <v>101</v>
      </c>
      <c r="C18">
        <v>30</v>
      </c>
      <c r="D18">
        <v>11</v>
      </c>
      <c r="E18" s="14">
        <f t="shared" si="0"/>
        <v>42338</v>
      </c>
      <c r="F18" t="s">
        <v>36</v>
      </c>
    </row>
    <row r="19" spans="1:6" x14ac:dyDescent="0.25">
      <c r="A19" t="s">
        <v>74</v>
      </c>
      <c r="B19" t="s">
        <v>102</v>
      </c>
      <c r="C19">
        <v>28</v>
      </c>
      <c r="D19">
        <v>7</v>
      </c>
      <c r="E19" s="14">
        <f t="shared" si="0"/>
        <v>42213</v>
      </c>
      <c r="F19" t="s">
        <v>51</v>
      </c>
    </row>
    <row r="20" spans="1:6" x14ac:dyDescent="0.25">
      <c r="A20" t="s">
        <v>75</v>
      </c>
      <c r="B20" t="s">
        <v>103</v>
      </c>
      <c r="C20">
        <v>20</v>
      </c>
      <c r="D20">
        <v>11</v>
      </c>
      <c r="E20" s="14">
        <f t="shared" si="0"/>
        <v>42328</v>
      </c>
      <c r="F20" t="s">
        <v>48</v>
      </c>
    </row>
    <row r="21" spans="1:6" x14ac:dyDescent="0.25">
      <c r="A21" t="s">
        <v>76</v>
      </c>
      <c r="B21" t="s">
        <v>104</v>
      </c>
      <c r="C21">
        <v>11</v>
      </c>
      <c r="D21">
        <v>10</v>
      </c>
      <c r="E21" s="14">
        <f t="shared" si="0"/>
        <v>42288</v>
      </c>
      <c r="F21" t="s">
        <v>52</v>
      </c>
    </row>
    <row r="22" spans="1:6" x14ac:dyDescent="0.25">
      <c r="A22" t="s">
        <v>77</v>
      </c>
      <c r="B22" t="s">
        <v>105</v>
      </c>
      <c r="C22">
        <v>21</v>
      </c>
      <c r="D22">
        <v>4</v>
      </c>
      <c r="E22" s="14">
        <f t="shared" si="0"/>
        <v>42115</v>
      </c>
      <c r="F22" t="s">
        <v>53</v>
      </c>
    </row>
    <row r="23" spans="1:6" x14ac:dyDescent="0.25">
      <c r="A23" t="s">
        <v>78</v>
      </c>
      <c r="B23" t="s">
        <v>106</v>
      </c>
      <c r="C23">
        <v>15</v>
      </c>
      <c r="D23">
        <v>8</v>
      </c>
      <c r="E23" s="14">
        <f t="shared" si="0"/>
        <v>42231</v>
      </c>
      <c r="F23" t="s">
        <v>54</v>
      </c>
    </row>
    <row r="24" spans="1:6" x14ac:dyDescent="0.25">
      <c r="A24" t="s">
        <v>79</v>
      </c>
      <c r="B24" t="s">
        <v>94</v>
      </c>
      <c r="C24">
        <v>26</v>
      </c>
      <c r="D24">
        <v>7</v>
      </c>
      <c r="E24" s="14">
        <f t="shared" si="0"/>
        <v>42211</v>
      </c>
      <c r="F24" t="s">
        <v>55</v>
      </c>
    </row>
    <row r="25" spans="1:6" x14ac:dyDescent="0.25">
      <c r="A25" t="s">
        <v>79</v>
      </c>
      <c r="B25" t="s">
        <v>94</v>
      </c>
      <c r="C25">
        <v>5</v>
      </c>
      <c r="D25">
        <v>8</v>
      </c>
      <c r="E25" s="14">
        <f t="shared" si="0"/>
        <v>42221</v>
      </c>
      <c r="F25" t="s">
        <v>56</v>
      </c>
    </row>
    <row r="26" spans="1:6" x14ac:dyDescent="0.25">
      <c r="A26" t="s">
        <v>80</v>
      </c>
      <c r="B26" t="s">
        <v>107</v>
      </c>
      <c r="C26">
        <v>19</v>
      </c>
      <c r="D26">
        <v>12</v>
      </c>
      <c r="E26" s="14">
        <f t="shared" si="0"/>
        <v>42357</v>
      </c>
      <c r="F26" t="s">
        <v>57</v>
      </c>
    </row>
    <row r="27" spans="1:6" x14ac:dyDescent="0.25">
      <c r="A27" t="s">
        <v>81</v>
      </c>
      <c r="B27" t="s">
        <v>108</v>
      </c>
      <c r="C27">
        <v>19</v>
      </c>
      <c r="D27">
        <v>10</v>
      </c>
      <c r="E27" s="14">
        <f t="shared" si="0"/>
        <v>42296</v>
      </c>
      <c r="F27" t="s">
        <v>58</v>
      </c>
    </row>
    <row r="28" spans="1:6" x14ac:dyDescent="0.25">
      <c r="A28" t="s">
        <v>82</v>
      </c>
      <c r="B28" t="s">
        <v>109</v>
      </c>
      <c r="C28">
        <v>23</v>
      </c>
      <c r="D28">
        <v>4</v>
      </c>
      <c r="E28" s="14">
        <f t="shared" si="0"/>
        <v>42117</v>
      </c>
      <c r="F28" t="s">
        <v>59</v>
      </c>
    </row>
    <row r="29" spans="1:6" x14ac:dyDescent="0.25">
      <c r="A29" t="s">
        <v>82</v>
      </c>
      <c r="B29" t="s">
        <v>109</v>
      </c>
      <c r="C29">
        <v>20</v>
      </c>
      <c r="D29">
        <v>11</v>
      </c>
      <c r="E29" s="14">
        <f t="shared" si="0"/>
        <v>42328</v>
      </c>
      <c r="F29" t="s">
        <v>48</v>
      </c>
    </row>
    <row r="30" spans="1:6" x14ac:dyDescent="0.25">
      <c r="A30" t="s">
        <v>83</v>
      </c>
      <c r="B30" t="s">
        <v>110</v>
      </c>
      <c r="C30">
        <v>3</v>
      </c>
      <c r="D30">
        <v>10</v>
      </c>
      <c r="E30" s="14">
        <f t="shared" si="0"/>
        <v>42280</v>
      </c>
      <c r="F30" t="s">
        <v>60</v>
      </c>
    </row>
    <row r="31" spans="1:6" x14ac:dyDescent="0.25">
      <c r="A31" t="s">
        <v>84</v>
      </c>
      <c r="B31" t="s">
        <v>111</v>
      </c>
      <c r="C31">
        <v>20</v>
      </c>
      <c r="D31">
        <v>9</v>
      </c>
      <c r="E31" s="14">
        <f t="shared" si="0"/>
        <v>42267</v>
      </c>
      <c r="F31" t="s">
        <v>61</v>
      </c>
    </row>
    <row r="32" spans="1:6" x14ac:dyDescent="0.25">
      <c r="A32" t="s">
        <v>85</v>
      </c>
      <c r="B32" t="s">
        <v>112</v>
      </c>
      <c r="C32">
        <v>4</v>
      </c>
      <c r="D32">
        <v>1</v>
      </c>
      <c r="E32" s="14">
        <f t="shared" si="0"/>
        <v>42008</v>
      </c>
      <c r="F32" t="s">
        <v>62</v>
      </c>
    </row>
    <row r="33" spans="1:6" x14ac:dyDescent="0.25">
      <c r="A33" t="s">
        <v>85</v>
      </c>
      <c r="B33" t="s">
        <v>112</v>
      </c>
      <c r="C33">
        <v>18</v>
      </c>
      <c r="D33">
        <v>6</v>
      </c>
      <c r="E33" s="14">
        <f t="shared" si="0"/>
        <v>42173</v>
      </c>
      <c r="F33" t="s">
        <v>36</v>
      </c>
    </row>
    <row r="34" spans="1:6" x14ac:dyDescent="0.25">
      <c r="A34" t="s">
        <v>86</v>
      </c>
      <c r="B34" t="s">
        <v>113</v>
      </c>
      <c r="C34">
        <v>5</v>
      </c>
      <c r="D34">
        <v>10</v>
      </c>
      <c r="E34" s="14">
        <f t="shared" si="0"/>
        <v>42282</v>
      </c>
      <c r="F34" t="s">
        <v>52</v>
      </c>
    </row>
    <row r="35" spans="1:6" x14ac:dyDescent="0.25">
      <c r="A35" t="s">
        <v>87</v>
      </c>
      <c r="B35" t="s">
        <v>114</v>
      </c>
      <c r="C35">
        <v>11</v>
      </c>
      <c r="D35">
        <v>8</v>
      </c>
      <c r="E35" s="14">
        <f t="shared" si="0"/>
        <v>42227</v>
      </c>
      <c r="F35" t="s">
        <v>63</v>
      </c>
    </row>
    <row r="36" spans="1:6" x14ac:dyDescent="0.25">
      <c r="A36" t="s">
        <v>87</v>
      </c>
      <c r="B36" t="s">
        <v>114</v>
      </c>
      <c r="C36">
        <v>25</v>
      </c>
      <c r="D36">
        <v>11</v>
      </c>
      <c r="E36" s="14">
        <f t="shared" si="0"/>
        <v>42333</v>
      </c>
      <c r="F36" t="s">
        <v>64</v>
      </c>
    </row>
    <row r="37" spans="1:6" x14ac:dyDescent="0.25">
      <c r="A37" t="s">
        <v>88</v>
      </c>
      <c r="B37" t="s">
        <v>115</v>
      </c>
      <c r="C37">
        <v>9</v>
      </c>
      <c r="D37">
        <v>7</v>
      </c>
      <c r="E37" s="14">
        <f t="shared" si="0"/>
        <v>42194</v>
      </c>
      <c r="F37" t="s">
        <v>65</v>
      </c>
    </row>
    <row r="38" spans="1:6" x14ac:dyDescent="0.25">
      <c r="A38" t="s">
        <v>88</v>
      </c>
      <c r="B38" t="s">
        <v>115</v>
      </c>
      <c r="C38">
        <v>20</v>
      </c>
      <c r="D38">
        <v>11</v>
      </c>
      <c r="E38" s="14">
        <f t="shared" ref="E38" si="1">DATE(Year,D38,C38)</f>
        <v>42328</v>
      </c>
      <c r="F38" t="s">
        <v>48</v>
      </c>
    </row>
    <row r="39" spans="1:6" x14ac:dyDescent="0.25">
      <c r="A39" t="s">
        <v>89</v>
      </c>
      <c r="B39" t="s">
        <v>116</v>
      </c>
      <c r="C39">
        <v>8</v>
      </c>
      <c r="D39">
        <v>7</v>
      </c>
      <c r="E39" s="14">
        <f t="shared" si="0"/>
        <v>42193</v>
      </c>
      <c r="F39" t="s">
        <v>66</v>
      </c>
    </row>
    <row r="40" spans="1:6" x14ac:dyDescent="0.25">
      <c r="A40" t="s">
        <v>90</v>
      </c>
      <c r="B40" t="s">
        <v>117</v>
      </c>
      <c r="C40">
        <v>2</v>
      </c>
      <c r="D40">
        <v>10</v>
      </c>
      <c r="E40" s="14">
        <f t="shared" si="0"/>
        <v>42279</v>
      </c>
      <c r="F40" t="s">
        <v>52</v>
      </c>
    </row>
    <row r="41" spans="1:6" x14ac:dyDescent="0.25">
      <c r="A41" t="s">
        <v>90</v>
      </c>
      <c r="B41" t="s">
        <v>117</v>
      </c>
      <c r="C41">
        <v>18</v>
      </c>
      <c r="D41">
        <v>3</v>
      </c>
      <c r="E41" s="14">
        <f t="shared" si="0"/>
        <v>42081</v>
      </c>
      <c r="F41" t="s">
        <v>118</v>
      </c>
    </row>
    <row r="42" spans="1:6" x14ac:dyDescent="0.25">
      <c r="A42" t="s">
        <v>90</v>
      </c>
      <c r="B42" t="s">
        <v>117</v>
      </c>
      <c r="C42">
        <v>8</v>
      </c>
      <c r="D42">
        <v>9</v>
      </c>
      <c r="E42" s="14">
        <f t="shared" si="0"/>
        <v>42255</v>
      </c>
      <c r="F42" t="s">
        <v>119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37"/>
  <sheetViews>
    <sheetView showGridLines="0" workbookViewId="0">
      <selection activeCell="C4" sqref="C4"/>
    </sheetView>
  </sheetViews>
  <sheetFormatPr defaultColWidth="0" defaultRowHeight="15" x14ac:dyDescent="0.25"/>
  <cols>
    <col min="1" max="1" width="2.85546875" customWidth="1"/>
    <col min="2" max="2" width="10.7109375" bestFit="1" customWidth="1"/>
    <col min="3" max="3" width="9.140625" customWidth="1"/>
    <col min="4" max="4" width="22.5703125" customWidth="1"/>
    <col min="5" max="5" width="2.85546875" customWidth="1"/>
    <col min="6" max="16384" width="9.140625" hidden="1"/>
  </cols>
  <sheetData>
    <row r="2" spans="2:4" ht="23.25" x14ac:dyDescent="0.25">
      <c r="B2" s="44" t="s">
        <v>122</v>
      </c>
      <c r="C2" s="44"/>
      <c r="D2" s="44"/>
    </row>
    <row r="3" spans="2:4" x14ac:dyDescent="0.25">
      <c r="B3" s="26" t="s">
        <v>120</v>
      </c>
      <c r="C3" s="26" t="s">
        <v>121</v>
      </c>
      <c r="D3" s="26" t="s">
        <v>4</v>
      </c>
    </row>
    <row r="4" spans="2:4" x14ac:dyDescent="0.25">
      <c r="B4" s="22">
        <v>41991</v>
      </c>
      <c r="C4" s="22">
        <v>42008</v>
      </c>
      <c r="D4" s="22" t="s">
        <v>122</v>
      </c>
    </row>
    <row r="5" spans="2:4" x14ac:dyDescent="0.25">
      <c r="B5" s="32"/>
      <c r="C5" s="32"/>
      <c r="D5" s="32"/>
    </row>
    <row r="6" spans="2:4" ht="23.25" x14ac:dyDescent="0.25">
      <c r="B6" s="44" t="s">
        <v>123</v>
      </c>
      <c r="C6" s="44"/>
      <c r="D6" s="44"/>
    </row>
    <row r="7" spans="2:4" x14ac:dyDescent="0.25">
      <c r="B7" s="26" t="s">
        <v>120</v>
      </c>
      <c r="C7" s="26" t="s">
        <v>121</v>
      </c>
      <c r="D7" s="26" t="s">
        <v>4</v>
      </c>
    </row>
    <row r="8" spans="2:4" x14ac:dyDescent="0.25">
      <c r="B8" s="22"/>
      <c r="C8" s="22"/>
      <c r="D8" s="22"/>
    </row>
    <row r="9" spans="2:4" x14ac:dyDescent="0.25">
      <c r="B9" s="22"/>
      <c r="C9" s="22"/>
      <c r="D9" s="22"/>
    </row>
    <row r="10" spans="2:4" x14ac:dyDescent="0.25">
      <c r="B10" s="22"/>
      <c r="C10" s="22"/>
      <c r="D10" s="22"/>
    </row>
    <row r="11" spans="2:4" x14ac:dyDescent="0.25">
      <c r="B11" s="22"/>
      <c r="C11" s="22"/>
      <c r="D11" s="22"/>
    </row>
    <row r="12" spans="2:4" x14ac:dyDescent="0.25">
      <c r="B12" s="22"/>
      <c r="C12" s="22"/>
      <c r="D12" s="22"/>
    </row>
    <row r="13" spans="2:4" x14ac:dyDescent="0.25">
      <c r="B13" s="22"/>
      <c r="C13" s="22"/>
      <c r="D13" s="22"/>
    </row>
    <row r="14" spans="2:4" x14ac:dyDescent="0.25">
      <c r="B14" s="22"/>
      <c r="C14" s="22"/>
      <c r="D14" s="22"/>
    </row>
    <row r="15" spans="2:4" x14ac:dyDescent="0.25">
      <c r="B15" s="22"/>
      <c r="C15" s="22"/>
      <c r="D15" s="22"/>
    </row>
    <row r="16" spans="2:4" x14ac:dyDescent="0.25">
      <c r="B16" s="22"/>
      <c r="C16" s="22"/>
      <c r="D16" s="22"/>
    </row>
    <row r="17" spans="2:4" x14ac:dyDescent="0.25">
      <c r="B17" s="22"/>
      <c r="C17" s="22"/>
      <c r="D17" s="22"/>
    </row>
    <row r="18" spans="2:4" x14ac:dyDescent="0.25">
      <c r="B18" s="22"/>
      <c r="C18" s="22"/>
      <c r="D18" s="22"/>
    </row>
    <row r="19" spans="2:4" x14ac:dyDescent="0.25">
      <c r="B19" s="22"/>
      <c r="C19" s="22"/>
      <c r="D19" s="22"/>
    </row>
    <row r="20" spans="2:4" x14ac:dyDescent="0.25">
      <c r="B20" s="22"/>
      <c r="C20" s="22"/>
      <c r="D20" s="22"/>
    </row>
    <row r="21" spans="2:4" x14ac:dyDescent="0.25">
      <c r="B21" s="22"/>
      <c r="C21" s="22"/>
      <c r="D21" s="22"/>
    </row>
    <row r="22" spans="2:4" x14ac:dyDescent="0.25">
      <c r="B22" s="22"/>
      <c r="C22" s="22"/>
      <c r="D22" s="22"/>
    </row>
    <row r="23" spans="2:4" x14ac:dyDescent="0.25">
      <c r="B23" s="22"/>
      <c r="C23" s="22"/>
      <c r="D23" s="22"/>
    </row>
    <row r="24" spans="2:4" x14ac:dyDescent="0.25">
      <c r="B24" s="22"/>
      <c r="C24" s="22"/>
      <c r="D24" s="22"/>
    </row>
    <row r="25" spans="2:4" x14ac:dyDescent="0.25">
      <c r="B25" s="22"/>
      <c r="C25" s="22"/>
      <c r="D25" s="22"/>
    </row>
    <row r="26" spans="2:4" x14ac:dyDescent="0.25">
      <c r="B26" s="22"/>
      <c r="C26" s="22"/>
      <c r="D26" s="22"/>
    </row>
    <row r="27" spans="2:4" x14ac:dyDescent="0.25">
      <c r="B27" s="22"/>
      <c r="C27" s="22"/>
      <c r="D27" s="22"/>
    </row>
    <row r="28" spans="2:4" x14ac:dyDescent="0.25">
      <c r="B28" s="22"/>
      <c r="C28" s="22"/>
      <c r="D28" s="22"/>
    </row>
    <row r="29" spans="2:4" x14ac:dyDescent="0.25">
      <c r="B29" s="22"/>
      <c r="C29" s="22"/>
      <c r="D29" s="22"/>
    </row>
    <row r="30" spans="2:4" x14ac:dyDescent="0.25">
      <c r="B30" s="22"/>
      <c r="C30" s="22"/>
      <c r="D30" s="22"/>
    </row>
    <row r="31" spans="2:4" x14ac:dyDescent="0.25">
      <c r="B31" s="22"/>
      <c r="C31" s="22"/>
      <c r="D31" s="22"/>
    </row>
    <row r="32" spans="2:4" x14ac:dyDescent="0.25">
      <c r="B32" s="22"/>
      <c r="C32" s="22"/>
      <c r="D32" s="22"/>
    </row>
    <row r="33" spans="2:4" x14ac:dyDescent="0.25">
      <c r="B33" s="22"/>
      <c r="C33" s="22"/>
      <c r="D33" s="22"/>
    </row>
    <row r="34" spans="2:4" x14ac:dyDescent="0.25">
      <c r="B34" s="22"/>
      <c r="C34" s="22"/>
      <c r="D34" s="22"/>
    </row>
    <row r="35" spans="2:4" x14ac:dyDescent="0.25">
      <c r="B35" s="22"/>
      <c r="C35" s="22"/>
      <c r="D35" s="22"/>
    </row>
    <row r="36" spans="2:4" x14ac:dyDescent="0.25">
      <c r="B36" s="22"/>
      <c r="C36" s="22"/>
      <c r="D36" s="22"/>
    </row>
    <row r="37" spans="2:4" x14ac:dyDescent="0.25">
      <c r="B37" s="22"/>
      <c r="C37" s="22"/>
      <c r="D37" s="22"/>
    </row>
  </sheetData>
  <mergeCells count="2">
    <mergeCell ref="B2:D2"/>
    <mergeCell ref="B6:D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zoomScaleNormal="100" workbookViewId="0">
      <selection activeCell="B33" sqref="B33:E36"/>
    </sheetView>
  </sheetViews>
  <sheetFormatPr defaultColWidth="0" defaultRowHeight="14.25" customHeight="1" zeroHeight="1" x14ac:dyDescent="0.2"/>
  <cols>
    <col min="1" max="1" width="2.85546875" style="19" customWidth="1"/>
    <col min="2" max="3" width="6.7109375" style="25" customWidth="1"/>
    <col min="4" max="4" width="9.140625" style="25" customWidth="1"/>
    <col min="5" max="5" width="52.7109375" style="19" customWidth="1"/>
    <col min="6" max="6" width="2.85546875" style="19" customWidth="1"/>
    <col min="7" max="16384" width="9.140625" style="19" hidden="1"/>
  </cols>
  <sheetData>
    <row r="1" spans="1:5" x14ac:dyDescent="0.2">
      <c r="A1" s="16"/>
      <c r="B1" s="17"/>
      <c r="C1" s="17"/>
      <c r="D1" s="18"/>
      <c r="E1" s="16"/>
    </row>
    <row r="2" spans="1:5" ht="23.25" x14ac:dyDescent="0.2">
      <c r="A2" s="16"/>
      <c r="B2" s="44" t="s">
        <v>0</v>
      </c>
      <c r="C2" s="44"/>
      <c r="D2" s="44"/>
      <c r="E2" s="44"/>
    </row>
    <row r="3" spans="1:5" x14ac:dyDescent="0.2">
      <c r="A3" s="16"/>
      <c r="B3" s="26" t="s">
        <v>1</v>
      </c>
      <c r="C3" s="26" t="s">
        <v>2</v>
      </c>
      <c r="D3" s="26" t="s">
        <v>3</v>
      </c>
      <c r="E3" s="27" t="s">
        <v>4</v>
      </c>
    </row>
    <row r="4" spans="1:5" x14ac:dyDescent="0.2">
      <c r="A4" s="16"/>
      <c r="B4" s="21"/>
      <c r="C4" s="21"/>
      <c r="D4" s="22"/>
      <c r="E4" s="20"/>
    </row>
    <row r="5" spans="1:5" x14ac:dyDescent="0.2">
      <c r="A5" s="16"/>
      <c r="B5" s="21"/>
      <c r="C5" s="21"/>
      <c r="D5" s="22"/>
      <c r="E5" s="20"/>
    </row>
    <row r="6" spans="1:5" x14ac:dyDescent="0.2">
      <c r="A6" s="16"/>
      <c r="B6" s="21"/>
      <c r="C6" s="21"/>
      <c r="D6" s="22"/>
      <c r="E6" s="20"/>
    </row>
    <row r="7" spans="1:5" x14ac:dyDescent="0.2">
      <c r="A7" s="16"/>
      <c r="B7" s="23"/>
      <c r="C7" s="23"/>
      <c r="D7" s="22"/>
      <c r="E7" s="20"/>
    </row>
    <row r="8" spans="1:5" x14ac:dyDescent="0.2">
      <c r="A8" s="16"/>
      <c r="B8" s="23"/>
      <c r="C8" s="23"/>
      <c r="D8" s="22"/>
      <c r="E8" s="20"/>
    </row>
    <row r="9" spans="1:5" x14ac:dyDescent="0.2">
      <c r="A9" s="16"/>
      <c r="B9" s="23"/>
      <c r="C9" s="23"/>
      <c r="D9" s="22"/>
      <c r="E9" s="20"/>
    </row>
    <row r="10" spans="1:5" x14ac:dyDescent="0.2">
      <c r="A10" s="16"/>
      <c r="B10" s="23"/>
      <c r="C10" s="23"/>
      <c r="D10" s="22"/>
      <c r="E10" s="20"/>
    </row>
    <row r="11" spans="1:5" x14ac:dyDescent="0.2">
      <c r="A11" s="16"/>
      <c r="B11" s="21"/>
      <c r="C11" s="21"/>
      <c r="D11" s="22"/>
      <c r="E11" s="20"/>
    </row>
    <row r="12" spans="1:5" x14ac:dyDescent="0.2">
      <c r="A12" s="16"/>
      <c r="B12" s="21"/>
      <c r="C12" s="21"/>
      <c r="D12" s="22"/>
      <c r="E12" s="20"/>
    </row>
    <row r="13" spans="1:5" x14ac:dyDescent="0.2">
      <c r="A13" s="16"/>
      <c r="B13" s="21"/>
      <c r="C13" s="21"/>
      <c r="D13" s="22"/>
      <c r="E13" s="20"/>
    </row>
    <row r="14" spans="1:5" x14ac:dyDescent="0.2">
      <c r="A14" s="16"/>
      <c r="B14" s="21"/>
      <c r="C14" s="21"/>
      <c r="D14" s="22"/>
      <c r="E14" s="20"/>
    </row>
    <row r="15" spans="1:5" x14ac:dyDescent="0.2">
      <c r="A15" s="16"/>
      <c r="B15" s="21"/>
      <c r="C15" s="21"/>
      <c r="D15" s="22"/>
      <c r="E15" s="20"/>
    </row>
    <row r="16" spans="1:5" x14ac:dyDescent="0.2">
      <c r="A16" s="16"/>
      <c r="B16" s="21"/>
      <c r="C16" s="21"/>
      <c r="D16" s="22"/>
      <c r="E16" s="20"/>
    </row>
    <row r="17" spans="1:5" x14ac:dyDescent="0.2">
      <c r="A17" s="16"/>
      <c r="B17" s="21"/>
      <c r="C17" s="21"/>
      <c r="D17" s="22"/>
      <c r="E17" s="20"/>
    </row>
    <row r="18" spans="1:5" x14ac:dyDescent="0.2">
      <c r="A18" s="16"/>
      <c r="B18" s="21"/>
      <c r="C18" s="21"/>
      <c r="D18" s="22"/>
      <c r="E18" s="20"/>
    </row>
    <row r="19" spans="1:5" x14ac:dyDescent="0.2">
      <c r="A19" s="16"/>
      <c r="B19" s="21"/>
      <c r="C19" s="21"/>
      <c r="D19" s="22"/>
      <c r="E19" s="20"/>
    </row>
    <row r="20" spans="1:5" x14ac:dyDescent="0.2">
      <c r="A20" s="16"/>
      <c r="B20" s="21"/>
      <c r="C20" s="21"/>
      <c r="D20" s="22"/>
      <c r="E20" s="20"/>
    </row>
    <row r="21" spans="1:5" x14ac:dyDescent="0.2">
      <c r="A21" s="16"/>
      <c r="B21" s="21"/>
      <c r="C21" s="21"/>
      <c r="D21" s="22"/>
      <c r="E21" s="20"/>
    </row>
    <row r="22" spans="1:5" x14ac:dyDescent="0.2">
      <c r="A22" s="16"/>
      <c r="B22" s="21"/>
      <c r="C22" s="21"/>
      <c r="D22" s="22"/>
      <c r="E22" s="20"/>
    </row>
    <row r="23" spans="1:5" x14ac:dyDescent="0.2">
      <c r="A23" s="16"/>
      <c r="B23" s="21"/>
      <c r="C23" s="21"/>
      <c r="D23" s="22"/>
      <c r="E23" s="20"/>
    </row>
    <row r="24" spans="1:5" x14ac:dyDescent="0.2">
      <c r="A24" s="16"/>
      <c r="B24" s="21"/>
      <c r="C24" s="21"/>
      <c r="D24" s="22"/>
      <c r="E24" s="20"/>
    </row>
    <row r="25" spans="1:5" x14ac:dyDescent="0.2">
      <c r="A25" s="16"/>
      <c r="B25" s="21"/>
      <c r="C25" s="21"/>
      <c r="D25" s="22"/>
      <c r="E25" s="20"/>
    </row>
    <row r="26" spans="1:5" x14ac:dyDescent="0.2">
      <c r="A26" s="16"/>
      <c r="B26" s="21"/>
      <c r="C26" s="21"/>
      <c r="D26" s="22"/>
      <c r="E26" s="20"/>
    </row>
    <row r="27" spans="1:5" x14ac:dyDescent="0.2">
      <c r="A27" s="16"/>
      <c r="B27" s="21"/>
      <c r="C27" s="21"/>
      <c r="D27" s="22"/>
      <c r="E27" s="20"/>
    </row>
    <row r="28" spans="1:5" x14ac:dyDescent="0.2">
      <c r="A28" s="16"/>
      <c r="B28" s="21"/>
      <c r="C28" s="21"/>
      <c r="D28" s="22"/>
      <c r="E28" s="20"/>
    </row>
    <row r="29" spans="1:5" x14ac:dyDescent="0.2">
      <c r="A29" s="16"/>
      <c r="B29" s="21"/>
      <c r="C29" s="21"/>
      <c r="D29" s="22"/>
      <c r="E29" s="20"/>
    </row>
    <row r="30" spans="1:5" x14ac:dyDescent="0.2">
      <c r="A30" s="16"/>
      <c r="B30" s="17"/>
      <c r="C30" s="17"/>
      <c r="D30" s="18"/>
      <c r="E30" s="24"/>
    </row>
    <row r="31" spans="1:5" ht="23.25" x14ac:dyDescent="0.2">
      <c r="A31" s="16"/>
      <c r="B31" s="44" t="s">
        <v>5</v>
      </c>
      <c r="C31" s="44"/>
      <c r="D31" s="44"/>
      <c r="E31" s="44"/>
    </row>
    <row r="32" spans="1:5" x14ac:dyDescent="0.2">
      <c r="A32" s="16"/>
      <c r="B32" s="26" t="s">
        <v>1</v>
      </c>
      <c r="C32" s="26" t="s">
        <v>2</v>
      </c>
      <c r="D32" s="26" t="s">
        <v>3</v>
      </c>
      <c r="E32" s="27" t="s">
        <v>4</v>
      </c>
    </row>
    <row r="33" spans="1:5" x14ac:dyDescent="0.2">
      <c r="A33" s="16"/>
      <c r="B33" s="21"/>
      <c r="C33" s="21"/>
      <c r="D33" s="22"/>
      <c r="E33" s="20"/>
    </row>
    <row r="34" spans="1:5" x14ac:dyDescent="0.2">
      <c r="A34" s="16"/>
      <c r="B34" s="21"/>
      <c r="C34" s="21"/>
      <c r="D34" s="22"/>
      <c r="E34" s="20"/>
    </row>
    <row r="35" spans="1:5" x14ac:dyDescent="0.2">
      <c r="A35" s="16"/>
      <c r="B35" s="21"/>
      <c r="C35" s="21"/>
      <c r="D35" s="22"/>
      <c r="E35" s="20"/>
    </row>
    <row r="36" spans="1:5" x14ac:dyDescent="0.2">
      <c r="A36" s="16"/>
      <c r="B36" s="23"/>
      <c r="C36" s="23"/>
      <c r="D36" s="22"/>
      <c r="E36" s="20"/>
    </row>
    <row r="37" spans="1:5" x14ac:dyDescent="0.2"/>
  </sheetData>
  <mergeCells count="2">
    <mergeCell ref="B2:E2"/>
    <mergeCell ref="B31:E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zoomScaleNormal="100" workbookViewId="0">
      <selection activeCell="B33" sqref="B33:E36"/>
    </sheetView>
  </sheetViews>
  <sheetFormatPr defaultColWidth="0" defaultRowHeight="14.25" customHeight="1" zeroHeight="1" x14ac:dyDescent="0.2"/>
  <cols>
    <col min="1" max="1" width="2.85546875" style="19" customWidth="1"/>
    <col min="2" max="3" width="6.7109375" style="25" customWidth="1"/>
    <col min="4" max="4" width="9.140625" style="25" customWidth="1"/>
    <col min="5" max="5" width="52.7109375" style="19" customWidth="1"/>
    <col min="6" max="6" width="2.85546875" style="19" customWidth="1"/>
    <col min="7" max="16384" width="9.140625" style="19" hidden="1"/>
  </cols>
  <sheetData>
    <row r="1" spans="1:5" x14ac:dyDescent="0.2">
      <c r="A1" s="16"/>
      <c r="B1" s="17"/>
      <c r="C1" s="17"/>
      <c r="D1" s="18"/>
      <c r="E1" s="16"/>
    </row>
    <row r="2" spans="1:5" ht="23.25" x14ac:dyDescent="0.2">
      <c r="A2" s="16"/>
      <c r="B2" s="44" t="s">
        <v>0</v>
      </c>
      <c r="C2" s="44"/>
      <c r="D2" s="44"/>
      <c r="E2" s="44"/>
    </row>
    <row r="3" spans="1:5" x14ac:dyDescent="0.2">
      <c r="A3" s="16"/>
      <c r="B3" s="26" t="s">
        <v>1</v>
      </c>
      <c r="C3" s="26" t="s">
        <v>2</v>
      </c>
      <c r="D3" s="26" t="s">
        <v>3</v>
      </c>
      <c r="E3" s="27" t="s">
        <v>4</v>
      </c>
    </row>
    <row r="4" spans="1:5" x14ac:dyDescent="0.2">
      <c r="A4" s="16"/>
      <c r="B4" s="21"/>
      <c r="C4" s="21"/>
      <c r="D4" s="22"/>
      <c r="E4" s="20"/>
    </row>
    <row r="5" spans="1:5" x14ac:dyDescent="0.2">
      <c r="A5" s="16"/>
      <c r="B5" s="21"/>
      <c r="C5" s="21"/>
      <c r="D5" s="22"/>
      <c r="E5" s="20"/>
    </row>
    <row r="6" spans="1:5" x14ac:dyDescent="0.2">
      <c r="A6" s="16"/>
      <c r="B6" s="21"/>
      <c r="C6" s="21"/>
      <c r="D6" s="22"/>
      <c r="E6" s="20"/>
    </row>
    <row r="7" spans="1:5" x14ac:dyDescent="0.2">
      <c r="A7" s="16"/>
      <c r="B7" s="23"/>
      <c r="C7" s="23"/>
      <c r="D7" s="22"/>
      <c r="E7" s="20"/>
    </row>
    <row r="8" spans="1:5" x14ac:dyDescent="0.2">
      <c r="A8" s="16"/>
      <c r="B8" s="23"/>
      <c r="C8" s="23"/>
      <c r="D8" s="22"/>
      <c r="E8" s="20"/>
    </row>
    <row r="9" spans="1:5" x14ac:dyDescent="0.2">
      <c r="A9" s="16"/>
      <c r="B9" s="23"/>
      <c r="C9" s="23"/>
      <c r="D9" s="22"/>
      <c r="E9" s="20"/>
    </row>
    <row r="10" spans="1:5" x14ac:dyDescent="0.2">
      <c r="A10" s="16"/>
      <c r="B10" s="23"/>
      <c r="C10" s="23"/>
      <c r="D10" s="22"/>
      <c r="E10" s="20"/>
    </row>
    <row r="11" spans="1:5" x14ac:dyDescent="0.2">
      <c r="A11" s="16"/>
      <c r="B11" s="21"/>
      <c r="C11" s="21"/>
      <c r="D11" s="22"/>
      <c r="E11" s="20"/>
    </row>
    <row r="12" spans="1:5" x14ac:dyDescent="0.2">
      <c r="A12" s="16"/>
      <c r="B12" s="21"/>
      <c r="C12" s="21"/>
      <c r="D12" s="22"/>
      <c r="E12" s="20"/>
    </row>
    <row r="13" spans="1:5" x14ac:dyDescent="0.2">
      <c r="A13" s="16"/>
      <c r="B13" s="21"/>
      <c r="C13" s="21"/>
      <c r="D13" s="22"/>
      <c r="E13" s="20"/>
    </row>
    <row r="14" spans="1:5" x14ac:dyDescent="0.2">
      <c r="A14" s="16"/>
      <c r="B14" s="21"/>
      <c r="C14" s="21"/>
      <c r="D14" s="22"/>
      <c r="E14" s="20"/>
    </row>
    <row r="15" spans="1:5" x14ac:dyDescent="0.2">
      <c r="A15" s="16"/>
      <c r="B15" s="21"/>
      <c r="C15" s="21"/>
      <c r="D15" s="22"/>
      <c r="E15" s="20"/>
    </row>
    <row r="16" spans="1:5" x14ac:dyDescent="0.2">
      <c r="A16" s="16"/>
      <c r="B16" s="21"/>
      <c r="C16" s="21"/>
      <c r="D16" s="22"/>
      <c r="E16" s="20"/>
    </row>
    <row r="17" spans="1:5" x14ac:dyDescent="0.2">
      <c r="A17" s="16"/>
      <c r="B17" s="21"/>
      <c r="C17" s="21"/>
      <c r="D17" s="22"/>
      <c r="E17" s="20"/>
    </row>
    <row r="18" spans="1:5" x14ac:dyDescent="0.2">
      <c r="A18" s="16"/>
      <c r="B18" s="21"/>
      <c r="C18" s="21"/>
      <c r="D18" s="22"/>
      <c r="E18" s="20"/>
    </row>
    <row r="19" spans="1:5" x14ac:dyDescent="0.2">
      <c r="A19" s="16"/>
      <c r="B19" s="21"/>
      <c r="C19" s="21"/>
      <c r="D19" s="22"/>
      <c r="E19" s="20"/>
    </row>
    <row r="20" spans="1:5" x14ac:dyDescent="0.2">
      <c r="A20" s="16"/>
      <c r="B20" s="21"/>
      <c r="C20" s="21"/>
      <c r="D20" s="22"/>
      <c r="E20" s="20"/>
    </row>
    <row r="21" spans="1:5" x14ac:dyDescent="0.2">
      <c r="A21" s="16"/>
      <c r="B21" s="21"/>
      <c r="C21" s="21"/>
      <c r="D21" s="22"/>
      <c r="E21" s="20"/>
    </row>
    <row r="22" spans="1:5" x14ac:dyDescent="0.2">
      <c r="A22" s="16"/>
      <c r="B22" s="21"/>
      <c r="C22" s="21"/>
      <c r="D22" s="22"/>
      <c r="E22" s="20"/>
    </row>
    <row r="23" spans="1:5" x14ac:dyDescent="0.2">
      <c r="A23" s="16"/>
      <c r="B23" s="21"/>
      <c r="C23" s="21"/>
      <c r="D23" s="22"/>
      <c r="E23" s="20"/>
    </row>
    <row r="24" spans="1:5" x14ac:dyDescent="0.2">
      <c r="A24" s="16"/>
      <c r="B24" s="21"/>
      <c r="C24" s="21"/>
      <c r="D24" s="22"/>
      <c r="E24" s="20"/>
    </row>
    <row r="25" spans="1:5" x14ac:dyDescent="0.2">
      <c r="A25" s="16"/>
      <c r="B25" s="21"/>
      <c r="C25" s="21"/>
      <c r="D25" s="22"/>
      <c r="E25" s="20"/>
    </row>
    <row r="26" spans="1:5" x14ac:dyDescent="0.2">
      <c r="A26" s="16"/>
      <c r="B26" s="21"/>
      <c r="C26" s="21"/>
      <c r="D26" s="22"/>
      <c r="E26" s="20"/>
    </row>
    <row r="27" spans="1:5" x14ac:dyDescent="0.2">
      <c r="A27" s="16"/>
      <c r="B27" s="21"/>
      <c r="C27" s="21"/>
      <c r="D27" s="22"/>
      <c r="E27" s="20"/>
    </row>
    <row r="28" spans="1:5" x14ac:dyDescent="0.2">
      <c r="A28" s="16"/>
      <c r="B28" s="21"/>
      <c r="C28" s="21"/>
      <c r="D28" s="22"/>
      <c r="E28" s="20"/>
    </row>
    <row r="29" spans="1:5" x14ac:dyDescent="0.2">
      <c r="A29" s="16"/>
      <c r="B29" s="21"/>
      <c r="C29" s="21"/>
      <c r="D29" s="22"/>
      <c r="E29" s="20"/>
    </row>
    <row r="30" spans="1:5" x14ac:dyDescent="0.2">
      <c r="A30" s="16"/>
      <c r="B30" s="17"/>
      <c r="C30" s="17"/>
      <c r="D30" s="18"/>
      <c r="E30" s="24"/>
    </row>
    <row r="31" spans="1:5" ht="23.25" x14ac:dyDescent="0.2">
      <c r="A31" s="16"/>
      <c r="B31" s="44" t="s">
        <v>5</v>
      </c>
      <c r="C31" s="44"/>
      <c r="D31" s="44"/>
      <c r="E31" s="44"/>
    </row>
    <row r="32" spans="1:5" x14ac:dyDescent="0.2">
      <c r="A32" s="16"/>
      <c r="B32" s="26" t="s">
        <v>1</v>
      </c>
      <c r="C32" s="26" t="s">
        <v>2</v>
      </c>
      <c r="D32" s="26" t="s">
        <v>3</v>
      </c>
      <c r="E32" s="27" t="s">
        <v>4</v>
      </c>
    </row>
    <row r="33" spans="1:5" x14ac:dyDescent="0.2">
      <c r="A33" s="16"/>
      <c r="B33" s="21"/>
      <c r="C33" s="21"/>
      <c r="D33" s="22"/>
      <c r="E33" s="20"/>
    </row>
    <row r="34" spans="1:5" x14ac:dyDescent="0.2">
      <c r="A34" s="16"/>
      <c r="B34" s="21"/>
      <c r="C34" s="21"/>
      <c r="D34" s="22"/>
      <c r="E34" s="20"/>
    </row>
    <row r="35" spans="1:5" x14ac:dyDescent="0.2">
      <c r="A35" s="16"/>
      <c r="B35" s="21"/>
      <c r="C35" s="21"/>
      <c r="D35" s="22"/>
      <c r="E35" s="20"/>
    </row>
    <row r="36" spans="1:5" x14ac:dyDescent="0.2">
      <c r="A36" s="16"/>
      <c r="B36" s="23"/>
      <c r="C36" s="23"/>
      <c r="D36" s="22"/>
      <c r="E36" s="20"/>
    </row>
    <row r="37" spans="1:5" x14ac:dyDescent="0.2"/>
  </sheetData>
  <mergeCells count="2">
    <mergeCell ref="B2:E2"/>
    <mergeCell ref="B31:E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Calendário</vt:lpstr>
      <vt:lpstr>Feriados</vt:lpstr>
      <vt:lpstr>Feriados Estaduais</vt:lpstr>
      <vt:lpstr>Férias e emendas</vt:lpstr>
      <vt:lpstr>Datas comemorativas</vt:lpstr>
      <vt:lpstr>Aniversários</vt:lpstr>
      <vt:lpstr>CalendarArea</vt:lpstr>
      <vt:lpstr>DaysArea</vt:lpstr>
      <vt:lpstr>WeekendArea</vt:lpstr>
      <vt:lpstr>WeekHeader</vt:lpstr>
      <vt:lpstr>Year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Junior, Sidnei Antonio</dc:creator>
  <cp:lastModifiedBy>Graciolli Junior, S.</cp:lastModifiedBy>
  <dcterms:created xsi:type="dcterms:W3CDTF">2014-11-11T15:36:41Z</dcterms:created>
  <dcterms:modified xsi:type="dcterms:W3CDTF">2015-05-27T17:04:17Z</dcterms:modified>
</cp:coreProperties>
</file>