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671ace66b3784dc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90" windowWidth="19155" windowHeight="8445"/>
  </bookViews>
  <sheets>
    <sheet name="RECEITAS" sheetId="27" r:id="rId1"/>
    <sheet name="DESPESAS" sheetId="21" r:id="rId2"/>
    <sheet name="RECEITAS_CADASTRAR" sheetId="26" r:id="rId3"/>
    <sheet name="DESPESAS_CADASTRAR" sheetId="20" r:id="rId4"/>
    <sheet name="RECEITAS_bkp" sheetId="22" r:id="rId5"/>
    <sheet name="DESPESAS_bkp" sheetId="17" r:id="rId6"/>
    <sheet name="PContas" sheetId="6" r:id="rId7"/>
    <sheet name="ADM" sheetId="10" r:id="rId8"/>
  </sheets>
  <functionGroups/>
  <definedNames>
    <definedName name="Cliente">OFFSET(PContas!$M$2,0,0,COUNTA(PContas!$M:$M)-1,1)</definedName>
    <definedName name="Conta">OFFSET(PContas!$I$2,0,0,COUNTA(PContas!$I:$I)-1,1)</definedName>
    <definedName name="DRIVERS">OFFSET(ADM!$A$2,0,0,COUNTA(ADM!$A:$A)-1,1)</definedName>
    <definedName name="Frequencia">OFFSET(PContas!$C$2,0,0,COUNTA(PContas!$C:$C)-1,1)</definedName>
    <definedName name="Movimento">OFFSET(PContas!$G$2,0,0,COUNTA(PContas!$G:$G)-1,1)</definedName>
    <definedName name="Plano">OFFSET(PContas!$E$2,0,0,COUNTA(PContas!$E:$E)-1,1)</definedName>
    <definedName name="server">OFFSET(ADM!$D$2,0,0,COUNTA(ADM!$D:$D)-1,1)</definedName>
    <definedName name="Transacao">OFFSET(PContas!$A$2,0,0,COUNTA(PContas!$A:$A)-1,1)</definedName>
  </definedNames>
  <calcPr calcId="125725"/>
</workbook>
</file>

<file path=xl/calcChain.xml><?xml version="1.0" encoding="utf-8"?>
<calcChain xmlns="http://schemas.openxmlformats.org/spreadsheetml/2006/main">
  <c r="F2" i="27"/>
  <c r="E2"/>
  <c r="D2"/>
  <c r="B2"/>
  <c r="A2" s="1"/>
  <c r="F2" i="26"/>
  <c r="E2"/>
  <c r="D2"/>
  <c r="B2"/>
  <c r="A2" s="1"/>
  <c r="F2" i="22"/>
  <c r="E2"/>
  <c r="D2"/>
  <c r="B2"/>
  <c r="A2" s="1"/>
  <c r="F2" i="21"/>
  <c r="E2"/>
  <c r="D2"/>
  <c r="B2"/>
  <c r="A2" s="1"/>
  <c r="F2" i="20"/>
  <c r="E2"/>
  <c r="D2"/>
  <c r="B2"/>
  <c r="A2" s="1"/>
  <c r="F2" i="17"/>
  <c r="E2"/>
  <c r="D2"/>
  <c r="B2"/>
  <c r="A2" s="1"/>
  <c r="Z17" i="6" l="1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3"/>
  <c r="Z4"/>
  <c r="Z5"/>
  <c r="Z6"/>
  <c r="Z7"/>
  <c r="Z8"/>
  <c r="Z9"/>
  <c r="Z10"/>
  <c r="Z11"/>
  <c r="Z12"/>
  <c r="Z13"/>
  <c r="Z14"/>
  <c r="Z15"/>
  <c r="Z16"/>
  <c r="Z2"/>
</calcChain>
</file>

<file path=xl/sharedStrings.xml><?xml version="1.0" encoding="utf-8"?>
<sst xmlns="http://schemas.openxmlformats.org/spreadsheetml/2006/main" count="4078" uniqueCount="801">
  <si>
    <t>Source:</t>
  </si>
  <si>
    <t>MySQL</t>
  </si>
  <si>
    <t>driver:</t>
  </si>
  <si>
    <t>MySQL ODBC 5.2a Driver</t>
  </si>
  <si>
    <t>location:</t>
  </si>
  <si>
    <t>port:</t>
  </si>
  <si>
    <t>database:</t>
  </si>
  <si>
    <t>user:</t>
  </si>
  <si>
    <t>password:</t>
  </si>
  <si>
    <t>DRIVERS</t>
  </si>
  <si>
    <t>SOURCE</t>
  </si>
  <si>
    <t>Access</t>
  </si>
  <si>
    <t>Microsoft.ACE.OLEDB.12.0</t>
  </si>
  <si>
    <t>Access2003</t>
  </si>
  <si>
    <t>Microsoft Access Driver (*.mdb, *.accdb)</t>
  </si>
  <si>
    <t>SQLite3 ODBC Driver</t>
  </si>
  <si>
    <t>SQLite</t>
  </si>
  <si>
    <t>PostgreSQL ANSI</t>
  </si>
  <si>
    <t>PostgreSQL</t>
  </si>
  <si>
    <t>MySQL ODBC 5.2 ANSI Driver</t>
  </si>
  <si>
    <t>Movimento</t>
  </si>
  <si>
    <t>Plano</t>
  </si>
  <si>
    <t>Conta</t>
  </si>
  <si>
    <t>Documento</t>
  </si>
  <si>
    <t>Observacao</t>
  </si>
  <si>
    <t>DataDeEmissao</t>
  </si>
  <si>
    <t>DataDeVencimento</t>
  </si>
  <si>
    <t>ValorOriginal</t>
  </si>
  <si>
    <t>DataDePagamento</t>
  </si>
  <si>
    <t>ValorFinal</t>
  </si>
  <si>
    <t>Transacao</t>
  </si>
  <si>
    <t>DESPESA</t>
  </si>
  <si>
    <t>PESSOAL</t>
  </si>
  <si>
    <t>procedure:</t>
  </si>
  <si>
    <t>server</t>
  </si>
  <si>
    <t>user</t>
  </si>
  <si>
    <t>pass</t>
  </si>
  <si>
    <t>BOLETO</t>
  </si>
  <si>
    <t>Frequencia</t>
  </si>
  <si>
    <t>FIXO</t>
  </si>
  <si>
    <t>VARIAVEL</t>
  </si>
  <si>
    <t>PROFISSIONAL</t>
  </si>
  <si>
    <t>RECEITA</t>
  </si>
  <si>
    <t>ALIMENTAÇÃO</t>
  </si>
  <si>
    <t>VANESSA</t>
  </si>
  <si>
    <t>IMPOSTOS</t>
  </si>
  <si>
    <t>LUZ</t>
  </si>
  <si>
    <t>IOF</t>
  </si>
  <si>
    <t>Grupo</t>
  </si>
  <si>
    <t>MySQL ODBC 5.3 ANSI Driver</t>
  </si>
  <si>
    <t>database</t>
  </si>
  <si>
    <t>DINHEIRO</t>
  </si>
  <si>
    <t>SQL Server Native Client 10.0</t>
  </si>
  <si>
    <t>SQL Server</t>
  </si>
  <si>
    <t>kawaifilms3</t>
  </si>
  <si>
    <t>Kw41L70N@@</t>
  </si>
  <si>
    <t>186.202.148.142</t>
  </si>
  <si>
    <t>driver</t>
  </si>
  <si>
    <t>RSHOP-CULTURAL MU-001024</t>
  </si>
  <si>
    <t>INT PAG TIT BANCO 104</t>
  </si>
  <si>
    <t>PORTO SEGURO PORTO SEGU</t>
  </si>
  <si>
    <t>SEGURO ITAUEMPRESA 04/11</t>
  </si>
  <si>
    <t>TAR/CUSTAS COBRANCA</t>
  </si>
  <si>
    <t>RSHOP-ESTACAO CAF-001024</t>
  </si>
  <si>
    <t>PAGAMENTO CHEQUE 000593</t>
  </si>
  <si>
    <t>PAGAMENTO CHEQUE 000644</t>
  </si>
  <si>
    <t>TBI 8576.13307-1 C/C</t>
  </si>
  <si>
    <t>INT PAG TIT BANCO 001</t>
  </si>
  <si>
    <t>INT PAG TIT BANCO 033</t>
  </si>
  <si>
    <t>INT DAS 1334403142249</t>
  </si>
  <si>
    <t>INT GPS 008678073000149</t>
  </si>
  <si>
    <t>INT NET 000214906425</t>
  </si>
  <si>
    <t>INT TELEFONICA 048001201</t>
  </si>
  <si>
    <t>CXE SAQUE 000216.001024</t>
  </si>
  <si>
    <t>TBI 0152.85207-5 C/C</t>
  </si>
  <si>
    <t>INT PMSP 31230000703</t>
  </si>
  <si>
    <t>NÃO TENHO A DESCRIÇÃO DO GASTO</t>
  </si>
  <si>
    <t>AG CONTÁBIL -KAWAI REF.NOVEMBRO</t>
  </si>
  <si>
    <t>PORTO SEGURO</t>
  </si>
  <si>
    <t>ITAÚ EMPRESA</t>
  </si>
  <si>
    <t>TARIFA CUSTAS DE COBRANÇA</t>
  </si>
  <si>
    <t>GASTO SEM NF.</t>
  </si>
  <si>
    <t>CHEQUE</t>
  </si>
  <si>
    <t>2ª PARCELA DO 13º SALÁRIO - ELISEU</t>
  </si>
  <si>
    <t>ADIANTAMENTO - ELISEU</t>
  </si>
  <si>
    <t>MM PRIMO</t>
  </si>
  <si>
    <t>PHIXIES REF. NOVEMBRO/2013</t>
  </si>
  <si>
    <t>K2 HOST DOC. 116636</t>
  </si>
  <si>
    <t>AG CONTABIL - RAPADURA REF. NOVEMBRO</t>
  </si>
  <si>
    <t>DAS 11/2013</t>
  </si>
  <si>
    <t>GPS COMPETENCIA 13/2013</t>
  </si>
  <si>
    <t>GPS COMPETENCIA 11/2013</t>
  </si>
  <si>
    <t>NET REF. DEZEMBRO/2013</t>
  </si>
  <si>
    <t>TELEFONICA REF. DEZ.2013</t>
  </si>
  <si>
    <t>SAQUE</t>
  </si>
  <si>
    <t>PAGTO. THIAGO (CÂMERA)</t>
  </si>
  <si>
    <t>PHIXIES REF. DEZEMBRO/2013</t>
  </si>
  <si>
    <t>DAMSP - ACORDO (PARC. 17/60)</t>
  </si>
  <si>
    <t>MOV TIT COB DISP 02/12S</t>
  </si>
  <si>
    <t>MOV TIT COBRANCA 03/12S</t>
  </si>
  <si>
    <t>MOV TIT COBRANCA 06/12S</t>
  </si>
  <si>
    <t>DOC 399.1324GORITZIA FIL</t>
  </si>
  <si>
    <t>MOV TIT COB DISP 18/12S</t>
  </si>
  <si>
    <t>MOV TIT COBRANCA 18/12S</t>
  </si>
  <si>
    <t>SISPAG CONSPIRA F SA FI</t>
  </si>
  <si>
    <t>MOV TIT COB DISP 20/12S</t>
  </si>
  <si>
    <t>MOV TIT COB DISP 23/12S</t>
  </si>
  <si>
    <t>DOC 104.2995A F T CAST P</t>
  </si>
  <si>
    <t>DOC 001.4037FABRIKA FILM</t>
  </si>
  <si>
    <t>MOV TIT COBRANCA 26/12S</t>
  </si>
  <si>
    <t>SISPAG PARANOID BRASIL</t>
  </si>
  <si>
    <t>SISPAG SAM TRANS PROD L</t>
  </si>
  <si>
    <t>MOV TIT COBRANCA 27/12S</t>
  </si>
  <si>
    <t>MOV TIT COB DISP 31/12S</t>
  </si>
  <si>
    <t>OS. 053 SENTIMENTAL (RECIBO 181)</t>
  </si>
  <si>
    <t>OS. 054 CINE CINEMATOGRAFIA (RECIBO 182)</t>
  </si>
  <si>
    <t>OS. 064 ZOLA (NF.453)</t>
  </si>
  <si>
    <t>OS. 062 BIG BONSAI (RECIBO 189)</t>
  </si>
  <si>
    <t>OS. 063 CONSPIRAÇÃO (NF. 465)</t>
  </si>
  <si>
    <t>OS. 063 CONSPIRAÇÃO (RECIBO 188)</t>
  </si>
  <si>
    <t>OS. 056 GALILEU (ESTÚDIO MOL) RECIBO 185</t>
  </si>
  <si>
    <t>OS. 066 AFT CASTILHO -DELACASADELAMADRE (NF.459)</t>
  </si>
  <si>
    <t>OS. 060 FABRIKA FILMES (NF.466)</t>
  </si>
  <si>
    <t>OS. 060 FABRIKA FILMES (RECIBO 196)</t>
  </si>
  <si>
    <t>OS. 071 PARANOID (NF. 463)</t>
  </si>
  <si>
    <t>OS. 068 SAM TRANSMEDIA (NF.460)</t>
  </si>
  <si>
    <t>OS. 066 AFT CASTILHO -DELACASADELAMADRE (RECIBO 190)</t>
  </si>
  <si>
    <t>OS. 057 PARANOID (RECIBO 187)</t>
  </si>
  <si>
    <t>SISPAG BIG BON B P C C</t>
  </si>
  <si>
    <t>MOV TIT COBRANCA 06/01S</t>
  </si>
  <si>
    <t>SISPAG HUNGRY M B PROD</t>
  </si>
  <si>
    <t>MOV TIT COB DISP 13/01S</t>
  </si>
  <si>
    <t>SISPAG BOSSA N F C P LT</t>
  </si>
  <si>
    <t>TED 001.2817ZEPPELIN PRO</t>
  </si>
  <si>
    <t>SISPAG O2 PROD ART CINE</t>
  </si>
  <si>
    <t>SISPAG VIDEOGRAPHICA P</t>
  </si>
  <si>
    <t>SISPAG 7 FIL PROD LTDA</t>
  </si>
  <si>
    <t>SISPAG FULL J COM PROP</t>
  </si>
  <si>
    <t>MOV TIT COB DISP 24/01S</t>
  </si>
  <si>
    <t>TBI 0762.58808-5 C/C</t>
  </si>
  <si>
    <t>MOV TIT COB DISP 28/01S</t>
  </si>
  <si>
    <t>TBI 8359.00189-1 C/C</t>
  </si>
  <si>
    <t>OS.062 - BIG BONSAI (NF. 456)</t>
  </si>
  <si>
    <t>OS.072-VETOR ZERO-VIDEOGRAFICA (RECIBO 195 )</t>
  </si>
  <si>
    <t>OS.077 -HUNGRY MAN (NF.467)</t>
  </si>
  <si>
    <t>OS.079 - NET4 (RECIBO 201)</t>
  </si>
  <si>
    <t>OS. 080 - BOSSA NOVA (NF.469)</t>
  </si>
  <si>
    <t>OS. 052 - ZEPPELIN (RECIBO 183)</t>
  </si>
  <si>
    <t>OS. 070 - ZEPPELIN (RECIBO 194 E NF. 462)</t>
  </si>
  <si>
    <t>OS. 052 - ZEPPELIN (NF.455)</t>
  </si>
  <si>
    <t>OS. 081 - O2 (NF. 470)</t>
  </si>
  <si>
    <t>OS.072-VETOR ZERO-VIDEOGRAFICA (NF.464 )</t>
  </si>
  <si>
    <t>OS. 078 - BOSSA NOVA (RECIBO 200)</t>
  </si>
  <si>
    <t>OS. 084 - 7 FILMES (NF. 471)</t>
  </si>
  <si>
    <t>OS. 097 - FULL JAZZ (RECIBO 203)</t>
  </si>
  <si>
    <t>OS.354 - BLACK MAGIC(BET MOV) NF. 473 - OS. ANTIGA RENEGOCIAÇÃO</t>
  </si>
  <si>
    <t>OS. 073 - PARANOID (RECIBO 197)</t>
  </si>
  <si>
    <t>OS. 096 - MESCLA-ROBERTA (NF. 475)</t>
  </si>
  <si>
    <t>SISPAG DELI BIS PROD FI</t>
  </si>
  <si>
    <t>MOV TIT COB DISP 06/02S</t>
  </si>
  <si>
    <t>MOV TIT COB DISP 10/02S</t>
  </si>
  <si>
    <t>MOV TIT COB DISP 17/02S</t>
  </si>
  <si>
    <t>MOV TIT COBRANCA 18/02S</t>
  </si>
  <si>
    <t>TBI 4285.01134-4 C/C</t>
  </si>
  <si>
    <t>SISPAG AOO PRODUCOES LT</t>
  </si>
  <si>
    <t>MOV TIT COB DISP 21/02S</t>
  </si>
  <si>
    <t>MOV TIT COB DISP 24/02S</t>
  </si>
  <si>
    <t>MOV TIT COB DISP 25/02S</t>
  </si>
  <si>
    <t>TEC DEPOSITO DINHEIRO</t>
  </si>
  <si>
    <t>OS. 082 - DELI BISTROT (NF.472)</t>
  </si>
  <si>
    <t>OS. 068 - SAM TRANSMEDIA (RECIBO 192)</t>
  </si>
  <si>
    <t>OS.100 - FULL JAZZ ( RECIBO 209)</t>
  </si>
  <si>
    <t>OS.088 - INCRIVEL FILMES  ( RECIBO 202)</t>
  </si>
  <si>
    <t>OS.091 - COMPANHIA DE CINEMA  (RECIBO 207)</t>
  </si>
  <si>
    <t>OS. 089 E 092 - GIRAMUNDO (RECIBO 206)</t>
  </si>
  <si>
    <t>OS. 085 - A00 (SAM TRANSMIDIA) NF.477</t>
  </si>
  <si>
    <t>090 E 093 - RGS STUDIO - (RECIBO 210)</t>
  </si>
  <si>
    <t>085 E 086 - A00 (SAM TRANSMIDIA) RECIBO 204</t>
  </si>
  <si>
    <t>098 - DAMASCO (RECIBO 208)</t>
  </si>
  <si>
    <t>OS. 069 - DIGITAL 21 - NF.461 E RECIBO 193 (VENCIDO EM 27/12/13)</t>
  </si>
  <si>
    <t>MOV TIT COB DISP 06/03S</t>
  </si>
  <si>
    <t>EST LIS/JUROS</t>
  </si>
  <si>
    <t>MOV TIT COB DISP 10/03S</t>
  </si>
  <si>
    <t>SISPAG CONSPIRA O FILME</t>
  </si>
  <si>
    <t>MOV TIT COB DISP 14/03S</t>
  </si>
  <si>
    <t>TEC DEP CHEQUE 18/03</t>
  </si>
  <si>
    <t>MOV TIT COB DISP 21/03S</t>
  </si>
  <si>
    <t>MOV TIT COB DISP 31/03S</t>
  </si>
  <si>
    <t>OS. 106 - CONSPIRAÇÃO SP - NF. 481</t>
  </si>
  <si>
    <t>OS. 102 - PARANOID (RECIBO 213)</t>
  </si>
  <si>
    <t>ESTORNO BANCO</t>
  </si>
  <si>
    <t>OS. 087 - DIGITAL 21 - NF.478 E RECIBO 205</t>
  </si>
  <si>
    <t>OS. 105 - CONSPIRAÇÃO RJ (NF. 483) DESCONTO NO IMPOSTO DE R$ 30,00</t>
  </si>
  <si>
    <t>OS. 099 - GIRAMUNDO (RECIBO 211)</t>
  </si>
  <si>
    <t>OS.107 - DELI BISTROT (RECIBO 216)</t>
  </si>
  <si>
    <t>OS.105 - CONSPIRAÇÃO RJ (RECIBO 215)</t>
  </si>
  <si>
    <t xml:space="preserve">OS. 94 - BOSSA NOVA (NF.479) VENCTO. 17/02 </t>
  </si>
  <si>
    <t>OS. 117 - HUNGRY MAN (NF.486)</t>
  </si>
  <si>
    <t>OS. 108 - PARANOID (RECIBO 217)</t>
  </si>
  <si>
    <t>OS. 118 - FULANO FILMES (NF.487)</t>
  </si>
  <si>
    <t>OS. 114 - PARANOID (NF.485)</t>
  </si>
  <si>
    <t>OS. 112 - FULL JAZZ (RECIBO 218)</t>
  </si>
  <si>
    <t>MOV TIT COB DISP 04/04S</t>
  </si>
  <si>
    <t>MOV TIT COB DISP 08/04S</t>
  </si>
  <si>
    <t>SISPAG INCRIVEL F P F L</t>
  </si>
  <si>
    <t>MOV TIT COBRANCA 15/04S</t>
  </si>
  <si>
    <t>MOV TIT COB DISP 16/04S</t>
  </si>
  <si>
    <t>SISPAG 3 TIMES 1 PROD L</t>
  </si>
  <si>
    <t>MOV TIT COB DISP 23/04S</t>
  </si>
  <si>
    <t>MOV TIT COBRANCA 23/04S</t>
  </si>
  <si>
    <t>MOV TIT COB DISP 25/04S</t>
  </si>
  <si>
    <t>TED 104.2873CET FORNECED</t>
  </si>
  <si>
    <t>TBI 3218.06364-6recib221</t>
  </si>
  <si>
    <t>OS.120 - CONSPIRAÇÃO SP   (RECIBO 225)</t>
  </si>
  <si>
    <t>OS.130 - FULL JAZZ (RECIBO 228)</t>
  </si>
  <si>
    <t>OS.132 - HUNGRY MAN (NF.492)</t>
  </si>
  <si>
    <t>OS.126 - INCRIVEL FILMES (NF. 488)</t>
  </si>
  <si>
    <t>OS.104 - SAM TRANSMIDIA (RECIBO 219)</t>
  </si>
  <si>
    <t>OS.123 - MORENA FILMES (RECIBO 227)</t>
  </si>
  <si>
    <t>OS.122 - HOMEM DE LATA (RECIBO 226)</t>
  </si>
  <si>
    <t xml:space="preserve">OS.127 - PARANOID (NF. 491) </t>
  </si>
  <si>
    <t>OS.116 - 3 TIMES 1 (NF. 489)</t>
  </si>
  <si>
    <t>OS. 109 - SAM TRANSMIDIA (RECIBO 220)</t>
  </si>
  <si>
    <t>OS.115 - PARANOID (RECIBO 223)</t>
  </si>
  <si>
    <t>OS. 125 - BIG BONSAI (NF.493)</t>
  </si>
  <si>
    <t>OS. 131 - CET (NF. 490)</t>
  </si>
  <si>
    <t>OS. 119 - MOVIOLA (RECIBO 221)</t>
  </si>
  <si>
    <t>CEI 000061 DINHEIRO</t>
  </si>
  <si>
    <t>MOV TIT COB DISP 07/05S</t>
  </si>
  <si>
    <t>MOV TIT COBRANCA 09/05S</t>
  </si>
  <si>
    <t>MOV TIT COB DISP 12/05S</t>
  </si>
  <si>
    <t>MOV TIT COB DISP 16/05S</t>
  </si>
  <si>
    <t>SISPAG BRAS IMAGEM C LT</t>
  </si>
  <si>
    <t>SISPAG MARC V P C VT LT</t>
  </si>
  <si>
    <t>MOV TIT COB DISP 23/05S</t>
  </si>
  <si>
    <t>MOV TIT COB DISP 27/05S</t>
  </si>
  <si>
    <t>MOV TIT COBRANCA 30/05S</t>
  </si>
  <si>
    <t xml:space="preserve">NF. 412 - POLIS PROPAGANDA REF. NF.412(R$ 1.593,00) ANO 2013 </t>
  </si>
  <si>
    <t xml:space="preserve">OS. 136 - VIDEOCUBO (RECIBO 235) </t>
  </si>
  <si>
    <t>OS. 139 - PARANOID (NF. 494)</t>
  </si>
  <si>
    <t>OS. 133 - MARIA FARINHA (RECIBO 233)</t>
  </si>
  <si>
    <t xml:space="preserve">OS. 141 - CINE (RECIBO 239) </t>
  </si>
  <si>
    <t>OS.146 - BLACK MARIA (RECIBO 242)</t>
  </si>
  <si>
    <t>OS. 129 - PARANOID (RECIBO 232)</t>
  </si>
  <si>
    <t>OS. 128 - BRASILEIRA (RECIBO 231)</t>
  </si>
  <si>
    <t>OS. 156 - MARC VIDEO (NF. 500)</t>
  </si>
  <si>
    <t>OS. 135 - GIRAMUNDO (RECIBO 237)</t>
  </si>
  <si>
    <t>OS. 144 - AFT CASTILHO - LACASADELAMADRE (RECIBO 240)</t>
  </si>
  <si>
    <t>TBI 3242.05511-3 C/C</t>
  </si>
  <si>
    <t>TAR COBRANCA MENSAL</t>
  </si>
  <si>
    <t>TAR MAXCTA PJ MENS 12/13</t>
  </si>
  <si>
    <t>DOC INT 899166</t>
  </si>
  <si>
    <t>TAR DOC 30H INT</t>
  </si>
  <si>
    <t>INT PAG TIT 175001460317</t>
  </si>
  <si>
    <t>INT FGTS-GRF 08678073000</t>
  </si>
  <si>
    <t>LIS/JUROS</t>
  </si>
  <si>
    <t>DOC INT 942233</t>
  </si>
  <si>
    <t>DOC INT 942815</t>
  </si>
  <si>
    <t>INT PAG TIT 175201165019</t>
  </si>
  <si>
    <t>ELETROPAULO 1000864431</t>
  </si>
  <si>
    <t>SABESP 0065076621</t>
  </si>
  <si>
    <t>TBI 1165.39345-3/500</t>
  </si>
  <si>
    <t>SISDEB PORTO SEGURO</t>
  </si>
  <si>
    <t>SEGURO ITAUEMPRESA 05/11</t>
  </si>
  <si>
    <t>INT PAG TIT 157645210219</t>
  </si>
  <si>
    <t>INT PAG TIT BANCO 237</t>
  </si>
  <si>
    <t>INT DEB PEND SP000488228</t>
  </si>
  <si>
    <t>INT DPVAT-SP FEX-3542</t>
  </si>
  <si>
    <t>INT IPVA-SP FEX-3542</t>
  </si>
  <si>
    <t>INT LICENC SP 000488228</t>
  </si>
  <si>
    <t>CXE SAQUE 000539.001024</t>
  </si>
  <si>
    <t>TBI 2960.20435-8 C/C</t>
  </si>
  <si>
    <t>INT TED 994161</t>
  </si>
  <si>
    <t>TAR TED INT 994161</t>
  </si>
  <si>
    <t>INT DAS 1401409891111</t>
  </si>
  <si>
    <t>INT NET 000216766011</t>
  </si>
  <si>
    <t>CXE SAQUE 000703.001024</t>
  </si>
  <si>
    <t>DOC INT 722592</t>
  </si>
  <si>
    <t>RSHOP-SOHO -001024</t>
  </si>
  <si>
    <t>TBI 5198.00359-1 C/C</t>
  </si>
  <si>
    <t xml:space="preserve">PAGTO. FLÁVIA </t>
  </si>
  <si>
    <t>TARIFA DE COBRANÇA MENSAL</t>
  </si>
  <si>
    <t>TARIFA DE CUSTAS DE COBRANÇA</t>
  </si>
  <si>
    <t>TARIFA MAXCTA PJ</t>
  </si>
  <si>
    <t>ELISEU - ALIMENTAÇÃO</t>
  </si>
  <si>
    <t>ELISEU - TRANSPORTE</t>
  </si>
  <si>
    <t>PAGTO. FINANCEIRO NF. 023</t>
  </si>
  <si>
    <t>TARIFA BANCO REF. DOC</t>
  </si>
  <si>
    <t>ALUGUEL DA KAWAI - PINHO ADM.</t>
  </si>
  <si>
    <t>FGTS - COMPET. 12/2013</t>
  </si>
  <si>
    <t>LIS/ JUROS</t>
  </si>
  <si>
    <t>SALÁRIO - ELISEU</t>
  </si>
  <si>
    <t>PRÓ-LABORE FERNANDO</t>
  </si>
  <si>
    <t>EMPRÉSTIMO PARA KAWAI</t>
  </si>
  <si>
    <t>TARIFA DOC 30HS</t>
  </si>
  <si>
    <t>CARTÃO DE CRÉDITO - KAWAI FILMS</t>
  </si>
  <si>
    <t>LUZ - REF. DEZEMBR0/2013</t>
  </si>
  <si>
    <t>ÁGUA - REF. DEZEMBRO/2013</t>
  </si>
  <si>
    <t>02 DIÁRIAS - CARLOS</t>
  </si>
  <si>
    <t>DÉBITO AUT. - PORTO SEGURO</t>
  </si>
  <si>
    <t>DÉBITO AUT. - SEGURO ITAÚ EMPRESA</t>
  </si>
  <si>
    <t>ANIL TINTAS - Nº DOC. 1465</t>
  </si>
  <si>
    <t xml:space="preserve">TELEFONE VIVO PARTICULAR-FERNANDO </t>
  </si>
  <si>
    <t>VIVO SPEEDY - KAWAI (SEM NOTA FISCAL)</t>
  </si>
  <si>
    <t>PAGTO. DETRAN (FLÁVIA) SEM DOCUMENTAÇÃO</t>
  </si>
  <si>
    <t>PAGTO. DPVAT (FLÁVIA) SEM DOCUMENTAÇÃO</t>
  </si>
  <si>
    <t>PAGTO. IPVA (FLÁVIA) SEM DOCUMENTAÇÃO</t>
  </si>
  <si>
    <t>PAGTO. LICENCIAMENTO (FLÁVIA) SEM DOCUMENTAÇÃO</t>
  </si>
  <si>
    <t>SAQUE - NÃO TENHO A DESCRIÇÃO</t>
  </si>
  <si>
    <t>PAGTO. FABIANY DOG (PARTICULAR)</t>
  </si>
  <si>
    <t>EMPRÉSTIMO - KAWAI</t>
  </si>
  <si>
    <t>TARIFA DO BANCO REF. AO TED</t>
  </si>
  <si>
    <t>AG CONTABIL - KAWAI</t>
  </si>
  <si>
    <t>AG CONTABIL - RAPADURA</t>
  </si>
  <si>
    <t>DAS  - COMPET. 12/2013</t>
  </si>
  <si>
    <t>NET - REF. JANEIRO/2014</t>
  </si>
  <si>
    <t>GPS - COMPET.12/2013</t>
  </si>
  <si>
    <t>CRISTINA BELLODI BREIM - NÃO TENHO A DESCRIÇÃO</t>
  </si>
  <si>
    <t>GASTO SEM NF</t>
  </si>
  <si>
    <t>PAGAMENTO FLÁVIA</t>
  </si>
  <si>
    <t>LOCUÇÃO BISPO</t>
  </si>
  <si>
    <t>TBI 3242.05511-3/500</t>
  </si>
  <si>
    <t>DOC INT 947373</t>
  </si>
  <si>
    <t>INT PAG TIT 175001466454</t>
  </si>
  <si>
    <t>TAR MAXCTA PJ MENS 01/14</t>
  </si>
  <si>
    <t>DOC INT 895191</t>
  </si>
  <si>
    <t>DOC INT 883479</t>
  </si>
  <si>
    <t>SEGURO ITAUEMPRESA 06/11</t>
  </si>
  <si>
    <t>PAGAMENTO CHEQUE 000610</t>
  </si>
  <si>
    <t>RSHOP-REDE PARK -001024</t>
  </si>
  <si>
    <t>CH COMPENSADO 001 000611</t>
  </si>
  <si>
    <t>APLICACAO CDB</t>
  </si>
  <si>
    <t>INT DAS 1404403416050</t>
  </si>
  <si>
    <t>CXE SAQUE 000570.001024</t>
  </si>
  <si>
    <t>TBI 3741.35762-2 C/C</t>
  </si>
  <si>
    <t>INT NET 000218666777</t>
  </si>
  <si>
    <t>TBI 7122.01334-0 C/C</t>
  </si>
  <si>
    <t>INT TED 839537</t>
  </si>
  <si>
    <t>TAR TED INT 839537</t>
  </si>
  <si>
    <t>EMPRÉSTIMO FLÁVIA</t>
  </si>
  <si>
    <t>TARIFA COBRANÇA MENSAL</t>
  </si>
  <si>
    <t>PAGTO. FINANCEIRO NF. 024</t>
  </si>
  <si>
    <t>TARIFA BANCO 30 HORAS</t>
  </si>
  <si>
    <t>ALUGUEL BARTOLOMEU ZUNEGA</t>
  </si>
  <si>
    <t xml:space="preserve">ELETROPAULO </t>
  </si>
  <si>
    <t>TARIFA MENSAL PJ</t>
  </si>
  <si>
    <t>SABESP</t>
  </si>
  <si>
    <t>TRANSF. ELISEU- ALIMENTAÇÃO</t>
  </si>
  <si>
    <t>TRANSF. ELISEU-TRANSPORTE</t>
  </si>
  <si>
    <t>SALÁRIO ELISEU</t>
  </si>
  <si>
    <t>PRÓ LABORE - FERNANDO</t>
  </si>
  <si>
    <t>AG CONTÁBIL - KAWAI</t>
  </si>
  <si>
    <t>CARTÃO ITAÚ</t>
  </si>
  <si>
    <t>FGTS COMPETÊNCIA 01/2014</t>
  </si>
  <si>
    <t xml:space="preserve">PROJETO ADMINISTRATIVO </t>
  </si>
  <si>
    <t>SEGURO ITAÚ EMPRESA</t>
  </si>
  <si>
    <t>NÃO TENHO A DESCRIÇÃO</t>
  </si>
  <si>
    <t>PAGTO. IMPOSTO PM</t>
  </si>
  <si>
    <t>ESTACIONAMENTO</t>
  </si>
  <si>
    <t>PHIXIES</t>
  </si>
  <si>
    <t>PAGTO. TELEFONICA</t>
  </si>
  <si>
    <t>ADIANTAMENTO ELISEU</t>
  </si>
  <si>
    <t>AG CONTÁBIL - RAPADURA</t>
  </si>
  <si>
    <t>INVESTIMENTO</t>
  </si>
  <si>
    <t>DAS 01/2014</t>
  </si>
  <si>
    <t>GPS 01/2014</t>
  </si>
  <si>
    <t>PAGAMENTO SOM DIRETO</t>
  </si>
  <si>
    <t>PAGAMENTO NET REF. FATURA:1402917212630</t>
  </si>
  <si>
    <t>PAGAMENTO EMPRÉSTIMO FLÁVIA</t>
  </si>
  <si>
    <t>MM PRIMO NF.087.436</t>
  </si>
  <si>
    <t>PAGTO. VIVO (3031-8204)</t>
  </si>
  <si>
    <t>PENSÃO LIPE</t>
  </si>
  <si>
    <t>RETIRADA FERNANDO</t>
  </si>
  <si>
    <t>TARIFA DO TED</t>
  </si>
  <si>
    <t>DOC INT 927146</t>
  </si>
  <si>
    <t>INT PAG TIT 175001471983</t>
  </si>
  <si>
    <t>DOC INT 644228</t>
  </si>
  <si>
    <t>TAR MAXCTA PJ MENS 02/14</t>
  </si>
  <si>
    <t>CXE SAQUE 000448.001024</t>
  </si>
  <si>
    <t>TBI 0570.57567-0 C/C</t>
  </si>
  <si>
    <t>INT PMSP 00078237608</t>
  </si>
  <si>
    <t>SEGURO ITAUEMPRESA 07/11</t>
  </si>
  <si>
    <t>CH COMPENSADO 237 000612</t>
  </si>
  <si>
    <t>RSHOP-A P DUQUE P-001024</t>
  </si>
  <si>
    <t>RSHOP-BASICO -001024</t>
  </si>
  <si>
    <t>INT PAG TIT 157752813326</t>
  </si>
  <si>
    <t>INT SHOPLINE FOURSERV</t>
  </si>
  <si>
    <t>INT DAS 1407005582205</t>
  </si>
  <si>
    <t>CXE SAQUE 000356.001024</t>
  </si>
  <si>
    <t>RSHOP-COMERCIAL G-001024</t>
  </si>
  <si>
    <t>TBI 0185.09144-4 C/C</t>
  </si>
  <si>
    <t>DOC INT 854037</t>
  </si>
  <si>
    <t>INT NET 000220544824</t>
  </si>
  <si>
    <t>CXE SAQUE 000620.001024</t>
  </si>
  <si>
    <t>RSHOP-PRACA CHEES-001024</t>
  </si>
  <si>
    <t>RSHOP-MANIA DE CH-001024</t>
  </si>
  <si>
    <t>FINANCEIRO - NF. 025</t>
  </si>
  <si>
    <t>TARIFA DOC</t>
  </si>
  <si>
    <t>PINHO ADM. ALUGUEL Nº 147198</t>
  </si>
  <si>
    <t>VALE TRANSPORTE REF. MARÇO- ELISEU</t>
  </si>
  <si>
    <t>PAGTO. SALÁRIO REF. MARÇO- ELISEU</t>
  </si>
  <si>
    <t>REFEIÇÃO REF. MARÇO - ELISEU</t>
  </si>
  <si>
    <t>PAGTO. SALÁRIO FERNANDO</t>
  </si>
  <si>
    <t>SEAFESP - CONTRIBUIÇÃO SINDICAL</t>
  </si>
  <si>
    <t>FGTS COMPETENCIA 02/2014</t>
  </si>
  <si>
    <t>DOM SABOR - MARMITAS (SEM NOTA FISCAL)</t>
  </si>
  <si>
    <t>SABESP - REF. MARÇO/14</t>
  </si>
  <si>
    <t>PAGTO. TIAGO - CAMERA TVT (SEM NOTA FISCAL)</t>
  </si>
  <si>
    <t>CAIXA DA KAWAI - PARA GASTOS DIVERSOS</t>
  </si>
  <si>
    <t>AG CONTÁBIL - KAWAI Nº DOC.2934</t>
  </si>
  <si>
    <t>NOVO ACORDO (DAMSP) Nº 4.230.737 - 1ª PARC.</t>
  </si>
  <si>
    <t>ELETROPAULO - PARTICULAR</t>
  </si>
  <si>
    <t>SEGURO ITAU EMPRESA</t>
  </si>
  <si>
    <t xml:space="preserve">ANIL TINTAS Nº DOC.1561 </t>
  </si>
  <si>
    <t>AG CONTABIL - RAPADURA Nº DOC.2956</t>
  </si>
  <si>
    <t>DAS COMPETENCIA 02/2014</t>
  </si>
  <si>
    <t>GPS - COMPETENCIA 02/2014</t>
  </si>
  <si>
    <t>PAGAMENTO TIAGO - CAMERA</t>
  </si>
  <si>
    <t>CARTÃO DE CRÉDITO - DÉB. AUTOMÁTICO</t>
  </si>
  <si>
    <t>SAQUE SEM DESCRIÇÃO DO GASTO</t>
  </si>
  <si>
    <t>CASA DO SACO NF. Nº 7.594</t>
  </si>
  <si>
    <t>FINANCEIRO - NF. 026</t>
  </si>
  <si>
    <t>K2 HOST - Nº DOC. 123018</t>
  </si>
  <si>
    <t>FATURA NET  1403917212460 - REF. MARÇO/14</t>
  </si>
  <si>
    <t xml:space="preserve">TELEFONICA </t>
  </si>
  <si>
    <t>ELETROPAULO - REF. BARTOLOMEU ZUNEGA</t>
  </si>
  <si>
    <t>PAGAMENTO RESCISÃO - ELISEU</t>
  </si>
  <si>
    <t>PAGTO. PENSÃO LIPE</t>
  </si>
  <si>
    <t>CXE SAQUE 000604.001024</t>
  </si>
  <si>
    <t>TBI 8848.20859-4 C/C</t>
  </si>
  <si>
    <t>DOC INT 806774</t>
  </si>
  <si>
    <t>DOC INT 806779</t>
  </si>
  <si>
    <t>RSHOP-EXTRA LOJA -001024</t>
  </si>
  <si>
    <t>TAR MAXCTA PJ MENS 03/14</t>
  </si>
  <si>
    <t>RSHOP-TORI RESTAU-001024</t>
  </si>
  <si>
    <t>RSHOP-PIZZARIA MA-001024</t>
  </si>
  <si>
    <t>RSHOP-SOL DE VERA-001024</t>
  </si>
  <si>
    <t>AG. SAQUE 001461.001024</t>
  </si>
  <si>
    <t>CXE SAQUE 000331.001024</t>
  </si>
  <si>
    <t>CXE SAQUE 000349.001024</t>
  </si>
  <si>
    <t>RSHOP-SANTINHO RE-001024</t>
  </si>
  <si>
    <t>TBI 0775.06420-7 C/C</t>
  </si>
  <si>
    <t>DOC INT 789298</t>
  </si>
  <si>
    <t>TBI 0196.60054-8 C/C</t>
  </si>
  <si>
    <t>INT PAG TIT 175001477766</t>
  </si>
  <si>
    <t>TBI 0167.78128-5 C/C</t>
  </si>
  <si>
    <t>INT ITAUCARD</t>
  </si>
  <si>
    <t>SEGURO ITAUEMPRESA 08/11</t>
  </si>
  <si>
    <t>TBI 9323.10338-3 C/C</t>
  </si>
  <si>
    <t>DOC INT 770514</t>
  </si>
  <si>
    <t>RSHOP-BR PARKING -001024</t>
  </si>
  <si>
    <t>INT PAG TIT 181923000431</t>
  </si>
  <si>
    <t>INT DAS 1409700535542</t>
  </si>
  <si>
    <t>PAGAMENTO CHEQUE 000606</t>
  </si>
  <si>
    <t>INT NET 000222573751</t>
  </si>
  <si>
    <t>PAGAMENTO CHEQUE 000615</t>
  </si>
  <si>
    <t>CH COMPENSADO 033 000613</t>
  </si>
  <si>
    <t>TBI 2925.03748-9 C/C</t>
  </si>
  <si>
    <t>TBI 0763.23789-8 C/C</t>
  </si>
  <si>
    <t>INT PAG TIT 175001483285</t>
  </si>
  <si>
    <t>INT PAG TIT 181929435078</t>
  </si>
  <si>
    <t>DA PMSP 000004230737999</t>
  </si>
  <si>
    <t>ALIMENTAÇÃO RE. ABRIL - MARCELA</t>
  </si>
  <si>
    <t>TRANSPORTE REF. ABRIL - MARCELA</t>
  </si>
  <si>
    <t>TRANSPORTE REF. ABRIL - VANESSA</t>
  </si>
  <si>
    <t>ALIMENTAÇÃO RE. ABRIL - VANESSA</t>
  </si>
  <si>
    <t>IOF - MENSAL</t>
  </si>
  <si>
    <t>COMPRA DE CADEIRAS - NF.5561144</t>
  </si>
  <si>
    <t>TELEFONICA - PARTICULAR</t>
  </si>
  <si>
    <t>TARIFA PESSOA JURIDICA</t>
  </si>
  <si>
    <t>HD STORE - SEM NOTA FISCAL</t>
  </si>
  <si>
    <t>PAGTO. CARLOS CÂMERA - SEM NF.</t>
  </si>
  <si>
    <t>PAGTO. 5D FELSBERG - SEM NF.</t>
  </si>
  <si>
    <t>TARIFA 30HORAS</t>
  </si>
  <si>
    <t>ROGÉRIO SALLES - INTERNET</t>
  </si>
  <si>
    <t>PINHO ADM. ALUGUEL DA KAWAI</t>
  </si>
  <si>
    <t>FGTS - COMPETENCIA 03/2014</t>
  </si>
  <si>
    <t>BIKE BOY</t>
  </si>
  <si>
    <t>CARTÃO DE CRÉDITO KAWAI</t>
  </si>
  <si>
    <t>SEGURO EMPRESA ITAÚ</t>
  </si>
  <si>
    <t>PRODUÇÃO COREN</t>
  </si>
  <si>
    <t>PAGTO. MAURICIO - JOB. KAWAI</t>
  </si>
  <si>
    <t>TARIFA BANCO 30HS</t>
  </si>
  <si>
    <t>PAGTO. FLÁVIA - REEMBOLSO</t>
  </si>
  <si>
    <t>PAGTO. RESCISÃO MARCELA</t>
  </si>
  <si>
    <t>MM PRIMO - Nº DOC. 92442/1</t>
  </si>
  <si>
    <t>BOLETO ANIL TINTAS - Nº DOC. 1579</t>
  </si>
  <si>
    <t>DAS COMPETENCIA 03/2014</t>
  </si>
  <si>
    <t>TARIFAS CUSTAS DE COBRANÇA</t>
  </si>
  <si>
    <t>PORTO SEGURO - DEB. AUTOMATICO</t>
  </si>
  <si>
    <t>AG CONTÁBIL - RAPADURA -- Nº DOC. 3194</t>
  </si>
  <si>
    <t>AG CONTABIL - KAWAI -- Nº DOC. 3193</t>
  </si>
  <si>
    <t>GPS COMPETENCIA 03/2014</t>
  </si>
  <si>
    <t>NET - FATURA Nº1404917212337</t>
  </si>
  <si>
    <t>TELEFONICA REF. 04/2014</t>
  </si>
  <si>
    <t>REEMBOLSO COREN</t>
  </si>
  <si>
    <t>JÉSSICA -- ALIMENTAÇÃO REF. MAIO/2014</t>
  </si>
  <si>
    <t>JÉSSICA - TRANSPORTE REF. ABRIL/2014</t>
  </si>
  <si>
    <t>JÉSSICA -- ALIMENTAÇÃO REF. ABRIL/2014</t>
  </si>
  <si>
    <t>JÉSSICA - TRANSPORTE REF. MAIO/2014</t>
  </si>
  <si>
    <t>GUIA GRCSU</t>
  </si>
  <si>
    <t>ANIL TINTAS - BOLETO Nº DOC.1599</t>
  </si>
  <si>
    <t>ELETROPAULO - DÉB. AUTOMÁTICO</t>
  </si>
  <si>
    <t>ACORDO DAMSP (DÉB. AUTOMATICO)</t>
  </si>
  <si>
    <t>DOC INT 786127</t>
  </si>
  <si>
    <t>TAR MAXCTA PJ MENS 04/14</t>
  </si>
  <si>
    <t>PAGAMENTO CHEQUE 000616</t>
  </si>
  <si>
    <t>TBI 0775.62578-3 C/C</t>
  </si>
  <si>
    <t>DOC INT 931013</t>
  </si>
  <si>
    <t>SEGURO ITAUEMPRESA 09/11</t>
  </si>
  <si>
    <t>CH COMPENSADO 104 000617</t>
  </si>
  <si>
    <t>RSHOP-HNL ESTACIO-001024</t>
  </si>
  <si>
    <t>CXE SAQUE 001321.001024</t>
  </si>
  <si>
    <t>TBI 3777.60262-8 C/C</t>
  </si>
  <si>
    <t>CH COMPENSADO 104 000618</t>
  </si>
  <si>
    <t>INT DAS 1413401094860</t>
  </si>
  <si>
    <t>INT DAS 1414200064130</t>
  </si>
  <si>
    <t>INT DAS 1414200066450</t>
  </si>
  <si>
    <t>INT DAS 1414200067643</t>
  </si>
  <si>
    <t>INT DAS 1414200068488</t>
  </si>
  <si>
    <t>INT DAS 1414200069816</t>
  </si>
  <si>
    <t>INT DAS 1414200077487</t>
  </si>
  <si>
    <t>INT NET 000224512322</t>
  </si>
  <si>
    <t>INT TED 668299</t>
  </si>
  <si>
    <t>TAR TED INT 668299</t>
  </si>
  <si>
    <t>CH COMPENSADO 001 000619</t>
  </si>
  <si>
    <t>TBI 3242.08422-0 C/C</t>
  </si>
  <si>
    <t>TARIFA MENSAL DO BANCO</t>
  </si>
  <si>
    <t>PAGTO FINANCEIRO - NF.027</t>
  </si>
  <si>
    <t>TARIFA BANCO 30H</t>
  </si>
  <si>
    <t>TARIFA BANCO PJ</t>
  </si>
  <si>
    <t>CHEQUE - NÃO TENHO A DESCRIÇÃO DO GASTO</t>
  </si>
  <si>
    <t>CÓPIA XDCAM - RICARDO GABIN</t>
  </si>
  <si>
    <t>PAGTO. JÉSSICA REF. ABRIL/2014</t>
  </si>
  <si>
    <t>PRÓ-LABORE - FERNANDO</t>
  </si>
  <si>
    <t>AG CONTABIL - KAWAI FILMS</t>
  </si>
  <si>
    <t>SEGURO ITAÚ EMPRESAS</t>
  </si>
  <si>
    <t>PAGTO. ARTES RAPADURA - IGOR OTA ROGERO</t>
  </si>
  <si>
    <t>ADIANTAMENTO - JESSICA</t>
  </si>
  <si>
    <t>MM PRIMO - Nº DOC. 94734/1</t>
  </si>
  <si>
    <t>PAGTO. DAS COMPETENCIA 04/2014</t>
  </si>
  <si>
    <t>GPS - COMPETENCIA 04/2014</t>
  </si>
  <si>
    <t>PAGTO. ANA PRYNC - PRODUÇÃO DOCUMENTÁRIO</t>
  </si>
  <si>
    <t>BIKE BOY (MOTOBOY)</t>
  </si>
  <si>
    <t>AG CONTABIL REF. IRPF 2014 (FERNANDO E FLÁVIA)</t>
  </si>
  <si>
    <t>PAGTO. DAS COMPETENCIA 04/2010</t>
  </si>
  <si>
    <t>PAGTO. DAS COMPETENCIA 05/2010</t>
  </si>
  <si>
    <t>PAGTO. DAS COMPETENCIA 07/2010</t>
  </si>
  <si>
    <t>PAGTO. DAS COMPETENCIA 08/2010</t>
  </si>
  <si>
    <t>PAGTO. DAS COMPETENCIA 02/2012</t>
  </si>
  <si>
    <t>PAGTO. DAS COMPETENCIA 03/2013</t>
  </si>
  <si>
    <t>FGTS - COMPETENCIA 04/2014</t>
  </si>
  <si>
    <t>PAGTO. NET REF. MAIO/2014</t>
  </si>
  <si>
    <t>TRANSFERÊNCIA - FLÁVIA PACHECO ANGÉLICO</t>
  </si>
  <si>
    <t xml:space="preserve">TED - FERNANDO RODRIGO T. KAWAI </t>
  </si>
  <si>
    <t>TARIFA TED</t>
  </si>
  <si>
    <t>PAGTO. VIVO REF. MAIO/2014</t>
  </si>
  <si>
    <t>PAGTO. ELETROPAULO</t>
  </si>
  <si>
    <t>ALIMENTAÇÃO - JÉSSICA</t>
  </si>
  <si>
    <t>TRANSPORTE - JÉSSICA</t>
  </si>
  <si>
    <t>ASSOCIAÇÃO KEPPE E PACHECO</t>
  </si>
  <si>
    <t>MM PRIMO - BOLETO 96107/1</t>
  </si>
  <si>
    <t>PHIXIES HOSPEDAGEM - Nº DOC. 18357832</t>
  </si>
  <si>
    <t xml:space="preserve">DAMSP (ACORDO Nº 4.230.737) PARC.03/36 </t>
  </si>
  <si>
    <t>CAIXINHA</t>
  </si>
  <si>
    <t>TRANSFERENCIA</t>
  </si>
  <si>
    <t>DEBITO AUTOMATICO</t>
  </si>
  <si>
    <t>NOTA FISCAL</t>
  </si>
  <si>
    <t>DOC</t>
  </si>
  <si>
    <t>TED</t>
  </si>
  <si>
    <t>RSHOP</t>
  </si>
  <si>
    <t>DÉBITO</t>
  </si>
  <si>
    <t>DÉBITO EM CONTA</t>
  </si>
  <si>
    <t>DEPÓSITO</t>
  </si>
  <si>
    <t>codigoGrupo</t>
  </si>
  <si>
    <t>INTERNET</t>
  </si>
  <si>
    <t>3501-5722</t>
  </si>
  <si>
    <t>FRETES</t>
  </si>
  <si>
    <t>COMBUSTÍVEL</t>
  </si>
  <si>
    <t>HOSPEDAGEM</t>
  </si>
  <si>
    <t>INSS-GPS</t>
  </si>
  <si>
    <t>SALÁRIOS</t>
  </si>
  <si>
    <t>FGTS-GFIP</t>
  </si>
  <si>
    <t>PRÓ-LABORE</t>
  </si>
  <si>
    <t>COMISSÕES</t>
  </si>
  <si>
    <t>HOSPEDAGEM DE SITE</t>
  </si>
  <si>
    <t>ALUGUEL</t>
  </si>
  <si>
    <t>ÁGUA</t>
  </si>
  <si>
    <t>Lumitec</t>
  </si>
  <si>
    <t>COBRANÇA MENSAL</t>
  </si>
  <si>
    <t>TARIFA MAXCTA PJ MENSAL</t>
  </si>
  <si>
    <t xml:space="preserve">SAQUE BCO. 24HORAS </t>
  </si>
  <si>
    <t>PAULO ALEX</t>
  </si>
  <si>
    <t>ELISEU</t>
  </si>
  <si>
    <t xml:space="preserve">TARIFA DOC. </t>
  </si>
  <si>
    <t>MARCOS VINICIUS - PHIXIES</t>
  </si>
  <si>
    <t>ALEXANDRA MAURO</t>
  </si>
  <si>
    <t>MONICA P. JONES</t>
  </si>
  <si>
    <t>FERNANDO KAWAI</t>
  </si>
  <si>
    <t>CHEQUE SEM IDENTIFICAÇÃO</t>
  </si>
  <si>
    <t>RICARDO HUANG</t>
  </si>
  <si>
    <t>MÔNICA - LIMPEZA</t>
  </si>
  <si>
    <t>GABRIEL - COPERSUCA</t>
  </si>
  <si>
    <t>A&amp;G CONTÁBIL - KAWAI</t>
  </si>
  <si>
    <t>CARTÃO DE CRÉDITO - EMPRESA</t>
  </si>
  <si>
    <t>NET - 2729-9875</t>
  </si>
  <si>
    <t>CACO - MARCO CATALDI</t>
  </si>
  <si>
    <t>SEGURO DO CARRO FERNANDO</t>
  </si>
  <si>
    <t xml:space="preserve">MM &amp; PRIMO </t>
  </si>
  <si>
    <t>TARIFA/CUSTAS DE COBRANÇA</t>
  </si>
  <si>
    <t>VIVO - 3031-8204</t>
  </si>
  <si>
    <t>EFEITO GEBARA</t>
  </si>
  <si>
    <t>COPI LIPE</t>
  </si>
  <si>
    <t>DAS</t>
  </si>
  <si>
    <t>DARF</t>
  </si>
  <si>
    <t>RODRIGO SILVA DOS SANTOS</t>
  </si>
  <si>
    <t>GPS</t>
  </si>
  <si>
    <t>CARTÃO OBRA E PENSÃO</t>
  </si>
  <si>
    <t>VISTO PASSAPORTE</t>
  </si>
  <si>
    <t>ACORDO DAMSP Nº 3.927.151</t>
  </si>
  <si>
    <t xml:space="preserve">OBRA </t>
  </si>
  <si>
    <t>LIPE</t>
  </si>
  <si>
    <t>DEVOLUÇÃO CLIENTE</t>
  </si>
  <si>
    <t>ROGÉRIO DEFAVARI</t>
  </si>
  <si>
    <t>13º SALÁRIO  -  1ª PARCELA</t>
  </si>
  <si>
    <t>FLÁVIA</t>
  </si>
  <si>
    <t>ROGER</t>
  </si>
  <si>
    <t>VIVO PARTICULAR</t>
  </si>
  <si>
    <t>CARLOS</t>
  </si>
  <si>
    <t>JESSICA GOMES F. PINHEIRO</t>
  </si>
  <si>
    <t>ANIL TINTAS</t>
  </si>
  <si>
    <t>codigo</t>
  </si>
  <si>
    <t>COMUNICAÇÃO</t>
  </si>
  <si>
    <t>LOCOMOÇÃO</t>
  </si>
  <si>
    <t>OCUPAÇÃO</t>
  </si>
  <si>
    <t>ENCARGOS E SALARIOS</t>
  </si>
  <si>
    <t>GERAIS</t>
  </si>
  <si>
    <t>CUSTO OPERADOR</t>
  </si>
  <si>
    <t>Variáveis</t>
  </si>
  <si>
    <t>BANCO ITAU</t>
  </si>
  <si>
    <t>SAÍDA DE CAIXA</t>
  </si>
  <si>
    <t>PRESTADORES DE SERVIÇO</t>
  </si>
  <si>
    <t>FUNCIONÁRIOS</t>
  </si>
  <si>
    <t>SEGURO</t>
  </si>
  <si>
    <t>CHEQUES SEM IDENTIFICAÇÃO</t>
  </si>
  <si>
    <t>OMINICOM</t>
  </si>
  <si>
    <t>CLIENTE</t>
  </si>
  <si>
    <t>RECEBIMENTO</t>
  </si>
  <si>
    <t xml:space="preserve"> Fantastica Fábrica de Filmes</t>
  </si>
  <si>
    <t>3 Times Produções LTDA</t>
  </si>
  <si>
    <t xml:space="preserve">7 F PRODUÇÕES </t>
  </si>
  <si>
    <t>AD STUDIO AUDIO E VIDEO LTDA</t>
  </si>
  <si>
    <t>AUTOR IN PRODUCOES</t>
  </si>
  <si>
    <t>Big Bonsai</t>
  </si>
  <si>
    <t>BLACK MAGIC FILMS</t>
  </si>
  <si>
    <t>Black Maria</t>
  </si>
  <si>
    <t>Blue Canario</t>
  </si>
  <si>
    <t>BOSSA NOVA</t>
  </si>
  <si>
    <t xml:space="preserve">BRAMONT MONTADORA </t>
  </si>
  <si>
    <t>BRASILEIRA FILMES</t>
  </si>
  <si>
    <t>BUZZERO.COM</t>
  </si>
  <si>
    <t>Catalisadora Audiovisual</t>
  </si>
  <si>
    <t>CET-COMPANHIA DE ENGENHARIA DE TRAFEGO</t>
  </si>
  <si>
    <t xml:space="preserve">CINE  </t>
  </si>
  <si>
    <t>COMPANHIA DE CINEMA</t>
  </si>
  <si>
    <t>CONSPIRAÇÃO   SP</t>
  </si>
  <si>
    <t>CONSPIRAÇÃO RJ</t>
  </si>
  <si>
    <t>COPERSUCAR S.A.</t>
  </si>
  <si>
    <t>COREN - CONSELHO R. ENFERMAGEM SP</t>
  </si>
  <si>
    <t>CUBOCC</t>
  </si>
  <si>
    <t>Damasco Filmes</t>
  </si>
  <si>
    <t>DELI BISTROT</t>
  </si>
  <si>
    <t>DELICATESSEN</t>
  </si>
  <si>
    <t>Digital 21</t>
  </si>
  <si>
    <t>DIGITAL MIX</t>
  </si>
  <si>
    <t>DÍNAMO</t>
  </si>
  <si>
    <t>Div Design Divisórias</t>
  </si>
  <si>
    <t>DOGS CAN FLY</t>
  </si>
  <si>
    <t>Duo2</t>
  </si>
  <si>
    <t>ESTÚDIO MOL</t>
  </si>
  <si>
    <t>FABRIKA FILMES</t>
  </si>
  <si>
    <t>FILME DO EQUADOR</t>
  </si>
  <si>
    <t>FULANO FILMES</t>
  </si>
  <si>
    <t>FULL JAZZ</t>
  </si>
  <si>
    <t>GERAL FILMES</t>
  </si>
  <si>
    <t>GIRAMUNDO</t>
  </si>
  <si>
    <t>GOMA</t>
  </si>
  <si>
    <t>GUADALUPE FILMES</t>
  </si>
  <si>
    <t xml:space="preserve">HANGRY MAN </t>
  </si>
  <si>
    <t>HEAD FILMES</t>
  </si>
  <si>
    <t>Homem de Lata</t>
  </si>
  <si>
    <t>JORGE JACOB JUNIOR</t>
  </si>
  <si>
    <t>KILLERS</t>
  </si>
  <si>
    <t>LA CASA DE LA MADRE</t>
  </si>
  <si>
    <t>MARC FILMS</t>
  </si>
  <si>
    <t>Maria Farinha</t>
  </si>
  <si>
    <t>MESCLA</t>
  </si>
  <si>
    <t>MIXER</t>
  </si>
  <si>
    <t xml:space="preserve">MORENA FILMES </t>
  </si>
  <si>
    <t xml:space="preserve">MOVI &amp; ART </t>
  </si>
  <si>
    <t>MOVIOLA</t>
  </si>
  <si>
    <t>NATION FILMES</t>
  </si>
  <si>
    <t>Net4 Serviços Editoriais</t>
  </si>
  <si>
    <t xml:space="preserve">O2 </t>
  </si>
  <si>
    <t xml:space="preserve">OCA FILMES </t>
  </si>
  <si>
    <t>Omnimidia</t>
  </si>
  <si>
    <t>PARAKINO PRODUÇÕES</t>
  </si>
  <si>
    <t>PARANOID</t>
  </si>
  <si>
    <t>PILOTO</t>
  </si>
  <si>
    <t>PLATAFORMA</t>
  </si>
  <si>
    <t xml:space="preserve">POLIS </t>
  </si>
  <si>
    <t>PRODIGO</t>
  </si>
  <si>
    <t xml:space="preserve">Produtora Associados </t>
  </si>
  <si>
    <t>REBOLUCION</t>
  </si>
  <si>
    <t>Rebolucion Filmes</t>
  </si>
  <si>
    <t>RGS</t>
  </si>
  <si>
    <t xml:space="preserve">RICCA FILMS </t>
  </si>
  <si>
    <t>SAM TRANSMEDIA PRODUTORA</t>
  </si>
  <si>
    <t>SEM FORNTEIRAS</t>
  </si>
  <si>
    <t xml:space="preserve">SENTIMENTAL </t>
  </si>
  <si>
    <t>Spray Filmes</t>
  </si>
  <si>
    <t xml:space="preserve">STUDIO ELETRONICO </t>
  </si>
  <si>
    <t xml:space="preserve">Sweet Produçoes Ltda </t>
  </si>
  <si>
    <t xml:space="preserve">VETOR ZERO </t>
  </si>
  <si>
    <t>VIDEOCUBO</t>
  </si>
  <si>
    <t>VISTO FILMES</t>
  </si>
  <si>
    <t>VOLCANO</t>
  </si>
  <si>
    <t xml:space="preserve">VOTORANTIM </t>
  </si>
  <si>
    <t>Your Mama Films</t>
  </si>
  <si>
    <t>ZEPPELIN</t>
  </si>
  <si>
    <t xml:space="preserve">ZOE FILMS </t>
  </si>
  <si>
    <t xml:space="preserve">Zohar Cinema e Comunicação </t>
  </si>
  <si>
    <t xml:space="preserve">ZOLA </t>
  </si>
  <si>
    <t>NOVE9</t>
  </si>
  <si>
    <t>Cliente</t>
  </si>
  <si>
    <t>cadastroReceita</t>
  </si>
  <si>
    <t>cadastroDespesa</t>
  </si>
  <si>
    <t>GASTO PARTICULAR</t>
  </si>
  <si>
    <t>13º SALÁRIO  -  2ª PARCELA</t>
  </si>
  <si>
    <t xml:space="preserve">SAQUE </t>
  </si>
  <si>
    <t>TIAGO - CAMERA</t>
  </si>
  <si>
    <t>EMPRESTIMO</t>
  </si>
  <si>
    <t>VIVO SPEED</t>
  </si>
  <si>
    <t xml:space="preserve">FLÁVIA </t>
  </si>
  <si>
    <t>DETRAN</t>
  </si>
  <si>
    <t>DPVAT</t>
  </si>
  <si>
    <t>IPVA</t>
  </si>
  <si>
    <t>LICENCIAMENTO</t>
  </si>
  <si>
    <t>FABIANY DOG</t>
  </si>
  <si>
    <t>CRISTINA BELLODI BREIM</t>
  </si>
  <si>
    <t>SEM DESCRIÇÃO</t>
  </si>
  <si>
    <t>TARIFA 30 HS</t>
  </si>
  <si>
    <t>IMPOSTO PM</t>
  </si>
  <si>
    <t>APLICAÇÃO CDB</t>
  </si>
  <si>
    <t>SOM DIRETO</t>
  </si>
  <si>
    <t>JÁ INCLUI</t>
  </si>
  <si>
    <t>ACORDO DAMSP Nº 4.230.737</t>
  </si>
  <si>
    <t>MAURICIO</t>
  </si>
  <si>
    <t>5D FELSBERG</t>
  </si>
  <si>
    <t>NET - 2729-9876</t>
  </si>
  <si>
    <t>NET - 2729-9877</t>
  </si>
  <si>
    <t>NET - 2729-9878</t>
  </si>
  <si>
    <t>CONTRIBUIÇÃO SINDICAL</t>
  </si>
  <si>
    <t>GRCSU GUIA</t>
  </si>
  <si>
    <t xml:space="preserve">IRPF </t>
  </si>
  <si>
    <t>VIVO - 3031-8205</t>
  </si>
  <si>
    <t>VIVO - 3031-8206</t>
  </si>
  <si>
    <t>VIVO - 3031-8207</t>
  </si>
  <si>
    <t>GASTO SEM NOTA FISCAL</t>
  </si>
  <si>
    <t>CASA DO SACO</t>
  </si>
  <si>
    <t>ROGERIO SALLES</t>
  </si>
  <si>
    <t>HD STORE</t>
  </si>
  <si>
    <t>RICARDO GABIN</t>
  </si>
  <si>
    <t>ANA PRYNC</t>
  </si>
  <si>
    <t xml:space="preserve">IGOR OTA ROGERO </t>
  </si>
  <si>
    <t>MARCELA - FUNCIONÁRIA</t>
  </si>
  <si>
    <t>PRODUÇÃO - COREN</t>
  </si>
  <si>
    <t xml:space="preserve">OS. 049 SUTDIO ELETR. (RECIBO 180) </t>
  </si>
  <si>
    <t xml:space="preserve">OS. 048 DELI BISTROT (RECIBO 179) </t>
  </si>
  <si>
    <t xml:space="preserve">OS. 055 CONSPIRAÇÃO (RECIBO 184) </t>
  </si>
  <si>
    <t>OS. 058 ZULU F. (RECIBO 186)</t>
  </si>
  <si>
    <t>ZULU FILMES</t>
  </si>
  <si>
    <t xml:space="preserve">OS. 083 - BOSSA NOVA (RECIBO 200) </t>
  </si>
  <si>
    <t>OS. 067-CONSPIRAÇÃO (RECIBO 191)</t>
  </si>
  <si>
    <t xml:space="preserve">OS.103 - CONSPIRAÇÃO SP (RECIBO 214) </t>
  </si>
  <si>
    <t>OS. 101 - ZULU (RECIBO 212)</t>
  </si>
  <si>
    <t>OS. 124-PARANOID (REC.230)</t>
  </si>
  <si>
    <t xml:space="preserve">OS.116-3 TIMES 1 (REC.224) </t>
  </si>
  <si>
    <t>OS.125-BIG BONSAI (REC. 229)</t>
  </si>
  <si>
    <t>OS. 134 - INCRIVEL FILMES (RECIBO 234)</t>
  </si>
  <si>
    <t xml:space="preserve">OS.143-FULL JAZZ (RECIBO 236) </t>
  </si>
  <si>
    <t>OS. 137- AUTOR IN PROD.(RECIBO 238)</t>
  </si>
  <si>
    <t>OS. 142-YOUR MAMA (RECIBO 244)</t>
  </si>
  <si>
    <t>A F T CASTILHO</t>
  </si>
  <si>
    <t>INCRIVEL FILMES</t>
  </si>
  <si>
    <t>MARIA FARINHA</t>
  </si>
  <si>
    <t>BLACK MARIA</t>
  </si>
  <si>
    <t>ok</t>
  </si>
  <si>
    <t>CADASTRO</t>
  </si>
  <si>
    <t>???</t>
  </si>
  <si>
    <t>STATUS</t>
  </si>
</sst>
</file>

<file path=xl/styles.xml><?xml version="1.0" encoding="utf-8"?>
<styleSheet xmlns="http://schemas.openxmlformats.org/spreadsheetml/2006/main">
  <numFmts count="1">
    <numFmt numFmtId="164" formatCode="dd/mm/yy;@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1" xfId="0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5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left"/>
    </xf>
    <xf numFmtId="3" fontId="0" fillId="0" borderId="0" xfId="0" quotePrefix="1" applyNumberFormat="1" applyAlignment="1">
      <alignment horizontal="left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4" fontId="0" fillId="0" borderId="0" xfId="0" applyNumberFormat="1"/>
    <xf numFmtId="17" fontId="0" fillId="0" borderId="0" xfId="0" quotePrefix="1" applyNumberFormat="1"/>
    <xf numFmtId="0" fontId="0" fillId="2" borderId="0" xfId="0" applyFill="1"/>
    <xf numFmtId="0" fontId="2" fillId="0" borderId="0" xfId="0" applyFont="1"/>
    <xf numFmtId="164" fontId="3" fillId="4" borderId="1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0" borderId="0" xfId="0" applyFont="1"/>
    <xf numFmtId="0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164" fontId="4" fillId="5" borderId="0" xfId="0" applyNumberFormat="1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3" fillId="2" borderId="0" xfId="0" applyNumberFormat="1" applyFont="1" applyFill="1"/>
    <xf numFmtId="0" fontId="3" fillId="2" borderId="0" xfId="0" applyFont="1" applyFill="1"/>
    <xf numFmtId="0" fontId="3" fillId="2" borderId="1" xfId="0" applyFont="1" applyFill="1" applyBorder="1"/>
    <xf numFmtId="164" fontId="3" fillId="0" borderId="0" xfId="0" applyNumberFormat="1" applyFont="1"/>
    <xf numFmtId="0" fontId="3" fillId="0" borderId="1" xfId="0" applyFont="1" applyBorder="1"/>
    <xf numFmtId="4" fontId="3" fillId="0" borderId="0" xfId="0" applyNumberFormat="1" applyFont="1"/>
    <xf numFmtId="164" fontId="5" fillId="2" borderId="0" xfId="0" applyNumberFormat="1" applyFont="1" applyFill="1"/>
    <xf numFmtId="0" fontId="5" fillId="2" borderId="0" xfId="0" applyFont="1" applyFill="1"/>
    <xf numFmtId="0" fontId="5" fillId="2" borderId="1" xfId="0" applyFont="1" applyFill="1" applyBorder="1"/>
    <xf numFmtId="0" fontId="3" fillId="6" borderId="1" xfId="0" applyFont="1" applyFill="1" applyBorder="1"/>
    <xf numFmtId="164" fontId="0" fillId="2" borderId="0" xfId="0" applyNumberFormat="1" applyFill="1"/>
    <xf numFmtId="4" fontId="0" fillId="2" borderId="0" xfId="0" applyNumberFormat="1" applyFill="1"/>
    <xf numFmtId="0" fontId="0" fillId="2" borderId="1" xfId="0" applyFill="1" applyBorder="1"/>
    <xf numFmtId="164" fontId="0" fillId="0" borderId="0" xfId="0" applyNumberFormat="1" applyFill="1"/>
    <xf numFmtId="0" fontId="0" fillId="0" borderId="0" xfId="0" applyFill="1"/>
    <xf numFmtId="4" fontId="0" fillId="0" borderId="0" xfId="0" applyNumberFormat="1" applyFill="1"/>
    <xf numFmtId="0" fontId="0" fillId="0" borderId="1" xfId="0" applyFill="1" applyBorder="1"/>
    <xf numFmtId="164" fontId="3" fillId="0" borderId="0" xfId="0" applyNumberFormat="1" applyFont="1" applyFill="1"/>
    <xf numFmtId="0" fontId="3" fillId="0" borderId="0" xfId="0" applyFont="1" applyFill="1"/>
    <xf numFmtId="0" fontId="3" fillId="0" borderId="1" xfId="0" applyFont="1" applyFill="1" applyBorder="1"/>
    <xf numFmtId="4" fontId="3" fillId="0" borderId="0" xfId="0" applyNumberFormat="1" applyFont="1" applyFill="1"/>
    <xf numFmtId="0" fontId="5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J85"/>
  <sheetViews>
    <sheetView tabSelected="1" zoomScale="55" zoomScaleNormal="55" workbookViewId="0">
      <pane ySplit="3" topLeftCell="A4" activePane="bottomLeft" state="frozen"/>
      <selection pane="bottomLeft" activeCell="A4" sqref="A4"/>
    </sheetView>
  </sheetViews>
  <sheetFormatPr defaultRowHeight="21"/>
  <cols>
    <col min="1" max="1" width="14.7109375" style="32" bestFit="1" customWidth="1"/>
    <col min="2" max="2" width="34.140625" style="21" customWidth="1"/>
    <col min="3" max="3" width="81.140625" style="21" bestFit="1" customWidth="1"/>
    <col min="4" max="4" width="18.5703125" style="32" bestFit="1" customWidth="1"/>
    <col min="5" max="5" width="14.5703125" style="21" bestFit="1" customWidth="1"/>
    <col min="6" max="6" width="17.7109375" style="32" bestFit="1" customWidth="1"/>
    <col min="7" max="7" width="12.7109375" style="21" bestFit="1" customWidth="1"/>
    <col min="8" max="8" width="62.42578125" style="21" bestFit="1" customWidth="1"/>
    <col min="9" max="9" width="31.5703125" style="21" bestFit="1" customWidth="1"/>
    <col min="10" max="10" width="5.140625" style="21" bestFit="1" customWidth="1"/>
    <col min="11" max="16384" width="9.140625" style="21"/>
  </cols>
  <sheetData>
    <row r="1" spans="1:10">
      <c r="A1" s="19" t="s">
        <v>0</v>
      </c>
      <c r="B1" s="20" t="s">
        <v>2</v>
      </c>
      <c r="C1" s="20" t="s">
        <v>4</v>
      </c>
      <c r="D1" s="19" t="s">
        <v>6</v>
      </c>
      <c r="E1" s="20" t="s">
        <v>7</v>
      </c>
      <c r="F1" s="19" t="s">
        <v>8</v>
      </c>
      <c r="G1" s="20" t="s">
        <v>5</v>
      </c>
      <c r="H1" s="20" t="s">
        <v>33</v>
      </c>
    </row>
    <row r="2" spans="1:10">
      <c r="A2" s="22" t="str">
        <f>VLOOKUP(B2,ADM!A2:B9,2,FALSE)</f>
        <v>SQL Server</v>
      </c>
      <c r="B2" s="23" t="str">
        <f>VLOOKUP(C2,ADM!D1:H3,5,FALSE)</f>
        <v>SQL Server Native Client 10.0</v>
      </c>
      <c r="C2" s="24" t="s">
        <v>56</v>
      </c>
      <c r="D2" s="25" t="str">
        <f>VLOOKUP(C2,ADM!D1:G3,4,FALSE)</f>
        <v>kawaifilms3</v>
      </c>
      <c r="E2" s="23" t="str">
        <f>VLOOKUP(C2,ADM!D1:F3,2,FALSE)</f>
        <v>kawaifilms3</v>
      </c>
      <c r="F2" s="25" t="str">
        <f>VLOOKUP(C2,ADM!D1:F3,3,FALSE)</f>
        <v>Kw41L70N@@</v>
      </c>
      <c r="G2" s="24">
        <v>3306</v>
      </c>
      <c r="H2" s="24" t="s">
        <v>735</v>
      </c>
    </row>
    <row r="3" spans="1:10" s="27" customFormat="1">
      <c r="A3" s="26" t="s">
        <v>25</v>
      </c>
      <c r="B3" s="27" t="s">
        <v>23</v>
      </c>
      <c r="C3" s="27" t="s">
        <v>24</v>
      </c>
      <c r="D3" s="26" t="s">
        <v>26</v>
      </c>
      <c r="E3" s="27" t="s">
        <v>27</v>
      </c>
      <c r="F3" s="26" t="s">
        <v>28</v>
      </c>
      <c r="G3" s="27" t="s">
        <v>29</v>
      </c>
      <c r="H3" s="28" t="s">
        <v>646</v>
      </c>
      <c r="I3" s="28" t="s">
        <v>647</v>
      </c>
    </row>
    <row r="4" spans="1:10" s="47" customFormat="1">
      <c r="A4" s="46">
        <v>41751</v>
      </c>
      <c r="B4" s="47" t="s">
        <v>207</v>
      </c>
      <c r="C4" s="47" t="s">
        <v>221</v>
      </c>
      <c r="D4" s="46">
        <v>41751</v>
      </c>
      <c r="E4" s="47">
        <v>700</v>
      </c>
      <c r="F4" s="46">
        <v>41751</v>
      </c>
      <c r="G4" s="47">
        <v>700</v>
      </c>
      <c r="H4" s="48" t="s">
        <v>649</v>
      </c>
      <c r="I4" s="48" t="s">
        <v>37</v>
      </c>
      <c r="J4" s="47" t="s">
        <v>797</v>
      </c>
    </row>
    <row r="5" spans="1:10" s="47" customFormat="1">
      <c r="A5" s="46">
        <v>41752</v>
      </c>
      <c r="B5" s="47" t="s">
        <v>208</v>
      </c>
      <c r="C5" s="47" t="s">
        <v>787</v>
      </c>
      <c r="D5" s="46">
        <v>41752</v>
      </c>
      <c r="E5" s="47">
        <v>895</v>
      </c>
      <c r="F5" s="46">
        <v>41752</v>
      </c>
      <c r="G5" s="47">
        <v>895</v>
      </c>
      <c r="H5" s="48" t="s">
        <v>649</v>
      </c>
      <c r="I5" s="48" t="s">
        <v>37</v>
      </c>
      <c r="J5" s="47" t="s">
        <v>797</v>
      </c>
    </row>
    <row r="6" spans="1:10" s="47" customFormat="1">
      <c r="A6" s="46">
        <v>41659</v>
      </c>
      <c r="B6" s="47" t="s">
        <v>136</v>
      </c>
      <c r="C6" s="47" t="s">
        <v>153</v>
      </c>
      <c r="D6" s="46">
        <v>41659</v>
      </c>
      <c r="E6" s="47">
        <v>1785</v>
      </c>
      <c r="F6" s="46">
        <v>41659</v>
      </c>
      <c r="G6" s="47">
        <v>1785</v>
      </c>
      <c r="H6" s="48" t="s">
        <v>650</v>
      </c>
      <c r="I6" s="48" t="s">
        <v>567</v>
      </c>
      <c r="J6" s="47" t="s">
        <v>797</v>
      </c>
    </row>
    <row r="7" spans="1:10" s="47" customFormat="1">
      <c r="A7" s="46">
        <v>41786</v>
      </c>
      <c r="B7" s="47" t="s">
        <v>235</v>
      </c>
      <c r="C7" s="47" t="s">
        <v>791</v>
      </c>
      <c r="D7" s="46">
        <v>41786</v>
      </c>
      <c r="E7" s="47">
        <v>895</v>
      </c>
      <c r="F7" s="46">
        <v>41786</v>
      </c>
      <c r="G7" s="47">
        <v>895</v>
      </c>
      <c r="H7" s="48" t="s">
        <v>652</v>
      </c>
      <c r="I7" s="48" t="s">
        <v>37</v>
      </c>
      <c r="J7" s="47" t="s">
        <v>797</v>
      </c>
    </row>
    <row r="8" spans="1:10" s="47" customFormat="1">
      <c r="A8" s="46">
        <v>41626</v>
      </c>
      <c r="B8" s="47" t="s">
        <v>103</v>
      </c>
      <c r="C8" s="47" t="s">
        <v>117</v>
      </c>
      <c r="D8" s="46">
        <v>41626</v>
      </c>
      <c r="E8" s="47">
        <v>1790</v>
      </c>
      <c r="F8" s="46">
        <v>41626</v>
      </c>
      <c r="G8" s="47">
        <v>1790</v>
      </c>
      <c r="H8" s="48" t="s">
        <v>653</v>
      </c>
      <c r="I8" s="48" t="s">
        <v>37</v>
      </c>
      <c r="J8" s="47" t="s">
        <v>797</v>
      </c>
    </row>
    <row r="9" spans="1:10" s="47" customFormat="1">
      <c r="A9" s="46">
        <v>41645</v>
      </c>
      <c r="B9" s="47" t="s">
        <v>128</v>
      </c>
      <c r="C9" s="47" t="s">
        <v>142</v>
      </c>
      <c r="D9" s="46">
        <v>41645</v>
      </c>
      <c r="E9" s="47">
        <v>1210</v>
      </c>
      <c r="F9" s="46">
        <v>41645</v>
      </c>
      <c r="G9" s="47">
        <v>1210</v>
      </c>
      <c r="H9" s="48" t="s">
        <v>653</v>
      </c>
      <c r="I9" s="48" t="s">
        <v>567</v>
      </c>
      <c r="J9" s="47" t="s">
        <v>797</v>
      </c>
    </row>
    <row r="10" spans="1:10" s="47" customFormat="1">
      <c r="A10" s="46">
        <v>41752</v>
      </c>
      <c r="B10" s="47" t="s">
        <v>208</v>
      </c>
      <c r="C10" s="47" t="s">
        <v>788</v>
      </c>
      <c r="D10" s="46">
        <v>41752</v>
      </c>
      <c r="E10" s="47">
        <v>895</v>
      </c>
      <c r="F10" s="46">
        <v>41752</v>
      </c>
      <c r="G10" s="47">
        <v>895</v>
      </c>
      <c r="H10" s="48" t="s">
        <v>653</v>
      </c>
      <c r="I10" s="48" t="s">
        <v>37</v>
      </c>
      <c r="J10" s="47" t="s">
        <v>797</v>
      </c>
    </row>
    <row r="11" spans="1:10" s="47" customFormat="1">
      <c r="A11" s="46">
        <v>41757</v>
      </c>
      <c r="B11" s="47" t="s">
        <v>128</v>
      </c>
      <c r="C11" s="47" t="s">
        <v>224</v>
      </c>
      <c r="D11" s="46">
        <v>41757</v>
      </c>
      <c r="E11" s="47">
        <v>700</v>
      </c>
      <c r="F11" s="46">
        <v>41757</v>
      </c>
      <c r="G11" s="47">
        <v>700</v>
      </c>
      <c r="H11" s="48" t="s">
        <v>653</v>
      </c>
      <c r="I11" s="48" t="s">
        <v>37</v>
      </c>
      <c r="J11" s="47" t="s">
        <v>797</v>
      </c>
    </row>
    <row r="12" spans="1:10" s="47" customFormat="1">
      <c r="A12" s="46">
        <v>41666</v>
      </c>
      <c r="B12" s="47" t="s">
        <v>139</v>
      </c>
      <c r="C12" s="47" t="s">
        <v>155</v>
      </c>
      <c r="D12" s="46">
        <v>41666</v>
      </c>
      <c r="E12" s="47">
        <v>395</v>
      </c>
      <c r="F12" s="46">
        <v>41666</v>
      </c>
      <c r="G12" s="47">
        <v>395</v>
      </c>
      <c r="H12" s="48" t="s">
        <v>654</v>
      </c>
      <c r="I12" s="48" t="s">
        <v>565</v>
      </c>
      <c r="J12" s="47" t="s">
        <v>797</v>
      </c>
    </row>
    <row r="13" spans="1:10" s="47" customFormat="1">
      <c r="A13" s="46">
        <v>41775</v>
      </c>
      <c r="B13" s="47" t="s">
        <v>168</v>
      </c>
      <c r="C13" s="47" t="s">
        <v>242</v>
      </c>
      <c r="D13" s="46">
        <v>41775</v>
      </c>
      <c r="E13" s="47">
        <v>677.64</v>
      </c>
      <c r="F13" s="46">
        <v>41775</v>
      </c>
      <c r="G13" s="47">
        <v>677.64</v>
      </c>
      <c r="H13" s="48" t="s">
        <v>796</v>
      </c>
      <c r="I13" s="48" t="s">
        <v>573</v>
      </c>
      <c r="J13" s="47" t="s">
        <v>797</v>
      </c>
    </row>
    <row r="14" spans="1:10" s="47" customFormat="1">
      <c r="A14" s="46">
        <v>41653</v>
      </c>
      <c r="B14" s="47" t="s">
        <v>132</v>
      </c>
      <c r="C14" s="47" t="s">
        <v>146</v>
      </c>
      <c r="D14" s="46">
        <v>41653</v>
      </c>
      <c r="E14" s="47">
        <v>2289</v>
      </c>
      <c r="F14" s="46">
        <v>41653</v>
      </c>
      <c r="G14" s="47">
        <v>2289</v>
      </c>
      <c r="H14" s="48" t="s">
        <v>657</v>
      </c>
      <c r="I14" s="48" t="s">
        <v>567</v>
      </c>
      <c r="J14" s="47" t="s">
        <v>797</v>
      </c>
    </row>
    <row r="15" spans="1:10" s="47" customFormat="1">
      <c r="A15" s="46">
        <v>41659</v>
      </c>
      <c r="B15" s="47" t="s">
        <v>132</v>
      </c>
      <c r="C15" s="47" t="s">
        <v>152</v>
      </c>
      <c r="D15" s="46">
        <v>41659</v>
      </c>
      <c r="E15" s="47">
        <v>4922.5</v>
      </c>
      <c r="F15" s="46">
        <v>41659</v>
      </c>
      <c r="G15" s="47">
        <v>4922.5</v>
      </c>
      <c r="H15" s="48" t="s">
        <v>657</v>
      </c>
      <c r="I15" s="48" t="s">
        <v>37</v>
      </c>
      <c r="J15" s="47" t="s">
        <v>797</v>
      </c>
    </row>
    <row r="16" spans="1:10" s="47" customFormat="1">
      <c r="A16" s="46">
        <v>41663</v>
      </c>
      <c r="B16" s="47" t="s">
        <v>138</v>
      </c>
      <c r="C16" s="47" t="s">
        <v>782</v>
      </c>
      <c r="D16" s="46">
        <v>41663</v>
      </c>
      <c r="E16" s="47">
        <v>895</v>
      </c>
      <c r="F16" s="46">
        <v>41663</v>
      </c>
      <c r="G16" s="47">
        <v>895</v>
      </c>
      <c r="H16" s="48" t="s">
        <v>657</v>
      </c>
      <c r="I16" s="48" t="s">
        <v>37</v>
      </c>
      <c r="J16" s="47" t="s">
        <v>797</v>
      </c>
    </row>
    <row r="17" spans="1:10" s="47" customFormat="1">
      <c r="A17" s="46">
        <v>41717</v>
      </c>
      <c r="B17" s="47" t="s">
        <v>132</v>
      </c>
      <c r="C17" s="47" t="s">
        <v>196</v>
      </c>
      <c r="D17" s="46">
        <v>41717</v>
      </c>
      <c r="E17" s="47">
        <v>4376</v>
      </c>
      <c r="F17" s="46">
        <v>41717</v>
      </c>
      <c r="G17" s="47">
        <v>4376</v>
      </c>
      <c r="H17" s="48" t="s">
        <v>657</v>
      </c>
      <c r="I17" s="48" t="s">
        <v>37</v>
      </c>
      <c r="J17" s="47" t="s">
        <v>797</v>
      </c>
    </row>
    <row r="18" spans="1:10" s="47" customFormat="1">
      <c r="A18" s="46">
        <v>41779</v>
      </c>
      <c r="B18" s="47" t="s">
        <v>232</v>
      </c>
      <c r="C18" s="47" t="s">
        <v>244</v>
      </c>
      <c r="D18" s="46">
        <v>41779</v>
      </c>
      <c r="E18" s="47">
        <v>1500</v>
      </c>
      <c r="F18" s="46">
        <v>41779</v>
      </c>
      <c r="G18" s="47">
        <v>1500</v>
      </c>
      <c r="H18" s="48" t="s">
        <v>659</v>
      </c>
      <c r="I18" s="48" t="s">
        <v>37</v>
      </c>
      <c r="J18" s="47" t="s">
        <v>797</v>
      </c>
    </row>
    <row r="19" spans="1:10" s="47" customFormat="1">
      <c r="A19" s="46">
        <v>41757</v>
      </c>
      <c r="B19" s="47" t="s">
        <v>211</v>
      </c>
      <c r="C19" s="47" t="s">
        <v>225</v>
      </c>
      <c r="D19" s="46">
        <v>41757</v>
      </c>
      <c r="E19" s="47">
        <v>3997</v>
      </c>
      <c r="F19" s="46">
        <v>41757</v>
      </c>
      <c r="G19" s="47">
        <v>3997</v>
      </c>
      <c r="H19" s="48" t="s">
        <v>662</v>
      </c>
      <c r="I19" s="48" t="s">
        <v>569</v>
      </c>
      <c r="J19" s="47" t="s">
        <v>797</v>
      </c>
    </row>
    <row r="20" spans="1:10" s="47" customFormat="1">
      <c r="A20" s="46">
        <v>41614</v>
      </c>
      <c r="B20" s="47" t="s">
        <v>100</v>
      </c>
      <c r="C20" s="47" t="s">
        <v>115</v>
      </c>
      <c r="D20" s="46">
        <v>41614</v>
      </c>
      <c r="E20" s="47">
        <v>895</v>
      </c>
      <c r="F20" s="46">
        <v>41614</v>
      </c>
      <c r="G20" s="47">
        <v>895</v>
      </c>
      <c r="H20" s="48" t="s">
        <v>663</v>
      </c>
      <c r="I20" s="48" t="s">
        <v>37</v>
      </c>
      <c r="J20" s="47" t="s">
        <v>797</v>
      </c>
    </row>
    <row r="21" spans="1:10" s="47" customFormat="1">
      <c r="A21" s="46">
        <v>41775</v>
      </c>
      <c r="B21" s="47" t="s">
        <v>168</v>
      </c>
      <c r="C21" s="47" t="s">
        <v>241</v>
      </c>
      <c r="D21" s="46">
        <v>41775</v>
      </c>
      <c r="E21" s="47">
        <v>895</v>
      </c>
      <c r="F21" s="46">
        <v>41775</v>
      </c>
      <c r="G21" s="47">
        <v>895</v>
      </c>
      <c r="H21" s="48" t="s">
        <v>663</v>
      </c>
      <c r="I21" s="48" t="s">
        <v>573</v>
      </c>
      <c r="J21" s="47" t="s">
        <v>797</v>
      </c>
    </row>
    <row r="22" spans="1:10" s="47" customFormat="1">
      <c r="A22" s="46">
        <v>41688</v>
      </c>
      <c r="B22" s="47" t="s">
        <v>162</v>
      </c>
      <c r="C22" s="47" t="s">
        <v>173</v>
      </c>
      <c r="D22" s="46">
        <v>41688</v>
      </c>
      <c r="E22" s="47">
        <v>880</v>
      </c>
      <c r="F22" s="46">
        <v>41688</v>
      </c>
      <c r="G22" s="47">
        <v>880</v>
      </c>
      <c r="H22" s="48" t="s">
        <v>664</v>
      </c>
      <c r="I22" s="48" t="s">
        <v>37</v>
      </c>
      <c r="J22" s="47" t="s">
        <v>797</v>
      </c>
    </row>
    <row r="23" spans="1:10" s="47" customFormat="1">
      <c r="A23" s="46">
        <v>41625</v>
      </c>
      <c r="B23" s="47" t="s">
        <v>102</v>
      </c>
      <c r="C23" s="47" t="s">
        <v>779</v>
      </c>
      <c r="D23" s="46">
        <v>41625</v>
      </c>
      <c r="E23" s="47">
        <v>895</v>
      </c>
      <c r="F23" s="46">
        <v>41625</v>
      </c>
      <c r="G23" s="47">
        <v>895</v>
      </c>
      <c r="H23" s="48" t="s">
        <v>665</v>
      </c>
      <c r="I23" s="48" t="s">
        <v>37</v>
      </c>
      <c r="J23" s="47" t="s">
        <v>797</v>
      </c>
    </row>
    <row r="24" spans="1:10" s="47" customFormat="1">
      <c r="A24" s="46">
        <v>41627</v>
      </c>
      <c r="B24" s="47" t="s">
        <v>104</v>
      </c>
      <c r="C24" s="47" t="s">
        <v>118</v>
      </c>
      <c r="D24" s="46">
        <v>41627</v>
      </c>
      <c r="E24" s="47">
        <v>1285.25</v>
      </c>
      <c r="F24" s="46">
        <v>41627</v>
      </c>
      <c r="G24" s="47">
        <v>1285.25</v>
      </c>
      <c r="H24" s="48" t="s">
        <v>665</v>
      </c>
      <c r="I24" s="48" t="s">
        <v>567</v>
      </c>
      <c r="J24" s="47" t="s">
        <v>797</v>
      </c>
    </row>
    <row r="25" spans="1:10" s="47" customFormat="1">
      <c r="A25" s="46">
        <v>41628</v>
      </c>
      <c r="B25" s="47" t="s">
        <v>105</v>
      </c>
      <c r="C25" s="47" t="s">
        <v>119</v>
      </c>
      <c r="D25" s="46">
        <v>41628</v>
      </c>
      <c r="E25" s="47">
        <v>895</v>
      </c>
      <c r="F25" s="46">
        <v>41628</v>
      </c>
      <c r="G25" s="47">
        <v>895</v>
      </c>
      <c r="H25" s="48" t="s">
        <v>665</v>
      </c>
      <c r="I25" s="48" t="s">
        <v>37</v>
      </c>
      <c r="J25" s="47" t="s">
        <v>797</v>
      </c>
    </row>
    <row r="26" spans="1:10" s="47" customFormat="1">
      <c r="A26" s="46">
        <v>41663</v>
      </c>
      <c r="B26" s="47" t="s">
        <v>138</v>
      </c>
      <c r="C26" s="47" t="s">
        <v>783</v>
      </c>
      <c r="D26" s="46">
        <v>41663</v>
      </c>
      <c r="E26" s="47">
        <v>984.5</v>
      </c>
      <c r="F26" s="46">
        <v>41663</v>
      </c>
      <c r="G26" s="47">
        <v>984.5</v>
      </c>
      <c r="H26" s="48" t="s">
        <v>665</v>
      </c>
      <c r="I26" s="48" t="s">
        <v>37</v>
      </c>
      <c r="J26" s="47" t="s">
        <v>797</v>
      </c>
    </row>
    <row r="27" spans="1:10" s="47" customFormat="1">
      <c r="A27" s="46">
        <v>41704</v>
      </c>
      <c r="B27" s="47" t="s">
        <v>180</v>
      </c>
      <c r="C27" s="47" t="s">
        <v>188</v>
      </c>
      <c r="D27" s="46">
        <v>41704</v>
      </c>
      <c r="E27" s="47">
        <v>1963.5</v>
      </c>
      <c r="F27" s="46">
        <v>41704</v>
      </c>
      <c r="G27" s="47">
        <v>1963.5</v>
      </c>
      <c r="H27" s="48" t="s">
        <v>665</v>
      </c>
      <c r="I27" s="48" t="s">
        <v>37</v>
      </c>
      <c r="J27" s="47" t="s">
        <v>797</v>
      </c>
    </row>
    <row r="28" spans="1:10" s="47" customFormat="1">
      <c r="A28" s="46">
        <v>41708</v>
      </c>
      <c r="B28" s="47" t="s">
        <v>182</v>
      </c>
      <c r="C28" s="47" t="s">
        <v>784</v>
      </c>
      <c r="D28" s="46">
        <v>41708</v>
      </c>
      <c r="E28" s="47">
        <v>1074</v>
      </c>
      <c r="F28" s="46">
        <v>41708</v>
      </c>
      <c r="G28" s="47">
        <v>1074</v>
      </c>
      <c r="H28" s="48" t="s">
        <v>665</v>
      </c>
      <c r="I28" s="48" t="s">
        <v>37</v>
      </c>
      <c r="J28" s="47" t="s">
        <v>797</v>
      </c>
    </row>
    <row r="29" spans="1:10" s="47" customFormat="1">
      <c r="A29" s="46">
        <v>41733</v>
      </c>
      <c r="B29" s="47" t="s">
        <v>202</v>
      </c>
      <c r="C29" s="47" t="s">
        <v>213</v>
      </c>
      <c r="D29" s="46">
        <v>41733</v>
      </c>
      <c r="E29" s="47">
        <v>1245</v>
      </c>
      <c r="F29" s="46">
        <v>41733</v>
      </c>
      <c r="G29" s="47">
        <v>1245</v>
      </c>
      <c r="H29" s="48" t="s">
        <v>665</v>
      </c>
      <c r="I29" s="48" t="s">
        <v>37</v>
      </c>
      <c r="J29" s="47" t="s">
        <v>797</v>
      </c>
    </row>
    <row r="30" spans="1:10" s="47" customFormat="1">
      <c r="A30" s="46">
        <v>41709</v>
      </c>
      <c r="B30" s="47" t="s">
        <v>183</v>
      </c>
      <c r="C30" s="47" t="s">
        <v>192</v>
      </c>
      <c r="D30" s="46">
        <v>41709</v>
      </c>
      <c r="E30" s="47">
        <v>570</v>
      </c>
      <c r="F30" s="46">
        <v>41709</v>
      </c>
      <c r="G30" s="47">
        <v>570</v>
      </c>
      <c r="H30" s="48" t="s">
        <v>666</v>
      </c>
      <c r="I30" s="48" t="s">
        <v>37</v>
      </c>
      <c r="J30" s="47" t="s">
        <v>797</v>
      </c>
    </row>
    <row r="31" spans="1:10" s="47" customFormat="1">
      <c r="A31" s="46">
        <v>41716</v>
      </c>
      <c r="B31" s="47" t="s">
        <v>185</v>
      </c>
      <c r="C31" s="47" t="s">
        <v>195</v>
      </c>
      <c r="D31" s="46">
        <v>41716</v>
      </c>
      <c r="E31" s="47">
        <v>1924</v>
      </c>
      <c r="F31" s="46">
        <v>41716</v>
      </c>
      <c r="G31" s="47">
        <v>1924</v>
      </c>
      <c r="H31" s="48" t="s">
        <v>666</v>
      </c>
      <c r="I31" s="48" t="s">
        <v>82</v>
      </c>
      <c r="J31" s="47" t="s">
        <v>797</v>
      </c>
    </row>
    <row r="32" spans="1:10" s="47" customFormat="1">
      <c r="A32" s="46">
        <v>41695</v>
      </c>
      <c r="B32" s="47" t="s">
        <v>167</v>
      </c>
      <c r="C32" s="47" t="s">
        <v>178</v>
      </c>
      <c r="D32" s="46">
        <v>41695</v>
      </c>
      <c r="E32" s="47">
        <v>895</v>
      </c>
      <c r="F32" s="46">
        <v>41695</v>
      </c>
      <c r="G32" s="47">
        <v>895</v>
      </c>
      <c r="H32" s="48" t="s">
        <v>670</v>
      </c>
      <c r="I32" s="48" t="s">
        <v>37</v>
      </c>
      <c r="J32" s="47" t="s">
        <v>797</v>
      </c>
    </row>
    <row r="33" spans="1:10" s="47" customFormat="1">
      <c r="A33" s="46">
        <v>41610</v>
      </c>
      <c r="B33" s="47" t="s">
        <v>98</v>
      </c>
      <c r="C33" s="47" t="s">
        <v>778</v>
      </c>
      <c r="D33" s="46">
        <v>41610</v>
      </c>
      <c r="E33" s="47">
        <v>895</v>
      </c>
      <c r="F33" s="46">
        <v>41610</v>
      </c>
      <c r="G33" s="47">
        <v>895</v>
      </c>
      <c r="H33" s="48" t="s">
        <v>671</v>
      </c>
      <c r="I33" s="48" t="s">
        <v>37</v>
      </c>
      <c r="J33" s="47" t="s">
        <v>797</v>
      </c>
    </row>
    <row r="34" spans="1:10" s="47" customFormat="1">
      <c r="A34" s="46">
        <v>41673</v>
      </c>
      <c r="B34" s="47" t="s">
        <v>158</v>
      </c>
      <c r="C34" s="47" t="s">
        <v>169</v>
      </c>
      <c r="D34" s="46">
        <v>41673</v>
      </c>
      <c r="E34" s="49">
        <v>4900</v>
      </c>
      <c r="F34" s="46">
        <v>41673</v>
      </c>
      <c r="G34" s="49">
        <v>4900</v>
      </c>
      <c r="H34" s="48" t="s">
        <v>671</v>
      </c>
      <c r="I34" s="48" t="s">
        <v>37</v>
      </c>
      <c r="J34" s="47" t="s">
        <v>797</v>
      </c>
    </row>
    <row r="35" spans="1:10" s="47" customFormat="1">
      <c r="A35" s="46">
        <v>41712</v>
      </c>
      <c r="B35" s="47" t="s">
        <v>184</v>
      </c>
      <c r="C35" s="47" t="s">
        <v>194</v>
      </c>
      <c r="D35" s="46">
        <v>41712</v>
      </c>
      <c r="E35" s="47">
        <v>895</v>
      </c>
      <c r="F35" s="46">
        <v>41712</v>
      </c>
      <c r="G35" s="47">
        <v>895</v>
      </c>
      <c r="H35" s="48" t="s">
        <v>671</v>
      </c>
      <c r="I35" s="48" t="s">
        <v>37</v>
      </c>
      <c r="J35" s="47" t="s">
        <v>797</v>
      </c>
    </row>
    <row r="36" spans="1:10" s="47" customFormat="1">
      <c r="A36" s="46">
        <v>41698</v>
      </c>
      <c r="B36" s="47" t="s">
        <v>168</v>
      </c>
      <c r="C36" s="47" t="s">
        <v>179</v>
      </c>
      <c r="D36" s="46">
        <v>41698</v>
      </c>
      <c r="E36" s="49">
        <v>1595</v>
      </c>
      <c r="F36" s="46">
        <v>41698</v>
      </c>
      <c r="G36" s="49">
        <v>1595</v>
      </c>
      <c r="H36" s="48" t="s">
        <v>673</v>
      </c>
      <c r="I36" s="48" t="s">
        <v>573</v>
      </c>
      <c r="J36" s="47" t="s">
        <v>797</v>
      </c>
    </row>
    <row r="37" spans="1:10" s="47" customFormat="1">
      <c r="A37" s="46">
        <v>41708</v>
      </c>
      <c r="B37" s="47" t="s">
        <v>168</v>
      </c>
      <c r="C37" s="47" t="s">
        <v>191</v>
      </c>
      <c r="D37" s="46">
        <v>41708</v>
      </c>
      <c r="E37" s="47">
        <v>1595</v>
      </c>
      <c r="F37" s="46">
        <v>41708</v>
      </c>
      <c r="G37" s="47">
        <v>1595</v>
      </c>
      <c r="H37" s="48" t="s">
        <v>673</v>
      </c>
      <c r="I37" s="48" t="s">
        <v>573</v>
      </c>
      <c r="J37" s="47" t="s">
        <v>797</v>
      </c>
    </row>
    <row r="38" spans="1:10" s="47" customFormat="1">
      <c r="A38" s="46">
        <v>41631</v>
      </c>
      <c r="B38" s="47" t="s">
        <v>106</v>
      </c>
      <c r="C38" s="47" t="s">
        <v>120</v>
      </c>
      <c r="D38" s="46">
        <v>41631</v>
      </c>
      <c r="E38" s="47">
        <v>1422.27</v>
      </c>
      <c r="F38" s="46">
        <v>41631</v>
      </c>
      <c r="G38" s="47">
        <v>1422.27</v>
      </c>
      <c r="H38" s="48" t="s">
        <v>679</v>
      </c>
      <c r="I38" s="48" t="s">
        <v>37</v>
      </c>
      <c r="J38" s="47" t="s">
        <v>797</v>
      </c>
    </row>
    <row r="39" spans="1:10" s="47" customFormat="1">
      <c r="A39" s="46">
        <v>41634</v>
      </c>
      <c r="B39" s="47" t="s">
        <v>108</v>
      </c>
      <c r="C39" s="47" t="s">
        <v>122</v>
      </c>
      <c r="D39" s="46">
        <v>41634</v>
      </c>
      <c r="E39" s="47">
        <v>700</v>
      </c>
      <c r="F39" s="46">
        <v>41634</v>
      </c>
      <c r="G39" s="47">
        <v>700</v>
      </c>
      <c r="H39" s="48" t="s">
        <v>680</v>
      </c>
      <c r="I39" s="48" t="s">
        <v>568</v>
      </c>
      <c r="J39" s="47" t="s">
        <v>797</v>
      </c>
    </row>
    <row r="40" spans="1:10" s="47" customFormat="1">
      <c r="A40" s="46">
        <v>41634</v>
      </c>
      <c r="B40" s="47" t="s">
        <v>109</v>
      </c>
      <c r="C40" s="47" t="s">
        <v>123</v>
      </c>
      <c r="D40" s="46">
        <v>41634</v>
      </c>
      <c r="E40" s="47">
        <v>895</v>
      </c>
      <c r="F40" s="46">
        <v>41634</v>
      </c>
      <c r="G40" s="47">
        <v>895</v>
      </c>
      <c r="H40" s="48" t="s">
        <v>680</v>
      </c>
      <c r="I40" s="48" t="s">
        <v>37</v>
      </c>
      <c r="J40" s="47" t="s">
        <v>797</v>
      </c>
    </row>
    <row r="41" spans="1:10" s="47" customFormat="1">
      <c r="A41" s="46">
        <v>41729</v>
      </c>
      <c r="B41" s="47" t="s">
        <v>168</v>
      </c>
      <c r="C41" s="47" t="s">
        <v>199</v>
      </c>
      <c r="D41" s="46">
        <v>41729</v>
      </c>
      <c r="E41" s="47">
        <v>4730.25</v>
      </c>
      <c r="F41" s="46">
        <v>41729</v>
      </c>
      <c r="G41" s="47">
        <v>4730.25</v>
      </c>
      <c r="H41" s="48" t="s">
        <v>682</v>
      </c>
      <c r="I41" s="48" t="s">
        <v>573</v>
      </c>
      <c r="J41" s="47" t="s">
        <v>797</v>
      </c>
    </row>
    <row r="42" spans="1:10" s="47" customFormat="1">
      <c r="A42" s="46">
        <v>41663</v>
      </c>
      <c r="B42" s="47" t="s">
        <v>137</v>
      </c>
      <c r="C42" s="47" t="s">
        <v>154</v>
      </c>
      <c r="D42" s="46">
        <v>41663</v>
      </c>
      <c r="E42" s="47">
        <v>2940</v>
      </c>
      <c r="F42" s="46">
        <v>41663</v>
      </c>
      <c r="G42" s="47">
        <v>2940</v>
      </c>
      <c r="H42" s="48" t="s">
        <v>683</v>
      </c>
      <c r="I42" s="48" t="s">
        <v>37</v>
      </c>
      <c r="J42" s="47" t="s">
        <v>797</v>
      </c>
    </row>
    <row r="43" spans="1:10" s="47" customFormat="1">
      <c r="A43" s="46">
        <v>41680</v>
      </c>
      <c r="B43" s="47" t="s">
        <v>160</v>
      </c>
      <c r="C43" s="47" t="s">
        <v>171</v>
      </c>
      <c r="D43" s="46">
        <v>41680</v>
      </c>
      <c r="E43" s="49">
        <v>2940</v>
      </c>
      <c r="F43" s="46">
        <v>41680</v>
      </c>
      <c r="G43" s="49">
        <v>2940</v>
      </c>
      <c r="H43" s="48" t="s">
        <v>683</v>
      </c>
      <c r="I43" s="48" t="s">
        <v>37</v>
      </c>
      <c r="J43" s="47" t="s">
        <v>797</v>
      </c>
    </row>
    <row r="44" spans="1:10" s="47" customFormat="1">
      <c r="A44" s="46">
        <v>41729</v>
      </c>
      <c r="B44" s="47" t="s">
        <v>187</v>
      </c>
      <c r="C44" s="47" t="s">
        <v>201</v>
      </c>
      <c r="D44" s="46">
        <v>41729</v>
      </c>
      <c r="E44" s="47">
        <v>840</v>
      </c>
      <c r="F44" s="46">
        <v>41729</v>
      </c>
      <c r="G44" s="47">
        <v>840</v>
      </c>
      <c r="H44" s="48" t="s">
        <v>683</v>
      </c>
      <c r="I44" s="48" t="s">
        <v>37</v>
      </c>
      <c r="J44" s="47" t="s">
        <v>797</v>
      </c>
    </row>
    <row r="45" spans="1:10" s="47" customFormat="1">
      <c r="A45" s="46">
        <v>41737</v>
      </c>
      <c r="B45" s="47" t="s">
        <v>203</v>
      </c>
      <c r="C45" s="47" t="s">
        <v>214</v>
      </c>
      <c r="D45" s="46">
        <v>41737</v>
      </c>
      <c r="E45" s="47">
        <v>840</v>
      </c>
      <c r="F45" s="46">
        <v>41737</v>
      </c>
      <c r="G45" s="47">
        <v>840</v>
      </c>
      <c r="H45" s="48" t="s">
        <v>683</v>
      </c>
      <c r="I45" s="48" t="s">
        <v>37</v>
      </c>
      <c r="J45" s="47" t="s">
        <v>797</v>
      </c>
    </row>
    <row r="46" spans="1:10" s="47" customFormat="1">
      <c r="A46" s="46">
        <v>41768</v>
      </c>
      <c r="B46" s="47" t="s">
        <v>229</v>
      </c>
      <c r="C46" s="47" t="s">
        <v>790</v>
      </c>
      <c r="D46" s="46">
        <v>41768</v>
      </c>
      <c r="E46" s="47">
        <v>840</v>
      </c>
      <c r="F46" s="46">
        <v>41768</v>
      </c>
      <c r="G46" s="47">
        <v>840</v>
      </c>
      <c r="H46" s="48" t="s">
        <v>683</v>
      </c>
      <c r="I46" s="48" t="s">
        <v>37</v>
      </c>
      <c r="J46" s="47" t="s">
        <v>797</v>
      </c>
    </row>
    <row r="47" spans="1:10" s="47" customFormat="1">
      <c r="A47" s="46">
        <v>41690</v>
      </c>
      <c r="B47" s="47" t="s">
        <v>163</v>
      </c>
      <c r="C47" s="47" t="s">
        <v>174</v>
      </c>
      <c r="D47" s="46">
        <v>41690</v>
      </c>
      <c r="E47" s="49">
        <v>1790</v>
      </c>
      <c r="F47" s="46">
        <v>41690</v>
      </c>
      <c r="G47" s="49">
        <v>1790</v>
      </c>
      <c r="H47" s="48" t="s">
        <v>685</v>
      </c>
      <c r="I47" s="48" t="s">
        <v>565</v>
      </c>
      <c r="J47" s="47" t="s">
        <v>797</v>
      </c>
    </row>
    <row r="48" spans="1:10" s="47" customFormat="1">
      <c r="A48" s="46">
        <v>41711</v>
      </c>
      <c r="B48" s="47" t="s">
        <v>163</v>
      </c>
      <c r="C48" s="47" t="s">
        <v>193</v>
      </c>
      <c r="D48" s="46">
        <v>41711</v>
      </c>
      <c r="E48" s="47">
        <v>1790</v>
      </c>
      <c r="F48" s="46">
        <v>41711</v>
      </c>
      <c r="G48" s="47">
        <v>1790</v>
      </c>
      <c r="H48" s="48" t="s">
        <v>685</v>
      </c>
      <c r="I48" s="48" t="s">
        <v>565</v>
      </c>
      <c r="J48" s="47" t="s">
        <v>797</v>
      </c>
    </row>
    <row r="49" spans="1:10" s="47" customFormat="1">
      <c r="A49" s="46">
        <v>41782</v>
      </c>
      <c r="B49" s="47" t="s">
        <v>234</v>
      </c>
      <c r="C49" s="47" t="s">
        <v>246</v>
      </c>
      <c r="D49" s="46">
        <v>41782</v>
      </c>
      <c r="E49" s="47">
        <v>895</v>
      </c>
      <c r="F49" s="46">
        <v>41782</v>
      </c>
      <c r="G49" s="47">
        <v>895</v>
      </c>
      <c r="H49" s="48" t="s">
        <v>685</v>
      </c>
      <c r="I49" s="48" t="s">
        <v>37</v>
      </c>
      <c r="J49" s="47" t="s">
        <v>797</v>
      </c>
    </row>
    <row r="50" spans="1:10" s="50" customFormat="1">
      <c r="A50" s="46">
        <v>41647</v>
      </c>
      <c r="B50" s="47" t="s">
        <v>130</v>
      </c>
      <c r="C50" s="47" t="s">
        <v>144</v>
      </c>
      <c r="D50" s="46">
        <v>41647</v>
      </c>
      <c r="E50" s="47">
        <v>2142</v>
      </c>
      <c r="F50" s="46">
        <v>41647</v>
      </c>
      <c r="G50" s="47">
        <v>2142</v>
      </c>
      <c r="H50" s="48" t="s">
        <v>688</v>
      </c>
      <c r="I50" s="48" t="s">
        <v>567</v>
      </c>
      <c r="J50" s="50" t="s">
        <v>797</v>
      </c>
    </row>
    <row r="51" spans="1:10" s="47" customFormat="1">
      <c r="A51" s="46">
        <v>41717</v>
      </c>
      <c r="B51" s="47" t="s">
        <v>130</v>
      </c>
      <c r="C51" s="47" t="s">
        <v>197</v>
      </c>
      <c r="D51" s="46">
        <v>41717</v>
      </c>
      <c r="E51" s="47">
        <v>1871</v>
      </c>
      <c r="F51" s="46">
        <v>41717</v>
      </c>
      <c r="G51" s="47">
        <v>1871</v>
      </c>
      <c r="H51" s="48" t="s">
        <v>688</v>
      </c>
      <c r="I51" s="48" t="s">
        <v>37</v>
      </c>
      <c r="J51" s="47" t="s">
        <v>797</v>
      </c>
    </row>
    <row r="52" spans="1:10" s="47" customFormat="1">
      <c r="A52" s="46">
        <v>41738</v>
      </c>
      <c r="B52" s="47" t="s">
        <v>130</v>
      </c>
      <c r="C52" s="47" t="s">
        <v>215</v>
      </c>
      <c r="D52" s="46">
        <v>41738</v>
      </c>
      <c r="E52" s="47">
        <v>686</v>
      </c>
      <c r="F52" s="46">
        <v>41738</v>
      </c>
      <c r="G52" s="47">
        <v>686</v>
      </c>
      <c r="H52" s="48" t="s">
        <v>688</v>
      </c>
      <c r="I52" s="48" t="s">
        <v>37</v>
      </c>
      <c r="J52" s="47" t="s">
        <v>797</v>
      </c>
    </row>
    <row r="53" spans="1:10" s="47" customFormat="1">
      <c r="A53" s="46">
        <v>41745</v>
      </c>
      <c r="B53" s="47" t="s">
        <v>206</v>
      </c>
      <c r="C53" s="47" t="s">
        <v>219</v>
      </c>
      <c r="D53" s="46">
        <v>41745</v>
      </c>
      <c r="E53" s="47">
        <v>500</v>
      </c>
      <c r="F53" s="46">
        <v>41745</v>
      </c>
      <c r="G53" s="47">
        <v>500</v>
      </c>
      <c r="H53" s="48" t="s">
        <v>690</v>
      </c>
      <c r="I53" s="48" t="s">
        <v>37</v>
      </c>
      <c r="J53" s="47" t="s">
        <v>797</v>
      </c>
    </row>
    <row r="54" spans="1:10" s="47" customFormat="1">
      <c r="A54" s="46">
        <v>41780</v>
      </c>
      <c r="B54" s="47" t="s">
        <v>233</v>
      </c>
      <c r="C54" s="47" t="s">
        <v>245</v>
      </c>
      <c r="D54" s="46">
        <v>41780</v>
      </c>
      <c r="E54" s="47">
        <v>190107.23</v>
      </c>
      <c r="F54" s="46">
        <v>41780</v>
      </c>
      <c r="G54" s="47">
        <v>190107.23</v>
      </c>
      <c r="H54" s="48" t="s">
        <v>694</v>
      </c>
      <c r="I54" s="48" t="s">
        <v>37</v>
      </c>
      <c r="J54" s="47" t="s">
        <v>797</v>
      </c>
    </row>
    <row r="55" spans="1:10" s="47" customFormat="1">
      <c r="A55" s="46">
        <v>41771</v>
      </c>
      <c r="B55" s="47" t="s">
        <v>230</v>
      </c>
      <c r="C55" s="47" t="s">
        <v>240</v>
      </c>
      <c r="D55" s="46">
        <v>41771</v>
      </c>
      <c r="E55" s="47">
        <v>1790</v>
      </c>
      <c r="F55" s="46">
        <v>41771</v>
      </c>
      <c r="G55" s="47">
        <v>1790</v>
      </c>
      <c r="H55" s="48" t="s">
        <v>795</v>
      </c>
      <c r="I55" s="48" t="s">
        <v>37</v>
      </c>
      <c r="J55" s="47" t="s">
        <v>797</v>
      </c>
    </row>
    <row r="56" spans="1:10" s="47" customFormat="1">
      <c r="A56" s="46">
        <v>41667</v>
      </c>
      <c r="B56" s="47" t="s">
        <v>141</v>
      </c>
      <c r="C56" s="47" t="s">
        <v>157</v>
      </c>
      <c r="D56" s="46">
        <v>41667</v>
      </c>
      <c r="E56" s="47">
        <v>3000</v>
      </c>
      <c r="F56" s="46">
        <v>41667</v>
      </c>
      <c r="G56" s="47">
        <v>3000</v>
      </c>
      <c r="H56" s="48" t="s">
        <v>696</v>
      </c>
      <c r="I56" s="48" t="s">
        <v>565</v>
      </c>
      <c r="J56" s="47" t="s">
        <v>797</v>
      </c>
    </row>
    <row r="57" spans="1:10" s="47" customFormat="1">
      <c r="A57" s="46">
        <v>41744</v>
      </c>
      <c r="B57" s="47" t="s">
        <v>205</v>
      </c>
      <c r="C57" s="47" t="s">
        <v>218</v>
      </c>
      <c r="D57" s="46">
        <v>41744</v>
      </c>
      <c r="E57" s="47">
        <v>495</v>
      </c>
      <c r="F57" s="46">
        <v>41744</v>
      </c>
      <c r="G57" s="47">
        <v>495</v>
      </c>
      <c r="H57" s="48" t="s">
        <v>698</v>
      </c>
      <c r="I57" s="48" t="s">
        <v>37</v>
      </c>
      <c r="J57" s="47" t="s">
        <v>797</v>
      </c>
    </row>
    <row r="58" spans="1:10" s="47" customFormat="1">
      <c r="A58" s="46">
        <v>41759</v>
      </c>
      <c r="B58" s="47" t="s">
        <v>212</v>
      </c>
      <c r="C58" s="47" t="s">
        <v>226</v>
      </c>
      <c r="D58" s="46">
        <v>41759</v>
      </c>
      <c r="E58" s="47">
        <v>1445</v>
      </c>
      <c r="F58" s="46">
        <v>41759</v>
      </c>
      <c r="G58" s="47">
        <v>1445</v>
      </c>
      <c r="H58" s="48" t="s">
        <v>700</v>
      </c>
      <c r="I58" s="48" t="s">
        <v>565</v>
      </c>
      <c r="J58" s="47" t="s">
        <v>797</v>
      </c>
    </row>
    <row r="59" spans="1:10" s="47" customFormat="1">
      <c r="A59" s="46">
        <v>41652</v>
      </c>
      <c r="B59" s="47" t="s">
        <v>131</v>
      </c>
      <c r="C59" s="47" t="s">
        <v>145</v>
      </c>
      <c r="D59" s="46">
        <v>41652</v>
      </c>
      <c r="E59" s="47">
        <v>895</v>
      </c>
      <c r="F59" s="46">
        <v>41652</v>
      </c>
      <c r="G59" s="47">
        <v>895</v>
      </c>
      <c r="H59" s="48" t="s">
        <v>702</v>
      </c>
      <c r="I59" s="48" t="s">
        <v>37</v>
      </c>
      <c r="J59" s="47" t="s">
        <v>797</v>
      </c>
    </row>
    <row r="60" spans="1:10" s="47" customFormat="1">
      <c r="A60" s="46">
        <v>41635</v>
      </c>
      <c r="B60" s="47" t="s">
        <v>110</v>
      </c>
      <c r="C60" s="47" t="s">
        <v>124</v>
      </c>
      <c r="D60" s="46">
        <v>41635</v>
      </c>
      <c r="E60" s="47">
        <v>4811.6099999999997</v>
      </c>
      <c r="F60" s="46">
        <v>41635</v>
      </c>
      <c r="G60" s="47">
        <v>4811.6099999999997</v>
      </c>
      <c r="H60" s="48" t="s">
        <v>707</v>
      </c>
      <c r="I60" s="48" t="s">
        <v>567</v>
      </c>
      <c r="J60" s="47" t="s">
        <v>797</v>
      </c>
    </row>
    <row r="61" spans="1:10" s="47" customFormat="1">
      <c r="A61" s="46">
        <v>41639</v>
      </c>
      <c r="B61" s="47" t="s">
        <v>113</v>
      </c>
      <c r="C61" s="47" t="s">
        <v>127</v>
      </c>
      <c r="D61" s="46">
        <v>41639</v>
      </c>
      <c r="E61" s="47">
        <v>1790</v>
      </c>
      <c r="F61" s="46">
        <v>41639</v>
      </c>
      <c r="G61" s="47">
        <v>1790</v>
      </c>
      <c r="H61" s="48" t="s">
        <v>707</v>
      </c>
      <c r="I61" s="48" t="s">
        <v>37</v>
      </c>
      <c r="J61" s="47" t="s">
        <v>797</v>
      </c>
    </row>
    <row r="62" spans="1:10" s="47" customFormat="1">
      <c r="A62" s="46">
        <v>41667</v>
      </c>
      <c r="B62" s="47" t="s">
        <v>140</v>
      </c>
      <c r="C62" s="47" t="s">
        <v>156</v>
      </c>
      <c r="D62" s="46">
        <v>41667</v>
      </c>
      <c r="E62" s="47">
        <v>2885</v>
      </c>
      <c r="F62" s="46">
        <v>41667</v>
      </c>
      <c r="G62" s="47">
        <v>2885</v>
      </c>
      <c r="H62" s="48" t="s">
        <v>707</v>
      </c>
      <c r="I62" s="48" t="s">
        <v>37</v>
      </c>
      <c r="J62" s="47" t="s">
        <v>797</v>
      </c>
    </row>
    <row r="63" spans="1:10" s="47" customFormat="1">
      <c r="A63" s="46">
        <v>41705</v>
      </c>
      <c r="B63" s="47" t="s">
        <v>110</v>
      </c>
      <c r="C63" s="47" t="s">
        <v>189</v>
      </c>
      <c r="D63" s="46">
        <v>41705</v>
      </c>
      <c r="E63" s="47">
        <v>1590</v>
      </c>
      <c r="F63" s="46">
        <v>41705</v>
      </c>
      <c r="G63" s="47">
        <v>1590</v>
      </c>
      <c r="H63" s="48" t="s">
        <v>707</v>
      </c>
      <c r="I63" s="48" t="s">
        <v>37</v>
      </c>
      <c r="J63" s="47" t="s">
        <v>797</v>
      </c>
    </row>
    <row r="64" spans="1:10" s="47" customFormat="1">
      <c r="A64" s="46">
        <v>41719</v>
      </c>
      <c r="B64" s="47" t="s">
        <v>186</v>
      </c>
      <c r="C64" s="47" t="s">
        <v>198</v>
      </c>
      <c r="D64" s="46">
        <v>41719</v>
      </c>
      <c r="E64" s="47">
        <v>795</v>
      </c>
      <c r="F64" s="46">
        <v>41719</v>
      </c>
      <c r="G64" s="47">
        <v>795</v>
      </c>
      <c r="H64" s="48" t="s">
        <v>707</v>
      </c>
      <c r="I64" s="48" t="s">
        <v>37</v>
      </c>
      <c r="J64" s="47" t="s">
        <v>797</v>
      </c>
    </row>
    <row r="65" spans="1:10" s="47" customFormat="1">
      <c r="A65" s="46">
        <v>41729</v>
      </c>
      <c r="B65" s="47" t="s">
        <v>110</v>
      </c>
      <c r="C65" s="47" t="s">
        <v>200</v>
      </c>
      <c r="D65" s="46">
        <v>41729</v>
      </c>
      <c r="E65" s="47">
        <v>6416</v>
      </c>
      <c r="F65" s="46">
        <v>41729</v>
      </c>
      <c r="G65" s="47">
        <v>6416</v>
      </c>
      <c r="H65" s="48" t="s">
        <v>707</v>
      </c>
      <c r="I65" s="48" t="s">
        <v>37</v>
      </c>
      <c r="J65" s="47" t="s">
        <v>797</v>
      </c>
    </row>
    <row r="66" spans="1:10" s="47" customFormat="1">
      <c r="A66" s="46">
        <v>41751</v>
      </c>
      <c r="B66" s="47" t="s">
        <v>110</v>
      </c>
      <c r="C66" s="47" t="s">
        <v>220</v>
      </c>
      <c r="D66" s="46">
        <v>41751</v>
      </c>
      <c r="E66" s="47">
        <v>2409.75</v>
      </c>
      <c r="F66" s="46">
        <v>41751</v>
      </c>
      <c r="G66" s="47">
        <v>2409.75</v>
      </c>
      <c r="H66" s="48" t="s">
        <v>707</v>
      </c>
      <c r="I66" s="48" t="s">
        <v>37</v>
      </c>
      <c r="J66" s="47" t="s">
        <v>797</v>
      </c>
    </row>
    <row r="67" spans="1:10" s="47" customFormat="1">
      <c r="A67" s="46">
        <v>41752</v>
      </c>
      <c r="B67" s="47" t="s">
        <v>208</v>
      </c>
      <c r="C67" s="47" t="s">
        <v>786</v>
      </c>
      <c r="D67" s="46">
        <v>41752</v>
      </c>
      <c r="E67" s="47">
        <v>1590</v>
      </c>
      <c r="F67" s="46">
        <v>41752</v>
      </c>
      <c r="G67" s="47">
        <v>1590</v>
      </c>
      <c r="H67" s="48" t="s">
        <v>707</v>
      </c>
      <c r="I67" s="48" t="s">
        <v>37</v>
      </c>
      <c r="J67" s="47" t="s">
        <v>797</v>
      </c>
    </row>
    <row r="68" spans="1:10" s="47" customFormat="1">
      <c r="A68" s="46">
        <v>41754</v>
      </c>
      <c r="B68" s="47" t="s">
        <v>210</v>
      </c>
      <c r="C68" s="47" t="s">
        <v>223</v>
      </c>
      <c r="D68" s="46">
        <v>41754</v>
      </c>
      <c r="E68" s="47">
        <v>795</v>
      </c>
      <c r="F68" s="46">
        <v>41754</v>
      </c>
      <c r="G68" s="47">
        <v>795</v>
      </c>
      <c r="H68" s="48" t="s">
        <v>707</v>
      </c>
      <c r="I68" s="48" t="s">
        <v>37</v>
      </c>
      <c r="J68" s="47" t="s">
        <v>797</v>
      </c>
    </row>
    <row r="69" spans="1:10" s="47" customFormat="1">
      <c r="A69" s="46">
        <v>41771</v>
      </c>
      <c r="B69" s="47" t="s">
        <v>110</v>
      </c>
      <c r="C69" s="47" t="s">
        <v>239</v>
      </c>
      <c r="D69" s="46">
        <v>41771</v>
      </c>
      <c r="E69" s="47">
        <v>8835.75</v>
      </c>
      <c r="F69" s="46">
        <v>41771</v>
      </c>
      <c r="G69" s="47">
        <v>8835.75</v>
      </c>
      <c r="H69" s="48" t="s">
        <v>707</v>
      </c>
      <c r="I69" s="48" t="s">
        <v>37</v>
      </c>
      <c r="J69" s="47" t="s">
        <v>797</v>
      </c>
    </row>
    <row r="70" spans="1:10" s="47" customFormat="1">
      <c r="A70" s="46">
        <v>41775</v>
      </c>
      <c r="B70" s="47" t="s">
        <v>231</v>
      </c>
      <c r="C70" s="47" t="s">
        <v>243</v>
      </c>
      <c r="D70" s="46">
        <v>41775</v>
      </c>
      <c r="E70" s="47">
        <v>800</v>
      </c>
      <c r="F70" s="46">
        <v>41775</v>
      </c>
      <c r="G70" s="47">
        <v>800</v>
      </c>
      <c r="H70" s="48" t="s">
        <v>707</v>
      </c>
      <c r="I70" s="48" t="s">
        <v>37</v>
      </c>
      <c r="J70" s="47" t="s">
        <v>797</v>
      </c>
    </row>
    <row r="71" spans="1:10" s="47" customFormat="1">
      <c r="A71" s="46">
        <v>41761</v>
      </c>
      <c r="B71" s="47" t="s">
        <v>227</v>
      </c>
      <c r="C71" s="47" t="s">
        <v>237</v>
      </c>
      <c r="D71" s="46">
        <v>41761</v>
      </c>
      <c r="E71" s="47">
        <v>1593</v>
      </c>
      <c r="F71" s="46">
        <v>41761</v>
      </c>
      <c r="G71" s="47">
        <v>1593</v>
      </c>
      <c r="H71" s="48" t="s">
        <v>710</v>
      </c>
      <c r="I71" s="48" t="s">
        <v>573</v>
      </c>
      <c r="J71" s="47" t="s">
        <v>797</v>
      </c>
    </row>
    <row r="72" spans="1:10" s="47" customFormat="1">
      <c r="A72" s="46">
        <v>41691</v>
      </c>
      <c r="B72" s="47" t="s">
        <v>165</v>
      </c>
      <c r="C72" s="47" t="s">
        <v>176</v>
      </c>
      <c r="D72" s="46">
        <v>41691</v>
      </c>
      <c r="E72" s="49">
        <v>1790</v>
      </c>
      <c r="F72" s="46">
        <v>41691</v>
      </c>
      <c r="G72" s="49">
        <v>1790</v>
      </c>
      <c r="H72" s="48" t="s">
        <v>715</v>
      </c>
      <c r="I72" s="48" t="s">
        <v>37</v>
      </c>
      <c r="J72" s="47" t="s">
        <v>797</v>
      </c>
    </row>
    <row r="73" spans="1:10" s="47" customFormat="1">
      <c r="A73" s="46">
        <v>41635</v>
      </c>
      <c r="B73" s="47" t="s">
        <v>111</v>
      </c>
      <c r="C73" s="47" t="s">
        <v>125</v>
      </c>
      <c r="D73" s="46">
        <v>41635</v>
      </c>
      <c r="E73" s="47">
        <v>1600</v>
      </c>
      <c r="F73" s="46">
        <v>41635</v>
      </c>
      <c r="G73" s="47">
        <v>1600</v>
      </c>
      <c r="H73" s="48" t="s">
        <v>717</v>
      </c>
      <c r="I73" s="48" t="s">
        <v>567</v>
      </c>
      <c r="J73" s="47" t="s">
        <v>797</v>
      </c>
    </row>
    <row r="74" spans="1:10" s="47" customFormat="1">
      <c r="A74" s="46">
        <v>41676</v>
      </c>
      <c r="B74" s="47" t="s">
        <v>159</v>
      </c>
      <c r="C74" s="47" t="s">
        <v>170</v>
      </c>
      <c r="D74" s="46">
        <v>41676</v>
      </c>
      <c r="E74" s="49">
        <v>1253</v>
      </c>
      <c r="F74" s="46">
        <v>41676</v>
      </c>
      <c r="G74" s="49">
        <v>1253</v>
      </c>
      <c r="H74" s="48" t="s">
        <v>717</v>
      </c>
      <c r="I74" s="48" t="s">
        <v>37</v>
      </c>
      <c r="J74" s="47" t="s">
        <v>797</v>
      </c>
    </row>
    <row r="75" spans="1:10" s="47" customFormat="1">
      <c r="A75" s="46">
        <v>41691</v>
      </c>
      <c r="B75" s="47" t="s">
        <v>164</v>
      </c>
      <c r="C75" s="47" t="s">
        <v>175</v>
      </c>
      <c r="D75" s="46">
        <v>41691</v>
      </c>
      <c r="E75" s="47">
        <v>700</v>
      </c>
      <c r="F75" s="46">
        <v>41691</v>
      </c>
      <c r="G75" s="47">
        <v>700</v>
      </c>
      <c r="H75" s="48" t="s">
        <v>717</v>
      </c>
      <c r="I75" s="48" t="s">
        <v>37</v>
      </c>
      <c r="J75" s="47" t="s">
        <v>797</v>
      </c>
    </row>
    <row r="76" spans="1:10" s="47" customFormat="1">
      <c r="A76" s="46">
        <v>41694</v>
      </c>
      <c r="B76" s="47" t="s">
        <v>166</v>
      </c>
      <c r="C76" s="47" t="s">
        <v>177</v>
      </c>
      <c r="D76" s="46">
        <v>41694</v>
      </c>
      <c r="E76" s="49">
        <v>1390</v>
      </c>
      <c r="F76" s="46">
        <v>41694</v>
      </c>
      <c r="G76" s="49">
        <v>1390</v>
      </c>
      <c r="H76" s="48" t="s">
        <v>717</v>
      </c>
      <c r="I76" s="48" t="s">
        <v>37</v>
      </c>
      <c r="J76" s="47" t="s">
        <v>797</v>
      </c>
    </row>
    <row r="77" spans="1:10" s="47" customFormat="1">
      <c r="A77" s="46">
        <v>41743</v>
      </c>
      <c r="B77" s="47" t="s">
        <v>111</v>
      </c>
      <c r="C77" s="47" t="s">
        <v>217</v>
      </c>
      <c r="D77" s="46">
        <v>41743</v>
      </c>
      <c r="E77" s="47">
        <v>1195</v>
      </c>
      <c r="F77" s="46">
        <v>41743</v>
      </c>
      <c r="G77" s="47">
        <v>1195</v>
      </c>
      <c r="H77" s="48" t="s">
        <v>717</v>
      </c>
      <c r="I77" s="48" t="s">
        <v>37</v>
      </c>
      <c r="J77" s="47" t="s">
        <v>797</v>
      </c>
    </row>
    <row r="78" spans="1:10" s="47" customFormat="1">
      <c r="A78" s="46">
        <v>41752</v>
      </c>
      <c r="B78" s="47" t="s">
        <v>209</v>
      </c>
      <c r="C78" s="47" t="s">
        <v>222</v>
      </c>
      <c r="D78" s="46">
        <v>41752</v>
      </c>
      <c r="E78" s="47">
        <v>895</v>
      </c>
      <c r="F78" s="46">
        <v>41752</v>
      </c>
      <c r="G78" s="47">
        <v>895</v>
      </c>
      <c r="H78" s="48" t="s">
        <v>717</v>
      </c>
      <c r="I78" s="48" t="s">
        <v>37</v>
      </c>
      <c r="J78" s="47" t="s">
        <v>797</v>
      </c>
    </row>
    <row r="79" spans="1:10" s="47" customFormat="1">
      <c r="A79" s="46">
        <v>41611</v>
      </c>
      <c r="B79" s="47" t="s">
        <v>99</v>
      </c>
      <c r="C79" s="47" t="s">
        <v>114</v>
      </c>
      <c r="D79" s="46">
        <v>41611</v>
      </c>
      <c r="E79" s="47">
        <v>895</v>
      </c>
      <c r="F79" s="46">
        <v>41611</v>
      </c>
      <c r="G79" s="47">
        <v>895</v>
      </c>
      <c r="H79" s="48" t="s">
        <v>719</v>
      </c>
      <c r="I79" s="48" t="s">
        <v>37</v>
      </c>
      <c r="J79" s="47" t="s">
        <v>797</v>
      </c>
    </row>
    <row r="80" spans="1:10" s="47" customFormat="1">
      <c r="A80" s="46">
        <v>41610</v>
      </c>
      <c r="B80" s="47" t="s">
        <v>98</v>
      </c>
      <c r="C80" s="47" t="s">
        <v>777</v>
      </c>
      <c r="D80" s="46">
        <v>41610</v>
      </c>
      <c r="E80" s="47">
        <v>495</v>
      </c>
      <c r="F80" s="46">
        <v>41610</v>
      </c>
      <c r="G80" s="47">
        <v>495</v>
      </c>
      <c r="H80" s="48" t="s">
        <v>721</v>
      </c>
      <c r="I80" s="48" t="s">
        <v>37</v>
      </c>
      <c r="J80" s="47" t="s">
        <v>797</v>
      </c>
    </row>
    <row r="81" spans="1:10" s="47" customFormat="1">
      <c r="A81" s="46">
        <v>41645</v>
      </c>
      <c r="B81" s="47" t="s">
        <v>129</v>
      </c>
      <c r="C81" s="47" t="s">
        <v>143</v>
      </c>
      <c r="D81" s="46">
        <v>41645</v>
      </c>
      <c r="E81" s="47">
        <v>1390</v>
      </c>
      <c r="F81" s="46">
        <v>41645</v>
      </c>
      <c r="G81" s="47">
        <v>1390</v>
      </c>
      <c r="H81" s="48" t="s">
        <v>723</v>
      </c>
      <c r="I81" s="48" t="s">
        <v>37</v>
      </c>
      <c r="J81" s="47" t="s">
        <v>797</v>
      </c>
    </row>
    <row r="82" spans="1:10" s="47" customFormat="1">
      <c r="A82" s="46">
        <v>41654</v>
      </c>
      <c r="B82" s="47" t="s">
        <v>135</v>
      </c>
      <c r="C82" s="47" t="s">
        <v>151</v>
      </c>
      <c r="D82" s="46">
        <v>41654</v>
      </c>
      <c r="E82" s="47">
        <v>2100</v>
      </c>
      <c r="F82" s="46">
        <v>41654</v>
      </c>
      <c r="G82" s="47">
        <v>2100</v>
      </c>
      <c r="H82" s="48" t="s">
        <v>723</v>
      </c>
      <c r="I82" s="48" t="s">
        <v>567</v>
      </c>
      <c r="J82" s="47" t="s">
        <v>797</v>
      </c>
    </row>
    <row r="83" spans="1:10" s="47" customFormat="1">
      <c r="A83" s="46">
        <v>41766</v>
      </c>
      <c r="B83" s="47" t="s">
        <v>228</v>
      </c>
      <c r="C83" s="47" t="s">
        <v>238</v>
      </c>
      <c r="D83" s="46">
        <v>41766</v>
      </c>
      <c r="E83" s="47">
        <v>2685</v>
      </c>
      <c r="F83" s="46">
        <v>41766</v>
      </c>
      <c r="G83" s="47">
        <v>2685</v>
      </c>
      <c r="H83" s="48" t="s">
        <v>724</v>
      </c>
      <c r="I83" s="48" t="s">
        <v>37</v>
      </c>
      <c r="J83" s="47" t="s">
        <v>797</v>
      </c>
    </row>
    <row r="84" spans="1:10" s="47" customFormat="1">
      <c r="A84" s="46">
        <v>41786</v>
      </c>
      <c r="B84" s="47" t="s">
        <v>235</v>
      </c>
      <c r="C84" s="47" t="s">
        <v>792</v>
      </c>
      <c r="D84" s="46">
        <v>41786</v>
      </c>
      <c r="E84" s="47">
        <v>895</v>
      </c>
      <c r="F84" s="46">
        <v>41786</v>
      </c>
      <c r="G84" s="47">
        <v>895</v>
      </c>
      <c r="H84" s="48" t="s">
        <v>728</v>
      </c>
      <c r="I84" s="48" t="s">
        <v>37</v>
      </c>
      <c r="J84" s="47" t="s">
        <v>797</v>
      </c>
    </row>
    <row r="85" spans="1:10" s="47" customFormat="1">
      <c r="A85" s="46">
        <v>41620</v>
      </c>
      <c r="B85" s="47" t="s">
        <v>101</v>
      </c>
      <c r="C85" s="47" t="s">
        <v>116</v>
      </c>
      <c r="D85" s="46">
        <v>41620</v>
      </c>
      <c r="E85" s="47">
        <v>4000</v>
      </c>
      <c r="F85" s="46">
        <v>41620</v>
      </c>
      <c r="G85" s="47">
        <v>4000</v>
      </c>
      <c r="H85" s="48" t="s">
        <v>732</v>
      </c>
      <c r="I85" s="48" t="s">
        <v>37</v>
      </c>
      <c r="J85" s="47" t="s">
        <v>797</v>
      </c>
    </row>
  </sheetData>
  <sortState ref="A4:I98">
    <sortCondition ref="H4:H98"/>
  </sortState>
  <dataValidations count="3">
    <dataValidation type="list" allowBlank="1" showInputMessage="1" showErrorMessage="1" sqref="I4:I85">
      <formula1>Transacao</formula1>
    </dataValidation>
    <dataValidation type="list" allowBlank="1" showInputMessage="1" showErrorMessage="1" sqref="H4:H85">
      <formula1>Cliente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5"/>
  <dimension ref="A1:J291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85546875" style="2" bestFit="1" customWidth="1"/>
    <col min="2" max="2" width="18.5703125" customWidth="1"/>
    <col min="3" max="3" width="36.140625" customWidth="1"/>
    <col min="4" max="4" width="18.5703125" style="2" bestFit="1" customWidth="1"/>
    <col min="5" max="5" width="12.7109375" bestFit="1" customWidth="1"/>
    <col min="6" max="6" width="17.7109375" style="2" bestFit="1" customWidth="1"/>
    <col min="7" max="7" width="10" bestFit="1" customWidth="1"/>
    <col min="8" max="8" width="29.42578125" bestFit="1" customWidth="1"/>
    <col min="9" max="9" width="20.28515625" bestFit="1" customWidth="1"/>
    <col min="10" max="10" width="3.28515625" bestFit="1" customWidth="1"/>
  </cols>
  <sheetData>
    <row r="1" spans="1:10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10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56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736</v>
      </c>
    </row>
    <row r="3" spans="1:10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22</v>
      </c>
      <c r="I3" s="8" t="s">
        <v>30</v>
      </c>
    </row>
    <row r="4" spans="1:10">
      <c r="A4" s="2">
        <v>41736</v>
      </c>
      <c r="B4" t="s">
        <v>437</v>
      </c>
      <c r="C4" t="s">
        <v>308</v>
      </c>
      <c r="D4" s="2">
        <v>41736</v>
      </c>
      <c r="E4" s="15">
        <v>3000</v>
      </c>
      <c r="F4" s="2">
        <v>41736</v>
      </c>
      <c r="G4" s="15">
        <v>3000</v>
      </c>
      <c r="H4" s="9" t="s">
        <v>591</v>
      </c>
      <c r="I4" s="9" t="s">
        <v>739</v>
      </c>
      <c r="J4" t="s">
        <v>797</v>
      </c>
    </row>
    <row r="5" spans="1:10">
      <c r="A5" s="2">
        <v>41690</v>
      </c>
      <c r="B5" t="s">
        <v>330</v>
      </c>
      <c r="C5" t="s">
        <v>356</v>
      </c>
      <c r="D5" s="2">
        <v>41690</v>
      </c>
      <c r="E5">
        <v>235</v>
      </c>
      <c r="F5" s="2">
        <v>41690</v>
      </c>
      <c r="G5">
        <v>235</v>
      </c>
      <c r="H5" s="9" t="s">
        <v>599</v>
      </c>
      <c r="I5" s="9" t="s">
        <v>82</v>
      </c>
      <c r="J5" t="s">
        <v>797</v>
      </c>
    </row>
    <row r="6" spans="1:10">
      <c r="A6" s="2">
        <v>41788</v>
      </c>
      <c r="B6" t="s">
        <v>525</v>
      </c>
      <c r="C6" t="s">
        <v>531</v>
      </c>
      <c r="D6" s="2">
        <v>41788</v>
      </c>
      <c r="E6">
        <v>850</v>
      </c>
      <c r="F6" s="2">
        <v>41788</v>
      </c>
      <c r="G6">
        <v>850</v>
      </c>
      <c r="H6" s="9" t="s">
        <v>599</v>
      </c>
      <c r="I6" s="9" t="s">
        <v>82</v>
      </c>
      <c r="J6" t="s">
        <v>797</v>
      </c>
    </row>
    <row r="7" spans="1:10">
      <c r="A7" s="2">
        <v>41754</v>
      </c>
      <c r="B7" t="s">
        <v>456</v>
      </c>
      <c r="C7" t="s">
        <v>356</v>
      </c>
      <c r="D7" s="2">
        <v>41754</v>
      </c>
      <c r="E7">
        <v>800</v>
      </c>
      <c r="F7" s="2">
        <v>41754</v>
      </c>
      <c r="G7">
        <v>800</v>
      </c>
      <c r="H7" s="9" t="s">
        <v>599</v>
      </c>
      <c r="I7" s="9" t="s">
        <v>82</v>
      </c>
      <c r="J7" t="s">
        <v>797</v>
      </c>
    </row>
    <row r="8" spans="1:10">
      <c r="A8" s="2">
        <v>41773</v>
      </c>
      <c r="B8" t="s">
        <v>510</v>
      </c>
      <c r="C8" t="s">
        <v>531</v>
      </c>
      <c r="D8" s="2">
        <v>41773</v>
      </c>
      <c r="E8">
        <v>500</v>
      </c>
      <c r="F8" s="2">
        <v>41773</v>
      </c>
      <c r="G8">
        <v>500</v>
      </c>
      <c r="H8" s="9" t="s">
        <v>599</v>
      </c>
      <c r="I8" s="9" t="s">
        <v>82</v>
      </c>
      <c r="J8" t="s">
        <v>797</v>
      </c>
    </row>
    <row r="9" spans="1:10">
      <c r="A9" s="2">
        <v>41779</v>
      </c>
      <c r="B9" t="s">
        <v>514</v>
      </c>
      <c r="C9" t="s">
        <v>531</v>
      </c>
      <c r="D9" s="2">
        <v>41779</v>
      </c>
      <c r="E9">
        <v>330</v>
      </c>
      <c r="F9" s="2">
        <v>41779</v>
      </c>
      <c r="G9">
        <v>330</v>
      </c>
      <c r="H9" s="9" t="s">
        <v>599</v>
      </c>
      <c r="I9" s="9" t="s">
        <v>82</v>
      </c>
      <c r="J9" t="s">
        <v>797</v>
      </c>
    </row>
    <row r="10" spans="1:10">
      <c r="A10" s="2">
        <v>41716</v>
      </c>
      <c r="B10" t="s">
        <v>382</v>
      </c>
      <c r="C10" t="s">
        <v>356</v>
      </c>
      <c r="D10" s="2">
        <v>41716</v>
      </c>
      <c r="E10">
        <v>200</v>
      </c>
      <c r="F10" s="2">
        <v>41716</v>
      </c>
      <c r="G10">
        <v>200</v>
      </c>
      <c r="H10" s="9" t="s">
        <v>599</v>
      </c>
      <c r="I10" s="9" t="s">
        <v>82</v>
      </c>
      <c r="J10" t="s">
        <v>797</v>
      </c>
    </row>
    <row r="11" spans="1:10">
      <c r="A11" s="2">
        <v>41634</v>
      </c>
      <c r="B11" t="s">
        <v>73</v>
      </c>
      <c r="C11" t="s">
        <v>94</v>
      </c>
      <c r="D11" s="2">
        <v>41634</v>
      </c>
      <c r="E11">
        <v>450</v>
      </c>
      <c r="F11" s="2">
        <v>41634</v>
      </c>
      <c r="G11">
        <v>450</v>
      </c>
      <c r="H11" s="9" t="s">
        <v>591</v>
      </c>
      <c r="I11" s="9" t="s">
        <v>739</v>
      </c>
      <c r="J11" t="s">
        <v>797</v>
      </c>
    </row>
    <row r="12" spans="1:10">
      <c r="A12" s="2">
        <v>41736</v>
      </c>
      <c r="B12" t="s">
        <v>438</v>
      </c>
      <c r="C12" t="s">
        <v>308</v>
      </c>
      <c r="D12" s="2">
        <v>41736</v>
      </c>
      <c r="E12">
        <v>300</v>
      </c>
      <c r="F12" s="2">
        <v>41736</v>
      </c>
      <c r="G12">
        <v>300</v>
      </c>
      <c r="H12" s="9" t="s">
        <v>591</v>
      </c>
      <c r="I12" s="9" t="s">
        <v>739</v>
      </c>
      <c r="J12" t="s">
        <v>797</v>
      </c>
    </row>
    <row r="13" spans="1:10">
      <c r="A13" s="2">
        <v>41736</v>
      </c>
      <c r="B13" t="s">
        <v>439</v>
      </c>
      <c r="C13" t="s">
        <v>308</v>
      </c>
      <c r="D13" s="2">
        <v>41736</v>
      </c>
      <c r="E13">
        <v>300</v>
      </c>
      <c r="F13" s="2">
        <v>41736</v>
      </c>
      <c r="G13">
        <v>300</v>
      </c>
      <c r="H13" s="9" t="s">
        <v>591</v>
      </c>
      <c r="I13" s="9" t="s">
        <v>739</v>
      </c>
      <c r="J13" t="s">
        <v>797</v>
      </c>
    </row>
    <row r="14" spans="1:10">
      <c r="A14" s="2">
        <v>41723</v>
      </c>
      <c r="B14" t="s">
        <v>388</v>
      </c>
      <c r="C14" t="s">
        <v>419</v>
      </c>
      <c r="D14" s="2">
        <v>41723</v>
      </c>
      <c r="E14">
        <v>400</v>
      </c>
      <c r="F14" s="2">
        <v>41723</v>
      </c>
      <c r="G14">
        <v>400</v>
      </c>
      <c r="H14" s="9" t="s">
        <v>591</v>
      </c>
      <c r="I14" s="9" t="s">
        <v>739</v>
      </c>
      <c r="J14" t="s">
        <v>797</v>
      </c>
    </row>
    <row r="15" spans="1:10">
      <c r="A15" s="2">
        <v>41705</v>
      </c>
      <c r="B15" t="s">
        <v>378</v>
      </c>
      <c r="C15" t="s">
        <v>356</v>
      </c>
      <c r="D15" s="2">
        <v>41705</v>
      </c>
      <c r="E15">
        <v>100</v>
      </c>
      <c r="F15" s="2">
        <v>41705</v>
      </c>
      <c r="G15">
        <v>100</v>
      </c>
      <c r="H15" s="9" t="s">
        <v>591</v>
      </c>
      <c r="I15" s="9" t="s">
        <v>739</v>
      </c>
      <c r="J15" t="s">
        <v>797</v>
      </c>
    </row>
    <row r="16" spans="1:10">
      <c r="A16" s="2">
        <v>41656</v>
      </c>
      <c r="B16" t="s">
        <v>270</v>
      </c>
      <c r="C16" t="s">
        <v>308</v>
      </c>
      <c r="D16" s="2">
        <v>41656</v>
      </c>
      <c r="E16">
        <v>200</v>
      </c>
      <c r="F16" s="2">
        <v>41656</v>
      </c>
      <c r="G16">
        <v>200</v>
      </c>
      <c r="H16" s="9" t="s">
        <v>591</v>
      </c>
      <c r="I16" s="9" t="s">
        <v>739</v>
      </c>
      <c r="J16" t="s">
        <v>797</v>
      </c>
    </row>
    <row r="17" spans="1:10">
      <c r="A17" s="2">
        <v>41691</v>
      </c>
      <c r="B17" t="s">
        <v>333</v>
      </c>
      <c r="C17" t="s">
        <v>356</v>
      </c>
      <c r="D17" s="2">
        <v>41691</v>
      </c>
      <c r="E17">
        <v>500</v>
      </c>
      <c r="F17" s="2">
        <v>41691</v>
      </c>
      <c r="G17">
        <v>500</v>
      </c>
      <c r="H17" s="9" t="s">
        <v>599</v>
      </c>
      <c r="I17" s="9" t="s">
        <v>82</v>
      </c>
      <c r="J17" t="s">
        <v>797</v>
      </c>
    </row>
    <row r="18" spans="1:10">
      <c r="A18" s="2">
        <v>41730</v>
      </c>
      <c r="B18" t="s">
        <v>428</v>
      </c>
      <c r="C18" t="s">
        <v>308</v>
      </c>
      <c r="D18" s="2">
        <v>41730</v>
      </c>
      <c r="E18">
        <v>700</v>
      </c>
      <c r="F18" s="2">
        <v>41730</v>
      </c>
      <c r="G18">
        <v>700</v>
      </c>
      <c r="H18" s="9" t="s">
        <v>591</v>
      </c>
      <c r="I18" s="9" t="s">
        <v>739</v>
      </c>
      <c r="J18" t="s">
        <v>797</v>
      </c>
    </row>
    <row r="19" spans="1:10">
      <c r="A19" s="2">
        <v>41724</v>
      </c>
      <c r="B19" t="s">
        <v>393</v>
      </c>
      <c r="C19" t="s">
        <v>419</v>
      </c>
      <c r="D19" s="2">
        <v>41724</v>
      </c>
      <c r="E19">
        <v>700</v>
      </c>
      <c r="F19" s="2">
        <v>41724</v>
      </c>
      <c r="G19">
        <v>700</v>
      </c>
      <c r="H19" s="9" t="s">
        <v>591</v>
      </c>
      <c r="I19" s="9" t="s">
        <v>739</v>
      </c>
      <c r="J19" t="s">
        <v>797</v>
      </c>
    </row>
    <row r="20" spans="1:10">
      <c r="A20" s="2">
        <v>41666</v>
      </c>
      <c r="B20" t="s">
        <v>276</v>
      </c>
      <c r="C20" t="s">
        <v>308</v>
      </c>
      <c r="D20" s="2">
        <v>41666</v>
      </c>
      <c r="E20">
        <v>700</v>
      </c>
      <c r="F20" s="2">
        <v>41666</v>
      </c>
      <c r="G20">
        <v>700</v>
      </c>
      <c r="H20" s="9" t="s">
        <v>591</v>
      </c>
      <c r="I20" s="9" t="s">
        <v>739</v>
      </c>
      <c r="J20" t="s">
        <v>797</v>
      </c>
    </row>
    <row r="21" spans="1:10">
      <c r="A21" s="2">
        <v>41778</v>
      </c>
      <c r="B21" t="s">
        <v>512</v>
      </c>
      <c r="C21" t="s">
        <v>94</v>
      </c>
      <c r="D21" s="2">
        <v>41778</v>
      </c>
      <c r="E21">
        <v>400</v>
      </c>
      <c r="F21" s="2">
        <v>41778</v>
      </c>
      <c r="G21">
        <v>400</v>
      </c>
      <c r="H21" s="9" t="s">
        <v>591</v>
      </c>
      <c r="I21" s="9" t="s">
        <v>739</v>
      </c>
      <c r="J21" t="s">
        <v>797</v>
      </c>
    </row>
    <row r="22" spans="1:10">
      <c r="A22" s="2">
        <v>41759</v>
      </c>
      <c r="B22" t="s">
        <v>461</v>
      </c>
      <c r="C22" t="s">
        <v>503</v>
      </c>
      <c r="D22" s="2">
        <v>41759</v>
      </c>
      <c r="E22">
        <v>438.38</v>
      </c>
      <c r="F22" s="2">
        <v>41759</v>
      </c>
      <c r="G22">
        <v>438.38</v>
      </c>
      <c r="H22" s="9" t="s">
        <v>619</v>
      </c>
      <c r="I22" s="9" t="s">
        <v>566</v>
      </c>
      <c r="J22" t="s">
        <v>797</v>
      </c>
    </row>
    <row r="23" spans="1:10">
      <c r="A23" s="2">
        <v>41789</v>
      </c>
      <c r="B23" t="s">
        <v>461</v>
      </c>
      <c r="C23" t="s">
        <v>563</v>
      </c>
      <c r="D23" s="2">
        <v>41789</v>
      </c>
      <c r="E23">
        <v>441.98</v>
      </c>
      <c r="F23" s="2">
        <v>41789</v>
      </c>
      <c r="G23">
        <v>441.98</v>
      </c>
      <c r="H23" s="9" t="s">
        <v>756</v>
      </c>
      <c r="I23" s="9" t="s">
        <v>566</v>
      </c>
      <c r="J23" t="s">
        <v>797</v>
      </c>
    </row>
    <row r="24" spans="1:10">
      <c r="A24" s="2">
        <v>41704</v>
      </c>
      <c r="B24" t="s">
        <v>376</v>
      </c>
      <c r="C24" t="s">
        <v>402</v>
      </c>
      <c r="D24" s="2">
        <v>41704</v>
      </c>
      <c r="E24">
        <v>644.36</v>
      </c>
      <c r="F24" s="2">
        <v>41704</v>
      </c>
      <c r="G24">
        <v>644.36</v>
      </c>
      <c r="H24" s="9" t="s">
        <v>598</v>
      </c>
      <c r="I24" s="9" t="s">
        <v>568</v>
      </c>
      <c r="J24" t="s">
        <v>797</v>
      </c>
    </row>
    <row r="25" spans="1:10">
      <c r="A25" s="2">
        <v>41666</v>
      </c>
      <c r="B25" t="s">
        <v>277</v>
      </c>
      <c r="C25" t="s">
        <v>317</v>
      </c>
      <c r="D25" s="2">
        <v>41666</v>
      </c>
      <c r="E25">
        <v>318</v>
      </c>
      <c r="F25" s="2">
        <v>41666</v>
      </c>
      <c r="G25">
        <v>318</v>
      </c>
      <c r="H25" s="9" t="s">
        <v>749</v>
      </c>
      <c r="I25" s="9" t="s">
        <v>568</v>
      </c>
      <c r="J25" t="s">
        <v>797</v>
      </c>
    </row>
    <row r="26" spans="1:10">
      <c r="A26" s="2">
        <v>41743</v>
      </c>
      <c r="B26" t="s">
        <v>449</v>
      </c>
      <c r="C26" t="s">
        <v>481</v>
      </c>
      <c r="D26" s="2">
        <v>41743</v>
      </c>
      <c r="E26">
        <v>900</v>
      </c>
      <c r="F26" s="2">
        <v>41743</v>
      </c>
      <c r="G26">
        <v>900</v>
      </c>
      <c r="H26" s="9" t="s">
        <v>757</v>
      </c>
      <c r="I26" s="9" t="s">
        <v>568</v>
      </c>
      <c r="J26" t="s">
        <v>797</v>
      </c>
    </row>
    <row r="27" spans="1:10">
      <c r="A27" s="2">
        <v>41764</v>
      </c>
      <c r="B27" t="s">
        <v>504</v>
      </c>
      <c r="C27" t="s">
        <v>528</v>
      </c>
      <c r="D27" s="2">
        <v>41764</v>
      </c>
      <c r="E27">
        <v>973.58</v>
      </c>
      <c r="F27" s="2">
        <v>41764</v>
      </c>
      <c r="G27">
        <v>973.58</v>
      </c>
      <c r="H27" s="9" t="s">
        <v>44</v>
      </c>
      <c r="I27" s="9" t="s">
        <v>568</v>
      </c>
      <c r="J27" t="s">
        <v>797</v>
      </c>
    </row>
    <row r="28" spans="1:10">
      <c r="A28" s="2">
        <v>41736</v>
      </c>
      <c r="B28" t="s">
        <v>442</v>
      </c>
      <c r="C28" t="s">
        <v>472</v>
      </c>
      <c r="D28" s="2">
        <v>41736</v>
      </c>
      <c r="E28">
        <v>200</v>
      </c>
      <c r="F28" s="2">
        <v>41736</v>
      </c>
      <c r="G28">
        <v>200</v>
      </c>
      <c r="H28" s="9" t="s">
        <v>758</v>
      </c>
      <c r="I28" s="9" t="s">
        <v>568</v>
      </c>
      <c r="J28" t="s">
        <v>797</v>
      </c>
    </row>
    <row r="29" spans="1:10">
      <c r="A29" s="2">
        <v>41730</v>
      </c>
      <c r="B29" t="s">
        <v>430</v>
      </c>
      <c r="C29" t="s">
        <v>464</v>
      </c>
      <c r="D29" s="2">
        <v>41730</v>
      </c>
      <c r="E29">
        <v>154</v>
      </c>
      <c r="F29" s="2">
        <v>41730</v>
      </c>
      <c r="G29">
        <v>154</v>
      </c>
      <c r="H29" s="9" t="s">
        <v>44</v>
      </c>
      <c r="I29" s="9" t="s">
        <v>568</v>
      </c>
      <c r="J29" t="s">
        <v>797</v>
      </c>
    </row>
    <row r="30" spans="1:10">
      <c r="A30" s="2">
        <v>41730</v>
      </c>
      <c r="B30" t="s">
        <v>431</v>
      </c>
      <c r="C30" t="s">
        <v>465</v>
      </c>
      <c r="D30" s="2">
        <v>41730</v>
      </c>
      <c r="E30">
        <v>330</v>
      </c>
      <c r="F30" s="2">
        <v>41730</v>
      </c>
      <c r="G30">
        <v>330</v>
      </c>
      <c r="H30" s="9" t="s">
        <v>44</v>
      </c>
      <c r="I30" s="9" t="s">
        <v>568</v>
      </c>
      <c r="J30" t="s">
        <v>797</v>
      </c>
    </row>
    <row r="31" spans="1:10">
      <c r="A31" s="2">
        <v>41723</v>
      </c>
      <c r="B31" t="s">
        <v>391</v>
      </c>
      <c r="C31" t="s">
        <v>421</v>
      </c>
      <c r="D31" s="2">
        <v>41723</v>
      </c>
      <c r="E31">
        <v>486.5</v>
      </c>
      <c r="F31" s="2">
        <v>41723</v>
      </c>
      <c r="G31">
        <v>486.5</v>
      </c>
      <c r="H31" s="9" t="s">
        <v>44</v>
      </c>
      <c r="I31" s="9" t="s">
        <v>568</v>
      </c>
      <c r="J31" t="s">
        <v>797</v>
      </c>
    </row>
    <row r="32" spans="1:10">
      <c r="A32" s="2">
        <v>41680</v>
      </c>
      <c r="B32" t="s">
        <v>326</v>
      </c>
      <c r="C32" t="s">
        <v>354</v>
      </c>
      <c r="D32" s="2">
        <v>41680</v>
      </c>
      <c r="E32" s="15">
        <v>1225</v>
      </c>
      <c r="F32" s="2">
        <v>41680</v>
      </c>
      <c r="G32" s="15">
        <v>1225</v>
      </c>
      <c r="H32" s="9" t="s">
        <v>44</v>
      </c>
      <c r="I32" s="9" t="s">
        <v>568</v>
      </c>
      <c r="J32" t="s">
        <v>797</v>
      </c>
    </row>
    <row r="33" spans="1:10">
      <c r="A33" s="2">
        <v>41676</v>
      </c>
      <c r="B33" t="s">
        <v>325</v>
      </c>
      <c r="C33" t="s">
        <v>350</v>
      </c>
      <c r="D33" s="2">
        <v>41676</v>
      </c>
      <c r="E33">
        <v>644.36</v>
      </c>
      <c r="F33" s="2">
        <v>41676</v>
      </c>
      <c r="G33">
        <v>644.36</v>
      </c>
      <c r="H33" s="9" t="s">
        <v>598</v>
      </c>
      <c r="I33" s="9" t="s">
        <v>568</v>
      </c>
      <c r="J33" t="s">
        <v>797</v>
      </c>
    </row>
    <row r="34" spans="1:10">
      <c r="A34" s="2">
        <v>41645</v>
      </c>
      <c r="B34" t="s">
        <v>251</v>
      </c>
      <c r="C34" t="s">
        <v>286</v>
      </c>
      <c r="D34" s="2">
        <v>41645</v>
      </c>
      <c r="E34" s="15">
        <v>1040</v>
      </c>
      <c r="F34" s="2">
        <v>41645</v>
      </c>
      <c r="G34" s="15">
        <v>1040</v>
      </c>
      <c r="H34" s="9" t="s">
        <v>44</v>
      </c>
      <c r="I34" s="9" t="s">
        <v>568</v>
      </c>
      <c r="J34" t="s">
        <v>797</v>
      </c>
    </row>
    <row r="35" spans="1:10">
      <c r="A35" s="2">
        <v>41703</v>
      </c>
      <c r="B35" t="s">
        <v>374</v>
      </c>
      <c r="C35" t="s">
        <v>396</v>
      </c>
      <c r="D35" s="2">
        <v>41703</v>
      </c>
      <c r="E35">
        <v>618.33000000000004</v>
      </c>
      <c r="F35" s="2">
        <v>41703</v>
      </c>
      <c r="G35">
        <v>618.33000000000004</v>
      </c>
      <c r="H35" s="9" t="s">
        <v>44</v>
      </c>
      <c r="I35" s="9" t="s">
        <v>568</v>
      </c>
      <c r="J35" t="s">
        <v>797</v>
      </c>
    </row>
    <row r="36" spans="1:10">
      <c r="A36" s="2">
        <v>41767</v>
      </c>
      <c r="B36" t="s">
        <v>508</v>
      </c>
      <c r="C36" t="s">
        <v>534</v>
      </c>
      <c r="D36" s="2">
        <v>41767</v>
      </c>
      <c r="E36">
        <v>644.36</v>
      </c>
      <c r="F36" s="2">
        <v>41767</v>
      </c>
      <c r="G36">
        <v>644.36</v>
      </c>
      <c r="H36" s="9" t="s">
        <v>598</v>
      </c>
      <c r="I36" s="9" t="s">
        <v>568</v>
      </c>
      <c r="J36" t="s">
        <v>797</v>
      </c>
    </row>
    <row r="37" spans="1:10">
      <c r="A37" s="2">
        <v>41647</v>
      </c>
      <c r="B37" t="s">
        <v>256</v>
      </c>
      <c r="C37" t="s">
        <v>292</v>
      </c>
      <c r="D37" s="2">
        <v>41647</v>
      </c>
      <c r="E37">
        <v>603.41999999999996</v>
      </c>
      <c r="F37" s="2">
        <v>41647</v>
      </c>
      <c r="G37">
        <v>603.41999999999996</v>
      </c>
      <c r="H37" s="9" t="s">
        <v>598</v>
      </c>
      <c r="I37" s="9" t="s">
        <v>568</v>
      </c>
      <c r="J37" t="s">
        <v>797</v>
      </c>
    </row>
    <row r="38" spans="1:10">
      <c r="A38" s="2">
        <v>41647</v>
      </c>
      <c r="B38" t="s">
        <v>257</v>
      </c>
      <c r="C38" t="s">
        <v>293</v>
      </c>
      <c r="D38" s="2">
        <v>41647</v>
      </c>
      <c r="E38" s="15">
        <v>1000</v>
      </c>
      <c r="F38" s="2">
        <v>41647</v>
      </c>
      <c r="G38" s="15">
        <v>1000</v>
      </c>
      <c r="H38" s="9" t="s">
        <v>741</v>
      </c>
      <c r="I38" s="9" t="s">
        <v>568</v>
      </c>
      <c r="J38" t="s">
        <v>797</v>
      </c>
    </row>
    <row r="39" spans="1:10">
      <c r="A39" s="2">
        <v>41674</v>
      </c>
      <c r="B39" t="s">
        <v>322</v>
      </c>
      <c r="C39" t="s">
        <v>341</v>
      </c>
      <c r="D39" s="2">
        <v>41674</v>
      </c>
      <c r="E39" s="15">
        <v>1066.5</v>
      </c>
      <c r="F39" s="2">
        <v>41674</v>
      </c>
      <c r="G39" s="15">
        <v>1066.5</v>
      </c>
      <c r="H39" s="9" t="s">
        <v>44</v>
      </c>
      <c r="I39" s="9" t="s">
        <v>568</v>
      </c>
      <c r="J39" t="s">
        <v>797</v>
      </c>
    </row>
    <row r="40" spans="1:10">
      <c r="A40" s="2">
        <v>41647</v>
      </c>
      <c r="B40" t="s">
        <v>259</v>
      </c>
      <c r="C40" t="s">
        <v>296</v>
      </c>
      <c r="D40" s="2">
        <v>41647</v>
      </c>
      <c r="E40">
        <v>340.02</v>
      </c>
      <c r="F40" s="2">
        <v>41647</v>
      </c>
      <c r="G40">
        <v>340.02</v>
      </c>
      <c r="H40" s="9" t="s">
        <v>46</v>
      </c>
      <c r="I40" s="9" t="s">
        <v>37</v>
      </c>
      <c r="J40" t="s">
        <v>797</v>
      </c>
    </row>
    <row r="41" spans="1:10">
      <c r="A41" s="2">
        <v>41674</v>
      </c>
      <c r="B41" t="s">
        <v>259</v>
      </c>
      <c r="C41" t="s">
        <v>344</v>
      </c>
      <c r="D41" s="2">
        <v>41674</v>
      </c>
      <c r="E41">
        <v>226.46</v>
      </c>
      <c r="F41" s="2">
        <v>41674</v>
      </c>
      <c r="G41">
        <v>226.46</v>
      </c>
      <c r="H41" s="9" t="s">
        <v>46</v>
      </c>
      <c r="I41" s="9" t="s">
        <v>37</v>
      </c>
      <c r="J41" t="s">
        <v>797</v>
      </c>
    </row>
    <row r="42" spans="1:10">
      <c r="A42" s="2">
        <v>41710</v>
      </c>
      <c r="B42" t="s">
        <v>259</v>
      </c>
      <c r="C42" t="s">
        <v>411</v>
      </c>
      <c r="D42" s="2">
        <v>41710</v>
      </c>
      <c r="E42">
        <v>236.11</v>
      </c>
      <c r="F42" s="2">
        <v>41710</v>
      </c>
      <c r="G42">
        <v>236.11</v>
      </c>
      <c r="H42" s="9" t="s">
        <v>46</v>
      </c>
      <c r="I42" s="9" t="s">
        <v>37</v>
      </c>
      <c r="J42" t="s">
        <v>797</v>
      </c>
    </row>
    <row r="43" spans="1:10">
      <c r="A43" s="2">
        <v>41725</v>
      </c>
      <c r="B43" t="s">
        <v>259</v>
      </c>
      <c r="C43" t="s">
        <v>425</v>
      </c>
      <c r="D43" s="2">
        <v>41725</v>
      </c>
      <c r="E43">
        <v>354.1</v>
      </c>
      <c r="F43" s="2">
        <v>41725</v>
      </c>
      <c r="G43">
        <v>354.1</v>
      </c>
      <c r="H43" s="9" t="s">
        <v>46</v>
      </c>
      <c r="I43" s="9" t="s">
        <v>37</v>
      </c>
      <c r="J43" t="s">
        <v>797</v>
      </c>
    </row>
    <row r="44" spans="1:10">
      <c r="A44" s="2">
        <v>41758</v>
      </c>
      <c r="B44" t="s">
        <v>259</v>
      </c>
      <c r="C44" t="s">
        <v>502</v>
      </c>
      <c r="D44" s="2">
        <v>41758</v>
      </c>
      <c r="E44">
        <v>382.35</v>
      </c>
      <c r="F44" s="2">
        <v>41758</v>
      </c>
      <c r="G44">
        <v>382.35</v>
      </c>
      <c r="H44" s="9" t="s">
        <v>46</v>
      </c>
      <c r="I44" s="9" t="s">
        <v>37</v>
      </c>
      <c r="J44" t="s">
        <v>797</v>
      </c>
    </row>
    <row r="45" spans="1:10">
      <c r="A45" s="2">
        <v>41787</v>
      </c>
      <c r="B45" t="s">
        <v>259</v>
      </c>
      <c r="C45" t="s">
        <v>557</v>
      </c>
      <c r="D45" s="2">
        <v>41787</v>
      </c>
      <c r="E45">
        <v>292.77999999999997</v>
      </c>
      <c r="F45" s="2">
        <v>41787</v>
      </c>
      <c r="G45">
        <v>292.77999999999997</v>
      </c>
      <c r="H45" s="9" t="s">
        <v>46</v>
      </c>
      <c r="I45" s="9" t="s">
        <v>37</v>
      </c>
      <c r="J45" t="s">
        <v>797</v>
      </c>
    </row>
    <row r="46" spans="1:10">
      <c r="A46" s="2">
        <v>41628</v>
      </c>
      <c r="B46" t="s">
        <v>69</v>
      </c>
      <c r="C46" t="s">
        <v>89</v>
      </c>
      <c r="D46" s="2">
        <v>41628</v>
      </c>
      <c r="E46">
        <v>1081.3499999999999</v>
      </c>
      <c r="F46" s="2">
        <v>41628</v>
      </c>
      <c r="G46">
        <v>1081.3499999999999</v>
      </c>
      <c r="H46" s="9" t="s">
        <v>613</v>
      </c>
      <c r="I46" s="9" t="s">
        <v>37</v>
      </c>
      <c r="J46" t="s">
        <v>797</v>
      </c>
    </row>
    <row r="47" spans="1:10">
      <c r="A47" s="2">
        <v>41659</v>
      </c>
      <c r="B47" t="s">
        <v>274</v>
      </c>
      <c r="C47" t="s">
        <v>314</v>
      </c>
      <c r="D47" s="2">
        <v>41659</v>
      </c>
      <c r="E47" s="15">
        <v>3169.47</v>
      </c>
      <c r="F47" s="2">
        <v>41659</v>
      </c>
      <c r="G47" s="15">
        <v>3169.47</v>
      </c>
      <c r="H47" s="9" t="s">
        <v>613</v>
      </c>
      <c r="I47" s="9" t="s">
        <v>37</v>
      </c>
      <c r="J47" t="s">
        <v>797</v>
      </c>
    </row>
    <row r="48" spans="1:10">
      <c r="A48" s="2">
        <v>41690</v>
      </c>
      <c r="B48" t="s">
        <v>332</v>
      </c>
      <c r="C48" t="s">
        <v>364</v>
      </c>
      <c r="D48" s="2">
        <v>41690</v>
      </c>
      <c r="E48" s="15">
        <v>2712.62</v>
      </c>
      <c r="F48" s="2">
        <v>41690</v>
      </c>
      <c r="G48" s="15">
        <v>2712.62</v>
      </c>
      <c r="H48" s="9" t="s">
        <v>613</v>
      </c>
      <c r="I48" s="9" t="s">
        <v>37</v>
      </c>
      <c r="J48" t="s">
        <v>797</v>
      </c>
    </row>
    <row r="49" spans="1:10">
      <c r="A49" s="2">
        <v>41718</v>
      </c>
      <c r="B49" t="s">
        <v>387</v>
      </c>
      <c r="C49" t="s">
        <v>415</v>
      </c>
      <c r="D49" s="2">
        <v>41718</v>
      </c>
      <c r="E49">
        <v>867.52</v>
      </c>
      <c r="F49" s="2">
        <v>41718</v>
      </c>
      <c r="G49">
        <v>867.52</v>
      </c>
      <c r="H49" s="9" t="s">
        <v>613</v>
      </c>
      <c r="I49" s="9" t="s">
        <v>37</v>
      </c>
      <c r="J49" t="s">
        <v>797</v>
      </c>
    </row>
    <row r="50" spans="1:10">
      <c r="A50" s="2">
        <v>41751</v>
      </c>
      <c r="B50" t="s">
        <v>452</v>
      </c>
      <c r="C50" t="s">
        <v>487</v>
      </c>
      <c r="D50" s="2">
        <v>41751</v>
      </c>
      <c r="E50" s="15">
        <v>3778.2</v>
      </c>
      <c r="F50" s="2">
        <v>41751</v>
      </c>
      <c r="G50" s="15">
        <v>3778.2</v>
      </c>
      <c r="H50" s="9" t="s">
        <v>613</v>
      </c>
      <c r="I50" s="9" t="s">
        <v>37</v>
      </c>
      <c r="J50" t="s">
        <v>797</v>
      </c>
    </row>
    <row r="51" spans="1:10">
      <c r="A51" s="2">
        <v>41779</v>
      </c>
      <c r="B51" t="s">
        <v>515</v>
      </c>
      <c r="C51" t="s">
        <v>540</v>
      </c>
      <c r="D51" s="2">
        <v>41779</v>
      </c>
      <c r="E51" s="15">
        <v>1542.33</v>
      </c>
      <c r="F51" s="2">
        <v>41779</v>
      </c>
      <c r="G51" s="15">
        <v>1542.33</v>
      </c>
      <c r="H51" s="9" t="s">
        <v>613</v>
      </c>
      <c r="I51" s="9" t="s">
        <v>37</v>
      </c>
      <c r="J51" t="s">
        <v>797</v>
      </c>
    </row>
    <row r="52" spans="1:10">
      <c r="A52" s="2">
        <v>41781</v>
      </c>
      <c r="B52" t="s">
        <v>516</v>
      </c>
      <c r="C52" t="s">
        <v>545</v>
      </c>
      <c r="D52" s="2">
        <v>41781</v>
      </c>
      <c r="E52" s="15">
        <v>1389.68</v>
      </c>
      <c r="F52" s="2">
        <v>41781</v>
      </c>
      <c r="G52" s="15">
        <v>1389.68</v>
      </c>
      <c r="H52" s="9" t="s">
        <v>613</v>
      </c>
      <c r="I52" s="9" t="s">
        <v>37</v>
      </c>
      <c r="J52" t="s">
        <v>797</v>
      </c>
    </row>
    <row r="53" spans="1:10">
      <c r="A53" s="2">
        <v>41781</v>
      </c>
      <c r="B53" t="s">
        <v>517</v>
      </c>
      <c r="C53" t="s">
        <v>546</v>
      </c>
      <c r="D53" s="2">
        <v>41781</v>
      </c>
      <c r="E53" s="15">
        <v>2239.4699999999998</v>
      </c>
      <c r="F53" s="2">
        <v>41781</v>
      </c>
      <c r="G53" s="15">
        <v>2239.4699999999998</v>
      </c>
      <c r="H53" s="9" t="s">
        <v>613</v>
      </c>
      <c r="I53" s="9" t="s">
        <v>37</v>
      </c>
      <c r="J53" t="s">
        <v>797</v>
      </c>
    </row>
    <row r="54" spans="1:10">
      <c r="A54" s="2">
        <v>41781</v>
      </c>
      <c r="B54" t="s">
        <v>518</v>
      </c>
      <c r="C54" t="s">
        <v>547</v>
      </c>
      <c r="D54" s="2">
        <v>41781</v>
      </c>
      <c r="E54" s="15">
        <v>1547.6</v>
      </c>
      <c r="F54" s="2">
        <v>41781</v>
      </c>
      <c r="G54" s="15">
        <v>1547.6</v>
      </c>
      <c r="H54" s="9" t="s">
        <v>613</v>
      </c>
      <c r="I54" s="9" t="s">
        <v>37</v>
      </c>
      <c r="J54" t="s">
        <v>797</v>
      </c>
    </row>
    <row r="55" spans="1:10">
      <c r="A55" s="2">
        <v>41781</v>
      </c>
      <c r="B55" t="s">
        <v>519</v>
      </c>
      <c r="C55" t="s">
        <v>548</v>
      </c>
      <c r="D55" s="2">
        <v>41781</v>
      </c>
      <c r="E55" s="15">
        <v>2538.66</v>
      </c>
      <c r="F55" s="2">
        <v>41781</v>
      </c>
      <c r="G55" s="15">
        <v>2538.66</v>
      </c>
      <c r="H55" s="9" t="s">
        <v>613</v>
      </c>
      <c r="I55" s="9" t="s">
        <v>37</v>
      </c>
      <c r="J55" t="s">
        <v>797</v>
      </c>
    </row>
    <row r="56" spans="1:10">
      <c r="A56" s="2">
        <v>41781</v>
      </c>
      <c r="B56" t="s">
        <v>520</v>
      </c>
      <c r="C56" t="s">
        <v>549</v>
      </c>
      <c r="D56" s="2">
        <v>41781</v>
      </c>
      <c r="E56" s="15">
        <v>5379.23</v>
      </c>
      <c r="F56" s="2">
        <v>41781</v>
      </c>
      <c r="G56" s="15">
        <v>5379.23</v>
      </c>
      <c r="H56" s="9" t="s">
        <v>613</v>
      </c>
      <c r="I56" s="9" t="s">
        <v>37</v>
      </c>
      <c r="J56" t="s">
        <v>797</v>
      </c>
    </row>
    <row r="57" spans="1:10">
      <c r="A57" s="2">
        <v>41781</v>
      </c>
      <c r="B57" t="s">
        <v>521</v>
      </c>
      <c r="C57" t="s">
        <v>550</v>
      </c>
      <c r="D57" s="2">
        <v>41781</v>
      </c>
      <c r="E57">
        <v>971.97</v>
      </c>
      <c r="F57" s="2">
        <v>41781</v>
      </c>
      <c r="G57">
        <v>971.97</v>
      </c>
      <c r="H57" s="9" t="s">
        <v>613</v>
      </c>
      <c r="I57" s="9" t="s">
        <v>37</v>
      </c>
      <c r="J57" t="s">
        <v>797</v>
      </c>
    </row>
    <row r="58" spans="1:10">
      <c r="A58" s="2">
        <v>41655</v>
      </c>
      <c r="B58" t="s">
        <v>266</v>
      </c>
      <c r="C58" t="s">
        <v>304</v>
      </c>
      <c r="D58" s="2">
        <v>41655</v>
      </c>
      <c r="E58">
        <v>553.29999999999995</v>
      </c>
      <c r="F58" s="2">
        <v>41655</v>
      </c>
      <c r="G58">
        <v>553.29999999999995</v>
      </c>
      <c r="H58" s="9" t="s">
        <v>744</v>
      </c>
      <c r="I58" s="9" t="s">
        <v>37</v>
      </c>
      <c r="J58" t="s">
        <v>797</v>
      </c>
    </row>
    <row r="59" spans="1:10">
      <c r="A59" s="2">
        <v>41655</v>
      </c>
      <c r="B59" t="s">
        <v>267</v>
      </c>
      <c r="C59" t="s">
        <v>305</v>
      </c>
      <c r="D59" s="2">
        <v>41655</v>
      </c>
      <c r="E59">
        <v>105.65</v>
      </c>
      <c r="F59" s="2">
        <v>41655</v>
      </c>
      <c r="G59">
        <v>105.65</v>
      </c>
      <c r="H59" s="9" t="s">
        <v>745</v>
      </c>
      <c r="I59" s="9" t="s">
        <v>37</v>
      </c>
      <c r="J59" t="s">
        <v>797</v>
      </c>
    </row>
    <row r="60" spans="1:10">
      <c r="A60" s="2">
        <v>41645</v>
      </c>
      <c r="B60" t="s">
        <v>254</v>
      </c>
      <c r="C60" t="s">
        <v>289</v>
      </c>
      <c r="D60" s="2">
        <v>41645</v>
      </c>
      <c r="E60">
        <v>122.19</v>
      </c>
      <c r="F60" s="2">
        <v>41645</v>
      </c>
      <c r="G60">
        <v>122.19</v>
      </c>
      <c r="H60" s="9" t="s">
        <v>582</v>
      </c>
      <c r="I60" s="9" t="s">
        <v>37</v>
      </c>
      <c r="J60" t="s">
        <v>797</v>
      </c>
    </row>
    <row r="61" spans="1:10">
      <c r="A61" s="2">
        <v>41676</v>
      </c>
      <c r="B61" t="s">
        <v>254</v>
      </c>
      <c r="C61" t="s">
        <v>353</v>
      </c>
      <c r="D61" s="2">
        <v>41676</v>
      </c>
      <c r="E61">
        <v>98.29</v>
      </c>
      <c r="F61" s="2">
        <v>41676</v>
      </c>
      <c r="G61">
        <v>98.29</v>
      </c>
      <c r="H61" s="9" t="s">
        <v>582</v>
      </c>
      <c r="I61" s="9" t="s">
        <v>37</v>
      </c>
      <c r="J61" t="s">
        <v>797</v>
      </c>
    </row>
    <row r="62" spans="1:10">
      <c r="A62" s="2">
        <v>41704</v>
      </c>
      <c r="B62" t="s">
        <v>254</v>
      </c>
      <c r="C62" t="s">
        <v>404</v>
      </c>
      <c r="D62" s="2">
        <v>41704</v>
      </c>
      <c r="E62">
        <v>106.5</v>
      </c>
      <c r="F62" s="2">
        <v>41704</v>
      </c>
      <c r="G62">
        <v>106.5</v>
      </c>
      <c r="H62" s="9" t="s">
        <v>582</v>
      </c>
      <c r="I62" s="9" t="s">
        <v>37</v>
      </c>
      <c r="J62" t="s">
        <v>797</v>
      </c>
    </row>
    <row r="63" spans="1:10">
      <c r="A63" s="2">
        <v>41737</v>
      </c>
      <c r="B63" t="s">
        <v>254</v>
      </c>
      <c r="C63" t="s">
        <v>476</v>
      </c>
      <c r="D63" s="2">
        <v>41737</v>
      </c>
      <c r="E63">
        <v>117.37</v>
      </c>
      <c r="F63" s="2">
        <v>41737</v>
      </c>
      <c r="G63">
        <v>117.37</v>
      </c>
      <c r="H63" s="9" t="s">
        <v>582</v>
      </c>
      <c r="I63" s="9" t="s">
        <v>37</v>
      </c>
      <c r="J63" t="s">
        <v>797</v>
      </c>
    </row>
    <row r="64" spans="1:10">
      <c r="A64" s="2">
        <v>41781</v>
      </c>
      <c r="B64" t="s">
        <v>254</v>
      </c>
      <c r="C64" t="s">
        <v>551</v>
      </c>
      <c r="D64" s="2">
        <v>41781</v>
      </c>
      <c r="E64">
        <v>47.84</v>
      </c>
      <c r="F64" s="2">
        <v>41781</v>
      </c>
      <c r="G64">
        <v>47.84</v>
      </c>
      <c r="H64" s="9" t="s">
        <v>582</v>
      </c>
      <c r="I64" s="9" t="s">
        <v>37</v>
      </c>
      <c r="J64" t="s">
        <v>797</v>
      </c>
    </row>
    <row r="65" spans="1:10">
      <c r="A65" s="2">
        <v>41628</v>
      </c>
      <c r="B65" t="s">
        <v>70</v>
      </c>
      <c r="C65" t="s">
        <v>90</v>
      </c>
      <c r="D65" s="2">
        <v>41628</v>
      </c>
      <c r="E65">
        <v>43.93</v>
      </c>
      <c r="F65" s="2">
        <v>41628</v>
      </c>
      <c r="G65">
        <v>43.93</v>
      </c>
      <c r="H65" s="9" t="s">
        <v>616</v>
      </c>
      <c r="I65" s="9" t="s">
        <v>37</v>
      </c>
      <c r="J65" t="s">
        <v>797</v>
      </c>
    </row>
    <row r="66" spans="1:10">
      <c r="A66" s="2">
        <v>41628</v>
      </c>
      <c r="B66" t="s">
        <v>70</v>
      </c>
      <c r="C66" t="s">
        <v>91</v>
      </c>
      <c r="D66" s="2">
        <v>41628</v>
      </c>
      <c r="E66">
        <v>211.12</v>
      </c>
      <c r="F66" s="2">
        <v>41628</v>
      </c>
      <c r="G66">
        <v>211.12</v>
      </c>
      <c r="H66" s="9" t="s">
        <v>616</v>
      </c>
      <c r="I66" s="9" t="s">
        <v>37</v>
      </c>
      <c r="J66" t="s">
        <v>797</v>
      </c>
    </row>
    <row r="67" spans="1:10">
      <c r="A67" s="2">
        <v>41661</v>
      </c>
      <c r="B67" t="s">
        <v>70</v>
      </c>
      <c r="C67" t="s">
        <v>316</v>
      </c>
      <c r="D67" s="2">
        <v>41661</v>
      </c>
      <c r="E67">
        <v>190.71</v>
      </c>
      <c r="F67" s="2">
        <v>41661</v>
      </c>
      <c r="G67">
        <v>190.71</v>
      </c>
      <c r="H67" s="9" t="s">
        <v>616</v>
      </c>
      <c r="I67" s="9" t="s">
        <v>37</v>
      </c>
      <c r="J67" t="s">
        <v>797</v>
      </c>
    </row>
    <row r="68" spans="1:10">
      <c r="A68" s="2">
        <v>41690</v>
      </c>
      <c r="B68" t="s">
        <v>70</v>
      </c>
      <c r="C68" t="s">
        <v>365</v>
      </c>
      <c r="D68" s="2">
        <v>41690</v>
      </c>
      <c r="E68">
        <v>177.94</v>
      </c>
      <c r="F68" s="2">
        <v>41690</v>
      </c>
      <c r="G68">
        <v>177.94</v>
      </c>
      <c r="H68" s="9" t="s">
        <v>616</v>
      </c>
      <c r="I68" s="9" t="s">
        <v>37</v>
      </c>
      <c r="J68" t="s">
        <v>797</v>
      </c>
    </row>
    <row r="69" spans="1:10">
      <c r="A69" s="2">
        <v>41718</v>
      </c>
      <c r="B69" t="s">
        <v>70</v>
      </c>
      <c r="C69" t="s">
        <v>416</v>
      </c>
      <c r="D69" s="2">
        <v>41718</v>
      </c>
      <c r="E69">
        <v>199.46</v>
      </c>
      <c r="F69" s="2">
        <v>41718</v>
      </c>
      <c r="G69">
        <v>199.46</v>
      </c>
      <c r="H69" s="9" t="s">
        <v>616</v>
      </c>
      <c r="I69" s="9" t="s">
        <v>37</v>
      </c>
      <c r="J69" t="s">
        <v>797</v>
      </c>
    </row>
    <row r="70" spans="1:10">
      <c r="A70" s="2">
        <v>41753</v>
      </c>
      <c r="B70" t="s">
        <v>70</v>
      </c>
      <c r="C70" t="s">
        <v>492</v>
      </c>
      <c r="D70" s="2">
        <v>41753</v>
      </c>
      <c r="E70">
        <v>192.77</v>
      </c>
      <c r="F70" s="2">
        <v>41753</v>
      </c>
      <c r="G70">
        <v>192.77</v>
      </c>
      <c r="H70" s="9" t="s">
        <v>616</v>
      </c>
      <c r="I70" s="9" t="s">
        <v>37</v>
      </c>
      <c r="J70" t="s">
        <v>797</v>
      </c>
    </row>
    <row r="71" spans="1:10">
      <c r="A71" s="2">
        <v>41779</v>
      </c>
      <c r="B71" t="s">
        <v>70</v>
      </c>
      <c r="C71" t="s">
        <v>541</v>
      </c>
      <c r="D71" s="2">
        <v>41779</v>
      </c>
      <c r="E71">
        <v>124.97</v>
      </c>
      <c r="F71" s="2">
        <v>41779</v>
      </c>
      <c r="G71">
        <v>124.97</v>
      </c>
      <c r="H71" s="9" t="s">
        <v>616</v>
      </c>
      <c r="I71" s="9" t="s">
        <v>37</v>
      </c>
      <c r="J71" t="s">
        <v>797</v>
      </c>
    </row>
    <row r="72" spans="1:10">
      <c r="A72" s="2">
        <v>41655</v>
      </c>
      <c r="B72" t="s">
        <v>268</v>
      </c>
      <c r="C72" t="s">
        <v>306</v>
      </c>
      <c r="D72" s="2">
        <v>41655</v>
      </c>
      <c r="E72" s="15">
        <v>1547.91</v>
      </c>
      <c r="F72" s="2">
        <v>41655</v>
      </c>
      <c r="G72" s="15">
        <v>1547.91</v>
      </c>
      <c r="H72" s="9" t="s">
        <v>746</v>
      </c>
      <c r="I72" s="9" t="s">
        <v>37</v>
      </c>
      <c r="J72" t="s">
        <v>797</v>
      </c>
    </row>
    <row r="73" spans="1:10">
      <c r="A73" s="2">
        <v>41739</v>
      </c>
      <c r="B73" t="s">
        <v>446</v>
      </c>
      <c r="C73" t="s">
        <v>478</v>
      </c>
      <c r="D73" s="2">
        <v>41739</v>
      </c>
      <c r="E73" s="15">
        <v>1771.49</v>
      </c>
      <c r="F73" s="2">
        <v>41739</v>
      </c>
      <c r="G73" s="15">
        <v>1771.49</v>
      </c>
      <c r="H73" s="9" t="s">
        <v>604</v>
      </c>
      <c r="I73" s="9" t="s">
        <v>566</v>
      </c>
      <c r="J73" t="s">
        <v>797</v>
      </c>
    </row>
    <row r="74" spans="1:10">
      <c r="A74" s="2">
        <v>41655</v>
      </c>
      <c r="B74" t="s">
        <v>269</v>
      </c>
      <c r="C74" t="s">
        <v>307</v>
      </c>
      <c r="D74" s="2">
        <v>41655</v>
      </c>
      <c r="E74">
        <v>79.48</v>
      </c>
      <c r="F74" s="2">
        <v>41655</v>
      </c>
      <c r="G74">
        <v>79.48</v>
      </c>
      <c r="H74" s="9" t="s">
        <v>747</v>
      </c>
      <c r="I74" s="9" t="s">
        <v>37</v>
      </c>
      <c r="J74" t="s">
        <v>797</v>
      </c>
    </row>
    <row r="75" spans="1:10">
      <c r="A75" s="2">
        <v>41628</v>
      </c>
      <c r="B75" t="s">
        <v>71</v>
      </c>
      <c r="C75" t="s">
        <v>92</v>
      </c>
      <c r="D75" s="2">
        <v>41628</v>
      </c>
      <c r="E75">
        <v>96.58</v>
      </c>
      <c r="F75" s="2">
        <v>41628</v>
      </c>
      <c r="G75">
        <v>96.58</v>
      </c>
      <c r="H75" s="9" t="s">
        <v>605</v>
      </c>
      <c r="I75" s="9" t="s">
        <v>37</v>
      </c>
      <c r="J75" t="s">
        <v>797</v>
      </c>
    </row>
    <row r="76" spans="1:10">
      <c r="A76" s="2">
        <v>41659</v>
      </c>
      <c r="B76" t="s">
        <v>275</v>
      </c>
      <c r="C76" t="s">
        <v>315</v>
      </c>
      <c r="D76" s="2">
        <v>41659</v>
      </c>
      <c r="E76">
        <v>143.19999999999999</v>
      </c>
      <c r="F76" s="2">
        <v>41659</v>
      </c>
      <c r="G76">
        <v>143.19999999999999</v>
      </c>
      <c r="H76" s="9" t="s">
        <v>605</v>
      </c>
      <c r="I76" s="9" t="s">
        <v>37</v>
      </c>
      <c r="J76" t="s">
        <v>797</v>
      </c>
    </row>
    <row r="77" spans="1:10">
      <c r="A77" s="2">
        <v>41695</v>
      </c>
      <c r="B77" t="s">
        <v>335</v>
      </c>
      <c r="C77" t="s">
        <v>367</v>
      </c>
      <c r="D77" s="2">
        <v>41695</v>
      </c>
      <c r="E77">
        <v>124.32</v>
      </c>
      <c r="F77" s="2">
        <v>41695</v>
      </c>
      <c r="G77">
        <v>124.32</v>
      </c>
      <c r="H77" s="9" t="s">
        <v>605</v>
      </c>
      <c r="I77" s="9" t="s">
        <v>37</v>
      </c>
      <c r="J77" t="s">
        <v>797</v>
      </c>
    </row>
    <row r="78" spans="1:10">
      <c r="A78" s="2">
        <v>41653</v>
      </c>
      <c r="B78" t="s">
        <v>264</v>
      </c>
      <c r="C78" t="s">
        <v>301</v>
      </c>
      <c r="D78" s="2">
        <v>41653</v>
      </c>
      <c r="E78">
        <v>289.89999999999998</v>
      </c>
      <c r="F78" s="2">
        <v>41653</v>
      </c>
      <c r="G78">
        <v>289.89999999999998</v>
      </c>
      <c r="H78" s="9" t="s">
        <v>630</v>
      </c>
      <c r="I78" s="9" t="s">
        <v>37</v>
      </c>
      <c r="J78" t="s">
        <v>797</v>
      </c>
    </row>
    <row r="79" spans="1:10">
      <c r="A79" s="2">
        <v>41716</v>
      </c>
      <c r="B79" t="s">
        <v>385</v>
      </c>
      <c r="C79" t="s">
        <v>413</v>
      </c>
      <c r="D79" s="2">
        <v>41716</v>
      </c>
      <c r="E79">
        <v>289.89999999999998</v>
      </c>
      <c r="F79" s="2">
        <v>41716</v>
      </c>
      <c r="G79">
        <v>289.89999999999998</v>
      </c>
      <c r="H79" s="9" t="s">
        <v>630</v>
      </c>
      <c r="I79" s="9" t="s">
        <v>37</v>
      </c>
      <c r="J79" t="s">
        <v>797</v>
      </c>
    </row>
    <row r="80" spans="1:10">
      <c r="A80" s="2">
        <v>41645</v>
      </c>
      <c r="B80" t="s">
        <v>253</v>
      </c>
      <c r="C80" t="s">
        <v>288</v>
      </c>
      <c r="D80" s="2">
        <v>41645</v>
      </c>
      <c r="E80" s="15">
        <v>3238.4</v>
      </c>
      <c r="F80" s="2">
        <v>41645</v>
      </c>
      <c r="G80" s="15">
        <v>3238.4</v>
      </c>
      <c r="H80" s="9" t="s">
        <v>586</v>
      </c>
      <c r="I80" s="9" t="s">
        <v>37</v>
      </c>
      <c r="J80" t="s">
        <v>797</v>
      </c>
    </row>
    <row r="81" spans="1:10">
      <c r="A81" s="2">
        <v>41674</v>
      </c>
      <c r="B81" t="s">
        <v>323</v>
      </c>
      <c r="C81" t="s">
        <v>343</v>
      </c>
      <c r="D81" s="2">
        <v>41674</v>
      </c>
      <c r="E81" s="15">
        <v>4401.34</v>
      </c>
      <c r="F81" s="2">
        <v>41674</v>
      </c>
      <c r="G81" s="15">
        <v>4401.34</v>
      </c>
      <c r="H81" s="9" t="s">
        <v>586</v>
      </c>
      <c r="I81" s="9" t="s">
        <v>37</v>
      </c>
      <c r="J81" t="s">
        <v>797</v>
      </c>
    </row>
    <row r="82" spans="1:10">
      <c r="A82" s="2">
        <v>41703</v>
      </c>
      <c r="B82" t="s">
        <v>375</v>
      </c>
      <c r="C82" t="s">
        <v>398</v>
      </c>
      <c r="D82" s="2">
        <v>41703</v>
      </c>
      <c r="E82" s="15">
        <v>4690.5</v>
      </c>
      <c r="F82" s="2">
        <v>41703</v>
      </c>
      <c r="G82" s="15">
        <v>4690.5</v>
      </c>
      <c r="H82" s="9" t="s">
        <v>586</v>
      </c>
      <c r="I82" s="9" t="s">
        <v>37</v>
      </c>
      <c r="J82" t="s">
        <v>797</v>
      </c>
    </row>
    <row r="83" spans="1:10">
      <c r="A83" s="2">
        <v>41737</v>
      </c>
      <c r="B83" t="s">
        <v>444</v>
      </c>
      <c r="C83" t="s">
        <v>475</v>
      </c>
      <c r="D83" s="2">
        <v>41737</v>
      </c>
      <c r="E83" s="15">
        <v>4921.45</v>
      </c>
      <c r="F83" s="2">
        <v>41737</v>
      </c>
      <c r="G83" s="15">
        <v>4921.45</v>
      </c>
      <c r="H83" s="9" t="s">
        <v>586</v>
      </c>
      <c r="I83" s="9" t="s">
        <v>37</v>
      </c>
      <c r="J83" t="s">
        <v>797</v>
      </c>
    </row>
    <row r="84" spans="1:10">
      <c r="A84" s="2">
        <v>41758</v>
      </c>
      <c r="B84" t="s">
        <v>459</v>
      </c>
      <c r="C84" t="s">
        <v>475</v>
      </c>
      <c r="D84" s="2">
        <v>41758</v>
      </c>
      <c r="E84" s="15">
        <v>4545.92</v>
      </c>
      <c r="F84" s="2">
        <v>41758</v>
      </c>
      <c r="G84" s="15">
        <v>4545.92</v>
      </c>
      <c r="H84" s="9" t="s">
        <v>586</v>
      </c>
      <c r="I84" s="9" t="s">
        <v>37</v>
      </c>
      <c r="J84" t="s">
        <v>797</v>
      </c>
    </row>
    <row r="85" spans="1:10">
      <c r="A85" s="2">
        <v>41647</v>
      </c>
      <c r="B85" t="s">
        <v>258</v>
      </c>
      <c r="C85" t="s">
        <v>295</v>
      </c>
      <c r="D85" s="2">
        <v>41647</v>
      </c>
      <c r="E85" s="15">
        <v>2237.02</v>
      </c>
      <c r="F85" s="2">
        <v>41647</v>
      </c>
      <c r="G85" s="15">
        <v>2237.02</v>
      </c>
      <c r="H85" s="9" t="s">
        <v>604</v>
      </c>
      <c r="I85" s="9" t="s">
        <v>37</v>
      </c>
      <c r="J85" t="s">
        <v>797</v>
      </c>
    </row>
    <row r="86" spans="1:10">
      <c r="A86" s="2">
        <v>41676</v>
      </c>
      <c r="B86" t="s">
        <v>258</v>
      </c>
      <c r="C86" t="s">
        <v>352</v>
      </c>
      <c r="D86" s="2">
        <v>41676</v>
      </c>
      <c r="E86" s="15">
        <v>2471.63</v>
      </c>
      <c r="F86" s="2">
        <v>41676</v>
      </c>
      <c r="G86" s="15">
        <v>2471.63</v>
      </c>
      <c r="H86" s="9" t="s">
        <v>604</v>
      </c>
      <c r="I86" s="9" t="s">
        <v>37</v>
      </c>
      <c r="J86" t="s">
        <v>797</v>
      </c>
    </row>
    <row r="87" spans="1:10">
      <c r="A87" s="2">
        <v>41722</v>
      </c>
      <c r="B87" t="s">
        <v>258</v>
      </c>
      <c r="C87" t="s">
        <v>418</v>
      </c>
      <c r="D87" s="2">
        <v>41722</v>
      </c>
      <c r="E87" s="15">
        <v>2876.82</v>
      </c>
      <c r="F87" s="2">
        <v>41722</v>
      </c>
      <c r="G87" s="15">
        <v>2876.82</v>
      </c>
      <c r="H87" s="9" t="s">
        <v>604</v>
      </c>
      <c r="I87" s="9" t="s">
        <v>37</v>
      </c>
      <c r="J87" t="s">
        <v>797</v>
      </c>
    </row>
    <row r="88" spans="1:10">
      <c r="A88" s="2">
        <v>41751</v>
      </c>
      <c r="B88" t="s">
        <v>258</v>
      </c>
      <c r="C88" t="s">
        <v>478</v>
      </c>
      <c r="D88" s="2">
        <v>41751</v>
      </c>
      <c r="E88" s="15">
        <v>1771.49</v>
      </c>
      <c r="F88" s="2">
        <v>41751</v>
      </c>
      <c r="G88" s="15">
        <v>1771.49</v>
      </c>
      <c r="H88" s="9" t="s">
        <v>604</v>
      </c>
      <c r="I88" s="9" t="s">
        <v>37</v>
      </c>
      <c r="J88" t="s">
        <v>797</v>
      </c>
    </row>
    <row r="89" spans="1:10">
      <c r="A89" s="2">
        <v>41767</v>
      </c>
      <c r="B89" t="s">
        <v>258</v>
      </c>
      <c r="C89" t="s">
        <v>295</v>
      </c>
      <c r="D89" s="2">
        <v>41767</v>
      </c>
      <c r="E89" s="15">
        <v>1771.7</v>
      </c>
      <c r="F89" s="2">
        <v>41767</v>
      </c>
      <c r="G89" s="15">
        <v>1771.7</v>
      </c>
      <c r="H89" s="9" t="s">
        <v>604</v>
      </c>
      <c r="I89" s="9" t="s">
        <v>37</v>
      </c>
      <c r="J89" t="s">
        <v>797</v>
      </c>
    </row>
    <row r="90" spans="1:10">
      <c r="A90" s="2">
        <v>41751</v>
      </c>
      <c r="B90" t="s">
        <v>451</v>
      </c>
      <c r="C90" t="s">
        <v>486</v>
      </c>
      <c r="D90" s="2">
        <v>41751</v>
      </c>
      <c r="E90">
        <v>213.65</v>
      </c>
      <c r="F90" s="2">
        <v>41751</v>
      </c>
      <c r="G90">
        <v>213.65</v>
      </c>
      <c r="H90" s="9" t="s">
        <v>630</v>
      </c>
      <c r="I90" s="9" t="s">
        <v>37</v>
      </c>
      <c r="J90" t="s">
        <v>797</v>
      </c>
    </row>
    <row r="91" spans="1:10">
      <c r="A91" s="2">
        <v>41758</v>
      </c>
      <c r="B91" t="s">
        <v>460</v>
      </c>
      <c r="C91" t="s">
        <v>501</v>
      </c>
      <c r="D91" s="2">
        <v>41758</v>
      </c>
      <c r="E91">
        <v>339.07</v>
      </c>
      <c r="F91" s="2">
        <v>41758</v>
      </c>
      <c r="G91">
        <v>339.07</v>
      </c>
      <c r="H91" s="9" t="s">
        <v>630</v>
      </c>
      <c r="I91" s="9" t="s">
        <v>37</v>
      </c>
      <c r="J91" t="s">
        <v>797</v>
      </c>
    </row>
    <row r="92" spans="1:10">
      <c r="A92" s="2">
        <v>41628</v>
      </c>
      <c r="B92" t="s">
        <v>67</v>
      </c>
      <c r="C92" t="s">
        <v>85</v>
      </c>
      <c r="D92" s="2">
        <v>41628</v>
      </c>
      <c r="E92">
        <v>589.85</v>
      </c>
      <c r="F92" s="2">
        <v>41628</v>
      </c>
      <c r="G92">
        <v>589.85</v>
      </c>
      <c r="H92" s="9" t="s">
        <v>608</v>
      </c>
      <c r="I92" s="9" t="s">
        <v>37</v>
      </c>
      <c r="J92" t="s">
        <v>797</v>
      </c>
    </row>
    <row r="93" spans="1:10">
      <c r="A93" s="2">
        <v>41628</v>
      </c>
      <c r="B93" t="s">
        <v>67</v>
      </c>
      <c r="C93" t="s">
        <v>86</v>
      </c>
      <c r="D93" s="2">
        <v>41628</v>
      </c>
      <c r="E93">
        <v>82.7</v>
      </c>
      <c r="F93" s="2">
        <v>41628</v>
      </c>
      <c r="G93">
        <v>82.7</v>
      </c>
      <c r="H93" s="9" t="s">
        <v>585</v>
      </c>
      <c r="I93" s="9" t="s">
        <v>37</v>
      </c>
      <c r="J93" t="s">
        <v>797</v>
      </c>
    </row>
    <row r="94" spans="1:10">
      <c r="A94" s="2">
        <v>41635</v>
      </c>
      <c r="B94" t="s">
        <v>67</v>
      </c>
      <c r="C94" t="s">
        <v>96</v>
      </c>
      <c r="D94" s="2">
        <v>41635</v>
      </c>
      <c r="E94">
        <v>82.7</v>
      </c>
      <c r="F94" s="2">
        <v>41635</v>
      </c>
      <c r="G94">
        <v>82.7</v>
      </c>
      <c r="H94" s="9" t="s">
        <v>585</v>
      </c>
      <c r="I94" s="9" t="s">
        <v>37</v>
      </c>
      <c r="J94" t="s">
        <v>797</v>
      </c>
    </row>
    <row r="95" spans="1:10">
      <c r="A95" s="2">
        <v>41688</v>
      </c>
      <c r="B95" t="s">
        <v>67</v>
      </c>
      <c r="C95" t="s">
        <v>359</v>
      </c>
      <c r="D95" s="2">
        <v>41688</v>
      </c>
      <c r="E95">
        <v>82.7</v>
      </c>
      <c r="F95" s="2">
        <v>41688</v>
      </c>
      <c r="G95">
        <v>82.7</v>
      </c>
      <c r="H95" s="9" t="s">
        <v>585</v>
      </c>
      <c r="I95" s="9" t="s">
        <v>37</v>
      </c>
      <c r="J95" t="s">
        <v>797</v>
      </c>
    </row>
    <row r="96" spans="1:10">
      <c r="A96" s="2">
        <v>41697</v>
      </c>
      <c r="B96" t="s">
        <v>67</v>
      </c>
      <c r="C96" t="s">
        <v>369</v>
      </c>
      <c r="D96" s="2">
        <v>41697</v>
      </c>
      <c r="E96">
        <v>308.77999999999997</v>
      </c>
      <c r="F96" s="2">
        <v>41697</v>
      </c>
      <c r="G96">
        <v>308.77999999999997</v>
      </c>
      <c r="H96" s="9" t="s">
        <v>608</v>
      </c>
      <c r="I96" s="9" t="s">
        <v>37</v>
      </c>
      <c r="J96" t="s">
        <v>797</v>
      </c>
    </row>
    <row r="97" spans="1:10">
      <c r="A97" s="2">
        <v>41697</v>
      </c>
      <c r="B97" t="s">
        <v>67</v>
      </c>
      <c r="C97" t="s">
        <v>359</v>
      </c>
      <c r="D97" s="2">
        <v>41697</v>
      </c>
      <c r="E97">
        <v>82.7</v>
      </c>
      <c r="F97" s="2">
        <v>41697</v>
      </c>
      <c r="G97">
        <v>82.7</v>
      </c>
      <c r="H97" s="9" t="s">
        <v>585</v>
      </c>
      <c r="I97" s="9" t="s">
        <v>37</v>
      </c>
      <c r="J97" t="s">
        <v>797</v>
      </c>
    </row>
    <row r="98" spans="1:10">
      <c r="A98" s="2">
        <v>41725</v>
      </c>
      <c r="B98" t="s">
        <v>67</v>
      </c>
      <c r="C98" t="s">
        <v>359</v>
      </c>
      <c r="D98" s="2">
        <v>41725</v>
      </c>
      <c r="E98">
        <v>82.7</v>
      </c>
      <c r="F98" s="2">
        <v>41725</v>
      </c>
      <c r="G98">
        <v>82.7</v>
      </c>
      <c r="H98" s="9" t="s">
        <v>585</v>
      </c>
      <c r="I98" s="9" t="s">
        <v>37</v>
      </c>
      <c r="J98" t="s">
        <v>797</v>
      </c>
    </row>
    <row r="99" spans="1:10">
      <c r="A99" s="2">
        <v>41751</v>
      </c>
      <c r="B99" t="s">
        <v>67</v>
      </c>
      <c r="C99" t="s">
        <v>485</v>
      </c>
      <c r="D99" s="2">
        <v>41751</v>
      </c>
      <c r="E99">
        <v>203.61</v>
      </c>
      <c r="F99" s="2">
        <v>41751</v>
      </c>
      <c r="G99">
        <v>203.61</v>
      </c>
      <c r="H99" s="9" t="s">
        <v>608</v>
      </c>
      <c r="I99" s="9" t="s">
        <v>37</v>
      </c>
      <c r="J99" t="s">
        <v>797</v>
      </c>
    </row>
    <row r="100" spans="1:10">
      <c r="A100" s="2">
        <v>41758</v>
      </c>
      <c r="B100" t="s">
        <v>67</v>
      </c>
      <c r="C100" t="s">
        <v>359</v>
      </c>
      <c r="D100" s="2">
        <v>41758</v>
      </c>
      <c r="E100">
        <v>82.7</v>
      </c>
      <c r="F100" s="2">
        <v>41758</v>
      </c>
      <c r="G100">
        <v>82.7</v>
      </c>
      <c r="H100" s="9" t="s">
        <v>585</v>
      </c>
      <c r="I100" s="9" t="s">
        <v>37</v>
      </c>
      <c r="J100" t="s">
        <v>797</v>
      </c>
    </row>
    <row r="101" spans="1:10">
      <c r="A101" s="2">
        <v>41779</v>
      </c>
      <c r="B101" t="s">
        <v>67</v>
      </c>
      <c r="C101" t="s">
        <v>539</v>
      </c>
      <c r="D101" s="2">
        <v>41779</v>
      </c>
      <c r="E101">
        <v>71.39</v>
      </c>
      <c r="F101" s="2">
        <v>41779</v>
      </c>
      <c r="G101">
        <v>71.39</v>
      </c>
      <c r="H101" s="9" t="s">
        <v>608</v>
      </c>
      <c r="I101" s="9" t="s">
        <v>37</v>
      </c>
      <c r="J101" t="s">
        <v>797</v>
      </c>
    </row>
    <row r="102" spans="1:10">
      <c r="A102" s="2">
        <v>41788</v>
      </c>
      <c r="B102" t="s">
        <v>67</v>
      </c>
      <c r="C102" t="s">
        <v>561</v>
      </c>
      <c r="D102" s="2">
        <v>41788</v>
      </c>
      <c r="E102">
        <v>424.63</v>
      </c>
      <c r="F102" s="2">
        <v>41788</v>
      </c>
      <c r="G102">
        <v>424.63</v>
      </c>
      <c r="H102" s="9" t="s">
        <v>608</v>
      </c>
      <c r="I102" s="9" t="s">
        <v>37</v>
      </c>
      <c r="J102" t="s">
        <v>797</v>
      </c>
    </row>
    <row r="103" spans="1:10">
      <c r="A103" s="2">
        <v>41788</v>
      </c>
      <c r="B103" t="s">
        <v>67</v>
      </c>
      <c r="C103" t="s">
        <v>562</v>
      </c>
      <c r="D103" s="2">
        <v>41788</v>
      </c>
      <c r="E103">
        <v>82.7</v>
      </c>
      <c r="F103" s="2">
        <v>41788</v>
      </c>
      <c r="G103">
        <v>82.7</v>
      </c>
      <c r="H103" s="9" t="s">
        <v>585</v>
      </c>
      <c r="I103" s="9" t="s">
        <v>37</v>
      </c>
      <c r="J103" t="s">
        <v>797</v>
      </c>
    </row>
    <row r="104" spans="1:10">
      <c r="A104" s="2">
        <v>41628</v>
      </c>
      <c r="B104" t="s">
        <v>68</v>
      </c>
      <c r="C104" t="s">
        <v>87</v>
      </c>
      <c r="D104" s="2">
        <v>41628</v>
      </c>
      <c r="E104">
        <v>54</v>
      </c>
      <c r="F104" s="2">
        <v>41628</v>
      </c>
      <c r="G104">
        <v>54</v>
      </c>
      <c r="H104" s="9" t="s">
        <v>585</v>
      </c>
      <c r="I104" s="9" t="s">
        <v>37</v>
      </c>
      <c r="J104" t="s">
        <v>797</v>
      </c>
    </row>
    <row r="105" spans="1:10">
      <c r="A105" s="2">
        <v>41723</v>
      </c>
      <c r="B105" t="s">
        <v>68</v>
      </c>
      <c r="C105" t="s">
        <v>422</v>
      </c>
      <c r="D105" s="2">
        <v>41723</v>
      </c>
      <c r="E105">
        <v>54</v>
      </c>
      <c r="F105" s="2">
        <v>41723</v>
      </c>
      <c r="G105">
        <v>54</v>
      </c>
      <c r="H105" s="9" t="s">
        <v>585</v>
      </c>
      <c r="I105" s="9" t="s">
        <v>37</v>
      </c>
      <c r="J105" t="s">
        <v>797</v>
      </c>
    </row>
    <row r="106" spans="1:10">
      <c r="A106" s="2">
        <v>41618</v>
      </c>
      <c r="B106" t="s">
        <v>59</v>
      </c>
      <c r="C106" t="s">
        <v>77</v>
      </c>
      <c r="D106" s="2">
        <v>41618</v>
      </c>
      <c r="E106">
        <v>1078</v>
      </c>
      <c r="F106" s="2">
        <v>41618</v>
      </c>
      <c r="G106">
        <v>1078</v>
      </c>
      <c r="H106" s="9" t="s">
        <v>603</v>
      </c>
      <c r="I106" s="9" t="s">
        <v>37</v>
      </c>
      <c r="J106" t="s">
        <v>797</v>
      </c>
    </row>
    <row r="107" spans="1:10">
      <c r="A107" s="2">
        <v>41628</v>
      </c>
      <c r="B107" t="s">
        <v>59</v>
      </c>
      <c r="C107" t="s">
        <v>88</v>
      </c>
      <c r="D107" s="2">
        <v>41628</v>
      </c>
      <c r="E107">
        <v>500</v>
      </c>
      <c r="F107" s="2">
        <v>41628</v>
      </c>
      <c r="G107">
        <v>500</v>
      </c>
      <c r="H107" s="9" t="s">
        <v>362</v>
      </c>
      <c r="I107" s="9" t="s">
        <v>37</v>
      </c>
      <c r="J107" t="s">
        <v>797</v>
      </c>
    </row>
    <row r="108" spans="1:10">
      <c r="A108" s="2">
        <v>41659</v>
      </c>
      <c r="B108" t="s">
        <v>59</v>
      </c>
      <c r="C108" t="s">
        <v>312</v>
      </c>
      <c r="D108" s="2">
        <v>41659</v>
      </c>
      <c r="E108">
        <v>539</v>
      </c>
      <c r="F108" s="2">
        <v>41659</v>
      </c>
      <c r="G108">
        <v>539</v>
      </c>
      <c r="H108" s="9" t="s">
        <v>603</v>
      </c>
      <c r="I108" s="9" t="s">
        <v>37</v>
      </c>
      <c r="J108" t="s">
        <v>797</v>
      </c>
    </row>
    <row r="109" spans="1:10">
      <c r="A109" s="2">
        <v>41659</v>
      </c>
      <c r="B109" t="s">
        <v>59</v>
      </c>
      <c r="C109" t="s">
        <v>313</v>
      </c>
      <c r="D109" s="2">
        <v>41659</v>
      </c>
      <c r="E109">
        <v>250</v>
      </c>
      <c r="F109" s="2">
        <v>41659</v>
      </c>
      <c r="G109">
        <v>250</v>
      </c>
      <c r="H109" s="9" t="s">
        <v>362</v>
      </c>
      <c r="I109" s="9" t="s">
        <v>37</v>
      </c>
      <c r="J109" t="s">
        <v>797</v>
      </c>
    </row>
    <row r="110" spans="1:10">
      <c r="A110" s="2">
        <v>41676</v>
      </c>
      <c r="B110" t="s">
        <v>59</v>
      </c>
      <c r="C110" t="s">
        <v>351</v>
      </c>
      <c r="D110" s="2">
        <v>41676</v>
      </c>
      <c r="E110">
        <v>569</v>
      </c>
      <c r="F110" s="2">
        <v>41676</v>
      </c>
      <c r="G110">
        <v>569</v>
      </c>
      <c r="H110" s="9" t="s">
        <v>603</v>
      </c>
      <c r="I110" s="9" t="s">
        <v>37</v>
      </c>
      <c r="J110" t="s">
        <v>797</v>
      </c>
    </row>
    <row r="111" spans="1:10">
      <c r="A111" s="2">
        <v>41690</v>
      </c>
      <c r="B111" t="s">
        <v>59</v>
      </c>
      <c r="C111" t="s">
        <v>362</v>
      </c>
      <c r="D111" s="2">
        <v>41690</v>
      </c>
      <c r="E111">
        <v>250</v>
      </c>
      <c r="F111" s="2">
        <v>41690</v>
      </c>
      <c r="G111">
        <v>250</v>
      </c>
      <c r="H111" s="9" t="s">
        <v>362</v>
      </c>
      <c r="I111" s="9" t="s">
        <v>37</v>
      </c>
      <c r="J111" t="s">
        <v>797</v>
      </c>
    </row>
    <row r="112" spans="1:10">
      <c r="A112" s="2">
        <v>41704</v>
      </c>
      <c r="B112" t="s">
        <v>59</v>
      </c>
      <c r="C112" t="s">
        <v>403</v>
      </c>
      <c r="D112" s="2">
        <v>41704</v>
      </c>
      <c r="E112">
        <v>151</v>
      </c>
      <c r="F112" s="2">
        <v>41704</v>
      </c>
      <c r="G112">
        <v>151</v>
      </c>
      <c r="H112" s="9" t="s">
        <v>762</v>
      </c>
      <c r="I112" s="9" t="s">
        <v>37</v>
      </c>
      <c r="J112" t="s">
        <v>797</v>
      </c>
    </row>
    <row r="113" spans="1:10">
      <c r="A113" s="2">
        <v>41709</v>
      </c>
      <c r="B113" t="s">
        <v>59</v>
      </c>
      <c r="C113" t="s">
        <v>409</v>
      </c>
      <c r="D113" s="2">
        <v>41709</v>
      </c>
      <c r="E113">
        <v>569</v>
      </c>
      <c r="F113" s="2">
        <v>41709</v>
      </c>
      <c r="G113">
        <v>569</v>
      </c>
      <c r="H113" s="9" t="s">
        <v>603</v>
      </c>
      <c r="I113" s="9" t="s">
        <v>37</v>
      </c>
      <c r="J113" t="s">
        <v>797</v>
      </c>
    </row>
    <row r="114" spans="1:10">
      <c r="A114" s="2">
        <v>41718</v>
      </c>
      <c r="B114" t="s">
        <v>59</v>
      </c>
      <c r="C114" t="s">
        <v>414</v>
      </c>
      <c r="D114" s="2">
        <v>41718</v>
      </c>
      <c r="E114">
        <v>250</v>
      </c>
      <c r="F114" s="2">
        <v>41718</v>
      </c>
      <c r="G114">
        <v>250</v>
      </c>
      <c r="H114" s="9" t="s">
        <v>362</v>
      </c>
      <c r="I114" s="9" t="s">
        <v>37</v>
      </c>
      <c r="J114" t="s">
        <v>797</v>
      </c>
    </row>
    <row r="115" spans="1:10">
      <c r="A115" s="2">
        <v>41753</v>
      </c>
      <c r="B115" t="s">
        <v>59</v>
      </c>
      <c r="C115" t="s">
        <v>490</v>
      </c>
      <c r="D115" s="2">
        <v>41753</v>
      </c>
      <c r="E115">
        <v>250</v>
      </c>
      <c r="F115" s="2">
        <v>41753</v>
      </c>
      <c r="G115">
        <v>250</v>
      </c>
      <c r="H115" s="9" t="s">
        <v>362</v>
      </c>
      <c r="I115" s="9" t="s">
        <v>37</v>
      </c>
      <c r="J115" t="s">
        <v>797</v>
      </c>
    </row>
    <row r="116" spans="1:10">
      <c r="A116" s="2">
        <v>41753</v>
      </c>
      <c r="B116" t="s">
        <v>59</v>
      </c>
      <c r="C116" t="s">
        <v>491</v>
      </c>
      <c r="D116" s="2">
        <v>41753</v>
      </c>
      <c r="E116">
        <v>919</v>
      </c>
      <c r="F116" s="2">
        <v>41753</v>
      </c>
      <c r="G116">
        <v>919</v>
      </c>
      <c r="H116" s="9" t="s">
        <v>603</v>
      </c>
      <c r="I116" s="9" t="s">
        <v>37</v>
      </c>
      <c r="J116" t="s">
        <v>797</v>
      </c>
    </row>
    <row r="117" spans="1:10">
      <c r="A117" s="2">
        <v>41758</v>
      </c>
      <c r="B117" t="s">
        <v>59</v>
      </c>
      <c r="C117" t="s">
        <v>500</v>
      </c>
      <c r="D117" s="2">
        <v>41758</v>
      </c>
      <c r="E117">
        <v>32.61</v>
      </c>
      <c r="F117" s="2">
        <v>41758</v>
      </c>
      <c r="G117">
        <v>32.61</v>
      </c>
      <c r="H117" s="9" t="s">
        <v>763</v>
      </c>
      <c r="I117" s="9" t="s">
        <v>37</v>
      </c>
      <c r="J117" t="s">
        <v>797</v>
      </c>
    </row>
    <row r="118" spans="1:10">
      <c r="A118" s="2">
        <v>41767</v>
      </c>
      <c r="B118" t="s">
        <v>59</v>
      </c>
      <c r="C118" t="s">
        <v>535</v>
      </c>
      <c r="D118" s="2">
        <v>41767</v>
      </c>
      <c r="E118">
        <v>569</v>
      </c>
      <c r="F118" s="2">
        <v>41767</v>
      </c>
      <c r="G118">
        <v>569</v>
      </c>
      <c r="H118" s="9" t="s">
        <v>603</v>
      </c>
      <c r="I118" s="9" t="s">
        <v>37</v>
      </c>
      <c r="J118" t="s">
        <v>797</v>
      </c>
    </row>
    <row r="119" spans="1:10">
      <c r="A119" s="2">
        <v>41779</v>
      </c>
      <c r="B119" t="s">
        <v>59</v>
      </c>
      <c r="C119" t="s">
        <v>313</v>
      </c>
      <c r="D119" s="2">
        <v>41779</v>
      </c>
      <c r="E119">
        <v>250</v>
      </c>
      <c r="F119" s="2">
        <v>41779</v>
      </c>
      <c r="G119">
        <v>250</v>
      </c>
      <c r="H119" s="9" t="s">
        <v>362</v>
      </c>
      <c r="I119" s="9" t="s">
        <v>37</v>
      </c>
      <c r="J119" t="s">
        <v>797</v>
      </c>
    </row>
    <row r="120" spans="1:10">
      <c r="A120" s="2">
        <v>41781</v>
      </c>
      <c r="B120" t="s">
        <v>59</v>
      </c>
      <c r="C120" t="s">
        <v>544</v>
      </c>
      <c r="D120" s="2">
        <v>41781</v>
      </c>
      <c r="E120">
        <v>200</v>
      </c>
      <c r="F120" s="2">
        <v>41781</v>
      </c>
      <c r="G120">
        <v>200</v>
      </c>
      <c r="H120" s="9" t="s">
        <v>764</v>
      </c>
      <c r="I120" s="9" t="s">
        <v>37</v>
      </c>
      <c r="J120" t="s">
        <v>797</v>
      </c>
    </row>
    <row r="121" spans="1:10">
      <c r="A121" s="2">
        <v>41655</v>
      </c>
      <c r="B121" t="s">
        <v>265</v>
      </c>
      <c r="C121" t="s">
        <v>302</v>
      </c>
      <c r="D121" s="2">
        <v>41655</v>
      </c>
      <c r="E121">
        <v>99.31</v>
      </c>
      <c r="F121" s="2">
        <v>41655</v>
      </c>
      <c r="G121">
        <v>99.31</v>
      </c>
      <c r="H121" s="9" t="s">
        <v>627</v>
      </c>
      <c r="I121" s="9" t="s">
        <v>37</v>
      </c>
      <c r="J121" t="s">
        <v>797</v>
      </c>
    </row>
    <row r="122" spans="1:10">
      <c r="A122" s="2">
        <v>41655</v>
      </c>
      <c r="B122" t="s">
        <v>265</v>
      </c>
      <c r="C122" t="s">
        <v>303</v>
      </c>
      <c r="D122" s="2">
        <v>41655</v>
      </c>
      <c r="E122">
        <v>202.19</v>
      </c>
      <c r="F122" s="2">
        <v>41655</v>
      </c>
      <c r="G122">
        <v>202.19</v>
      </c>
      <c r="H122" s="9" t="s">
        <v>742</v>
      </c>
      <c r="I122" s="9" t="s">
        <v>37</v>
      </c>
      <c r="J122" t="s">
        <v>797</v>
      </c>
    </row>
    <row r="123" spans="1:10">
      <c r="A123" s="2">
        <v>41731</v>
      </c>
      <c r="B123" t="s">
        <v>265</v>
      </c>
      <c r="C123" t="s">
        <v>468</v>
      </c>
      <c r="D123" s="2">
        <v>41731</v>
      </c>
      <c r="E123">
        <v>100.49</v>
      </c>
      <c r="F123" s="2">
        <v>41731</v>
      </c>
      <c r="G123">
        <v>100.49</v>
      </c>
      <c r="H123" s="9" t="s">
        <v>627</v>
      </c>
      <c r="I123" s="9" t="s">
        <v>37</v>
      </c>
      <c r="J123" t="s">
        <v>797</v>
      </c>
    </row>
    <row r="124" spans="1:10">
      <c r="A124" s="2">
        <v>41709</v>
      </c>
      <c r="B124" t="s">
        <v>380</v>
      </c>
      <c r="C124" t="s">
        <v>410</v>
      </c>
      <c r="D124" s="2">
        <v>41709</v>
      </c>
      <c r="E124" s="15">
        <v>1569.61</v>
      </c>
      <c r="F124" s="2">
        <v>41709</v>
      </c>
      <c r="G124" s="15">
        <v>1569.61</v>
      </c>
      <c r="H124" s="9" t="s">
        <v>756</v>
      </c>
      <c r="I124" s="9" t="s">
        <v>37</v>
      </c>
      <c r="J124" t="s">
        <v>797</v>
      </c>
    </row>
    <row r="125" spans="1:10">
      <c r="A125" s="2">
        <v>41635</v>
      </c>
      <c r="B125" t="s">
        <v>75</v>
      </c>
      <c r="C125" t="s">
        <v>97</v>
      </c>
      <c r="D125" s="2">
        <v>41635</v>
      </c>
      <c r="E125">
        <v>394.22</v>
      </c>
      <c r="F125" s="2">
        <v>41635</v>
      </c>
      <c r="G125">
        <v>394.22</v>
      </c>
      <c r="H125" s="9" t="s">
        <v>619</v>
      </c>
      <c r="I125" s="9" t="s">
        <v>37</v>
      </c>
      <c r="J125" t="s">
        <v>797</v>
      </c>
    </row>
    <row r="126" spans="1:10">
      <c r="A126" s="2">
        <v>41717</v>
      </c>
      <c r="B126" t="s">
        <v>386</v>
      </c>
      <c r="C126" t="s">
        <v>356</v>
      </c>
      <c r="D126" s="2">
        <v>41717</v>
      </c>
      <c r="E126">
        <v>439</v>
      </c>
      <c r="F126" s="2">
        <v>41717</v>
      </c>
      <c r="G126">
        <v>439</v>
      </c>
      <c r="H126" s="9" t="s">
        <v>737</v>
      </c>
      <c r="I126" s="9" t="s">
        <v>37</v>
      </c>
      <c r="J126" t="s">
        <v>797</v>
      </c>
    </row>
    <row r="127" spans="1:10">
      <c r="A127" s="2">
        <v>41786</v>
      </c>
      <c r="B127" t="s">
        <v>523</v>
      </c>
      <c r="C127" t="s">
        <v>554</v>
      </c>
      <c r="D127" s="2">
        <v>41786</v>
      </c>
      <c r="E127" s="15">
        <v>15000</v>
      </c>
      <c r="F127" s="2">
        <v>41786</v>
      </c>
      <c r="G127" s="15">
        <v>15000</v>
      </c>
      <c r="H127" s="9" t="s">
        <v>598</v>
      </c>
      <c r="I127" s="9" t="s">
        <v>569</v>
      </c>
      <c r="J127" t="s">
        <v>797</v>
      </c>
    </row>
    <row r="128" spans="1:10">
      <c r="A128" s="2">
        <v>41698</v>
      </c>
      <c r="B128" t="s">
        <v>337</v>
      </c>
      <c r="C128" t="s">
        <v>372</v>
      </c>
      <c r="D128" s="2">
        <v>41698</v>
      </c>
      <c r="E128" s="15">
        <v>3100</v>
      </c>
      <c r="F128" s="2">
        <v>41698</v>
      </c>
      <c r="G128" s="15">
        <v>3100</v>
      </c>
      <c r="H128" s="9" t="s">
        <v>598</v>
      </c>
      <c r="I128" s="9" t="s">
        <v>569</v>
      </c>
      <c r="J128" t="s">
        <v>797</v>
      </c>
    </row>
    <row r="129" spans="1:10">
      <c r="A129" s="2">
        <v>41659</v>
      </c>
      <c r="B129" t="s">
        <v>272</v>
      </c>
      <c r="C129" t="s">
        <v>310</v>
      </c>
      <c r="D129" s="2">
        <v>41659</v>
      </c>
      <c r="E129" s="15">
        <v>3000</v>
      </c>
      <c r="F129" s="2">
        <v>41659</v>
      </c>
      <c r="G129" s="15">
        <v>3000</v>
      </c>
      <c r="H129" s="9" t="s">
        <v>598</v>
      </c>
      <c r="I129" s="9" t="s">
        <v>569</v>
      </c>
      <c r="J129" t="s">
        <v>797</v>
      </c>
    </row>
    <row r="130" spans="1:10">
      <c r="A130" s="2">
        <v>41628</v>
      </c>
      <c r="B130" t="s">
        <v>72</v>
      </c>
      <c r="C130" t="s">
        <v>93</v>
      </c>
      <c r="D130" s="2">
        <v>41628</v>
      </c>
      <c r="E130">
        <v>188.23</v>
      </c>
      <c r="F130" s="2">
        <v>41628</v>
      </c>
      <c r="G130">
        <v>188.23</v>
      </c>
      <c r="H130" s="9" t="s">
        <v>610</v>
      </c>
      <c r="I130" s="9" t="s">
        <v>37</v>
      </c>
      <c r="J130" t="s">
        <v>797</v>
      </c>
    </row>
    <row r="131" spans="1:10">
      <c r="A131" s="2">
        <v>41688</v>
      </c>
      <c r="B131" t="s">
        <v>72</v>
      </c>
      <c r="C131" t="s">
        <v>360</v>
      </c>
      <c r="D131" s="2">
        <v>41688</v>
      </c>
      <c r="E131">
        <v>139.56</v>
      </c>
      <c r="F131" s="2">
        <v>41688</v>
      </c>
      <c r="G131">
        <v>139.56</v>
      </c>
      <c r="H131" s="9" t="s">
        <v>610</v>
      </c>
      <c r="I131" s="9" t="s">
        <v>37</v>
      </c>
      <c r="J131" t="s">
        <v>797</v>
      </c>
    </row>
    <row r="132" spans="1:10">
      <c r="A132" s="2">
        <v>41697</v>
      </c>
      <c r="B132" t="s">
        <v>72</v>
      </c>
      <c r="C132" t="s">
        <v>370</v>
      </c>
      <c r="D132" s="2">
        <v>41697</v>
      </c>
      <c r="E132">
        <v>164.11</v>
      </c>
      <c r="F132" s="2">
        <v>41697</v>
      </c>
      <c r="G132">
        <v>164.11</v>
      </c>
      <c r="H132" s="9" t="s">
        <v>610</v>
      </c>
      <c r="I132" s="9" t="s">
        <v>37</v>
      </c>
      <c r="J132" t="s">
        <v>797</v>
      </c>
    </row>
    <row r="133" spans="1:10">
      <c r="A133" s="2">
        <v>41641</v>
      </c>
      <c r="B133" t="s">
        <v>47</v>
      </c>
      <c r="C133" t="s">
        <v>47</v>
      </c>
      <c r="D133" s="2">
        <v>41641</v>
      </c>
      <c r="E133">
        <v>18.61</v>
      </c>
      <c r="F133" s="2">
        <v>41641</v>
      </c>
      <c r="G133">
        <v>18.61</v>
      </c>
      <c r="H133" s="9" t="s">
        <v>47</v>
      </c>
      <c r="I133" s="9" t="s">
        <v>572</v>
      </c>
      <c r="J133" t="s">
        <v>797</v>
      </c>
    </row>
    <row r="134" spans="1:10">
      <c r="A134" s="2">
        <v>41730</v>
      </c>
      <c r="B134" t="s">
        <v>47</v>
      </c>
      <c r="C134" t="s">
        <v>466</v>
      </c>
      <c r="D134" s="2">
        <v>41730</v>
      </c>
      <c r="E134">
        <v>31.39</v>
      </c>
      <c r="F134" s="2">
        <v>41730</v>
      </c>
      <c r="G134">
        <v>31.39</v>
      </c>
      <c r="H134" s="9" t="s">
        <v>47</v>
      </c>
      <c r="I134" s="9" t="s">
        <v>572</v>
      </c>
      <c r="J134" t="s">
        <v>797</v>
      </c>
    </row>
    <row r="135" spans="1:10">
      <c r="A135" s="2">
        <v>41761</v>
      </c>
      <c r="B135" t="s">
        <v>47</v>
      </c>
      <c r="C135" t="s">
        <v>47</v>
      </c>
      <c r="D135" s="2">
        <v>41761</v>
      </c>
      <c r="E135">
        <v>64.959999999999994</v>
      </c>
      <c r="F135" s="2">
        <v>41761</v>
      </c>
      <c r="G135">
        <v>64.959999999999994</v>
      </c>
      <c r="H135" s="9" t="s">
        <v>47</v>
      </c>
      <c r="I135" s="9" t="s">
        <v>572</v>
      </c>
      <c r="J135" t="s">
        <v>797</v>
      </c>
    </row>
    <row r="136" spans="1:10">
      <c r="A136" s="2">
        <v>41646</v>
      </c>
      <c r="B136" t="s">
        <v>255</v>
      </c>
      <c r="C136" t="s">
        <v>290</v>
      </c>
      <c r="D136" s="2">
        <v>41646</v>
      </c>
      <c r="E136">
        <v>95.21</v>
      </c>
      <c r="F136" s="2">
        <v>41646</v>
      </c>
      <c r="G136">
        <v>95.21</v>
      </c>
      <c r="H136" s="9" t="s">
        <v>255</v>
      </c>
      <c r="I136" s="9" t="s">
        <v>572</v>
      </c>
      <c r="J136" t="s">
        <v>797</v>
      </c>
    </row>
    <row r="137" spans="1:10">
      <c r="A137" s="2">
        <v>41705</v>
      </c>
      <c r="B137" t="s">
        <v>255</v>
      </c>
      <c r="C137" t="s">
        <v>255</v>
      </c>
      <c r="D137" s="2">
        <v>41705</v>
      </c>
      <c r="E137">
        <v>46.75</v>
      </c>
      <c r="F137" s="2">
        <v>41705</v>
      </c>
      <c r="G137">
        <v>46.75</v>
      </c>
      <c r="H137" s="9" t="s">
        <v>255</v>
      </c>
      <c r="I137" s="9" t="s">
        <v>572</v>
      </c>
      <c r="J137" t="s">
        <v>797</v>
      </c>
    </row>
    <row r="138" spans="1:10">
      <c r="A138" s="2">
        <v>41705</v>
      </c>
      <c r="B138" t="s">
        <v>255</v>
      </c>
      <c r="C138" t="s">
        <v>255</v>
      </c>
      <c r="D138" s="2">
        <v>41705</v>
      </c>
      <c r="E138">
        <v>47.13</v>
      </c>
      <c r="F138" s="2">
        <v>41705</v>
      </c>
      <c r="G138">
        <v>47.13</v>
      </c>
      <c r="H138" s="9" t="s">
        <v>255</v>
      </c>
      <c r="I138" s="9" t="s">
        <v>572</v>
      </c>
      <c r="J138" t="s">
        <v>797</v>
      </c>
    </row>
    <row r="139" spans="1:10">
      <c r="A139" s="2">
        <v>41736</v>
      </c>
      <c r="B139" t="s">
        <v>255</v>
      </c>
      <c r="C139" t="s">
        <v>255</v>
      </c>
      <c r="D139" s="2">
        <v>41736</v>
      </c>
      <c r="E139">
        <v>56.25</v>
      </c>
      <c r="F139" s="2">
        <v>41736</v>
      </c>
      <c r="G139">
        <v>56.25</v>
      </c>
      <c r="H139" s="9" t="s">
        <v>255</v>
      </c>
      <c r="I139" s="9" t="s">
        <v>572</v>
      </c>
      <c r="J139" t="s">
        <v>797</v>
      </c>
    </row>
    <row r="140" spans="1:10">
      <c r="A140" s="2">
        <v>41766</v>
      </c>
      <c r="B140" t="s">
        <v>255</v>
      </c>
      <c r="C140" t="s">
        <v>255</v>
      </c>
      <c r="D140" s="2">
        <v>41766</v>
      </c>
      <c r="E140">
        <v>200.84</v>
      </c>
      <c r="F140" s="2">
        <v>41766</v>
      </c>
      <c r="G140">
        <v>200.84</v>
      </c>
      <c r="H140" s="9" t="s">
        <v>255</v>
      </c>
      <c r="I140" s="9" t="s">
        <v>572</v>
      </c>
      <c r="J140" t="s">
        <v>797</v>
      </c>
    </row>
    <row r="141" spans="1:10">
      <c r="A141" s="2">
        <v>41626</v>
      </c>
      <c r="B141" t="s">
        <v>64</v>
      </c>
      <c r="C141" t="s">
        <v>82</v>
      </c>
      <c r="D141" s="2">
        <v>41626</v>
      </c>
      <c r="E141">
        <v>160</v>
      </c>
      <c r="F141" s="2">
        <v>41626</v>
      </c>
      <c r="G141">
        <v>160</v>
      </c>
      <c r="H141" s="9" t="s">
        <v>599</v>
      </c>
      <c r="I141" s="9" t="s">
        <v>82</v>
      </c>
      <c r="J141" t="s">
        <v>797</v>
      </c>
    </row>
    <row r="142" spans="1:10">
      <c r="A142" s="2">
        <v>41753</v>
      </c>
      <c r="B142" t="s">
        <v>453</v>
      </c>
      <c r="C142" t="s">
        <v>356</v>
      </c>
      <c r="D142" s="2">
        <v>41753</v>
      </c>
      <c r="E142">
        <v>200</v>
      </c>
      <c r="F142" s="2">
        <v>41753</v>
      </c>
      <c r="G142">
        <v>200</v>
      </c>
      <c r="H142" s="9" t="s">
        <v>599</v>
      </c>
      <c r="I142" s="9" t="s">
        <v>82</v>
      </c>
      <c r="J142" t="s">
        <v>797</v>
      </c>
    </row>
    <row r="143" spans="1:10">
      <c r="A143" s="2">
        <v>41683</v>
      </c>
      <c r="B143" t="s">
        <v>328</v>
      </c>
      <c r="C143" t="s">
        <v>356</v>
      </c>
      <c r="D143" s="2">
        <v>41683</v>
      </c>
      <c r="E143">
        <v>200</v>
      </c>
      <c r="F143" s="2">
        <v>41683</v>
      </c>
      <c r="G143">
        <v>200</v>
      </c>
      <c r="H143" s="9" t="s">
        <v>599</v>
      </c>
      <c r="I143" s="9" t="s">
        <v>82</v>
      </c>
      <c r="J143" t="s">
        <v>797</v>
      </c>
    </row>
    <row r="144" spans="1:10">
      <c r="A144" s="2">
        <v>41754</v>
      </c>
      <c r="B144" t="s">
        <v>455</v>
      </c>
      <c r="C144" t="s">
        <v>356</v>
      </c>
      <c r="D144" s="2">
        <v>41754</v>
      </c>
      <c r="E144" s="15">
        <v>1507.08</v>
      </c>
      <c r="F144" s="2">
        <v>41754</v>
      </c>
      <c r="G144" s="15">
        <v>1507.08</v>
      </c>
      <c r="H144" s="9" t="s">
        <v>599</v>
      </c>
      <c r="I144" s="9" t="s">
        <v>82</v>
      </c>
      <c r="J144" t="s">
        <v>797</v>
      </c>
    </row>
    <row r="145" spans="1:10">
      <c r="A145" s="2">
        <v>41766</v>
      </c>
      <c r="B145" t="s">
        <v>506</v>
      </c>
      <c r="C145" t="s">
        <v>531</v>
      </c>
      <c r="D145" s="2">
        <v>41766</v>
      </c>
      <c r="E145">
        <v>800</v>
      </c>
      <c r="F145" s="2">
        <v>41766</v>
      </c>
      <c r="G145">
        <v>800</v>
      </c>
      <c r="H145" s="9" t="s">
        <v>599</v>
      </c>
      <c r="I145" s="9" t="s">
        <v>82</v>
      </c>
      <c r="J145" t="s">
        <v>797</v>
      </c>
    </row>
    <row r="146" spans="1:10">
      <c r="A146" s="2">
        <v>41626</v>
      </c>
      <c r="B146" t="s">
        <v>65</v>
      </c>
      <c r="C146" t="s">
        <v>82</v>
      </c>
      <c r="D146" s="2">
        <v>41626</v>
      </c>
      <c r="E146">
        <v>200</v>
      </c>
      <c r="F146" s="2">
        <v>41626</v>
      </c>
      <c r="G146">
        <v>200</v>
      </c>
      <c r="H146" s="9" t="s">
        <v>599</v>
      </c>
      <c r="I146" s="9" t="s">
        <v>82</v>
      </c>
      <c r="J146" t="s">
        <v>797</v>
      </c>
    </row>
    <row r="147" spans="1:10">
      <c r="A147" s="2">
        <v>41618</v>
      </c>
      <c r="B147" t="s">
        <v>60</v>
      </c>
      <c r="C147" t="s">
        <v>78</v>
      </c>
      <c r="D147" s="2">
        <v>41618</v>
      </c>
      <c r="E147">
        <v>256.02</v>
      </c>
      <c r="F147" s="2">
        <v>41618</v>
      </c>
      <c r="G147">
        <v>256.02</v>
      </c>
      <c r="H147" s="9" t="s">
        <v>78</v>
      </c>
      <c r="I147" s="9" t="s">
        <v>566</v>
      </c>
      <c r="J147" t="s">
        <v>797</v>
      </c>
    </row>
    <row r="148" spans="1:10">
      <c r="A148" s="2">
        <v>41620</v>
      </c>
      <c r="B148" t="s">
        <v>60</v>
      </c>
      <c r="C148" t="s">
        <v>78</v>
      </c>
      <c r="D148" s="2">
        <v>41620</v>
      </c>
      <c r="E148">
        <v>368.14</v>
      </c>
      <c r="F148" s="2">
        <v>41620</v>
      </c>
      <c r="G148">
        <v>368.14</v>
      </c>
      <c r="H148" s="9" t="s">
        <v>78</v>
      </c>
      <c r="I148" s="9" t="s">
        <v>566</v>
      </c>
      <c r="J148" t="s">
        <v>797</v>
      </c>
    </row>
    <row r="149" spans="1:10">
      <c r="A149" s="2">
        <v>41682</v>
      </c>
      <c r="B149" t="s">
        <v>60</v>
      </c>
      <c r="C149" t="s">
        <v>78</v>
      </c>
      <c r="D149" s="2">
        <v>41682</v>
      </c>
      <c r="E149">
        <v>368.14</v>
      </c>
      <c r="F149" s="2">
        <v>41682</v>
      </c>
      <c r="G149">
        <v>368.14</v>
      </c>
      <c r="H149" s="9" t="s">
        <v>78</v>
      </c>
      <c r="I149" s="9" t="s">
        <v>572</v>
      </c>
      <c r="J149" t="s">
        <v>797</v>
      </c>
    </row>
    <row r="150" spans="1:10">
      <c r="A150" s="2">
        <v>41752</v>
      </c>
      <c r="B150" t="s">
        <v>60</v>
      </c>
      <c r="C150" t="s">
        <v>489</v>
      </c>
      <c r="D150" s="2">
        <v>41752</v>
      </c>
      <c r="E150">
        <v>466.03</v>
      </c>
      <c r="F150" s="2">
        <v>41752</v>
      </c>
      <c r="G150">
        <v>466.03</v>
      </c>
      <c r="H150" s="9" t="s">
        <v>78</v>
      </c>
      <c r="I150" s="9" t="s">
        <v>572</v>
      </c>
      <c r="J150" t="s">
        <v>797</v>
      </c>
    </row>
    <row r="151" spans="1:10">
      <c r="A151" s="2">
        <v>41751</v>
      </c>
      <c r="B151" t="s">
        <v>450</v>
      </c>
      <c r="C151" t="s">
        <v>358</v>
      </c>
      <c r="D151" s="2">
        <v>41751</v>
      </c>
      <c r="E151">
        <v>15</v>
      </c>
      <c r="F151" s="2">
        <v>41751</v>
      </c>
      <c r="G151">
        <v>15</v>
      </c>
      <c r="H151" s="9" t="s">
        <v>358</v>
      </c>
      <c r="I151" s="9" t="s">
        <v>572</v>
      </c>
      <c r="J151" t="s">
        <v>797</v>
      </c>
    </row>
    <row r="152" spans="1:10">
      <c r="A152" s="2">
        <v>41723</v>
      </c>
      <c r="B152" t="s">
        <v>389</v>
      </c>
      <c r="C152" t="s">
        <v>356</v>
      </c>
      <c r="D152" s="2">
        <v>41723</v>
      </c>
      <c r="E152">
        <v>62.6</v>
      </c>
      <c r="F152" s="2">
        <v>41723</v>
      </c>
      <c r="G152">
        <v>62.6</v>
      </c>
      <c r="H152" s="9" t="s">
        <v>737</v>
      </c>
      <c r="I152" s="9" t="s">
        <v>572</v>
      </c>
      <c r="J152" t="s">
        <v>797</v>
      </c>
    </row>
    <row r="153" spans="1:10">
      <c r="A153" s="2">
        <v>41618</v>
      </c>
      <c r="B153" t="s">
        <v>58</v>
      </c>
      <c r="C153" t="s">
        <v>76</v>
      </c>
      <c r="D153" s="2">
        <v>41618</v>
      </c>
      <c r="E153">
        <v>758.76</v>
      </c>
      <c r="F153" s="2">
        <v>41618</v>
      </c>
      <c r="G153">
        <v>758.76</v>
      </c>
      <c r="H153" s="9" t="s">
        <v>737</v>
      </c>
      <c r="I153" s="9" t="s">
        <v>570</v>
      </c>
      <c r="J153" t="s">
        <v>797</v>
      </c>
    </row>
    <row r="154" spans="1:10">
      <c r="A154" s="2">
        <v>41625</v>
      </c>
      <c r="B154" t="s">
        <v>63</v>
      </c>
      <c r="C154" t="s">
        <v>81</v>
      </c>
      <c r="D154" s="2">
        <v>41625</v>
      </c>
      <c r="E154">
        <v>50</v>
      </c>
      <c r="F154" s="2">
        <v>41625</v>
      </c>
      <c r="G154">
        <v>50</v>
      </c>
      <c r="H154" s="9" t="s">
        <v>737</v>
      </c>
      <c r="I154" s="9" t="s">
        <v>570</v>
      </c>
      <c r="J154" t="s">
        <v>797</v>
      </c>
    </row>
    <row r="155" spans="1:10">
      <c r="A155" s="2">
        <v>41731</v>
      </c>
      <c r="B155" t="s">
        <v>432</v>
      </c>
      <c r="C155" t="s">
        <v>467</v>
      </c>
      <c r="D155" s="2">
        <v>41731</v>
      </c>
      <c r="E155">
        <v>640</v>
      </c>
      <c r="F155" s="2">
        <v>41731</v>
      </c>
      <c r="G155">
        <v>640</v>
      </c>
      <c r="H155" s="9" t="s">
        <v>737</v>
      </c>
      <c r="I155" s="9" t="s">
        <v>572</v>
      </c>
      <c r="J155" t="s">
        <v>797</v>
      </c>
    </row>
    <row r="156" spans="1:10">
      <c r="A156" s="2">
        <v>41773</v>
      </c>
      <c r="B156" t="s">
        <v>511</v>
      </c>
      <c r="C156" t="s">
        <v>358</v>
      </c>
      <c r="D156" s="2">
        <v>41773</v>
      </c>
      <c r="E156">
        <v>19</v>
      </c>
      <c r="F156" s="2">
        <v>41773</v>
      </c>
      <c r="G156">
        <v>19</v>
      </c>
      <c r="H156" s="9" t="s">
        <v>737</v>
      </c>
      <c r="I156" s="9" t="s">
        <v>572</v>
      </c>
      <c r="J156" t="s">
        <v>797</v>
      </c>
    </row>
    <row r="157" spans="1:10">
      <c r="A157" s="2">
        <v>41729</v>
      </c>
      <c r="B157" t="s">
        <v>395</v>
      </c>
      <c r="C157" t="s">
        <v>356</v>
      </c>
      <c r="D157" s="2">
        <v>41729</v>
      </c>
      <c r="E157">
        <v>95</v>
      </c>
      <c r="F157" s="2">
        <v>41729</v>
      </c>
      <c r="G157">
        <v>95</v>
      </c>
      <c r="H157" s="9" t="s">
        <v>737</v>
      </c>
      <c r="I157" s="9" t="s">
        <v>572</v>
      </c>
      <c r="J157" t="s">
        <v>797</v>
      </c>
    </row>
    <row r="158" spans="1:10">
      <c r="A158" s="2">
        <v>41733</v>
      </c>
      <c r="B158" t="s">
        <v>435</v>
      </c>
      <c r="C158" t="s">
        <v>81</v>
      </c>
      <c r="D158" s="2">
        <v>41733</v>
      </c>
      <c r="E158">
        <v>129</v>
      </c>
      <c r="F158" s="2">
        <v>41733</v>
      </c>
      <c r="G158">
        <v>129</v>
      </c>
      <c r="H158" s="9" t="s">
        <v>737</v>
      </c>
      <c r="I158" s="9" t="s">
        <v>572</v>
      </c>
      <c r="J158" t="s">
        <v>797</v>
      </c>
    </row>
    <row r="159" spans="1:10">
      <c r="A159" s="2">
        <v>41725</v>
      </c>
      <c r="B159" t="s">
        <v>394</v>
      </c>
      <c r="C159" t="s">
        <v>43</v>
      </c>
      <c r="D159" s="2">
        <v>41725</v>
      </c>
      <c r="E159">
        <v>18.3</v>
      </c>
      <c r="F159" s="2">
        <v>41725</v>
      </c>
      <c r="G159">
        <v>18.3</v>
      </c>
      <c r="H159" s="9" t="s">
        <v>737</v>
      </c>
      <c r="I159" s="9" t="s">
        <v>572</v>
      </c>
      <c r="J159" t="s">
        <v>797</v>
      </c>
    </row>
    <row r="160" spans="1:10">
      <c r="A160" s="2">
        <v>41687</v>
      </c>
      <c r="B160" t="s">
        <v>329</v>
      </c>
      <c r="C160" t="s">
        <v>358</v>
      </c>
      <c r="D160" s="2">
        <v>41687</v>
      </c>
      <c r="E160">
        <v>35</v>
      </c>
      <c r="F160" s="2">
        <v>41687</v>
      </c>
      <c r="G160">
        <v>35</v>
      </c>
      <c r="H160" s="9" t="s">
        <v>358</v>
      </c>
      <c r="I160" s="9" t="s">
        <v>572</v>
      </c>
      <c r="J160" t="s">
        <v>797</v>
      </c>
    </row>
    <row r="161" spans="1:10">
      <c r="A161" s="2">
        <v>41736</v>
      </c>
      <c r="B161" t="s">
        <v>440</v>
      </c>
      <c r="C161" t="s">
        <v>81</v>
      </c>
      <c r="D161" s="2">
        <v>41736</v>
      </c>
      <c r="E161">
        <v>288.75</v>
      </c>
      <c r="F161" s="2">
        <v>41736</v>
      </c>
      <c r="G161">
        <v>288.75</v>
      </c>
      <c r="H161" s="9" t="s">
        <v>737</v>
      </c>
      <c r="I161" s="9" t="s">
        <v>572</v>
      </c>
      <c r="J161" t="s">
        <v>797</v>
      </c>
    </row>
    <row r="162" spans="1:10">
      <c r="A162" s="2">
        <v>41669</v>
      </c>
      <c r="B162" t="s">
        <v>278</v>
      </c>
      <c r="C162" t="s">
        <v>318</v>
      </c>
      <c r="D162" s="2">
        <v>41669</v>
      </c>
      <c r="E162">
        <v>64</v>
      </c>
      <c r="F162" s="2">
        <v>41669</v>
      </c>
      <c r="G162">
        <v>64</v>
      </c>
      <c r="H162" s="9" t="s">
        <v>598</v>
      </c>
      <c r="I162" s="9" t="s">
        <v>572</v>
      </c>
      <c r="J162" t="s">
        <v>797</v>
      </c>
    </row>
    <row r="163" spans="1:10">
      <c r="A163" s="2">
        <v>41733</v>
      </c>
      <c r="B163" t="s">
        <v>436</v>
      </c>
      <c r="C163" t="s">
        <v>81</v>
      </c>
      <c r="D163" s="2">
        <v>41733</v>
      </c>
      <c r="E163">
        <v>55</v>
      </c>
      <c r="F163" s="2">
        <v>41733</v>
      </c>
      <c r="G163">
        <v>55</v>
      </c>
      <c r="H163" s="9" t="s">
        <v>737</v>
      </c>
      <c r="I163" s="9" t="s">
        <v>572</v>
      </c>
      <c r="J163" t="s">
        <v>797</v>
      </c>
    </row>
    <row r="164" spans="1:10">
      <c r="A164" s="2">
        <v>41732</v>
      </c>
      <c r="B164" t="s">
        <v>434</v>
      </c>
      <c r="C164" t="s">
        <v>81</v>
      </c>
      <c r="D164" s="2">
        <v>41732</v>
      </c>
      <c r="E164">
        <v>70.290000000000006</v>
      </c>
      <c r="F164" s="2">
        <v>41732</v>
      </c>
      <c r="G164">
        <v>70.290000000000006</v>
      </c>
      <c r="H164" s="9" t="s">
        <v>737</v>
      </c>
      <c r="I164" s="9" t="s">
        <v>572</v>
      </c>
      <c r="J164" t="s">
        <v>797</v>
      </c>
    </row>
    <row r="165" spans="1:10">
      <c r="A165" s="2">
        <v>41647</v>
      </c>
      <c r="B165" t="s">
        <v>260</v>
      </c>
      <c r="C165" t="s">
        <v>297</v>
      </c>
      <c r="D165" s="2">
        <v>41647</v>
      </c>
      <c r="E165">
        <v>66.56</v>
      </c>
      <c r="F165" s="2">
        <v>41647</v>
      </c>
      <c r="G165">
        <v>66.56</v>
      </c>
      <c r="H165" s="9" t="s">
        <v>587</v>
      </c>
      <c r="I165" s="9" t="s">
        <v>566</v>
      </c>
      <c r="J165" t="s">
        <v>797</v>
      </c>
    </row>
    <row r="166" spans="1:10">
      <c r="A166" s="2">
        <v>41675</v>
      </c>
      <c r="B166" t="s">
        <v>260</v>
      </c>
      <c r="C166" t="s">
        <v>346</v>
      </c>
      <c r="D166" s="2">
        <v>41675</v>
      </c>
      <c r="E166">
        <v>67.56</v>
      </c>
      <c r="F166" s="2">
        <v>41675</v>
      </c>
      <c r="G166">
        <v>67.56</v>
      </c>
      <c r="H166" s="9" t="s">
        <v>587</v>
      </c>
      <c r="I166" s="9" t="s">
        <v>566</v>
      </c>
      <c r="J166" t="s">
        <v>797</v>
      </c>
    </row>
    <row r="167" spans="1:10">
      <c r="A167" s="2">
        <v>41705</v>
      </c>
      <c r="B167" t="s">
        <v>260</v>
      </c>
      <c r="C167" t="s">
        <v>406</v>
      </c>
      <c r="D167" s="2">
        <v>41705</v>
      </c>
      <c r="E167">
        <v>67.56</v>
      </c>
      <c r="F167" s="2">
        <v>41705</v>
      </c>
      <c r="G167">
        <v>67.56</v>
      </c>
      <c r="H167" s="9" t="s">
        <v>587</v>
      </c>
      <c r="I167" s="9" t="s">
        <v>566</v>
      </c>
      <c r="J167" t="s">
        <v>797</v>
      </c>
    </row>
    <row r="168" spans="1:10">
      <c r="A168" s="2">
        <v>41737</v>
      </c>
      <c r="B168" t="s">
        <v>260</v>
      </c>
      <c r="C168" t="s">
        <v>346</v>
      </c>
      <c r="D168" s="2">
        <v>41737</v>
      </c>
      <c r="E168">
        <v>47.3</v>
      </c>
      <c r="F168" s="2">
        <v>41737</v>
      </c>
      <c r="G168">
        <v>47.3</v>
      </c>
      <c r="H168" s="9" t="s">
        <v>587</v>
      </c>
      <c r="I168" s="9" t="s">
        <v>566</v>
      </c>
      <c r="J168" t="s">
        <v>797</v>
      </c>
    </row>
    <row r="169" spans="1:10">
      <c r="A169" s="2">
        <v>41767</v>
      </c>
      <c r="B169" t="s">
        <v>260</v>
      </c>
      <c r="C169" t="s">
        <v>346</v>
      </c>
      <c r="D169" s="2">
        <v>41767</v>
      </c>
      <c r="E169">
        <v>80.7</v>
      </c>
      <c r="F169" s="2">
        <v>41767</v>
      </c>
      <c r="G169">
        <v>80.7</v>
      </c>
      <c r="H169" s="9" t="s">
        <v>587</v>
      </c>
      <c r="I169" s="9" t="s">
        <v>566</v>
      </c>
      <c r="J169" t="s">
        <v>797</v>
      </c>
    </row>
    <row r="170" spans="1:10">
      <c r="A170" s="2">
        <v>41619</v>
      </c>
      <c r="B170" t="s">
        <v>61</v>
      </c>
      <c r="C170" t="s">
        <v>79</v>
      </c>
      <c r="D170" s="2">
        <v>41619</v>
      </c>
      <c r="E170">
        <v>114.7</v>
      </c>
      <c r="F170" s="2">
        <v>41619</v>
      </c>
      <c r="G170">
        <v>114.7</v>
      </c>
      <c r="H170" s="9" t="s">
        <v>355</v>
      </c>
      <c r="I170" s="9" t="s">
        <v>566</v>
      </c>
      <c r="J170" t="s">
        <v>797</v>
      </c>
    </row>
    <row r="171" spans="1:10">
      <c r="A171" s="2">
        <v>41652</v>
      </c>
      <c r="B171" t="s">
        <v>263</v>
      </c>
      <c r="C171" t="s">
        <v>300</v>
      </c>
      <c r="D171" s="2">
        <v>41652</v>
      </c>
      <c r="E171">
        <v>114.7</v>
      </c>
      <c r="F171" s="2">
        <v>41652</v>
      </c>
      <c r="G171">
        <v>114.7</v>
      </c>
      <c r="H171" s="9" t="s">
        <v>355</v>
      </c>
      <c r="I171" s="9" t="s">
        <v>566</v>
      </c>
      <c r="J171" t="s">
        <v>797</v>
      </c>
    </row>
    <row r="172" spans="1:10">
      <c r="A172" s="2">
        <v>41681</v>
      </c>
      <c r="B172" t="s">
        <v>327</v>
      </c>
      <c r="C172" t="s">
        <v>355</v>
      </c>
      <c r="D172" s="2">
        <v>41681</v>
      </c>
      <c r="E172">
        <v>114.7</v>
      </c>
      <c r="F172" s="2">
        <v>41681</v>
      </c>
      <c r="G172">
        <v>114.7</v>
      </c>
      <c r="H172" s="9" t="s">
        <v>355</v>
      </c>
      <c r="I172" s="9" t="s">
        <v>566</v>
      </c>
      <c r="J172" t="s">
        <v>797</v>
      </c>
    </row>
    <row r="173" spans="1:10">
      <c r="A173" s="2">
        <v>41711</v>
      </c>
      <c r="B173" t="s">
        <v>381</v>
      </c>
      <c r="C173" t="s">
        <v>412</v>
      </c>
      <c r="D173" s="2">
        <v>41711</v>
      </c>
      <c r="E173">
        <v>114.7</v>
      </c>
      <c r="F173" s="2">
        <v>41711</v>
      </c>
      <c r="G173">
        <v>114.7</v>
      </c>
      <c r="H173" s="9" t="s">
        <v>355</v>
      </c>
      <c r="I173" s="9" t="s">
        <v>566</v>
      </c>
      <c r="J173" t="s">
        <v>797</v>
      </c>
    </row>
    <row r="174" spans="1:10">
      <c r="A174" s="2">
        <v>41740</v>
      </c>
      <c r="B174" t="s">
        <v>447</v>
      </c>
      <c r="C174" t="s">
        <v>479</v>
      </c>
      <c r="D174" s="2">
        <v>41740</v>
      </c>
      <c r="E174">
        <v>114.7</v>
      </c>
      <c r="F174" s="2">
        <v>41740</v>
      </c>
      <c r="G174">
        <v>114.7</v>
      </c>
      <c r="H174" s="9" t="s">
        <v>355</v>
      </c>
      <c r="I174" s="9" t="s">
        <v>566</v>
      </c>
      <c r="J174" t="s">
        <v>797</v>
      </c>
    </row>
    <row r="175" spans="1:10">
      <c r="A175" s="2">
        <v>41771</v>
      </c>
      <c r="B175" t="s">
        <v>509</v>
      </c>
      <c r="C175" t="s">
        <v>536</v>
      </c>
      <c r="D175" s="2">
        <v>41771</v>
      </c>
      <c r="E175">
        <v>114.7</v>
      </c>
      <c r="F175" s="2">
        <v>41771</v>
      </c>
      <c r="G175">
        <v>114.7</v>
      </c>
      <c r="H175" s="9" t="s">
        <v>355</v>
      </c>
      <c r="I175" s="9" t="s">
        <v>566</v>
      </c>
      <c r="J175" t="s">
        <v>797</v>
      </c>
    </row>
    <row r="176" spans="1:10">
      <c r="A176" s="2">
        <v>41652</v>
      </c>
      <c r="B176" t="s">
        <v>262</v>
      </c>
      <c r="C176" t="s">
        <v>299</v>
      </c>
      <c r="D176" s="2">
        <v>41652</v>
      </c>
      <c r="E176">
        <v>368.14</v>
      </c>
      <c r="F176" s="2">
        <v>41652</v>
      </c>
      <c r="G176">
        <v>368.14</v>
      </c>
      <c r="H176" s="9" t="s">
        <v>78</v>
      </c>
      <c r="I176" s="9" t="s">
        <v>566</v>
      </c>
      <c r="J176" t="s">
        <v>797</v>
      </c>
    </row>
    <row r="177" spans="1:10">
      <c r="A177" s="2">
        <v>41641</v>
      </c>
      <c r="B177" t="s">
        <v>249</v>
      </c>
      <c r="C177" t="s">
        <v>281</v>
      </c>
      <c r="D177" s="2">
        <v>41641</v>
      </c>
      <c r="E177">
        <v>36.68</v>
      </c>
      <c r="F177" s="2">
        <v>41641</v>
      </c>
      <c r="G177">
        <v>36.68</v>
      </c>
      <c r="H177" s="9" t="s">
        <v>527</v>
      </c>
      <c r="I177" s="9" t="s">
        <v>572</v>
      </c>
      <c r="J177" t="s">
        <v>797</v>
      </c>
    </row>
    <row r="178" spans="1:10">
      <c r="A178" s="2">
        <v>41673</v>
      </c>
      <c r="B178" t="s">
        <v>249</v>
      </c>
      <c r="C178" t="s">
        <v>340</v>
      </c>
      <c r="D178" s="2">
        <v>41673</v>
      </c>
      <c r="E178">
        <v>20.96</v>
      </c>
      <c r="F178" s="2">
        <v>41673</v>
      </c>
      <c r="G178">
        <v>20.96</v>
      </c>
      <c r="H178" s="9" t="s">
        <v>527</v>
      </c>
      <c r="I178" s="9" t="s">
        <v>572</v>
      </c>
      <c r="J178" t="s">
        <v>797</v>
      </c>
    </row>
    <row r="179" spans="1:10">
      <c r="A179" s="2">
        <v>41703</v>
      </c>
      <c r="B179" t="s">
        <v>249</v>
      </c>
      <c r="C179" t="s">
        <v>340</v>
      </c>
      <c r="D179" s="2">
        <v>41703</v>
      </c>
      <c r="E179">
        <v>31.44</v>
      </c>
      <c r="F179" s="2">
        <v>41703</v>
      </c>
      <c r="G179">
        <v>31.44</v>
      </c>
      <c r="H179" s="9" t="s">
        <v>527</v>
      </c>
      <c r="I179" s="9" t="s">
        <v>572</v>
      </c>
      <c r="J179" t="s">
        <v>797</v>
      </c>
    </row>
    <row r="180" spans="1:10">
      <c r="A180" s="2">
        <v>41730</v>
      </c>
      <c r="B180" t="s">
        <v>249</v>
      </c>
      <c r="C180" t="s">
        <v>340</v>
      </c>
      <c r="D180" s="2">
        <v>41730</v>
      </c>
      <c r="E180">
        <v>28.02</v>
      </c>
      <c r="F180" s="2">
        <v>41730</v>
      </c>
      <c r="G180">
        <v>28.02</v>
      </c>
      <c r="H180" s="9" t="s">
        <v>527</v>
      </c>
      <c r="I180" s="9" t="s">
        <v>572</v>
      </c>
      <c r="J180" t="s">
        <v>797</v>
      </c>
    </row>
    <row r="181" spans="1:10">
      <c r="A181" s="2">
        <v>41761</v>
      </c>
      <c r="B181" t="s">
        <v>249</v>
      </c>
      <c r="C181" t="s">
        <v>527</v>
      </c>
      <c r="D181" s="2">
        <v>41761</v>
      </c>
      <c r="E181">
        <v>31.68</v>
      </c>
      <c r="F181" s="2">
        <v>41761</v>
      </c>
      <c r="G181">
        <v>31.68</v>
      </c>
      <c r="H181" s="9" t="s">
        <v>527</v>
      </c>
      <c r="I181" s="9" t="s">
        <v>572</v>
      </c>
      <c r="J181" t="s">
        <v>797</v>
      </c>
    </row>
    <row r="182" spans="1:10">
      <c r="A182" s="2">
        <v>41645</v>
      </c>
      <c r="B182" t="s">
        <v>252</v>
      </c>
      <c r="C182" t="s">
        <v>287</v>
      </c>
      <c r="D182" s="2">
        <v>41645</v>
      </c>
      <c r="E182">
        <v>7.4</v>
      </c>
      <c r="F182" s="2">
        <v>41645</v>
      </c>
      <c r="G182">
        <v>7.4</v>
      </c>
      <c r="H182" s="9" t="s">
        <v>594</v>
      </c>
      <c r="I182" s="9" t="s">
        <v>572</v>
      </c>
      <c r="J182" t="s">
        <v>797</v>
      </c>
    </row>
    <row r="183" spans="1:10">
      <c r="A183" s="2">
        <v>41647</v>
      </c>
      <c r="B183" t="s">
        <v>252</v>
      </c>
      <c r="C183" t="s">
        <v>294</v>
      </c>
      <c r="D183" s="2">
        <v>41647</v>
      </c>
      <c r="E183">
        <v>7.4</v>
      </c>
      <c r="F183" s="2">
        <v>41647</v>
      </c>
      <c r="G183">
        <v>7.4</v>
      </c>
      <c r="H183" s="9" t="s">
        <v>594</v>
      </c>
      <c r="I183" s="9" t="s">
        <v>572</v>
      </c>
      <c r="J183" t="s">
        <v>797</v>
      </c>
    </row>
    <row r="184" spans="1:10">
      <c r="A184" s="2">
        <v>41647</v>
      </c>
      <c r="B184" t="s">
        <v>252</v>
      </c>
      <c r="C184" t="s">
        <v>294</v>
      </c>
      <c r="D184" s="2">
        <v>41647</v>
      </c>
      <c r="E184">
        <v>7.4</v>
      </c>
      <c r="F184" s="2">
        <v>41647</v>
      </c>
      <c r="G184">
        <v>7.4</v>
      </c>
      <c r="H184" s="9" t="s">
        <v>594</v>
      </c>
      <c r="I184" s="9" t="s">
        <v>572</v>
      </c>
      <c r="J184" t="s">
        <v>797</v>
      </c>
    </row>
    <row r="185" spans="1:10">
      <c r="A185" s="2">
        <v>41666</v>
      </c>
      <c r="B185" t="s">
        <v>252</v>
      </c>
      <c r="C185" t="s">
        <v>294</v>
      </c>
      <c r="D185" s="2">
        <v>41666</v>
      </c>
      <c r="E185">
        <v>7.4</v>
      </c>
      <c r="F185" s="2">
        <v>41666</v>
      </c>
      <c r="G185">
        <v>7.4</v>
      </c>
      <c r="H185" s="9" t="s">
        <v>594</v>
      </c>
      <c r="I185" s="9" t="s">
        <v>572</v>
      </c>
      <c r="J185" t="s">
        <v>797</v>
      </c>
    </row>
    <row r="186" spans="1:10">
      <c r="A186" s="2">
        <v>41674</v>
      </c>
      <c r="B186" t="s">
        <v>252</v>
      </c>
      <c r="C186" t="s">
        <v>342</v>
      </c>
      <c r="D186" s="2">
        <v>41674</v>
      </c>
      <c r="E186">
        <v>7.4</v>
      </c>
      <c r="F186" s="2">
        <v>41674</v>
      </c>
      <c r="G186">
        <v>7.4</v>
      </c>
      <c r="H186" s="9" t="s">
        <v>751</v>
      </c>
      <c r="I186" s="9" t="s">
        <v>572</v>
      </c>
      <c r="J186" t="s">
        <v>797</v>
      </c>
    </row>
    <row r="187" spans="1:10">
      <c r="A187" s="2">
        <v>41676</v>
      </c>
      <c r="B187" t="s">
        <v>252</v>
      </c>
      <c r="C187" t="s">
        <v>342</v>
      </c>
      <c r="D187" s="2">
        <v>41676</v>
      </c>
      <c r="E187">
        <v>7.4</v>
      </c>
      <c r="F187" s="2">
        <v>41676</v>
      </c>
      <c r="G187">
        <v>7.4</v>
      </c>
      <c r="H187" s="9" t="s">
        <v>751</v>
      </c>
      <c r="I187" s="9" t="s">
        <v>572</v>
      </c>
      <c r="J187" t="s">
        <v>797</v>
      </c>
    </row>
    <row r="188" spans="1:10">
      <c r="A188" s="2">
        <v>41680</v>
      </c>
      <c r="B188" t="s">
        <v>252</v>
      </c>
      <c r="C188" t="s">
        <v>342</v>
      </c>
      <c r="D188" s="2">
        <v>41680</v>
      </c>
      <c r="E188">
        <v>7.4</v>
      </c>
      <c r="F188" s="2">
        <v>41680</v>
      </c>
      <c r="G188">
        <v>7.4</v>
      </c>
      <c r="H188" s="9" t="s">
        <v>751</v>
      </c>
      <c r="I188" s="9" t="s">
        <v>572</v>
      </c>
      <c r="J188" t="s">
        <v>797</v>
      </c>
    </row>
    <row r="189" spans="1:10">
      <c r="A189" s="2">
        <v>41703</v>
      </c>
      <c r="B189" t="s">
        <v>252</v>
      </c>
      <c r="C189" t="s">
        <v>397</v>
      </c>
      <c r="D189" s="2">
        <v>41703</v>
      </c>
      <c r="E189">
        <v>7.4</v>
      </c>
      <c r="F189" s="2">
        <v>41703</v>
      </c>
      <c r="G189">
        <v>7.4</v>
      </c>
      <c r="H189" s="9" t="s">
        <v>594</v>
      </c>
      <c r="I189" s="9" t="s">
        <v>572</v>
      </c>
      <c r="J189" t="s">
        <v>797</v>
      </c>
    </row>
    <row r="190" spans="1:10">
      <c r="A190" s="2">
        <v>41704</v>
      </c>
      <c r="B190" t="s">
        <v>252</v>
      </c>
      <c r="C190" t="s">
        <v>397</v>
      </c>
      <c r="D190" s="2">
        <v>41704</v>
      </c>
      <c r="E190">
        <v>7.4</v>
      </c>
      <c r="F190" s="2">
        <v>41704</v>
      </c>
      <c r="G190">
        <v>7.4</v>
      </c>
      <c r="H190" s="9" t="s">
        <v>594</v>
      </c>
      <c r="I190" s="9" t="s">
        <v>572</v>
      </c>
      <c r="J190" t="s">
        <v>797</v>
      </c>
    </row>
    <row r="191" spans="1:10">
      <c r="A191" s="2">
        <v>41723</v>
      </c>
      <c r="B191" t="s">
        <v>252</v>
      </c>
      <c r="C191" t="s">
        <v>397</v>
      </c>
      <c r="D191" s="2">
        <v>41723</v>
      </c>
      <c r="E191">
        <v>7.4</v>
      </c>
      <c r="F191" s="2">
        <v>41723</v>
      </c>
      <c r="G191">
        <v>7.4</v>
      </c>
      <c r="H191" s="9" t="s">
        <v>594</v>
      </c>
      <c r="I191" s="9" t="s">
        <v>572</v>
      </c>
      <c r="J191" t="s">
        <v>797</v>
      </c>
    </row>
    <row r="192" spans="1:10">
      <c r="A192" s="2">
        <v>41730</v>
      </c>
      <c r="B192" t="s">
        <v>252</v>
      </c>
      <c r="C192" t="s">
        <v>397</v>
      </c>
      <c r="D192" s="2">
        <v>41730</v>
      </c>
      <c r="E192">
        <v>7.4</v>
      </c>
      <c r="F192" s="2">
        <v>41730</v>
      </c>
      <c r="G192">
        <v>7.4</v>
      </c>
      <c r="H192" s="9" t="s">
        <v>594</v>
      </c>
      <c r="I192" s="9" t="s">
        <v>572</v>
      </c>
      <c r="J192" t="s">
        <v>797</v>
      </c>
    </row>
    <row r="193" spans="1:10">
      <c r="A193" s="2">
        <v>41730</v>
      </c>
      <c r="B193" t="s">
        <v>252</v>
      </c>
      <c r="C193" t="s">
        <v>397</v>
      </c>
      <c r="D193" s="2">
        <v>41730</v>
      </c>
      <c r="E193">
        <v>7.4</v>
      </c>
      <c r="F193" s="2">
        <v>41730</v>
      </c>
      <c r="G193">
        <v>7.4</v>
      </c>
      <c r="H193" s="9" t="s">
        <v>594</v>
      </c>
      <c r="I193" s="9" t="s">
        <v>572</v>
      </c>
      <c r="J193" t="s">
        <v>797</v>
      </c>
    </row>
    <row r="194" spans="1:10">
      <c r="A194" s="2">
        <v>41736</v>
      </c>
      <c r="B194" t="s">
        <v>252</v>
      </c>
      <c r="C194" t="s">
        <v>473</v>
      </c>
      <c r="D194" s="2">
        <v>41736</v>
      </c>
      <c r="E194">
        <v>7.4</v>
      </c>
      <c r="F194" s="2">
        <v>41736</v>
      </c>
      <c r="G194">
        <v>7.4</v>
      </c>
      <c r="H194" s="9" t="s">
        <v>751</v>
      </c>
      <c r="I194" s="9" t="s">
        <v>572</v>
      </c>
      <c r="J194" t="s">
        <v>797</v>
      </c>
    </row>
    <row r="195" spans="1:10">
      <c r="A195" s="2">
        <v>41743</v>
      </c>
      <c r="B195" t="s">
        <v>252</v>
      </c>
      <c r="C195" t="s">
        <v>482</v>
      </c>
      <c r="D195" s="2">
        <v>41743</v>
      </c>
      <c r="E195">
        <v>7.4</v>
      </c>
      <c r="F195" s="2">
        <v>41743</v>
      </c>
      <c r="G195">
        <v>7.4</v>
      </c>
      <c r="H195" s="9" t="s">
        <v>751</v>
      </c>
      <c r="I195" s="9" t="s">
        <v>572</v>
      </c>
      <c r="J195" t="s">
        <v>797</v>
      </c>
    </row>
    <row r="196" spans="1:10">
      <c r="A196" s="2">
        <v>41764</v>
      </c>
      <c r="B196" t="s">
        <v>252</v>
      </c>
      <c r="C196" t="s">
        <v>529</v>
      </c>
      <c r="D196" s="2">
        <v>41764</v>
      </c>
      <c r="E196">
        <v>7.4</v>
      </c>
      <c r="F196" s="2">
        <v>41764</v>
      </c>
      <c r="G196">
        <v>7.4</v>
      </c>
      <c r="H196" s="9" t="s">
        <v>751</v>
      </c>
      <c r="I196" s="9" t="s">
        <v>572</v>
      </c>
      <c r="J196" t="s">
        <v>797</v>
      </c>
    </row>
    <row r="197" spans="1:10">
      <c r="A197" s="2">
        <v>41767</v>
      </c>
      <c r="B197" t="s">
        <v>252</v>
      </c>
      <c r="C197" t="s">
        <v>529</v>
      </c>
      <c r="D197" s="2">
        <v>41767</v>
      </c>
      <c r="E197">
        <v>7.4</v>
      </c>
      <c r="F197" s="2">
        <v>41767</v>
      </c>
      <c r="G197">
        <v>7.4</v>
      </c>
      <c r="H197" s="9" t="s">
        <v>751</v>
      </c>
      <c r="I197" s="9" t="s">
        <v>572</v>
      </c>
      <c r="J197" t="s">
        <v>797</v>
      </c>
    </row>
    <row r="198" spans="1:10">
      <c r="A198" s="2">
        <v>41674</v>
      </c>
      <c r="B198" t="s">
        <v>324</v>
      </c>
      <c r="C198" t="s">
        <v>345</v>
      </c>
      <c r="D198" s="2">
        <v>41674</v>
      </c>
      <c r="E198">
        <v>79.400000000000006</v>
      </c>
      <c r="F198" s="2">
        <v>41674</v>
      </c>
      <c r="G198">
        <v>79.400000000000006</v>
      </c>
      <c r="H198" s="9" t="s">
        <v>590</v>
      </c>
      <c r="I198" s="9" t="s">
        <v>572</v>
      </c>
      <c r="J198" t="s">
        <v>797</v>
      </c>
    </row>
    <row r="199" spans="1:10">
      <c r="A199" s="2">
        <v>41704</v>
      </c>
      <c r="B199" t="s">
        <v>377</v>
      </c>
      <c r="C199" t="s">
        <v>345</v>
      </c>
      <c r="D199" s="2">
        <v>41704</v>
      </c>
      <c r="E199">
        <v>79.400000000000006</v>
      </c>
      <c r="F199" s="2">
        <v>41704</v>
      </c>
      <c r="G199">
        <v>79.400000000000006</v>
      </c>
      <c r="H199" s="9" t="s">
        <v>590</v>
      </c>
      <c r="I199" s="9" t="s">
        <v>572</v>
      </c>
      <c r="J199" t="s">
        <v>797</v>
      </c>
    </row>
    <row r="200" spans="1:10">
      <c r="A200" s="2">
        <v>41731</v>
      </c>
      <c r="B200" t="s">
        <v>433</v>
      </c>
      <c r="C200" t="s">
        <v>469</v>
      </c>
      <c r="D200" s="2">
        <v>41731</v>
      </c>
      <c r="E200">
        <v>79.400000000000006</v>
      </c>
      <c r="F200" s="2">
        <v>41731</v>
      </c>
      <c r="G200">
        <v>79.400000000000006</v>
      </c>
      <c r="H200" s="9" t="s">
        <v>590</v>
      </c>
      <c r="I200" s="9" t="s">
        <v>572</v>
      </c>
      <c r="J200" t="s">
        <v>797</v>
      </c>
    </row>
    <row r="201" spans="1:10">
      <c r="A201" s="2">
        <v>41764</v>
      </c>
      <c r="B201" t="s">
        <v>505</v>
      </c>
      <c r="C201" t="s">
        <v>530</v>
      </c>
      <c r="D201" s="2">
        <v>41764</v>
      </c>
      <c r="E201">
        <v>79.400000000000006</v>
      </c>
      <c r="F201" s="2">
        <v>41764</v>
      </c>
      <c r="G201">
        <v>79.400000000000006</v>
      </c>
      <c r="H201" s="9" t="s">
        <v>590</v>
      </c>
      <c r="I201" s="9" t="s">
        <v>572</v>
      </c>
      <c r="J201" t="s">
        <v>797</v>
      </c>
    </row>
    <row r="202" spans="1:10">
      <c r="A202" s="2">
        <v>41642</v>
      </c>
      <c r="B202" t="s">
        <v>250</v>
      </c>
      <c r="C202" t="s">
        <v>283</v>
      </c>
      <c r="D202" s="2">
        <v>41642</v>
      </c>
      <c r="E202">
        <v>74.900000000000006</v>
      </c>
      <c r="F202" s="2">
        <v>41642</v>
      </c>
      <c r="G202">
        <v>74.900000000000006</v>
      </c>
      <c r="H202" s="9" t="s">
        <v>590</v>
      </c>
      <c r="I202" s="9" t="s">
        <v>572</v>
      </c>
      <c r="J202" t="s">
        <v>797</v>
      </c>
    </row>
    <row r="203" spans="1:10">
      <c r="A203" s="2">
        <v>41786</v>
      </c>
      <c r="B203" t="s">
        <v>524</v>
      </c>
      <c r="C203" t="s">
        <v>555</v>
      </c>
      <c r="D203" s="2">
        <v>41786</v>
      </c>
      <c r="E203">
        <v>7.4</v>
      </c>
      <c r="F203" s="2">
        <v>41786</v>
      </c>
      <c r="G203">
        <v>7.4</v>
      </c>
      <c r="H203" s="9" t="s">
        <v>555</v>
      </c>
      <c r="I203" s="9" t="s">
        <v>572</v>
      </c>
      <c r="J203" t="s">
        <v>797</v>
      </c>
    </row>
    <row r="204" spans="1:10">
      <c r="A204" s="2">
        <v>41698</v>
      </c>
      <c r="B204" t="s">
        <v>338</v>
      </c>
      <c r="C204" t="s">
        <v>373</v>
      </c>
      <c r="D204" s="2">
        <v>41698</v>
      </c>
      <c r="E204">
        <v>7.4</v>
      </c>
      <c r="F204" s="2">
        <v>41698</v>
      </c>
      <c r="G204">
        <v>7.4</v>
      </c>
      <c r="H204" s="9" t="s">
        <v>555</v>
      </c>
      <c r="I204" s="9" t="s">
        <v>572</v>
      </c>
      <c r="J204" t="s">
        <v>797</v>
      </c>
    </row>
    <row r="205" spans="1:10">
      <c r="A205" s="2">
        <v>41659</v>
      </c>
      <c r="B205" t="s">
        <v>273</v>
      </c>
      <c r="C205" t="s">
        <v>311</v>
      </c>
      <c r="D205" s="2">
        <v>41659</v>
      </c>
      <c r="E205">
        <v>7.4</v>
      </c>
      <c r="F205" s="2">
        <v>41659</v>
      </c>
      <c r="G205">
        <v>7.4</v>
      </c>
      <c r="H205" s="9" t="s">
        <v>555</v>
      </c>
      <c r="I205" s="9" t="s">
        <v>572</v>
      </c>
      <c r="J205" t="s">
        <v>797</v>
      </c>
    </row>
    <row r="206" spans="1:10">
      <c r="A206" s="2">
        <v>41620</v>
      </c>
      <c r="B206" t="s">
        <v>62</v>
      </c>
      <c r="C206" t="s">
        <v>80</v>
      </c>
      <c r="D206" s="2">
        <v>41620</v>
      </c>
      <c r="E206">
        <v>4.5</v>
      </c>
      <c r="F206" s="2">
        <v>41620</v>
      </c>
      <c r="G206">
        <v>4.5</v>
      </c>
      <c r="H206" s="9" t="s">
        <v>609</v>
      </c>
      <c r="I206" s="9" t="s">
        <v>572</v>
      </c>
      <c r="J206" t="s">
        <v>797</v>
      </c>
    </row>
    <row r="207" spans="1:10">
      <c r="A207" s="2">
        <v>41627</v>
      </c>
      <c r="B207" t="s">
        <v>62</v>
      </c>
      <c r="C207" t="s">
        <v>80</v>
      </c>
      <c r="D207" s="2">
        <v>41627</v>
      </c>
      <c r="E207">
        <v>4.5</v>
      </c>
      <c r="F207" s="2">
        <v>41627</v>
      </c>
      <c r="G207">
        <v>4.5</v>
      </c>
      <c r="H207" s="9" t="s">
        <v>609</v>
      </c>
      <c r="I207" s="9" t="s">
        <v>572</v>
      </c>
      <c r="J207" t="s">
        <v>797</v>
      </c>
    </row>
    <row r="208" spans="1:10">
      <c r="A208" s="2">
        <v>41632</v>
      </c>
      <c r="B208" t="s">
        <v>62</v>
      </c>
      <c r="C208" t="s">
        <v>80</v>
      </c>
      <c r="D208" s="2">
        <v>41632</v>
      </c>
      <c r="E208">
        <v>4.5</v>
      </c>
      <c r="F208" s="2">
        <v>41632</v>
      </c>
      <c r="G208">
        <v>4.5</v>
      </c>
      <c r="H208" s="9" t="s">
        <v>609</v>
      </c>
      <c r="I208" s="9" t="s">
        <v>572</v>
      </c>
      <c r="J208" t="s">
        <v>797</v>
      </c>
    </row>
    <row r="209" spans="1:10">
      <c r="A209" s="2">
        <v>41642</v>
      </c>
      <c r="B209" t="s">
        <v>62</v>
      </c>
      <c r="C209" t="s">
        <v>282</v>
      </c>
      <c r="D209" s="2">
        <v>41642</v>
      </c>
      <c r="E209">
        <v>4.5</v>
      </c>
      <c r="F209" s="2">
        <v>41642</v>
      </c>
      <c r="G209">
        <v>4.5</v>
      </c>
      <c r="H209" s="9" t="s">
        <v>609</v>
      </c>
      <c r="I209" s="9" t="s">
        <v>572</v>
      </c>
      <c r="J209" t="s">
        <v>797</v>
      </c>
    </row>
    <row r="210" spans="1:10">
      <c r="A210" s="2">
        <v>41645</v>
      </c>
      <c r="B210" t="s">
        <v>62</v>
      </c>
      <c r="C210" t="s">
        <v>282</v>
      </c>
      <c r="D210" s="2">
        <v>41645</v>
      </c>
      <c r="E210">
        <v>9</v>
      </c>
      <c r="F210" s="2">
        <v>41645</v>
      </c>
      <c r="G210">
        <v>9</v>
      </c>
      <c r="H210" s="9" t="s">
        <v>609</v>
      </c>
      <c r="I210" s="9" t="s">
        <v>572</v>
      </c>
      <c r="J210" t="s">
        <v>797</v>
      </c>
    </row>
    <row r="211" spans="1:10">
      <c r="A211" s="2">
        <v>41653</v>
      </c>
      <c r="B211" t="s">
        <v>62</v>
      </c>
      <c r="C211" t="s">
        <v>282</v>
      </c>
      <c r="D211" s="2">
        <v>41653</v>
      </c>
      <c r="E211">
        <v>4.5</v>
      </c>
      <c r="F211" s="2">
        <v>41653</v>
      </c>
      <c r="G211">
        <v>4.5</v>
      </c>
      <c r="H211" s="9" t="s">
        <v>609</v>
      </c>
      <c r="I211" s="9" t="s">
        <v>572</v>
      </c>
      <c r="J211" t="s">
        <v>797</v>
      </c>
    </row>
    <row r="212" spans="1:10">
      <c r="A212" s="2">
        <v>41660</v>
      </c>
      <c r="B212" t="s">
        <v>62</v>
      </c>
      <c r="C212" t="s">
        <v>282</v>
      </c>
      <c r="D212" s="2">
        <v>41660</v>
      </c>
      <c r="E212">
        <v>4.5</v>
      </c>
      <c r="F212" s="2">
        <v>41660</v>
      </c>
      <c r="G212">
        <v>4.5</v>
      </c>
      <c r="H212" s="9" t="s">
        <v>609</v>
      </c>
      <c r="I212" s="9" t="s">
        <v>572</v>
      </c>
      <c r="J212" t="s">
        <v>797</v>
      </c>
    </row>
    <row r="213" spans="1:10">
      <c r="A213" s="2">
        <v>41663</v>
      </c>
      <c r="B213" t="s">
        <v>62</v>
      </c>
      <c r="C213" t="s">
        <v>282</v>
      </c>
      <c r="D213" s="2">
        <v>41663</v>
      </c>
      <c r="E213">
        <v>4.5</v>
      </c>
      <c r="F213" s="2">
        <v>41663</v>
      </c>
      <c r="G213">
        <v>4.5</v>
      </c>
      <c r="H213" s="9" t="s">
        <v>609</v>
      </c>
      <c r="I213" s="9" t="s">
        <v>572</v>
      </c>
      <c r="J213" t="s">
        <v>797</v>
      </c>
    </row>
    <row r="214" spans="1:10">
      <c r="A214" s="2">
        <v>41674</v>
      </c>
      <c r="B214" t="s">
        <v>62</v>
      </c>
      <c r="C214" t="s">
        <v>80</v>
      </c>
      <c r="D214" s="2">
        <v>41674</v>
      </c>
      <c r="E214">
        <v>9</v>
      </c>
      <c r="F214" s="2">
        <v>41674</v>
      </c>
      <c r="G214">
        <v>9</v>
      </c>
      <c r="H214" s="9" t="s">
        <v>609</v>
      </c>
      <c r="I214" s="9" t="s">
        <v>572</v>
      </c>
      <c r="J214" t="s">
        <v>797</v>
      </c>
    </row>
    <row r="215" spans="1:10">
      <c r="A215" s="2">
        <v>41695</v>
      </c>
      <c r="B215" t="s">
        <v>62</v>
      </c>
      <c r="C215" t="s">
        <v>80</v>
      </c>
      <c r="D215" s="2">
        <v>41695</v>
      </c>
      <c r="E215">
        <v>4.5</v>
      </c>
      <c r="F215" s="2">
        <v>41695</v>
      </c>
      <c r="G215">
        <v>4.5</v>
      </c>
      <c r="H215" s="9" t="s">
        <v>609</v>
      </c>
      <c r="I215" s="9" t="s">
        <v>572</v>
      </c>
      <c r="J215" t="s">
        <v>797</v>
      </c>
    </row>
    <row r="216" spans="1:10">
      <c r="A216" s="2">
        <v>41704</v>
      </c>
      <c r="B216" t="s">
        <v>62</v>
      </c>
      <c r="C216" t="s">
        <v>80</v>
      </c>
      <c r="D216" s="2">
        <v>41704</v>
      </c>
      <c r="E216">
        <v>4.5</v>
      </c>
      <c r="F216" s="2">
        <v>41704</v>
      </c>
      <c r="G216">
        <v>4.5</v>
      </c>
      <c r="H216" s="9" t="s">
        <v>609</v>
      </c>
      <c r="I216" s="9" t="s">
        <v>572</v>
      </c>
      <c r="J216" t="s">
        <v>797</v>
      </c>
    </row>
    <row r="217" spans="1:10">
      <c r="A217" s="2">
        <v>41716</v>
      </c>
      <c r="B217" t="s">
        <v>62</v>
      </c>
      <c r="C217" t="s">
        <v>80</v>
      </c>
      <c r="D217" s="2">
        <v>41716</v>
      </c>
      <c r="E217">
        <v>4.5</v>
      </c>
      <c r="F217" s="2">
        <v>41716</v>
      </c>
      <c r="G217">
        <v>4.5</v>
      </c>
      <c r="H217" s="9" t="s">
        <v>609</v>
      </c>
      <c r="I217" s="9" t="s">
        <v>572</v>
      </c>
      <c r="J217" t="s">
        <v>797</v>
      </c>
    </row>
    <row r="218" spans="1:10">
      <c r="A218" s="2">
        <v>41718</v>
      </c>
      <c r="B218" t="s">
        <v>62</v>
      </c>
      <c r="C218" t="s">
        <v>80</v>
      </c>
      <c r="D218" s="2">
        <v>41718</v>
      </c>
      <c r="E218">
        <v>4.5</v>
      </c>
      <c r="F218" s="2">
        <v>41718</v>
      </c>
      <c r="G218">
        <v>4.5</v>
      </c>
      <c r="H218" s="9" t="s">
        <v>609</v>
      </c>
      <c r="I218" s="9" t="s">
        <v>572</v>
      </c>
      <c r="J218" t="s">
        <v>797</v>
      </c>
    </row>
    <row r="219" spans="1:10">
      <c r="A219" s="2">
        <v>41723</v>
      </c>
      <c r="B219" t="s">
        <v>62</v>
      </c>
      <c r="C219" t="s">
        <v>80</v>
      </c>
      <c r="D219" s="2">
        <v>41723</v>
      </c>
      <c r="E219">
        <v>9</v>
      </c>
      <c r="F219" s="2">
        <v>41723</v>
      </c>
      <c r="G219">
        <v>9</v>
      </c>
      <c r="H219" s="9" t="s">
        <v>609</v>
      </c>
      <c r="I219" s="9" t="s">
        <v>572</v>
      </c>
      <c r="J219" t="s">
        <v>797</v>
      </c>
    </row>
    <row r="220" spans="1:10">
      <c r="A220" s="2">
        <v>41733</v>
      </c>
      <c r="B220" t="s">
        <v>62</v>
      </c>
      <c r="C220" t="s">
        <v>80</v>
      </c>
      <c r="D220" s="2">
        <v>41733</v>
      </c>
      <c r="E220">
        <v>4.5</v>
      </c>
      <c r="F220" s="2">
        <v>41733</v>
      </c>
      <c r="G220">
        <v>4.5</v>
      </c>
      <c r="H220" s="9" t="s">
        <v>609</v>
      </c>
      <c r="I220" s="9" t="s">
        <v>572</v>
      </c>
      <c r="J220" t="s">
        <v>797</v>
      </c>
    </row>
    <row r="221" spans="1:10">
      <c r="A221" s="2">
        <v>41744</v>
      </c>
      <c r="B221" t="s">
        <v>62</v>
      </c>
      <c r="C221" t="s">
        <v>80</v>
      </c>
      <c r="D221" s="2">
        <v>41744</v>
      </c>
      <c r="E221">
        <v>4.5</v>
      </c>
      <c r="F221" s="2">
        <v>41744</v>
      </c>
      <c r="G221">
        <v>4.5</v>
      </c>
      <c r="H221" s="9" t="s">
        <v>609</v>
      </c>
      <c r="I221" s="9" t="s">
        <v>572</v>
      </c>
      <c r="J221" t="s">
        <v>797</v>
      </c>
    </row>
    <row r="222" spans="1:10">
      <c r="A222" s="2">
        <v>41751</v>
      </c>
      <c r="B222" t="s">
        <v>62</v>
      </c>
      <c r="C222" t="s">
        <v>488</v>
      </c>
      <c r="D222" s="2">
        <v>41751</v>
      </c>
      <c r="E222">
        <v>4.5</v>
      </c>
      <c r="F222" s="2">
        <v>41751</v>
      </c>
      <c r="G222">
        <v>4.5</v>
      </c>
      <c r="H222" s="9" t="s">
        <v>609</v>
      </c>
      <c r="I222" s="9" t="s">
        <v>572</v>
      </c>
      <c r="J222" t="s">
        <v>797</v>
      </c>
    </row>
    <row r="223" spans="1:10">
      <c r="A223" s="2">
        <v>41752</v>
      </c>
      <c r="B223" t="s">
        <v>62</v>
      </c>
      <c r="C223" t="s">
        <v>488</v>
      </c>
      <c r="D223" s="2">
        <v>41752</v>
      </c>
      <c r="E223">
        <v>9</v>
      </c>
      <c r="F223" s="2">
        <v>41752</v>
      </c>
      <c r="G223">
        <v>9</v>
      </c>
      <c r="H223" s="9" t="s">
        <v>609</v>
      </c>
      <c r="I223" s="9" t="s">
        <v>572</v>
      </c>
      <c r="J223" t="s">
        <v>797</v>
      </c>
    </row>
    <row r="224" spans="1:10">
      <c r="A224" s="2">
        <v>41753</v>
      </c>
      <c r="B224" t="s">
        <v>62</v>
      </c>
      <c r="C224" t="s">
        <v>488</v>
      </c>
      <c r="D224" s="2">
        <v>41753</v>
      </c>
      <c r="E224">
        <v>4.5</v>
      </c>
      <c r="F224" s="2">
        <v>41753</v>
      </c>
      <c r="G224">
        <v>4.5</v>
      </c>
      <c r="H224" s="9" t="s">
        <v>609</v>
      </c>
      <c r="I224" s="9" t="s">
        <v>572</v>
      </c>
      <c r="J224" t="s">
        <v>797</v>
      </c>
    </row>
    <row r="225" spans="1:10">
      <c r="A225" s="2">
        <v>41774</v>
      </c>
      <c r="B225" t="s">
        <v>62</v>
      </c>
      <c r="C225" t="s">
        <v>80</v>
      </c>
      <c r="D225" s="2">
        <v>41774</v>
      </c>
      <c r="E225">
        <v>4.5</v>
      </c>
      <c r="F225" s="2">
        <v>41774</v>
      </c>
      <c r="G225">
        <v>4.5</v>
      </c>
      <c r="H225" s="9" t="s">
        <v>609</v>
      </c>
      <c r="I225" s="9" t="s">
        <v>572</v>
      </c>
      <c r="J225" t="s">
        <v>797</v>
      </c>
    </row>
    <row r="226" spans="1:10">
      <c r="A226" s="2">
        <v>41775</v>
      </c>
      <c r="B226" t="s">
        <v>62</v>
      </c>
      <c r="C226" t="s">
        <v>80</v>
      </c>
      <c r="D226" s="2">
        <v>41775</v>
      </c>
      <c r="E226">
        <v>4.5</v>
      </c>
      <c r="F226" s="2">
        <v>41775</v>
      </c>
      <c r="G226">
        <v>4.5</v>
      </c>
      <c r="H226" s="9" t="s">
        <v>609</v>
      </c>
      <c r="I226" s="9" t="s">
        <v>572</v>
      </c>
      <c r="J226" t="s">
        <v>797</v>
      </c>
    </row>
    <row r="227" spans="1:10">
      <c r="A227" s="2">
        <v>41778</v>
      </c>
      <c r="B227" t="s">
        <v>62</v>
      </c>
      <c r="C227" t="s">
        <v>80</v>
      </c>
      <c r="D227" s="2">
        <v>41778</v>
      </c>
      <c r="E227">
        <v>4.5</v>
      </c>
      <c r="F227" s="2">
        <v>41778</v>
      </c>
      <c r="G227">
        <v>4.5</v>
      </c>
      <c r="H227" s="9" t="s">
        <v>609</v>
      </c>
      <c r="I227" s="9" t="s">
        <v>572</v>
      </c>
      <c r="J227" t="s">
        <v>797</v>
      </c>
    </row>
    <row r="228" spans="1:10">
      <c r="A228" s="2">
        <v>41782</v>
      </c>
      <c r="B228" t="s">
        <v>62</v>
      </c>
      <c r="C228" t="s">
        <v>80</v>
      </c>
      <c r="D228" s="2">
        <v>41782</v>
      </c>
      <c r="E228">
        <v>4.5</v>
      </c>
      <c r="F228" s="2">
        <v>41782</v>
      </c>
      <c r="G228">
        <v>4.5</v>
      </c>
      <c r="H228" s="9" t="s">
        <v>609</v>
      </c>
      <c r="I228" s="9" t="s">
        <v>572</v>
      </c>
      <c r="J228" t="s">
        <v>797</v>
      </c>
    </row>
    <row r="229" spans="1:10">
      <c r="A229" s="2">
        <v>41635</v>
      </c>
      <c r="B229" t="s">
        <v>74</v>
      </c>
      <c r="C229" t="s">
        <v>95</v>
      </c>
      <c r="D229" s="2">
        <v>41635</v>
      </c>
      <c r="E229">
        <v>600</v>
      </c>
      <c r="F229" s="2">
        <v>41635</v>
      </c>
      <c r="G229">
        <v>600</v>
      </c>
      <c r="H229" s="9" t="s">
        <v>740</v>
      </c>
      <c r="I229" s="9" t="s">
        <v>565</v>
      </c>
      <c r="J229" t="s">
        <v>797</v>
      </c>
    </row>
    <row r="230" spans="1:10">
      <c r="A230" s="2">
        <v>41708</v>
      </c>
      <c r="B230" t="s">
        <v>74</v>
      </c>
      <c r="C230" t="s">
        <v>407</v>
      </c>
      <c r="D230" s="2">
        <v>41708</v>
      </c>
      <c r="E230">
        <v>250</v>
      </c>
      <c r="F230" s="2">
        <v>41708</v>
      </c>
      <c r="G230">
        <v>250</v>
      </c>
      <c r="H230" s="9" t="s">
        <v>740</v>
      </c>
      <c r="I230" s="9" t="s">
        <v>565</v>
      </c>
      <c r="J230" t="s">
        <v>797</v>
      </c>
    </row>
    <row r="231" spans="1:10">
      <c r="A231" s="2">
        <v>41719</v>
      </c>
      <c r="B231" t="s">
        <v>74</v>
      </c>
      <c r="C231" t="s">
        <v>417</v>
      </c>
      <c r="D231" s="2">
        <v>41719</v>
      </c>
      <c r="E231">
        <v>400</v>
      </c>
      <c r="F231" s="2">
        <v>41719</v>
      </c>
      <c r="G231">
        <v>400</v>
      </c>
      <c r="H231" s="9" t="s">
        <v>740</v>
      </c>
      <c r="I231" s="9" t="s">
        <v>565</v>
      </c>
      <c r="J231" t="s">
        <v>797</v>
      </c>
    </row>
    <row r="232" spans="1:10">
      <c r="A232" s="2">
        <v>41739</v>
      </c>
      <c r="B232" t="s">
        <v>445</v>
      </c>
      <c r="C232" t="s">
        <v>477</v>
      </c>
      <c r="D232" s="2">
        <v>41739</v>
      </c>
      <c r="E232">
        <v>57</v>
      </c>
      <c r="F232" s="2">
        <v>41739</v>
      </c>
      <c r="G232">
        <v>57</v>
      </c>
      <c r="H232" s="9" t="s">
        <v>477</v>
      </c>
      <c r="I232" s="9" t="s">
        <v>565</v>
      </c>
      <c r="J232" t="s">
        <v>797</v>
      </c>
    </row>
    <row r="233" spans="1:10">
      <c r="A233" s="2">
        <v>41781</v>
      </c>
      <c r="B233" t="s">
        <v>445</v>
      </c>
      <c r="C233" t="s">
        <v>543</v>
      </c>
      <c r="D233" s="2">
        <v>41781</v>
      </c>
      <c r="E233">
        <v>22.5</v>
      </c>
      <c r="F233" s="2">
        <v>41781</v>
      </c>
      <c r="G233">
        <v>22.5</v>
      </c>
      <c r="H233" s="9" t="s">
        <v>477</v>
      </c>
      <c r="I233" s="9" t="s">
        <v>565</v>
      </c>
      <c r="J233" t="s">
        <v>797</v>
      </c>
    </row>
    <row r="234" spans="1:10">
      <c r="A234" s="2">
        <v>41723</v>
      </c>
      <c r="B234" t="s">
        <v>390</v>
      </c>
      <c r="C234" t="s">
        <v>420</v>
      </c>
      <c r="D234" s="2">
        <v>41723</v>
      </c>
      <c r="E234">
        <v>131</v>
      </c>
      <c r="F234" s="2">
        <v>41723</v>
      </c>
      <c r="G234">
        <v>131</v>
      </c>
      <c r="H234" s="9" t="s">
        <v>769</v>
      </c>
      <c r="I234" s="9" t="s">
        <v>565</v>
      </c>
      <c r="J234" t="s">
        <v>797</v>
      </c>
    </row>
    <row r="235" spans="1:10">
      <c r="A235" s="2">
        <v>41737</v>
      </c>
      <c r="B235" t="s">
        <v>443</v>
      </c>
      <c r="C235" t="s">
        <v>474</v>
      </c>
      <c r="D235" s="2">
        <v>41737</v>
      </c>
      <c r="E235">
        <v>280</v>
      </c>
      <c r="F235" s="2">
        <v>41737</v>
      </c>
      <c r="G235">
        <v>280</v>
      </c>
      <c r="H235" s="9" t="s">
        <v>770</v>
      </c>
      <c r="I235" s="9" t="s">
        <v>565</v>
      </c>
      <c r="J235" t="s">
        <v>797</v>
      </c>
    </row>
    <row r="236" spans="1:10">
      <c r="A236" s="2">
        <v>41705</v>
      </c>
      <c r="B236" t="s">
        <v>379</v>
      </c>
      <c r="C236" t="s">
        <v>405</v>
      </c>
      <c r="D236" s="2">
        <v>41705</v>
      </c>
      <c r="E236">
        <v>109</v>
      </c>
      <c r="F236" s="2">
        <v>41705</v>
      </c>
      <c r="G236">
        <v>109</v>
      </c>
      <c r="H236" s="9" t="s">
        <v>737</v>
      </c>
      <c r="I236" s="9" t="s">
        <v>565</v>
      </c>
      <c r="J236" t="s">
        <v>797</v>
      </c>
    </row>
    <row r="237" spans="1:10">
      <c r="A237" s="2">
        <v>41715</v>
      </c>
      <c r="B237" t="s">
        <v>379</v>
      </c>
      <c r="C237" t="s">
        <v>405</v>
      </c>
      <c r="D237" s="2">
        <v>41715</v>
      </c>
      <c r="E237">
        <v>311</v>
      </c>
      <c r="F237" s="2">
        <v>41715</v>
      </c>
      <c r="G237">
        <v>311</v>
      </c>
      <c r="H237" s="9" t="s">
        <v>737</v>
      </c>
      <c r="I237" s="9" t="s">
        <v>565</v>
      </c>
      <c r="J237" t="s">
        <v>797</v>
      </c>
    </row>
    <row r="238" spans="1:10">
      <c r="A238" s="2">
        <v>41758</v>
      </c>
      <c r="B238" t="s">
        <v>458</v>
      </c>
      <c r="C238" t="s">
        <v>496</v>
      </c>
      <c r="D238" s="2">
        <v>41758</v>
      </c>
      <c r="E238">
        <v>300</v>
      </c>
      <c r="F238" s="2">
        <v>41758</v>
      </c>
      <c r="G238">
        <v>300</v>
      </c>
      <c r="H238" s="9" t="s">
        <v>629</v>
      </c>
      <c r="I238" s="9" t="s">
        <v>565</v>
      </c>
      <c r="J238" t="s">
        <v>797</v>
      </c>
    </row>
    <row r="239" spans="1:10">
      <c r="A239" s="2">
        <v>41758</v>
      </c>
      <c r="B239" t="s">
        <v>458</v>
      </c>
      <c r="C239" t="s">
        <v>497</v>
      </c>
      <c r="D239" s="2">
        <v>41758</v>
      </c>
      <c r="E239">
        <v>120.9</v>
      </c>
      <c r="F239" s="2">
        <v>41758</v>
      </c>
      <c r="G239">
        <v>120.9</v>
      </c>
      <c r="H239" s="9" t="s">
        <v>629</v>
      </c>
      <c r="I239" s="9" t="s">
        <v>565</v>
      </c>
      <c r="J239" t="s">
        <v>797</v>
      </c>
    </row>
    <row r="240" spans="1:10">
      <c r="A240" s="2">
        <v>41758</v>
      </c>
      <c r="B240" t="s">
        <v>458</v>
      </c>
      <c r="C240" t="s">
        <v>498</v>
      </c>
      <c r="D240" s="2">
        <v>41758</v>
      </c>
      <c r="E240">
        <v>195</v>
      </c>
      <c r="F240" s="2">
        <v>41758</v>
      </c>
      <c r="G240">
        <v>195</v>
      </c>
      <c r="H240" s="9" t="s">
        <v>629</v>
      </c>
      <c r="I240" s="9" t="s">
        <v>565</v>
      </c>
      <c r="J240" t="s">
        <v>797</v>
      </c>
    </row>
    <row r="241" spans="1:10">
      <c r="A241" s="2">
        <v>41758</v>
      </c>
      <c r="B241" t="s">
        <v>458</v>
      </c>
      <c r="C241" t="s">
        <v>499</v>
      </c>
      <c r="D241" s="2">
        <v>41758</v>
      </c>
      <c r="E241">
        <v>186</v>
      </c>
      <c r="F241" s="2">
        <v>41758</v>
      </c>
      <c r="G241">
        <v>186</v>
      </c>
      <c r="H241" s="9" t="s">
        <v>629</v>
      </c>
      <c r="I241" s="9" t="s">
        <v>565</v>
      </c>
      <c r="J241" t="s">
        <v>797</v>
      </c>
    </row>
    <row r="242" spans="1:10">
      <c r="A242" s="2">
        <v>41767</v>
      </c>
      <c r="B242" t="s">
        <v>458</v>
      </c>
      <c r="C242" t="s">
        <v>533</v>
      </c>
      <c r="D242" s="2">
        <v>41767</v>
      </c>
      <c r="E242">
        <v>487.34</v>
      </c>
      <c r="F242" s="2">
        <v>41767</v>
      </c>
      <c r="G242">
        <v>487.34</v>
      </c>
      <c r="H242" s="9" t="s">
        <v>629</v>
      </c>
      <c r="I242" s="9" t="s">
        <v>565</v>
      </c>
      <c r="J242" t="s">
        <v>797</v>
      </c>
    </row>
    <row r="243" spans="1:10">
      <c r="A243" s="2">
        <v>41779</v>
      </c>
      <c r="B243" t="s">
        <v>458</v>
      </c>
      <c r="C243" t="s">
        <v>538</v>
      </c>
      <c r="D243" s="2">
        <v>41779</v>
      </c>
      <c r="E243">
        <v>480</v>
      </c>
      <c r="F243" s="2">
        <v>41779</v>
      </c>
      <c r="G243">
        <v>480</v>
      </c>
      <c r="H243" s="9" t="s">
        <v>629</v>
      </c>
      <c r="I243" s="9" t="s">
        <v>565</v>
      </c>
      <c r="J243" t="s">
        <v>797</v>
      </c>
    </row>
    <row r="244" spans="1:10">
      <c r="A244" s="2">
        <v>41788</v>
      </c>
      <c r="B244" t="s">
        <v>458</v>
      </c>
      <c r="C244" t="s">
        <v>558</v>
      </c>
      <c r="D244" s="2">
        <v>41788</v>
      </c>
      <c r="E244">
        <v>315</v>
      </c>
      <c r="F244" s="2">
        <v>41788</v>
      </c>
      <c r="G244">
        <v>315</v>
      </c>
      <c r="H244" s="9" t="s">
        <v>629</v>
      </c>
      <c r="I244" s="9" t="s">
        <v>565</v>
      </c>
      <c r="J244" t="s">
        <v>797</v>
      </c>
    </row>
    <row r="245" spans="1:10">
      <c r="A245" s="2">
        <v>41788</v>
      </c>
      <c r="B245" t="s">
        <v>458</v>
      </c>
      <c r="C245" t="s">
        <v>559</v>
      </c>
      <c r="D245" s="2">
        <v>41788</v>
      </c>
      <c r="E245">
        <v>195.3</v>
      </c>
      <c r="F245" s="2">
        <v>41788</v>
      </c>
      <c r="G245">
        <v>195.3</v>
      </c>
      <c r="H245" s="9" t="s">
        <v>629</v>
      </c>
      <c r="I245" s="9" t="s">
        <v>565</v>
      </c>
      <c r="J245" t="s">
        <v>797</v>
      </c>
    </row>
    <row r="246" spans="1:10">
      <c r="A246" s="2">
        <v>41736</v>
      </c>
      <c r="B246" t="s">
        <v>441</v>
      </c>
      <c r="C246" t="s">
        <v>470</v>
      </c>
      <c r="D246" s="2">
        <v>41736</v>
      </c>
      <c r="E246" s="15">
        <v>4078.09</v>
      </c>
      <c r="F246" s="2">
        <v>41736</v>
      </c>
      <c r="G246" s="15">
        <v>4078.09</v>
      </c>
      <c r="H246" s="9" t="s">
        <v>771</v>
      </c>
      <c r="I246" s="9" t="s">
        <v>565</v>
      </c>
      <c r="J246" t="s">
        <v>797</v>
      </c>
    </row>
    <row r="247" spans="1:10">
      <c r="A247" s="2">
        <v>41766</v>
      </c>
      <c r="B247" t="s">
        <v>507</v>
      </c>
      <c r="C247" t="s">
        <v>532</v>
      </c>
      <c r="D247" s="2">
        <v>41766</v>
      </c>
      <c r="E247">
        <v>420</v>
      </c>
      <c r="F247" s="2">
        <v>41766</v>
      </c>
      <c r="G247">
        <v>420</v>
      </c>
      <c r="H247" s="9" t="s">
        <v>772</v>
      </c>
      <c r="I247" s="9" t="s">
        <v>565</v>
      </c>
      <c r="J247" t="s">
        <v>797</v>
      </c>
    </row>
    <row r="248" spans="1:10">
      <c r="A248" s="2">
        <v>41649</v>
      </c>
      <c r="B248" t="s">
        <v>261</v>
      </c>
      <c r="C248" t="s">
        <v>298</v>
      </c>
      <c r="D248" s="2">
        <v>41649</v>
      </c>
      <c r="E248">
        <v>400</v>
      </c>
      <c r="F248" s="2">
        <v>41649</v>
      </c>
      <c r="G248">
        <v>400</v>
      </c>
      <c r="H248" s="9" t="s">
        <v>628</v>
      </c>
      <c r="I248" s="9" t="s">
        <v>565</v>
      </c>
      <c r="J248" t="s">
        <v>797</v>
      </c>
    </row>
    <row r="249" spans="1:10">
      <c r="A249" s="2">
        <v>41736</v>
      </c>
      <c r="B249" t="s">
        <v>261</v>
      </c>
      <c r="C249" t="s">
        <v>471</v>
      </c>
      <c r="D249" s="2">
        <v>41736</v>
      </c>
      <c r="E249">
        <v>250</v>
      </c>
      <c r="F249" s="2">
        <v>41736</v>
      </c>
      <c r="G249">
        <v>250</v>
      </c>
      <c r="H249" s="9" t="s">
        <v>628</v>
      </c>
      <c r="I249" s="9" t="s">
        <v>565</v>
      </c>
      <c r="J249" t="s">
        <v>797</v>
      </c>
    </row>
    <row r="250" spans="1:10">
      <c r="A250" s="2">
        <v>41757</v>
      </c>
      <c r="B250" t="s">
        <v>457</v>
      </c>
      <c r="C250" t="s">
        <v>495</v>
      </c>
      <c r="D250" s="2">
        <v>41757</v>
      </c>
      <c r="E250">
        <v>412.38</v>
      </c>
      <c r="F250" s="2">
        <v>41757</v>
      </c>
      <c r="G250">
        <v>412.38</v>
      </c>
      <c r="H250" s="9" t="s">
        <v>495</v>
      </c>
      <c r="I250" s="9" t="s">
        <v>565</v>
      </c>
      <c r="J250" t="s">
        <v>797</v>
      </c>
    </row>
    <row r="251" spans="1:10">
      <c r="A251" s="2">
        <v>41780</v>
      </c>
      <c r="B251" t="s">
        <v>457</v>
      </c>
      <c r="C251" t="s">
        <v>542</v>
      </c>
      <c r="D251" s="2">
        <v>41780</v>
      </c>
      <c r="E251" s="15">
        <v>1000</v>
      </c>
      <c r="F251" s="2">
        <v>41780</v>
      </c>
      <c r="G251" s="15">
        <v>1000</v>
      </c>
      <c r="H251" s="9" t="s">
        <v>773</v>
      </c>
      <c r="I251" s="9" t="s">
        <v>565</v>
      </c>
      <c r="J251" t="s">
        <v>797</v>
      </c>
    </row>
    <row r="252" spans="1:10">
      <c r="A252" s="2">
        <v>41659</v>
      </c>
      <c r="B252" t="s">
        <v>271</v>
      </c>
      <c r="C252" t="s">
        <v>309</v>
      </c>
      <c r="D252" s="2">
        <v>41659</v>
      </c>
      <c r="E252">
        <v>150</v>
      </c>
      <c r="F252" s="2">
        <v>41659</v>
      </c>
      <c r="G252">
        <v>150</v>
      </c>
      <c r="H252" s="9" t="s">
        <v>748</v>
      </c>
      <c r="I252" s="9" t="s">
        <v>565</v>
      </c>
      <c r="J252" t="s">
        <v>797</v>
      </c>
    </row>
    <row r="253" spans="1:10">
      <c r="A253" s="2">
        <v>41641</v>
      </c>
      <c r="B253" t="s">
        <v>248</v>
      </c>
      <c r="C253" t="s">
        <v>280</v>
      </c>
      <c r="D253" s="2">
        <v>41641</v>
      </c>
      <c r="E253" s="15">
        <v>4000</v>
      </c>
      <c r="F253" s="2">
        <v>41641</v>
      </c>
      <c r="G253" s="15">
        <v>4000</v>
      </c>
      <c r="H253" s="9" t="s">
        <v>625</v>
      </c>
      <c r="I253" s="9" t="s">
        <v>565</v>
      </c>
      <c r="J253" t="s">
        <v>797</v>
      </c>
    </row>
    <row r="254" spans="1:10">
      <c r="A254" s="2">
        <v>41653</v>
      </c>
      <c r="B254" t="s">
        <v>248</v>
      </c>
      <c r="C254" t="s">
        <v>280</v>
      </c>
      <c r="D254" s="2">
        <v>41653</v>
      </c>
      <c r="E254" s="15">
        <v>5000</v>
      </c>
      <c r="F254" s="2">
        <v>41653</v>
      </c>
      <c r="G254" s="15">
        <v>5000</v>
      </c>
      <c r="H254" s="9" t="s">
        <v>625</v>
      </c>
      <c r="I254" s="9" t="s">
        <v>565</v>
      </c>
      <c r="J254" t="s">
        <v>797</v>
      </c>
    </row>
    <row r="255" spans="1:10">
      <c r="A255" s="2">
        <v>41670</v>
      </c>
      <c r="B255" t="s">
        <v>248</v>
      </c>
      <c r="C255" t="s">
        <v>319</v>
      </c>
      <c r="D255" s="2">
        <v>41670</v>
      </c>
      <c r="E255" s="15">
        <v>5000</v>
      </c>
      <c r="F255" s="2">
        <v>41670</v>
      </c>
      <c r="G255" s="15">
        <v>5000</v>
      </c>
      <c r="H255" s="9" t="s">
        <v>625</v>
      </c>
      <c r="I255" s="9" t="s">
        <v>565</v>
      </c>
      <c r="J255" t="s">
        <v>797</v>
      </c>
    </row>
    <row r="256" spans="1:10">
      <c r="A256" s="2">
        <v>41694</v>
      </c>
      <c r="B256" t="s">
        <v>248</v>
      </c>
      <c r="C256" t="s">
        <v>319</v>
      </c>
      <c r="D256" s="2">
        <v>41694</v>
      </c>
      <c r="E256">
        <v>500</v>
      </c>
      <c r="F256" s="2">
        <v>41694</v>
      </c>
      <c r="G256">
        <v>500</v>
      </c>
      <c r="H256" s="9" t="s">
        <v>625</v>
      </c>
      <c r="I256" s="9" t="s">
        <v>565</v>
      </c>
      <c r="J256" t="s">
        <v>797</v>
      </c>
    </row>
    <row r="257" spans="1:10">
      <c r="A257" s="2">
        <v>41697</v>
      </c>
      <c r="B257" t="s">
        <v>248</v>
      </c>
      <c r="C257" t="s">
        <v>368</v>
      </c>
      <c r="D257" s="2">
        <v>41697</v>
      </c>
      <c r="E257" s="15">
        <v>3000</v>
      </c>
      <c r="F257" s="2">
        <v>41697</v>
      </c>
      <c r="G257" s="15">
        <v>3000</v>
      </c>
      <c r="H257" s="9" t="s">
        <v>625</v>
      </c>
      <c r="I257" s="9" t="s">
        <v>565</v>
      </c>
      <c r="J257" t="s">
        <v>797</v>
      </c>
    </row>
    <row r="258" spans="1:10">
      <c r="A258" s="2">
        <v>41746</v>
      </c>
      <c r="B258" t="s">
        <v>248</v>
      </c>
      <c r="C258" t="s">
        <v>483</v>
      </c>
      <c r="D258" s="2">
        <v>41746</v>
      </c>
      <c r="E258">
        <v>600</v>
      </c>
      <c r="F258" s="2">
        <v>41746</v>
      </c>
      <c r="G258">
        <v>600</v>
      </c>
      <c r="H258" s="9" t="s">
        <v>625</v>
      </c>
      <c r="I258" s="9" t="s">
        <v>565</v>
      </c>
      <c r="J258" t="s">
        <v>797</v>
      </c>
    </row>
    <row r="259" spans="1:10">
      <c r="A259" s="2">
        <v>41786</v>
      </c>
      <c r="B259" t="s">
        <v>248</v>
      </c>
      <c r="C259" t="s">
        <v>553</v>
      </c>
      <c r="D259" s="2">
        <v>41786</v>
      </c>
      <c r="E259" s="15">
        <v>15000</v>
      </c>
      <c r="F259" s="2">
        <v>41786</v>
      </c>
      <c r="G259" s="15">
        <v>15000</v>
      </c>
      <c r="H259" s="9" t="s">
        <v>625</v>
      </c>
      <c r="I259" s="9" t="s">
        <v>565</v>
      </c>
      <c r="J259" t="s">
        <v>797</v>
      </c>
    </row>
    <row r="260" spans="1:10">
      <c r="A260" s="2">
        <v>41673</v>
      </c>
      <c r="B260" t="s">
        <v>321</v>
      </c>
      <c r="C260" t="s">
        <v>339</v>
      </c>
      <c r="D260" s="2">
        <v>41673</v>
      </c>
      <c r="E260" s="15">
        <v>5000</v>
      </c>
      <c r="F260" s="2">
        <v>41673</v>
      </c>
      <c r="G260" s="15">
        <v>5000</v>
      </c>
      <c r="H260" s="9" t="s">
        <v>625</v>
      </c>
      <c r="I260" s="9" t="s">
        <v>565</v>
      </c>
      <c r="J260" t="s">
        <v>797</v>
      </c>
    </row>
    <row r="261" spans="1:10">
      <c r="A261" s="2">
        <v>41788</v>
      </c>
      <c r="B261" t="s">
        <v>526</v>
      </c>
      <c r="C261" t="s">
        <v>560</v>
      </c>
      <c r="D261" s="2">
        <v>41788</v>
      </c>
      <c r="E261" s="15">
        <v>2000</v>
      </c>
      <c r="F261" s="2">
        <v>41788</v>
      </c>
      <c r="G261" s="15">
        <v>2000</v>
      </c>
      <c r="H261" s="9" t="s">
        <v>560</v>
      </c>
      <c r="I261" s="9" t="s">
        <v>565</v>
      </c>
      <c r="J261" t="s">
        <v>797</v>
      </c>
    </row>
    <row r="262" spans="1:10">
      <c r="A262" s="2">
        <v>41694</v>
      </c>
      <c r="B262" t="s">
        <v>334</v>
      </c>
      <c r="C262" t="s">
        <v>366</v>
      </c>
      <c r="D262" s="2">
        <v>41694</v>
      </c>
      <c r="E262">
        <v>800</v>
      </c>
      <c r="F262" s="2">
        <v>41694</v>
      </c>
      <c r="G262">
        <v>800</v>
      </c>
      <c r="H262" s="9" t="s">
        <v>754</v>
      </c>
      <c r="I262" s="9" t="s">
        <v>565</v>
      </c>
      <c r="J262" t="s">
        <v>797</v>
      </c>
    </row>
    <row r="263" spans="1:10">
      <c r="A263" s="2">
        <v>41778</v>
      </c>
      <c r="B263" t="s">
        <v>513</v>
      </c>
      <c r="C263" t="s">
        <v>537</v>
      </c>
      <c r="D263" s="2">
        <v>41778</v>
      </c>
      <c r="E263" s="15">
        <v>2000</v>
      </c>
      <c r="F263" s="2">
        <v>41778</v>
      </c>
      <c r="G263" s="15">
        <v>2000</v>
      </c>
      <c r="H263" s="9" t="s">
        <v>774</v>
      </c>
      <c r="I263" s="9" t="s">
        <v>565</v>
      </c>
      <c r="J263" t="s">
        <v>797</v>
      </c>
    </row>
    <row r="264" spans="1:10">
      <c r="A264" s="2">
        <v>41670</v>
      </c>
      <c r="B264" t="s">
        <v>279</v>
      </c>
      <c r="C264" t="s">
        <v>320</v>
      </c>
      <c r="D264" s="2">
        <v>41670</v>
      </c>
      <c r="E264">
        <v>300</v>
      </c>
      <c r="F264" s="2">
        <v>41670</v>
      </c>
      <c r="G264">
        <v>300</v>
      </c>
      <c r="H264" s="9" t="s">
        <v>320</v>
      </c>
      <c r="I264" s="9" t="s">
        <v>565</v>
      </c>
      <c r="J264" t="s">
        <v>797</v>
      </c>
    </row>
    <row r="265" spans="1:10">
      <c r="A265" s="2">
        <v>41698</v>
      </c>
      <c r="B265" t="s">
        <v>336</v>
      </c>
      <c r="C265" t="s">
        <v>371</v>
      </c>
      <c r="D265" s="2">
        <v>41698</v>
      </c>
      <c r="E265">
        <v>724</v>
      </c>
      <c r="F265" s="2">
        <v>41698</v>
      </c>
      <c r="G265">
        <v>724</v>
      </c>
      <c r="H265" s="9" t="s">
        <v>621</v>
      </c>
      <c r="I265" s="9" t="s">
        <v>565</v>
      </c>
      <c r="J265" t="s">
        <v>797</v>
      </c>
    </row>
    <row r="266" spans="1:10">
      <c r="A266" s="2">
        <v>41729</v>
      </c>
      <c r="B266" t="s">
        <v>336</v>
      </c>
      <c r="C266" t="s">
        <v>427</v>
      </c>
      <c r="D266" s="2">
        <v>41729</v>
      </c>
      <c r="E266">
        <v>724</v>
      </c>
      <c r="F266" s="2">
        <v>41729</v>
      </c>
      <c r="G266">
        <v>724</v>
      </c>
      <c r="H266" s="9" t="s">
        <v>621</v>
      </c>
      <c r="I266" s="9" t="s">
        <v>565</v>
      </c>
      <c r="J266" t="s">
        <v>797</v>
      </c>
    </row>
    <row r="267" spans="1:10">
      <c r="A267" s="2">
        <v>41764</v>
      </c>
      <c r="B267" t="s">
        <v>336</v>
      </c>
      <c r="C267" t="s">
        <v>371</v>
      </c>
      <c r="D267" s="2">
        <v>41764</v>
      </c>
      <c r="E267" s="15">
        <v>1000</v>
      </c>
      <c r="F267" s="2">
        <v>41764</v>
      </c>
      <c r="G267" s="15">
        <v>1000</v>
      </c>
      <c r="H267" s="9" t="s">
        <v>621</v>
      </c>
      <c r="I267" s="9" t="s">
        <v>565</v>
      </c>
      <c r="J267" t="s">
        <v>797</v>
      </c>
    </row>
    <row r="268" spans="1:10">
      <c r="A268" s="2">
        <v>41628</v>
      </c>
      <c r="B268" t="s">
        <v>66</v>
      </c>
      <c r="C268" t="s">
        <v>83</v>
      </c>
      <c r="D268" s="2">
        <v>41628</v>
      </c>
      <c r="E268">
        <v>220.71</v>
      </c>
      <c r="F268" s="2">
        <v>41628</v>
      </c>
      <c r="G268">
        <v>220.71</v>
      </c>
      <c r="H268" s="9" t="s">
        <v>738</v>
      </c>
      <c r="I268" s="9" t="s">
        <v>565</v>
      </c>
      <c r="J268" t="s">
        <v>797</v>
      </c>
    </row>
    <row r="269" spans="1:10">
      <c r="A269" s="2">
        <v>41628</v>
      </c>
      <c r="B269" t="s">
        <v>66</v>
      </c>
      <c r="C269" t="s">
        <v>84</v>
      </c>
      <c r="D269" s="2">
        <v>41628</v>
      </c>
      <c r="E269">
        <v>391.32</v>
      </c>
      <c r="F269" s="2">
        <v>41628</v>
      </c>
      <c r="G269">
        <v>391.32</v>
      </c>
      <c r="H269" s="9" t="s">
        <v>593</v>
      </c>
      <c r="I269" s="9" t="s">
        <v>565</v>
      </c>
      <c r="J269" t="s">
        <v>797</v>
      </c>
    </row>
    <row r="270" spans="1:10">
      <c r="A270" s="2">
        <v>41645</v>
      </c>
      <c r="B270" t="s">
        <v>66</v>
      </c>
      <c r="C270" t="s">
        <v>284</v>
      </c>
      <c r="D270" s="2">
        <v>41645</v>
      </c>
      <c r="E270">
        <v>300</v>
      </c>
      <c r="F270" s="2">
        <v>41645</v>
      </c>
      <c r="G270">
        <v>300</v>
      </c>
      <c r="H270" s="9" t="s">
        <v>593</v>
      </c>
      <c r="I270" s="9" t="s">
        <v>565</v>
      </c>
      <c r="J270" t="s">
        <v>797</v>
      </c>
    </row>
    <row r="271" spans="1:10">
      <c r="A271" s="2">
        <v>41645</v>
      </c>
      <c r="B271" t="s">
        <v>66</v>
      </c>
      <c r="C271" t="s">
        <v>285</v>
      </c>
      <c r="D271" s="2">
        <v>41645</v>
      </c>
      <c r="E271">
        <v>375</v>
      </c>
      <c r="F271" s="2">
        <v>41645</v>
      </c>
      <c r="G271">
        <v>375</v>
      </c>
      <c r="H271" s="9" t="s">
        <v>593</v>
      </c>
      <c r="I271" s="9" t="s">
        <v>565</v>
      </c>
      <c r="J271" t="s">
        <v>797</v>
      </c>
    </row>
    <row r="272" spans="1:10">
      <c r="A272" s="2">
        <v>41647</v>
      </c>
      <c r="B272" t="s">
        <v>66</v>
      </c>
      <c r="C272" t="s">
        <v>291</v>
      </c>
      <c r="D272" s="2">
        <v>41647</v>
      </c>
      <c r="E272">
        <v>699.12</v>
      </c>
      <c r="F272" s="2">
        <v>41647</v>
      </c>
      <c r="G272">
        <v>699.12</v>
      </c>
      <c r="H272" s="9" t="s">
        <v>593</v>
      </c>
      <c r="I272" s="9" t="s">
        <v>565</v>
      </c>
      <c r="J272" t="s">
        <v>797</v>
      </c>
    </row>
    <row r="273" spans="1:10">
      <c r="A273" s="2">
        <v>41659</v>
      </c>
      <c r="B273" t="s">
        <v>66</v>
      </c>
      <c r="C273" t="s">
        <v>84</v>
      </c>
      <c r="D273" s="2">
        <v>41659</v>
      </c>
      <c r="E273">
        <v>391.32</v>
      </c>
      <c r="F273" s="2">
        <v>41659</v>
      </c>
      <c r="G273">
        <v>391.32</v>
      </c>
      <c r="H273" s="9" t="s">
        <v>593</v>
      </c>
      <c r="I273" s="9" t="s">
        <v>565</v>
      </c>
      <c r="J273" t="s">
        <v>797</v>
      </c>
    </row>
    <row r="274" spans="1:10">
      <c r="A274" s="2">
        <v>41676</v>
      </c>
      <c r="B274" t="s">
        <v>66</v>
      </c>
      <c r="C274" t="s">
        <v>347</v>
      </c>
      <c r="D274" s="2">
        <v>41676</v>
      </c>
      <c r="E274">
        <v>300</v>
      </c>
      <c r="F274" s="2">
        <v>41676</v>
      </c>
      <c r="G274">
        <v>300</v>
      </c>
      <c r="H274" s="9" t="s">
        <v>593</v>
      </c>
      <c r="I274" s="9" t="s">
        <v>565</v>
      </c>
      <c r="J274" t="s">
        <v>797</v>
      </c>
    </row>
    <row r="275" spans="1:10">
      <c r="A275" s="2">
        <v>41676</v>
      </c>
      <c r="B275" t="s">
        <v>66</v>
      </c>
      <c r="C275" t="s">
        <v>348</v>
      </c>
      <c r="D275" s="2">
        <v>41676</v>
      </c>
      <c r="E275">
        <v>240</v>
      </c>
      <c r="F275" s="2">
        <v>41676</v>
      </c>
      <c r="G275">
        <v>240</v>
      </c>
      <c r="H275" s="9" t="s">
        <v>593</v>
      </c>
      <c r="I275" s="9" t="s">
        <v>565</v>
      </c>
      <c r="J275" t="s">
        <v>797</v>
      </c>
    </row>
    <row r="276" spans="1:10">
      <c r="A276" s="2">
        <v>41676</v>
      </c>
      <c r="B276" t="s">
        <v>66</v>
      </c>
      <c r="C276" t="s">
        <v>349</v>
      </c>
      <c r="D276" s="2">
        <v>41676</v>
      </c>
      <c r="E276">
        <v>684.3</v>
      </c>
      <c r="F276" s="2">
        <v>41676</v>
      </c>
      <c r="G276">
        <v>684.3</v>
      </c>
      <c r="H276" s="9" t="s">
        <v>593</v>
      </c>
      <c r="I276" s="9" t="s">
        <v>565</v>
      </c>
      <c r="J276" t="s">
        <v>797</v>
      </c>
    </row>
    <row r="277" spans="1:10">
      <c r="A277" s="2">
        <v>41684</v>
      </c>
      <c r="B277" t="s">
        <v>66</v>
      </c>
      <c r="C277" t="s">
        <v>357</v>
      </c>
      <c r="D277" s="2">
        <v>41684</v>
      </c>
      <c r="E277">
        <v>600</v>
      </c>
      <c r="F277" s="2">
        <v>41684</v>
      </c>
      <c r="G277">
        <v>600</v>
      </c>
      <c r="H277" s="9" t="s">
        <v>752</v>
      </c>
      <c r="I277" s="9" t="s">
        <v>565</v>
      </c>
      <c r="J277" t="s">
        <v>797</v>
      </c>
    </row>
    <row r="278" spans="1:10">
      <c r="A278" s="2">
        <v>41690</v>
      </c>
      <c r="B278" t="s">
        <v>66</v>
      </c>
      <c r="C278" t="s">
        <v>361</v>
      </c>
      <c r="D278" s="2">
        <v>41690</v>
      </c>
      <c r="E278">
        <v>391.32</v>
      </c>
      <c r="F278" s="2">
        <v>41690</v>
      </c>
      <c r="G278">
        <v>391.32</v>
      </c>
      <c r="H278" s="9" t="s">
        <v>593</v>
      </c>
      <c r="I278" s="9" t="s">
        <v>565</v>
      </c>
      <c r="J278" t="s">
        <v>797</v>
      </c>
    </row>
    <row r="279" spans="1:10">
      <c r="A279" s="2">
        <v>41704</v>
      </c>
      <c r="B279" t="s">
        <v>66</v>
      </c>
      <c r="C279" t="s">
        <v>399</v>
      </c>
      <c r="D279" s="2">
        <v>41704</v>
      </c>
      <c r="E279">
        <v>252</v>
      </c>
      <c r="F279" s="2">
        <v>41704</v>
      </c>
      <c r="G279">
        <v>252</v>
      </c>
      <c r="H279" s="9" t="s">
        <v>593</v>
      </c>
      <c r="I279" s="9" t="s">
        <v>565</v>
      </c>
      <c r="J279" t="s">
        <v>797</v>
      </c>
    </row>
    <row r="280" spans="1:10">
      <c r="A280" s="2">
        <v>41704</v>
      </c>
      <c r="B280" t="s">
        <v>66</v>
      </c>
      <c r="C280" t="s">
        <v>400</v>
      </c>
      <c r="D280" s="2">
        <v>41704</v>
      </c>
      <c r="E280">
        <v>765.39</v>
      </c>
      <c r="F280" s="2">
        <v>41704</v>
      </c>
      <c r="G280">
        <v>765.39</v>
      </c>
      <c r="H280" s="9" t="s">
        <v>593</v>
      </c>
      <c r="I280" s="9" t="s">
        <v>565</v>
      </c>
      <c r="J280" t="s">
        <v>797</v>
      </c>
    </row>
    <row r="281" spans="1:10">
      <c r="A281" s="2">
        <v>41704</v>
      </c>
      <c r="B281" t="s">
        <v>66</v>
      </c>
      <c r="C281" t="s">
        <v>401</v>
      </c>
      <c r="D281" s="2">
        <v>41704</v>
      </c>
      <c r="E281">
        <v>315</v>
      </c>
      <c r="F281" s="2">
        <v>41704</v>
      </c>
      <c r="G281">
        <v>315</v>
      </c>
      <c r="H281" s="9" t="s">
        <v>593</v>
      </c>
      <c r="I281" s="9" t="s">
        <v>565</v>
      </c>
      <c r="J281" t="s">
        <v>797</v>
      </c>
    </row>
    <row r="282" spans="1:10">
      <c r="A282" s="2">
        <v>41708</v>
      </c>
      <c r="B282" t="s">
        <v>66</v>
      </c>
      <c r="C282" t="s">
        <v>408</v>
      </c>
      <c r="D282" s="2">
        <v>41708</v>
      </c>
      <c r="E282">
        <v>200</v>
      </c>
      <c r="F282" s="2">
        <v>41708</v>
      </c>
      <c r="G282">
        <v>200</v>
      </c>
      <c r="H282" s="9" t="s">
        <v>593</v>
      </c>
      <c r="I282" s="9" t="s">
        <v>565</v>
      </c>
      <c r="J282" t="s">
        <v>797</v>
      </c>
    </row>
    <row r="283" spans="1:10">
      <c r="A283" s="2">
        <v>41718</v>
      </c>
      <c r="B283" t="s">
        <v>66</v>
      </c>
      <c r="C283" t="s">
        <v>84</v>
      </c>
      <c r="D283" s="2">
        <v>41718</v>
      </c>
      <c r="E283">
        <v>391.32</v>
      </c>
      <c r="F283" s="2">
        <v>41718</v>
      </c>
      <c r="G283">
        <v>391.32</v>
      </c>
      <c r="H283" s="9" t="s">
        <v>593</v>
      </c>
      <c r="I283" s="9" t="s">
        <v>565</v>
      </c>
      <c r="J283" t="s">
        <v>797</v>
      </c>
    </row>
    <row r="284" spans="1:10">
      <c r="A284" s="2">
        <v>41726</v>
      </c>
      <c r="B284" t="s">
        <v>66</v>
      </c>
      <c r="C284" t="s">
        <v>426</v>
      </c>
      <c r="D284" s="2">
        <v>41726</v>
      </c>
      <c r="E284">
        <v>774.3</v>
      </c>
      <c r="F284" s="2">
        <v>41726</v>
      </c>
      <c r="G284">
        <v>774.3</v>
      </c>
      <c r="H284" s="9" t="s">
        <v>593</v>
      </c>
      <c r="I284" s="9" t="s">
        <v>565</v>
      </c>
      <c r="J284" t="s">
        <v>797</v>
      </c>
    </row>
    <row r="285" spans="1:10">
      <c r="A285" s="2">
        <v>41730</v>
      </c>
      <c r="B285" t="s">
        <v>429</v>
      </c>
      <c r="C285" t="s">
        <v>462</v>
      </c>
      <c r="D285" s="2">
        <v>41730</v>
      </c>
      <c r="E285">
        <v>330</v>
      </c>
      <c r="F285" s="2">
        <v>41730</v>
      </c>
      <c r="G285">
        <v>330</v>
      </c>
      <c r="H285" s="9" t="s">
        <v>775</v>
      </c>
      <c r="I285" s="9" t="s">
        <v>565</v>
      </c>
      <c r="J285" t="s">
        <v>797</v>
      </c>
    </row>
    <row r="286" spans="1:10">
      <c r="A286" s="2">
        <v>41730</v>
      </c>
      <c r="B286" t="s">
        <v>429</v>
      </c>
      <c r="C286" t="s">
        <v>463</v>
      </c>
      <c r="D286" s="2">
        <v>41730</v>
      </c>
      <c r="E286">
        <v>102.3</v>
      </c>
      <c r="F286" s="2">
        <v>41730</v>
      </c>
      <c r="G286">
        <v>102.3</v>
      </c>
      <c r="H286" s="9" t="s">
        <v>775</v>
      </c>
      <c r="I286" s="9" t="s">
        <v>565</v>
      </c>
      <c r="J286" t="s">
        <v>797</v>
      </c>
    </row>
    <row r="287" spans="1:10">
      <c r="A287" s="2">
        <v>41737</v>
      </c>
      <c r="B287" t="s">
        <v>429</v>
      </c>
      <c r="C287" t="s">
        <v>463</v>
      </c>
      <c r="D287" s="2">
        <v>41737</v>
      </c>
      <c r="E287">
        <v>102.3</v>
      </c>
      <c r="F287" s="2">
        <v>41737</v>
      </c>
      <c r="G287">
        <v>102.3</v>
      </c>
      <c r="H287" s="9" t="s">
        <v>775</v>
      </c>
      <c r="I287" s="9" t="s">
        <v>565</v>
      </c>
      <c r="J287" t="s">
        <v>797</v>
      </c>
    </row>
    <row r="288" spans="1:10">
      <c r="A288" s="2">
        <v>41746</v>
      </c>
      <c r="B288" t="s">
        <v>429</v>
      </c>
      <c r="C288" t="s">
        <v>484</v>
      </c>
      <c r="D288" s="2">
        <v>41746</v>
      </c>
      <c r="E288">
        <v>650.1</v>
      </c>
      <c r="F288" s="2">
        <v>41746</v>
      </c>
      <c r="G288">
        <v>650.1</v>
      </c>
      <c r="H288" s="9" t="s">
        <v>775</v>
      </c>
      <c r="I288" s="9" t="s">
        <v>565</v>
      </c>
      <c r="J288" t="s">
        <v>797</v>
      </c>
    </row>
    <row r="289" spans="1:10">
      <c r="A289" s="2">
        <v>41743</v>
      </c>
      <c r="B289" t="s">
        <v>448</v>
      </c>
      <c r="C289" t="s">
        <v>480</v>
      </c>
      <c r="D289" s="2">
        <v>41743</v>
      </c>
      <c r="E289" s="15">
        <v>1000</v>
      </c>
      <c r="F289" s="2">
        <v>41743</v>
      </c>
      <c r="G289" s="15">
        <v>1000</v>
      </c>
      <c r="H289" s="9" t="s">
        <v>776</v>
      </c>
      <c r="I289" s="9" t="s">
        <v>565</v>
      </c>
      <c r="J289" t="s">
        <v>797</v>
      </c>
    </row>
    <row r="290" spans="1:10">
      <c r="A290" s="2">
        <v>41757</v>
      </c>
      <c r="B290" t="s">
        <v>448</v>
      </c>
      <c r="C290" t="s">
        <v>495</v>
      </c>
      <c r="D290" s="2">
        <v>41757</v>
      </c>
      <c r="E290">
        <v>140.66</v>
      </c>
      <c r="F290" s="2">
        <v>41757</v>
      </c>
      <c r="G290">
        <v>140.66</v>
      </c>
      <c r="H290" s="9" t="s">
        <v>495</v>
      </c>
      <c r="I290" s="9" t="s">
        <v>565</v>
      </c>
      <c r="J290" t="s">
        <v>797</v>
      </c>
    </row>
    <row r="291" spans="1:10">
      <c r="H291" s="9"/>
      <c r="I291" s="9"/>
    </row>
  </sheetData>
  <dataValidations count="3">
    <dataValidation type="list" allowBlank="1" showInputMessage="1" showErrorMessage="1" sqref="C2">
      <formula1>server</formula1>
    </dataValidation>
    <dataValidation type="list" allowBlank="1" showInputMessage="1" showErrorMessage="1" sqref="H4:H291">
      <formula1>Conta</formula1>
    </dataValidation>
    <dataValidation type="list" allowBlank="1" showInputMessage="1" showErrorMessage="1" sqref="I4:I291">
      <formula1>Transacao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7"/>
  <dimension ref="A1:J16"/>
  <sheetViews>
    <sheetView zoomScale="55" zoomScaleNormal="55" workbookViewId="0">
      <pane ySplit="3" topLeftCell="A4" activePane="bottomLeft" state="frozen"/>
      <selection pane="bottomLeft" activeCell="A4" sqref="A4"/>
    </sheetView>
  </sheetViews>
  <sheetFormatPr defaultRowHeight="21"/>
  <cols>
    <col min="1" max="1" width="22.42578125" style="32" bestFit="1" customWidth="1"/>
    <col min="2" max="2" width="42.42578125" style="21" bestFit="1" customWidth="1"/>
    <col min="3" max="3" width="84.5703125" style="21" bestFit="1" customWidth="1"/>
    <col min="4" max="4" width="27.42578125" style="32" bestFit="1" customWidth="1"/>
    <col min="5" max="5" width="19.42578125" style="21" bestFit="1" customWidth="1"/>
    <col min="6" max="6" width="26.5703125" style="32" bestFit="1" customWidth="1"/>
    <col min="7" max="7" width="14.7109375" style="21" bestFit="1" customWidth="1"/>
    <col min="8" max="8" width="25.140625" style="21" bestFit="1" customWidth="1"/>
    <col min="9" max="9" width="31.5703125" style="21" bestFit="1" customWidth="1"/>
    <col min="10" max="10" width="16" style="21" bestFit="1" customWidth="1"/>
    <col min="11" max="16384" width="9.140625" style="21"/>
  </cols>
  <sheetData>
    <row r="1" spans="1:10">
      <c r="A1" s="19" t="s">
        <v>0</v>
      </c>
      <c r="B1" s="20" t="s">
        <v>2</v>
      </c>
      <c r="C1" s="20" t="s">
        <v>4</v>
      </c>
      <c r="D1" s="19" t="s">
        <v>6</v>
      </c>
      <c r="E1" s="20" t="s">
        <v>7</v>
      </c>
      <c r="F1" s="19" t="s">
        <v>8</v>
      </c>
      <c r="G1" s="20" t="s">
        <v>5</v>
      </c>
      <c r="H1" s="20" t="s">
        <v>33</v>
      </c>
    </row>
    <row r="2" spans="1:10">
      <c r="A2" s="22" t="str">
        <f>VLOOKUP(B2,ADM!A2:B9,2,FALSE)</f>
        <v>SQL Server</v>
      </c>
      <c r="B2" s="23" t="str">
        <f>VLOOKUP(C2,ADM!D1:H3,5,FALSE)</f>
        <v>SQL Server Native Client 10.0</v>
      </c>
      <c r="C2" s="24" t="s">
        <v>56</v>
      </c>
      <c r="D2" s="25" t="str">
        <f>VLOOKUP(C2,ADM!D1:G3,4,FALSE)</f>
        <v>kawaifilms3</v>
      </c>
      <c r="E2" s="23" t="str">
        <f>VLOOKUP(C2,ADM!D1:F3,2,FALSE)</f>
        <v>kawaifilms3</v>
      </c>
      <c r="F2" s="25" t="str">
        <f>VLOOKUP(C2,ADM!D1:F3,3,FALSE)</f>
        <v>Kw41L70N@@</v>
      </c>
      <c r="G2" s="24">
        <v>3306</v>
      </c>
      <c r="H2" s="24" t="s">
        <v>735</v>
      </c>
    </row>
    <row r="3" spans="1:10" s="27" customFormat="1">
      <c r="A3" s="26" t="s">
        <v>25</v>
      </c>
      <c r="B3" s="27" t="s">
        <v>23</v>
      </c>
      <c r="C3" s="27" t="s">
        <v>24</v>
      </c>
      <c r="D3" s="26" t="s">
        <v>26</v>
      </c>
      <c r="E3" s="27" t="s">
        <v>27</v>
      </c>
      <c r="F3" s="26" t="s">
        <v>28</v>
      </c>
      <c r="G3" s="27" t="s">
        <v>29</v>
      </c>
      <c r="H3" s="28" t="s">
        <v>646</v>
      </c>
      <c r="I3" s="28" t="s">
        <v>647</v>
      </c>
      <c r="J3" s="28" t="s">
        <v>800</v>
      </c>
    </row>
    <row r="4" spans="1:10">
      <c r="A4" s="32">
        <v>41632</v>
      </c>
      <c r="B4" s="21" t="s">
        <v>107</v>
      </c>
      <c r="C4" s="21" t="s">
        <v>121</v>
      </c>
      <c r="D4" s="32">
        <v>41632</v>
      </c>
      <c r="E4" s="21">
        <v>693.5</v>
      </c>
      <c r="F4" s="32">
        <v>41632</v>
      </c>
      <c r="G4" s="21">
        <v>693.5</v>
      </c>
      <c r="H4" s="33" t="s">
        <v>793</v>
      </c>
      <c r="I4" s="33" t="s">
        <v>568</v>
      </c>
      <c r="J4" s="21" t="s">
        <v>798</v>
      </c>
    </row>
    <row r="5" spans="1:10">
      <c r="A5" s="32">
        <v>41635</v>
      </c>
      <c r="B5" s="21" t="s">
        <v>112</v>
      </c>
      <c r="C5" s="21" t="s">
        <v>126</v>
      </c>
      <c r="D5" s="32">
        <v>41635</v>
      </c>
      <c r="E5" s="21">
        <v>895</v>
      </c>
      <c r="F5" s="32">
        <v>41635</v>
      </c>
      <c r="G5" s="21">
        <v>895</v>
      </c>
      <c r="H5" s="33" t="s">
        <v>793</v>
      </c>
      <c r="I5" s="33" t="s">
        <v>37</v>
      </c>
      <c r="J5" s="21" t="s">
        <v>798</v>
      </c>
    </row>
    <row r="6" spans="1:10" s="30" customFormat="1">
      <c r="A6" s="32">
        <v>41789</v>
      </c>
      <c r="B6" s="21" t="s">
        <v>236</v>
      </c>
      <c r="C6" s="21" t="s">
        <v>247</v>
      </c>
      <c r="D6" s="32">
        <v>41789</v>
      </c>
      <c r="E6" s="21">
        <v>895</v>
      </c>
      <c r="F6" s="32">
        <v>41789</v>
      </c>
      <c r="G6" s="21">
        <v>895</v>
      </c>
      <c r="H6" s="33" t="s">
        <v>793</v>
      </c>
      <c r="I6" s="33" t="s">
        <v>37</v>
      </c>
      <c r="J6" s="21" t="s">
        <v>798</v>
      </c>
    </row>
    <row r="7" spans="1:10">
      <c r="A7" s="32">
        <v>41687</v>
      </c>
      <c r="B7" s="21" t="s">
        <v>161</v>
      </c>
      <c r="C7" s="21" t="s">
        <v>172</v>
      </c>
      <c r="D7" s="32">
        <v>41687</v>
      </c>
      <c r="E7" s="34">
        <v>1163.5</v>
      </c>
      <c r="F7" s="32">
        <v>41687</v>
      </c>
      <c r="G7" s="34">
        <v>1163.5</v>
      </c>
      <c r="H7" s="33" t="s">
        <v>794</v>
      </c>
      <c r="I7" s="33" t="s">
        <v>37</v>
      </c>
      <c r="J7" s="30" t="s">
        <v>798</v>
      </c>
    </row>
    <row r="8" spans="1:10">
      <c r="A8" s="32">
        <v>41740</v>
      </c>
      <c r="B8" s="21" t="s">
        <v>204</v>
      </c>
      <c r="C8" s="21" t="s">
        <v>216</v>
      </c>
      <c r="D8" s="32">
        <v>41740</v>
      </c>
      <c r="E8" s="21">
        <v>6693.75</v>
      </c>
      <c r="F8" s="32">
        <v>41740</v>
      </c>
      <c r="G8" s="21">
        <v>6693.75</v>
      </c>
      <c r="H8" s="33" t="s">
        <v>794</v>
      </c>
      <c r="I8" s="33" t="s">
        <v>37</v>
      </c>
      <c r="J8" s="30" t="s">
        <v>798</v>
      </c>
    </row>
    <row r="9" spans="1:10">
      <c r="A9" s="29">
        <v>41768</v>
      </c>
      <c r="B9" s="30" t="s">
        <v>229</v>
      </c>
      <c r="C9" s="30" t="s">
        <v>789</v>
      </c>
      <c r="D9" s="29">
        <v>41768</v>
      </c>
      <c r="E9" s="30">
        <v>1790</v>
      </c>
      <c r="F9" s="29">
        <v>41768</v>
      </c>
      <c r="G9" s="30">
        <v>1790</v>
      </c>
      <c r="H9" s="31" t="s">
        <v>794</v>
      </c>
      <c r="I9" s="31" t="s">
        <v>37</v>
      </c>
      <c r="J9" s="30" t="s">
        <v>798</v>
      </c>
    </row>
    <row r="10" spans="1:10">
      <c r="A10" s="32">
        <v>41653</v>
      </c>
      <c r="B10" s="21" t="s">
        <v>133</v>
      </c>
      <c r="C10" s="21" t="s">
        <v>147</v>
      </c>
      <c r="D10" s="32">
        <v>41653</v>
      </c>
      <c r="E10" s="21">
        <v>1600</v>
      </c>
      <c r="F10" s="32">
        <v>41653</v>
      </c>
      <c r="G10" s="21">
        <v>1600</v>
      </c>
      <c r="H10" s="33" t="s">
        <v>729</v>
      </c>
      <c r="I10" s="33" t="s">
        <v>569</v>
      </c>
      <c r="J10" s="21" t="s">
        <v>798</v>
      </c>
    </row>
    <row r="11" spans="1:10">
      <c r="A11" s="32">
        <v>41653</v>
      </c>
      <c r="B11" s="21" t="s">
        <v>133</v>
      </c>
      <c r="C11" s="21" t="s">
        <v>148</v>
      </c>
      <c r="D11" s="32">
        <v>41653</v>
      </c>
      <c r="E11" s="21">
        <v>2295</v>
      </c>
      <c r="F11" s="32">
        <v>41653</v>
      </c>
      <c r="G11" s="21">
        <v>2295</v>
      </c>
      <c r="H11" s="33" t="s">
        <v>729</v>
      </c>
      <c r="I11" s="33" t="s">
        <v>569</v>
      </c>
      <c r="J11" s="21" t="s">
        <v>798</v>
      </c>
    </row>
    <row r="12" spans="1:10">
      <c r="A12" s="32">
        <v>41653</v>
      </c>
      <c r="B12" s="21" t="s">
        <v>133</v>
      </c>
      <c r="C12" s="21" t="s">
        <v>149</v>
      </c>
      <c r="D12" s="32">
        <v>41653</v>
      </c>
      <c r="E12" s="21">
        <v>2300</v>
      </c>
      <c r="F12" s="32">
        <v>41653</v>
      </c>
      <c r="G12" s="21">
        <v>2300</v>
      </c>
      <c r="H12" s="33" t="s">
        <v>729</v>
      </c>
      <c r="I12" s="33" t="s">
        <v>569</v>
      </c>
      <c r="J12" s="21" t="s">
        <v>798</v>
      </c>
    </row>
    <row r="13" spans="1:10" s="30" customFormat="1">
      <c r="A13" s="29">
        <v>41626</v>
      </c>
      <c r="B13" s="30" t="s">
        <v>102</v>
      </c>
      <c r="C13" s="30" t="s">
        <v>780</v>
      </c>
      <c r="D13" s="29">
        <v>41625</v>
      </c>
      <c r="E13" s="30">
        <v>447.5</v>
      </c>
      <c r="F13" s="29">
        <v>41625</v>
      </c>
      <c r="G13" s="30">
        <v>447.5</v>
      </c>
      <c r="H13" s="31" t="s">
        <v>781</v>
      </c>
      <c r="I13" s="31" t="s">
        <v>37</v>
      </c>
      <c r="J13" s="30" t="s">
        <v>798</v>
      </c>
    </row>
    <row r="14" spans="1:10" s="30" customFormat="1">
      <c r="A14" s="29">
        <v>41708</v>
      </c>
      <c r="B14" s="30" t="s">
        <v>182</v>
      </c>
      <c r="C14" s="30" t="s">
        <v>785</v>
      </c>
      <c r="D14" s="29">
        <v>41708</v>
      </c>
      <c r="E14" s="30">
        <v>895</v>
      </c>
      <c r="F14" s="29">
        <v>41708</v>
      </c>
      <c r="G14" s="30">
        <v>895</v>
      </c>
      <c r="H14" s="31" t="s">
        <v>781</v>
      </c>
      <c r="I14" s="31" t="s">
        <v>37</v>
      </c>
      <c r="J14" s="30" t="s">
        <v>798</v>
      </c>
    </row>
    <row r="15" spans="1:10" s="47" customFormat="1">
      <c r="A15" s="46">
        <v>41654</v>
      </c>
      <c r="B15" s="47" t="s">
        <v>134</v>
      </c>
      <c r="C15" s="47" t="s">
        <v>150</v>
      </c>
      <c r="D15" s="46">
        <v>41654</v>
      </c>
      <c r="E15" s="47">
        <v>6900</v>
      </c>
      <c r="F15" s="46">
        <v>41654</v>
      </c>
      <c r="G15" s="47">
        <v>6900</v>
      </c>
      <c r="H15" s="48" t="s">
        <v>703</v>
      </c>
      <c r="I15" s="48" t="s">
        <v>567</v>
      </c>
      <c r="J15" s="30" t="s">
        <v>798</v>
      </c>
    </row>
    <row r="16" spans="1:10">
      <c r="A16" s="35">
        <v>41705</v>
      </c>
      <c r="B16" s="36" t="s">
        <v>181</v>
      </c>
      <c r="C16" s="36" t="s">
        <v>190</v>
      </c>
      <c r="D16" s="35">
        <v>41705</v>
      </c>
      <c r="E16" s="36">
        <v>46.75</v>
      </c>
      <c r="F16" s="35">
        <v>41705</v>
      </c>
      <c r="G16" s="36">
        <v>46.75</v>
      </c>
      <c r="H16" s="37"/>
      <c r="I16" s="37" t="s">
        <v>566</v>
      </c>
      <c r="J16" s="36" t="s">
        <v>799</v>
      </c>
    </row>
  </sheetData>
  <sortState ref="A4:J98">
    <sortCondition ref="H4:H98"/>
  </sortState>
  <dataValidations count="3">
    <dataValidation type="list" allowBlank="1" showInputMessage="1" showErrorMessage="1" sqref="I4:I16">
      <formula1>Transacao</formula1>
    </dataValidation>
    <dataValidation type="list" allowBlank="1" showInputMessage="1" showErrorMessage="1" sqref="C2">
      <formula1>server</formula1>
    </dataValidation>
    <dataValidation type="list" allowBlank="1" showInputMessage="1" showErrorMessage="1" sqref="H4:H16">
      <formula1>Cliente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4"/>
  <dimension ref="A1:J14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7109375" style="2" bestFit="1" customWidth="1"/>
    <col min="2" max="2" width="27.42578125" bestFit="1" customWidth="1"/>
    <col min="3" max="3" width="42.28515625" bestFit="1" customWidth="1"/>
    <col min="4" max="4" width="18.5703125" style="2" bestFit="1" customWidth="1"/>
    <col min="5" max="5" width="12.7109375" bestFit="1" customWidth="1"/>
    <col min="6" max="6" width="17.7109375" style="2" bestFit="1" customWidth="1"/>
    <col min="7" max="7" width="10" bestFit="1" customWidth="1"/>
    <col min="8" max="8" width="23.42578125" bestFit="1" customWidth="1"/>
    <col min="9" max="9" width="17.5703125" bestFit="1" customWidth="1"/>
    <col min="10" max="10" width="10.5703125" bestFit="1" customWidth="1"/>
  </cols>
  <sheetData>
    <row r="1" spans="1:10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10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56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736</v>
      </c>
    </row>
    <row r="3" spans="1:10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22</v>
      </c>
      <c r="I3" s="8" t="s">
        <v>30</v>
      </c>
    </row>
    <row r="4" spans="1:10" s="43" customFormat="1">
      <c r="A4" s="42">
        <v>41690</v>
      </c>
      <c r="B4" s="43" t="s">
        <v>331</v>
      </c>
      <c r="C4" s="43" t="s">
        <v>363</v>
      </c>
      <c r="D4" s="42">
        <v>41690</v>
      </c>
      <c r="E4" s="44">
        <v>2000</v>
      </c>
      <c r="F4" s="42">
        <v>41690</v>
      </c>
      <c r="G4" s="44">
        <v>2000</v>
      </c>
      <c r="H4" s="45" t="s">
        <v>363</v>
      </c>
      <c r="I4" s="45" t="s">
        <v>363</v>
      </c>
      <c r="J4" s="43" t="s">
        <v>798</v>
      </c>
    </row>
    <row r="5" spans="1:10">
      <c r="A5" s="2">
        <v>41723</v>
      </c>
      <c r="B5" t="s">
        <v>392</v>
      </c>
      <c r="C5" t="s">
        <v>423</v>
      </c>
      <c r="D5" s="2">
        <v>41723</v>
      </c>
      <c r="E5">
        <v>231.32</v>
      </c>
      <c r="F5" s="2">
        <v>41723</v>
      </c>
      <c r="G5">
        <v>231.32</v>
      </c>
      <c r="H5" s="9" t="s">
        <v>759</v>
      </c>
      <c r="I5" s="9" t="s">
        <v>37</v>
      </c>
      <c r="J5" t="s">
        <v>798</v>
      </c>
    </row>
    <row r="6" spans="1:10">
      <c r="A6" s="2">
        <v>41753</v>
      </c>
      <c r="B6" t="s">
        <v>454</v>
      </c>
      <c r="C6" t="s">
        <v>493</v>
      </c>
      <c r="D6" s="2">
        <v>41753</v>
      </c>
      <c r="E6">
        <v>191.45</v>
      </c>
      <c r="F6" s="2">
        <v>41753</v>
      </c>
      <c r="G6">
        <v>191.45</v>
      </c>
      <c r="H6" s="9" t="s">
        <v>760</v>
      </c>
      <c r="I6" s="9" t="s">
        <v>37</v>
      </c>
      <c r="J6" t="s">
        <v>798</v>
      </c>
    </row>
    <row r="7" spans="1:10">
      <c r="A7" s="2">
        <v>41781</v>
      </c>
      <c r="B7" t="s">
        <v>522</v>
      </c>
      <c r="C7" t="s">
        <v>552</v>
      </c>
      <c r="D7" s="2">
        <v>41781</v>
      </c>
      <c r="E7">
        <v>522.84</v>
      </c>
      <c r="F7" s="2">
        <v>41781</v>
      </c>
      <c r="G7">
        <v>522.84</v>
      </c>
      <c r="H7" s="9" t="s">
        <v>761</v>
      </c>
      <c r="I7" s="9" t="s">
        <v>37</v>
      </c>
      <c r="J7" t="s">
        <v>798</v>
      </c>
    </row>
    <row r="8" spans="1:10">
      <c r="A8" s="2">
        <v>41725</v>
      </c>
      <c r="B8" t="s">
        <v>72</v>
      </c>
      <c r="C8" t="s">
        <v>424</v>
      </c>
      <c r="D8" s="2">
        <v>41725</v>
      </c>
      <c r="E8">
        <v>171.12</v>
      </c>
      <c r="F8" s="2">
        <v>41725</v>
      </c>
      <c r="G8">
        <v>171.12</v>
      </c>
      <c r="H8" s="9" t="s">
        <v>765</v>
      </c>
      <c r="I8" s="9" t="s">
        <v>37</v>
      </c>
      <c r="J8" t="s">
        <v>798</v>
      </c>
    </row>
    <row r="9" spans="1:10">
      <c r="A9" s="2">
        <v>41753</v>
      </c>
      <c r="B9" t="s">
        <v>72</v>
      </c>
      <c r="C9" t="s">
        <v>494</v>
      </c>
      <c r="D9" s="2">
        <v>41753</v>
      </c>
      <c r="E9">
        <v>283.67</v>
      </c>
      <c r="F9" s="2">
        <v>41753</v>
      </c>
      <c r="G9">
        <v>283.67</v>
      </c>
      <c r="H9" s="9" t="s">
        <v>766</v>
      </c>
      <c r="I9" s="9" t="s">
        <v>37</v>
      </c>
      <c r="J9" t="s">
        <v>798</v>
      </c>
    </row>
    <row r="10" spans="1:10">
      <c r="A10" s="2">
        <v>41786</v>
      </c>
      <c r="B10" t="s">
        <v>72</v>
      </c>
      <c r="C10" t="s">
        <v>556</v>
      </c>
      <c r="D10" s="2">
        <v>41786</v>
      </c>
      <c r="E10">
        <v>224.8</v>
      </c>
      <c r="F10" s="2">
        <v>41786</v>
      </c>
      <c r="G10">
        <v>224.8</v>
      </c>
      <c r="H10" s="9" t="s">
        <v>767</v>
      </c>
      <c r="I10" s="9" t="s">
        <v>37</v>
      </c>
      <c r="J10" t="s">
        <v>798</v>
      </c>
    </row>
    <row r="11" spans="1:10">
      <c r="A11" s="2">
        <v>41716</v>
      </c>
      <c r="B11" t="s">
        <v>383</v>
      </c>
      <c r="C11" t="s">
        <v>356</v>
      </c>
      <c r="D11" s="2">
        <v>41716</v>
      </c>
      <c r="E11">
        <v>214.73</v>
      </c>
      <c r="F11" s="2">
        <v>41716</v>
      </c>
      <c r="G11">
        <v>214.73</v>
      </c>
      <c r="H11" s="9" t="s">
        <v>768</v>
      </c>
      <c r="I11" s="9" t="s">
        <v>572</v>
      </c>
      <c r="J11" t="s">
        <v>798</v>
      </c>
    </row>
    <row r="12" spans="1:10">
      <c r="A12" s="2">
        <v>41733</v>
      </c>
      <c r="B12" t="s">
        <v>383</v>
      </c>
      <c r="C12" t="s">
        <v>81</v>
      </c>
      <c r="D12" s="2">
        <v>41733</v>
      </c>
      <c r="E12">
        <v>175.04</v>
      </c>
      <c r="F12" s="2">
        <v>41733</v>
      </c>
      <c r="G12">
        <v>175.04</v>
      </c>
      <c r="H12" s="9" t="s">
        <v>768</v>
      </c>
      <c r="I12" s="9" t="s">
        <v>572</v>
      </c>
      <c r="J12" t="s">
        <v>798</v>
      </c>
    </row>
    <row r="13" spans="1:10">
      <c r="A13" s="2">
        <v>41716</v>
      </c>
      <c r="B13" t="s">
        <v>384</v>
      </c>
      <c r="C13" t="s">
        <v>356</v>
      </c>
      <c r="D13" s="2">
        <v>41716</v>
      </c>
      <c r="E13">
        <v>24</v>
      </c>
      <c r="F13" s="2">
        <v>41716</v>
      </c>
      <c r="G13">
        <v>24</v>
      </c>
      <c r="H13" s="9" t="s">
        <v>768</v>
      </c>
      <c r="I13" s="9" t="s">
        <v>572</v>
      </c>
      <c r="J13" t="s">
        <v>798</v>
      </c>
    </row>
    <row r="14" spans="1:10">
      <c r="H14" s="9"/>
      <c r="I14" s="9"/>
    </row>
  </sheetData>
  <dataValidations count="3">
    <dataValidation type="list" allowBlank="1" showInputMessage="1" showErrorMessage="1" sqref="I4:I14">
      <formula1>Transacao</formula1>
    </dataValidation>
    <dataValidation type="list" allowBlank="1" showInputMessage="1" showErrorMessage="1" sqref="H4:H14">
      <formula1>Conta</formula1>
    </dataValidation>
    <dataValidation type="list" allowBlank="1" showInputMessage="1" showErrorMessage="1" sqref="C2">
      <formula1>server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2"/>
  <dimension ref="A1:I98"/>
  <sheetViews>
    <sheetView zoomScale="55" zoomScaleNormal="55" workbookViewId="0">
      <pane ySplit="3" topLeftCell="A4" activePane="bottomLeft" state="frozen"/>
      <selection pane="bottomLeft" activeCell="A4" sqref="A4"/>
    </sheetView>
  </sheetViews>
  <sheetFormatPr defaultRowHeight="21"/>
  <cols>
    <col min="1" max="1" width="14.7109375" style="32" bestFit="1" customWidth="1"/>
    <col min="2" max="2" width="34.140625" style="21" customWidth="1"/>
    <col min="3" max="3" width="81.140625" style="21" bestFit="1" customWidth="1"/>
    <col min="4" max="4" width="18.5703125" style="32" bestFit="1" customWidth="1"/>
    <col min="5" max="5" width="14.5703125" style="21" bestFit="1" customWidth="1"/>
    <col min="6" max="6" width="17.7109375" style="32" bestFit="1" customWidth="1"/>
    <col min="7" max="7" width="12.7109375" style="21" bestFit="1" customWidth="1"/>
    <col min="8" max="8" width="62.42578125" style="21" bestFit="1" customWidth="1"/>
    <col min="9" max="9" width="31.5703125" style="21" bestFit="1" customWidth="1"/>
    <col min="10" max="10" width="40.42578125" style="21" bestFit="1" customWidth="1"/>
    <col min="11" max="16384" width="9.140625" style="21"/>
  </cols>
  <sheetData>
    <row r="1" spans="1:9">
      <c r="A1" s="19" t="s">
        <v>0</v>
      </c>
      <c r="B1" s="20" t="s">
        <v>2</v>
      </c>
      <c r="C1" s="20" t="s">
        <v>4</v>
      </c>
      <c r="D1" s="19" t="s">
        <v>6</v>
      </c>
      <c r="E1" s="20" t="s">
        <v>7</v>
      </c>
      <c r="F1" s="19" t="s">
        <v>8</v>
      </c>
      <c r="G1" s="20" t="s">
        <v>5</v>
      </c>
      <c r="H1" s="20" t="s">
        <v>33</v>
      </c>
    </row>
    <row r="2" spans="1:9">
      <c r="A2" s="22" t="str">
        <f>VLOOKUP(B2,ADM!A2:B9,2,FALSE)</f>
        <v>SQL Server</v>
      </c>
      <c r="B2" s="23" t="str">
        <f>VLOOKUP(C2,ADM!D1:H3,5,FALSE)</f>
        <v>SQL Server Native Client 10.0</v>
      </c>
      <c r="C2" s="24" t="s">
        <v>56</v>
      </c>
      <c r="D2" s="25" t="str">
        <f>VLOOKUP(C2,ADM!D1:G3,4,FALSE)</f>
        <v>kawaifilms3</v>
      </c>
      <c r="E2" s="23" t="str">
        <f>VLOOKUP(C2,ADM!D1:F3,2,FALSE)</f>
        <v>kawaifilms3</v>
      </c>
      <c r="F2" s="25" t="str">
        <f>VLOOKUP(C2,ADM!D1:F3,3,FALSE)</f>
        <v>Kw41L70N@@</v>
      </c>
      <c r="G2" s="24">
        <v>3306</v>
      </c>
      <c r="H2" s="24" t="s">
        <v>735</v>
      </c>
    </row>
    <row r="3" spans="1:9" s="27" customFormat="1">
      <c r="A3" s="26" t="s">
        <v>25</v>
      </c>
      <c r="B3" s="27" t="s">
        <v>23</v>
      </c>
      <c r="C3" s="27" t="s">
        <v>24</v>
      </c>
      <c r="D3" s="26" t="s">
        <v>26</v>
      </c>
      <c r="E3" s="27" t="s">
        <v>27</v>
      </c>
      <c r="F3" s="26" t="s">
        <v>28</v>
      </c>
      <c r="G3" s="27" t="s">
        <v>29</v>
      </c>
      <c r="H3" s="28" t="s">
        <v>646</v>
      </c>
      <c r="I3" s="28" t="s">
        <v>647</v>
      </c>
    </row>
    <row r="4" spans="1:9" s="30" customFormat="1">
      <c r="A4" s="29">
        <v>41610</v>
      </c>
      <c r="B4" s="30" t="s">
        <v>98</v>
      </c>
      <c r="C4" s="30" t="s">
        <v>778</v>
      </c>
      <c r="D4" s="29">
        <v>41610</v>
      </c>
      <c r="E4" s="30">
        <v>895</v>
      </c>
      <c r="F4" s="29">
        <v>41610</v>
      </c>
      <c r="G4" s="30">
        <v>895</v>
      </c>
      <c r="H4" s="31" t="s">
        <v>671</v>
      </c>
      <c r="I4" s="31" t="s">
        <v>37</v>
      </c>
    </row>
    <row r="5" spans="1:9" s="30" customFormat="1">
      <c r="A5" s="29">
        <v>41610</v>
      </c>
      <c r="B5" s="30" t="s">
        <v>98</v>
      </c>
      <c r="C5" s="30" t="s">
        <v>777</v>
      </c>
      <c r="D5" s="29">
        <v>41610</v>
      </c>
      <c r="E5" s="30">
        <v>495</v>
      </c>
      <c r="F5" s="29">
        <v>41610</v>
      </c>
      <c r="G5" s="30">
        <v>495</v>
      </c>
      <c r="H5" s="31" t="s">
        <v>721</v>
      </c>
      <c r="I5" s="31" t="s">
        <v>37</v>
      </c>
    </row>
    <row r="6" spans="1:9">
      <c r="A6" s="32">
        <v>41611</v>
      </c>
      <c r="B6" s="21" t="s">
        <v>99</v>
      </c>
      <c r="C6" s="21" t="s">
        <v>114</v>
      </c>
      <c r="D6" s="32">
        <v>41611</v>
      </c>
      <c r="E6" s="21">
        <v>895</v>
      </c>
      <c r="F6" s="32">
        <v>41611</v>
      </c>
      <c r="G6" s="21">
        <v>895</v>
      </c>
      <c r="H6" s="33" t="s">
        <v>719</v>
      </c>
      <c r="I6" s="38" t="s">
        <v>37</v>
      </c>
    </row>
    <row r="7" spans="1:9">
      <c r="A7" s="32">
        <v>41614</v>
      </c>
      <c r="B7" s="21" t="s">
        <v>100</v>
      </c>
      <c r="C7" s="21" t="s">
        <v>115</v>
      </c>
      <c r="D7" s="32">
        <v>41614</v>
      </c>
      <c r="E7" s="21">
        <v>895</v>
      </c>
      <c r="F7" s="32">
        <v>41614</v>
      </c>
      <c r="G7" s="21">
        <v>895</v>
      </c>
      <c r="H7" s="33" t="s">
        <v>663</v>
      </c>
      <c r="I7" s="38" t="s">
        <v>37</v>
      </c>
    </row>
    <row r="8" spans="1:9">
      <c r="A8" s="32">
        <v>41620</v>
      </c>
      <c r="B8" s="21" t="s">
        <v>101</v>
      </c>
      <c r="C8" s="21" t="s">
        <v>116</v>
      </c>
      <c r="D8" s="32">
        <v>41620</v>
      </c>
      <c r="E8" s="21">
        <v>4000</v>
      </c>
      <c r="F8" s="32">
        <v>41620</v>
      </c>
      <c r="G8" s="21">
        <v>4000</v>
      </c>
      <c r="H8" s="33" t="s">
        <v>732</v>
      </c>
      <c r="I8" s="33" t="s">
        <v>37</v>
      </c>
    </row>
    <row r="9" spans="1:9" s="30" customFormat="1">
      <c r="A9" s="29">
        <v>41625</v>
      </c>
      <c r="B9" s="30" t="s">
        <v>102</v>
      </c>
      <c r="C9" s="30" t="s">
        <v>779</v>
      </c>
      <c r="D9" s="29">
        <v>41625</v>
      </c>
      <c r="E9" s="30">
        <v>895</v>
      </c>
      <c r="F9" s="29">
        <v>41625</v>
      </c>
      <c r="G9" s="30">
        <v>895</v>
      </c>
      <c r="H9" s="31" t="s">
        <v>665</v>
      </c>
      <c r="I9" s="31" t="s">
        <v>37</v>
      </c>
    </row>
    <row r="10" spans="1:9" s="30" customFormat="1">
      <c r="A10" s="29">
        <v>41626</v>
      </c>
      <c r="B10" s="30" t="s">
        <v>102</v>
      </c>
      <c r="C10" s="30" t="s">
        <v>780</v>
      </c>
      <c r="D10" s="29">
        <v>41625</v>
      </c>
      <c r="E10" s="30">
        <v>447.5</v>
      </c>
      <c r="F10" s="29">
        <v>41625</v>
      </c>
      <c r="G10" s="30">
        <v>447.5</v>
      </c>
      <c r="H10" s="31" t="s">
        <v>781</v>
      </c>
      <c r="I10" s="31" t="s">
        <v>37</v>
      </c>
    </row>
    <row r="11" spans="1:9">
      <c r="A11" s="32">
        <v>41626</v>
      </c>
      <c r="B11" s="21" t="s">
        <v>103</v>
      </c>
      <c r="C11" s="21" t="s">
        <v>117</v>
      </c>
      <c r="D11" s="32">
        <v>41626</v>
      </c>
      <c r="E11" s="21">
        <v>1790</v>
      </c>
      <c r="F11" s="32">
        <v>41626</v>
      </c>
      <c r="G11" s="21">
        <v>1790</v>
      </c>
      <c r="H11" s="33" t="s">
        <v>653</v>
      </c>
      <c r="I11" s="38" t="s">
        <v>37</v>
      </c>
    </row>
    <row r="12" spans="1:9">
      <c r="A12" s="32">
        <v>41627</v>
      </c>
      <c r="B12" s="21" t="s">
        <v>104</v>
      </c>
      <c r="C12" s="21" t="s">
        <v>118</v>
      </c>
      <c r="D12" s="32">
        <v>41627</v>
      </c>
      <c r="E12" s="21">
        <v>1285.25</v>
      </c>
      <c r="F12" s="32">
        <v>41627</v>
      </c>
      <c r="G12" s="21">
        <v>1285.25</v>
      </c>
      <c r="H12" s="33" t="s">
        <v>665</v>
      </c>
      <c r="I12" s="38" t="s">
        <v>567</v>
      </c>
    </row>
    <row r="13" spans="1:9">
      <c r="A13" s="32">
        <v>41628</v>
      </c>
      <c r="B13" s="21" t="s">
        <v>105</v>
      </c>
      <c r="C13" s="21" t="s">
        <v>119</v>
      </c>
      <c r="D13" s="32">
        <v>41628</v>
      </c>
      <c r="E13" s="21">
        <v>895</v>
      </c>
      <c r="F13" s="32">
        <v>41628</v>
      </c>
      <c r="G13" s="21">
        <v>895</v>
      </c>
      <c r="H13" s="33" t="s">
        <v>665</v>
      </c>
      <c r="I13" s="38" t="s">
        <v>37</v>
      </c>
    </row>
    <row r="14" spans="1:9">
      <c r="A14" s="32">
        <v>41631</v>
      </c>
      <c r="B14" s="21" t="s">
        <v>106</v>
      </c>
      <c r="C14" s="21" t="s">
        <v>120</v>
      </c>
      <c r="D14" s="32">
        <v>41631</v>
      </c>
      <c r="E14" s="21">
        <v>1422.27</v>
      </c>
      <c r="F14" s="32">
        <v>41631</v>
      </c>
      <c r="G14" s="21">
        <v>1422.27</v>
      </c>
      <c r="H14" s="33" t="s">
        <v>679</v>
      </c>
      <c r="I14" s="38" t="s">
        <v>37</v>
      </c>
    </row>
    <row r="15" spans="1:9">
      <c r="A15" s="32">
        <v>41632</v>
      </c>
      <c r="B15" s="21" t="s">
        <v>107</v>
      </c>
      <c r="C15" s="21" t="s">
        <v>121</v>
      </c>
      <c r="D15" s="32">
        <v>41632</v>
      </c>
      <c r="E15" s="21">
        <v>693.5</v>
      </c>
      <c r="F15" s="32">
        <v>41632</v>
      </c>
      <c r="G15" s="21">
        <v>693.5</v>
      </c>
      <c r="H15" s="33" t="s">
        <v>793</v>
      </c>
      <c r="I15" s="33" t="s">
        <v>568</v>
      </c>
    </row>
    <row r="16" spans="1:9">
      <c r="A16" s="32">
        <v>41634</v>
      </c>
      <c r="B16" s="21" t="s">
        <v>108</v>
      </c>
      <c r="C16" s="21" t="s">
        <v>122</v>
      </c>
      <c r="D16" s="32">
        <v>41634</v>
      </c>
      <c r="E16" s="21">
        <v>700</v>
      </c>
      <c r="F16" s="32">
        <v>41634</v>
      </c>
      <c r="G16" s="21">
        <v>700</v>
      </c>
      <c r="H16" s="33" t="s">
        <v>680</v>
      </c>
      <c r="I16" s="33" t="s">
        <v>568</v>
      </c>
    </row>
    <row r="17" spans="1:9">
      <c r="A17" s="32">
        <v>41634</v>
      </c>
      <c r="B17" s="21" t="s">
        <v>109</v>
      </c>
      <c r="C17" s="21" t="s">
        <v>123</v>
      </c>
      <c r="D17" s="32">
        <v>41634</v>
      </c>
      <c r="E17" s="21">
        <v>895</v>
      </c>
      <c r="F17" s="32">
        <v>41634</v>
      </c>
      <c r="G17" s="21">
        <v>895</v>
      </c>
      <c r="H17" s="33" t="s">
        <v>680</v>
      </c>
      <c r="I17" s="33" t="s">
        <v>37</v>
      </c>
    </row>
    <row r="18" spans="1:9">
      <c r="A18" s="32">
        <v>41635</v>
      </c>
      <c r="B18" s="21" t="s">
        <v>110</v>
      </c>
      <c r="C18" s="21" t="s">
        <v>124</v>
      </c>
      <c r="D18" s="32">
        <v>41635</v>
      </c>
      <c r="E18" s="21">
        <v>4811.6099999999997</v>
      </c>
      <c r="F18" s="32">
        <v>41635</v>
      </c>
      <c r="G18" s="21">
        <v>4811.6099999999997</v>
      </c>
      <c r="H18" s="33" t="s">
        <v>707</v>
      </c>
      <c r="I18" s="33" t="s">
        <v>567</v>
      </c>
    </row>
    <row r="19" spans="1:9">
      <c r="A19" s="32">
        <v>41635</v>
      </c>
      <c r="B19" s="21" t="s">
        <v>111</v>
      </c>
      <c r="C19" s="21" t="s">
        <v>125</v>
      </c>
      <c r="D19" s="32">
        <v>41635</v>
      </c>
      <c r="E19" s="21">
        <v>1600</v>
      </c>
      <c r="F19" s="32">
        <v>41635</v>
      </c>
      <c r="G19" s="21">
        <v>1600</v>
      </c>
      <c r="H19" s="33" t="s">
        <v>717</v>
      </c>
      <c r="I19" s="33" t="s">
        <v>567</v>
      </c>
    </row>
    <row r="20" spans="1:9">
      <c r="A20" s="32">
        <v>41635</v>
      </c>
      <c r="B20" s="21" t="s">
        <v>112</v>
      </c>
      <c r="C20" s="21" t="s">
        <v>126</v>
      </c>
      <c r="D20" s="32">
        <v>41635</v>
      </c>
      <c r="E20" s="21">
        <v>895</v>
      </c>
      <c r="F20" s="32">
        <v>41635</v>
      </c>
      <c r="G20" s="21">
        <v>895</v>
      </c>
      <c r="H20" s="33" t="s">
        <v>793</v>
      </c>
      <c r="I20" s="33" t="s">
        <v>37</v>
      </c>
    </row>
    <row r="21" spans="1:9">
      <c r="A21" s="32">
        <v>41639</v>
      </c>
      <c r="B21" s="21" t="s">
        <v>113</v>
      </c>
      <c r="C21" s="21" t="s">
        <v>127</v>
      </c>
      <c r="D21" s="32">
        <v>41639</v>
      </c>
      <c r="E21" s="21">
        <v>1790</v>
      </c>
      <c r="F21" s="32">
        <v>41639</v>
      </c>
      <c r="G21" s="21">
        <v>1790</v>
      </c>
      <c r="H21" s="33" t="s">
        <v>707</v>
      </c>
      <c r="I21" s="33" t="s">
        <v>37</v>
      </c>
    </row>
    <row r="22" spans="1:9">
      <c r="A22" s="32">
        <v>41645</v>
      </c>
      <c r="B22" s="21" t="s">
        <v>128</v>
      </c>
      <c r="C22" s="21" t="s">
        <v>142</v>
      </c>
      <c r="D22" s="32">
        <v>41645</v>
      </c>
      <c r="E22" s="21">
        <v>1210</v>
      </c>
      <c r="F22" s="32">
        <v>41645</v>
      </c>
      <c r="G22" s="21">
        <v>1210</v>
      </c>
      <c r="H22" s="33" t="s">
        <v>653</v>
      </c>
      <c r="I22" s="33" t="s">
        <v>567</v>
      </c>
    </row>
    <row r="23" spans="1:9">
      <c r="A23" s="32">
        <v>41645</v>
      </c>
      <c r="B23" s="21" t="s">
        <v>129</v>
      </c>
      <c r="C23" s="21" t="s">
        <v>143</v>
      </c>
      <c r="D23" s="32">
        <v>41645</v>
      </c>
      <c r="E23" s="21">
        <v>1390</v>
      </c>
      <c r="F23" s="32">
        <v>41645</v>
      </c>
      <c r="G23" s="21">
        <v>1390</v>
      </c>
      <c r="H23" s="33" t="s">
        <v>723</v>
      </c>
      <c r="I23" s="33" t="s">
        <v>37</v>
      </c>
    </row>
    <row r="24" spans="1:9">
      <c r="A24" s="32">
        <v>41647</v>
      </c>
      <c r="B24" s="21" t="s">
        <v>130</v>
      </c>
      <c r="C24" s="21" t="s">
        <v>144</v>
      </c>
      <c r="D24" s="32">
        <v>41647</v>
      </c>
      <c r="E24" s="21">
        <v>2142</v>
      </c>
      <c r="F24" s="32">
        <v>41647</v>
      </c>
      <c r="G24" s="21">
        <v>2142</v>
      </c>
      <c r="H24" s="33" t="s">
        <v>688</v>
      </c>
      <c r="I24" s="33" t="s">
        <v>567</v>
      </c>
    </row>
    <row r="25" spans="1:9">
      <c r="A25" s="32">
        <v>41652</v>
      </c>
      <c r="B25" s="21" t="s">
        <v>131</v>
      </c>
      <c r="C25" s="21" t="s">
        <v>145</v>
      </c>
      <c r="D25" s="32">
        <v>41652</v>
      </c>
      <c r="E25" s="21">
        <v>895</v>
      </c>
      <c r="F25" s="32">
        <v>41652</v>
      </c>
      <c r="G25" s="21">
        <v>895</v>
      </c>
      <c r="H25" s="33" t="s">
        <v>702</v>
      </c>
      <c r="I25" s="33" t="s">
        <v>37</v>
      </c>
    </row>
    <row r="26" spans="1:9">
      <c r="A26" s="32">
        <v>41653</v>
      </c>
      <c r="B26" s="21" t="s">
        <v>132</v>
      </c>
      <c r="C26" s="21" t="s">
        <v>146</v>
      </c>
      <c r="D26" s="32">
        <v>41653</v>
      </c>
      <c r="E26" s="21">
        <v>2289</v>
      </c>
      <c r="F26" s="32">
        <v>41653</v>
      </c>
      <c r="G26" s="21">
        <v>2289</v>
      </c>
      <c r="H26" s="33" t="s">
        <v>657</v>
      </c>
      <c r="I26" s="33" t="s">
        <v>567</v>
      </c>
    </row>
    <row r="27" spans="1:9">
      <c r="A27" s="32">
        <v>41653</v>
      </c>
      <c r="B27" s="21" t="s">
        <v>133</v>
      </c>
      <c r="C27" s="21" t="s">
        <v>147</v>
      </c>
      <c r="D27" s="32">
        <v>41653</v>
      </c>
      <c r="E27" s="21">
        <v>1600</v>
      </c>
      <c r="F27" s="32">
        <v>41653</v>
      </c>
      <c r="G27" s="21">
        <v>1600</v>
      </c>
      <c r="H27" s="33" t="s">
        <v>729</v>
      </c>
      <c r="I27" s="33" t="s">
        <v>569</v>
      </c>
    </row>
    <row r="28" spans="1:9">
      <c r="A28" s="32">
        <v>41653</v>
      </c>
      <c r="B28" s="21" t="s">
        <v>133</v>
      </c>
      <c r="C28" s="21" t="s">
        <v>148</v>
      </c>
      <c r="D28" s="32">
        <v>41653</v>
      </c>
      <c r="E28" s="21">
        <v>2295</v>
      </c>
      <c r="F28" s="32">
        <v>41653</v>
      </c>
      <c r="G28" s="21">
        <v>2295</v>
      </c>
      <c r="H28" s="33" t="s">
        <v>729</v>
      </c>
      <c r="I28" s="33" t="s">
        <v>569</v>
      </c>
    </row>
    <row r="29" spans="1:9">
      <c r="A29" s="32">
        <v>41653</v>
      </c>
      <c r="B29" s="21" t="s">
        <v>133</v>
      </c>
      <c r="C29" s="21" t="s">
        <v>149</v>
      </c>
      <c r="D29" s="32">
        <v>41653</v>
      </c>
      <c r="E29" s="21">
        <v>2300</v>
      </c>
      <c r="F29" s="32">
        <v>41653</v>
      </c>
      <c r="G29" s="21">
        <v>2300</v>
      </c>
      <c r="H29" s="33" t="s">
        <v>729</v>
      </c>
      <c r="I29" s="33" t="s">
        <v>569</v>
      </c>
    </row>
    <row r="30" spans="1:9">
      <c r="A30" s="32">
        <v>41654</v>
      </c>
      <c r="B30" s="21" t="s">
        <v>134</v>
      </c>
      <c r="C30" s="21" t="s">
        <v>150</v>
      </c>
      <c r="D30" s="32">
        <v>41654</v>
      </c>
      <c r="E30" s="21">
        <v>6900</v>
      </c>
      <c r="F30" s="32">
        <v>41654</v>
      </c>
      <c r="G30" s="21">
        <v>6900</v>
      </c>
      <c r="H30" s="33" t="s">
        <v>703</v>
      </c>
      <c r="I30" s="33" t="s">
        <v>567</v>
      </c>
    </row>
    <row r="31" spans="1:9">
      <c r="A31" s="32">
        <v>41654</v>
      </c>
      <c r="B31" s="21" t="s">
        <v>135</v>
      </c>
      <c r="C31" s="21" t="s">
        <v>151</v>
      </c>
      <c r="D31" s="32">
        <v>41654</v>
      </c>
      <c r="E31" s="21">
        <v>2100</v>
      </c>
      <c r="F31" s="32">
        <v>41654</v>
      </c>
      <c r="G31" s="21">
        <v>2100</v>
      </c>
      <c r="H31" s="33" t="s">
        <v>723</v>
      </c>
      <c r="I31" s="33" t="s">
        <v>567</v>
      </c>
    </row>
    <row r="32" spans="1:9">
      <c r="A32" s="32">
        <v>41659</v>
      </c>
      <c r="B32" s="21" t="s">
        <v>132</v>
      </c>
      <c r="C32" s="21" t="s">
        <v>152</v>
      </c>
      <c r="D32" s="32">
        <v>41659</v>
      </c>
      <c r="E32" s="21">
        <v>4922.5</v>
      </c>
      <c r="F32" s="32">
        <v>41659</v>
      </c>
      <c r="G32" s="21">
        <v>4922.5</v>
      </c>
      <c r="H32" s="33" t="s">
        <v>657</v>
      </c>
      <c r="I32" s="33" t="s">
        <v>37</v>
      </c>
    </row>
    <row r="33" spans="1:9">
      <c r="A33" s="32">
        <v>41659</v>
      </c>
      <c r="B33" s="21" t="s">
        <v>136</v>
      </c>
      <c r="C33" s="21" t="s">
        <v>153</v>
      </c>
      <c r="D33" s="32">
        <v>41659</v>
      </c>
      <c r="E33" s="21">
        <v>1785</v>
      </c>
      <c r="F33" s="32">
        <v>41659</v>
      </c>
      <c r="G33" s="21">
        <v>1785</v>
      </c>
      <c r="H33" s="33" t="s">
        <v>650</v>
      </c>
      <c r="I33" s="33" t="s">
        <v>567</v>
      </c>
    </row>
    <row r="34" spans="1:9">
      <c r="A34" s="32">
        <v>41663</v>
      </c>
      <c r="B34" s="21" t="s">
        <v>137</v>
      </c>
      <c r="C34" s="21" t="s">
        <v>154</v>
      </c>
      <c r="D34" s="32">
        <v>41663</v>
      </c>
      <c r="E34" s="21">
        <v>2940</v>
      </c>
      <c r="F34" s="32">
        <v>41663</v>
      </c>
      <c r="G34" s="21">
        <v>2940</v>
      </c>
      <c r="H34" s="33" t="s">
        <v>683</v>
      </c>
      <c r="I34" s="33" t="s">
        <v>37</v>
      </c>
    </row>
    <row r="35" spans="1:9" s="30" customFormat="1">
      <c r="A35" s="29">
        <v>41663</v>
      </c>
      <c r="B35" s="30" t="s">
        <v>138</v>
      </c>
      <c r="C35" s="30" t="s">
        <v>782</v>
      </c>
      <c r="D35" s="29">
        <v>41663</v>
      </c>
      <c r="E35" s="30">
        <v>895</v>
      </c>
      <c r="F35" s="29">
        <v>41663</v>
      </c>
      <c r="G35" s="30">
        <v>895</v>
      </c>
      <c r="H35" s="31" t="s">
        <v>657</v>
      </c>
      <c r="I35" s="31" t="s">
        <v>37</v>
      </c>
    </row>
    <row r="36" spans="1:9" s="30" customFormat="1">
      <c r="A36" s="29">
        <v>41663</v>
      </c>
      <c r="B36" s="30" t="s">
        <v>138</v>
      </c>
      <c r="C36" s="30" t="s">
        <v>783</v>
      </c>
      <c r="D36" s="29">
        <v>41663</v>
      </c>
      <c r="E36" s="30">
        <v>984.5</v>
      </c>
      <c r="F36" s="29">
        <v>41663</v>
      </c>
      <c r="G36" s="30">
        <v>984.5</v>
      </c>
      <c r="H36" s="31" t="s">
        <v>665</v>
      </c>
      <c r="I36" s="31" t="s">
        <v>37</v>
      </c>
    </row>
    <row r="37" spans="1:9">
      <c r="A37" s="32">
        <v>41666</v>
      </c>
      <c r="B37" s="21" t="s">
        <v>139</v>
      </c>
      <c r="C37" s="21" t="s">
        <v>155</v>
      </c>
      <c r="D37" s="32">
        <v>41666</v>
      </c>
      <c r="E37" s="21">
        <v>395</v>
      </c>
      <c r="F37" s="32">
        <v>41666</v>
      </c>
      <c r="G37" s="21">
        <v>395</v>
      </c>
      <c r="H37" s="33" t="s">
        <v>654</v>
      </c>
      <c r="I37" s="33" t="s">
        <v>565</v>
      </c>
    </row>
    <row r="38" spans="1:9">
      <c r="A38" s="32">
        <v>41667</v>
      </c>
      <c r="B38" s="21" t="s">
        <v>140</v>
      </c>
      <c r="C38" s="21" t="s">
        <v>156</v>
      </c>
      <c r="D38" s="32">
        <v>41667</v>
      </c>
      <c r="E38" s="21">
        <v>2885</v>
      </c>
      <c r="F38" s="32">
        <v>41667</v>
      </c>
      <c r="G38" s="21">
        <v>2885</v>
      </c>
      <c r="H38" s="33" t="s">
        <v>707</v>
      </c>
      <c r="I38" s="33" t="s">
        <v>37</v>
      </c>
    </row>
    <row r="39" spans="1:9">
      <c r="A39" s="32">
        <v>41667</v>
      </c>
      <c r="B39" s="21" t="s">
        <v>141</v>
      </c>
      <c r="C39" s="21" t="s">
        <v>157</v>
      </c>
      <c r="D39" s="32">
        <v>41667</v>
      </c>
      <c r="E39" s="21">
        <v>3000</v>
      </c>
      <c r="F39" s="32">
        <v>41667</v>
      </c>
      <c r="G39" s="21">
        <v>3000</v>
      </c>
      <c r="H39" s="33" t="s">
        <v>696</v>
      </c>
      <c r="I39" s="33" t="s">
        <v>565</v>
      </c>
    </row>
    <row r="40" spans="1:9">
      <c r="A40" s="32">
        <v>41673</v>
      </c>
      <c r="B40" s="21" t="s">
        <v>158</v>
      </c>
      <c r="C40" s="21" t="s">
        <v>169</v>
      </c>
      <c r="D40" s="32">
        <v>41673</v>
      </c>
      <c r="E40" s="34">
        <v>4900</v>
      </c>
      <c r="F40" s="32">
        <v>41673</v>
      </c>
      <c r="G40" s="34">
        <v>4900</v>
      </c>
      <c r="H40" s="33" t="s">
        <v>671</v>
      </c>
      <c r="I40" s="33" t="s">
        <v>37</v>
      </c>
    </row>
    <row r="41" spans="1:9">
      <c r="A41" s="32">
        <v>41676</v>
      </c>
      <c r="B41" s="21" t="s">
        <v>159</v>
      </c>
      <c r="C41" s="21" t="s">
        <v>170</v>
      </c>
      <c r="D41" s="32">
        <v>41676</v>
      </c>
      <c r="E41" s="34">
        <v>1253</v>
      </c>
      <c r="F41" s="32">
        <v>41676</v>
      </c>
      <c r="G41" s="34">
        <v>1253</v>
      </c>
      <c r="H41" s="33" t="s">
        <v>717</v>
      </c>
      <c r="I41" s="33" t="s">
        <v>37</v>
      </c>
    </row>
    <row r="42" spans="1:9">
      <c r="A42" s="32">
        <v>41680</v>
      </c>
      <c r="B42" s="21" t="s">
        <v>160</v>
      </c>
      <c r="C42" s="21" t="s">
        <v>171</v>
      </c>
      <c r="D42" s="32">
        <v>41680</v>
      </c>
      <c r="E42" s="34">
        <v>2940</v>
      </c>
      <c r="F42" s="32">
        <v>41680</v>
      </c>
      <c r="G42" s="34">
        <v>2940</v>
      </c>
      <c r="H42" s="33" t="s">
        <v>683</v>
      </c>
      <c r="I42" s="33" t="s">
        <v>37</v>
      </c>
    </row>
    <row r="43" spans="1:9">
      <c r="A43" s="32">
        <v>41687</v>
      </c>
      <c r="B43" s="21" t="s">
        <v>161</v>
      </c>
      <c r="C43" s="21" t="s">
        <v>172</v>
      </c>
      <c r="D43" s="32">
        <v>41687</v>
      </c>
      <c r="E43" s="34">
        <v>1163.5</v>
      </c>
      <c r="F43" s="32">
        <v>41687</v>
      </c>
      <c r="G43" s="34">
        <v>1163.5</v>
      </c>
      <c r="H43" s="33" t="s">
        <v>794</v>
      </c>
      <c r="I43" s="33" t="s">
        <v>37</v>
      </c>
    </row>
    <row r="44" spans="1:9">
      <c r="A44" s="32">
        <v>41688</v>
      </c>
      <c r="B44" s="21" t="s">
        <v>162</v>
      </c>
      <c r="C44" s="21" t="s">
        <v>173</v>
      </c>
      <c r="D44" s="32">
        <v>41688</v>
      </c>
      <c r="E44" s="21">
        <v>880</v>
      </c>
      <c r="F44" s="32">
        <v>41688</v>
      </c>
      <c r="G44" s="21">
        <v>880</v>
      </c>
      <c r="H44" s="33" t="s">
        <v>664</v>
      </c>
      <c r="I44" s="33" t="s">
        <v>37</v>
      </c>
    </row>
    <row r="45" spans="1:9">
      <c r="A45" s="32">
        <v>41690</v>
      </c>
      <c r="B45" s="21" t="s">
        <v>163</v>
      </c>
      <c r="C45" s="21" t="s">
        <v>174</v>
      </c>
      <c r="D45" s="32">
        <v>41690</v>
      </c>
      <c r="E45" s="34">
        <v>1790</v>
      </c>
      <c r="F45" s="32">
        <v>41690</v>
      </c>
      <c r="G45" s="34">
        <v>1790</v>
      </c>
      <c r="H45" s="33" t="s">
        <v>685</v>
      </c>
      <c r="I45" s="33" t="s">
        <v>565</v>
      </c>
    </row>
    <row r="46" spans="1:9">
      <c r="A46" s="32">
        <v>41691</v>
      </c>
      <c r="B46" s="21" t="s">
        <v>164</v>
      </c>
      <c r="C46" s="21" t="s">
        <v>175</v>
      </c>
      <c r="D46" s="32">
        <v>41691</v>
      </c>
      <c r="E46" s="21">
        <v>700</v>
      </c>
      <c r="F46" s="32">
        <v>41691</v>
      </c>
      <c r="G46" s="21">
        <v>700</v>
      </c>
      <c r="H46" s="33" t="s">
        <v>717</v>
      </c>
      <c r="I46" s="33" t="s">
        <v>37</v>
      </c>
    </row>
    <row r="47" spans="1:9">
      <c r="A47" s="32">
        <v>41691</v>
      </c>
      <c r="B47" s="21" t="s">
        <v>165</v>
      </c>
      <c r="C47" s="21" t="s">
        <v>176</v>
      </c>
      <c r="D47" s="32">
        <v>41691</v>
      </c>
      <c r="E47" s="34">
        <v>1790</v>
      </c>
      <c r="F47" s="32">
        <v>41691</v>
      </c>
      <c r="G47" s="34">
        <v>1790</v>
      </c>
      <c r="H47" s="33" t="s">
        <v>715</v>
      </c>
      <c r="I47" s="33" t="s">
        <v>37</v>
      </c>
    </row>
    <row r="48" spans="1:9">
      <c r="A48" s="32">
        <v>41694</v>
      </c>
      <c r="B48" s="21" t="s">
        <v>166</v>
      </c>
      <c r="C48" s="21" t="s">
        <v>177</v>
      </c>
      <c r="D48" s="32">
        <v>41694</v>
      </c>
      <c r="E48" s="34">
        <v>1390</v>
      </c>
      <c r="F48" s="32">
        <v>41694</v>
      </c>
      <c r="G48" s="34">
        <v>1390</v>
      </c>
      <c r="H48" s="33" t="s">
        <v>717</v>
      </c>
      <c r="I48" s="33" t="s">
        <v>37</v>
      </c>
    </row>
    <row r="49" spans="1:9">
      <c r="A49" s="32">
        <v>41695</v>
      </c>
      <c r="B49" s="21" t="s">
        <v>167</v>
      </c>
      <c r="C49" s="21" t="s">
        <v>178</v>
      </c>
      <c r="D49" s="32">
        <v>41695</v>
      </c>
      <c r="E49" s="21">
        <v>895</v>
      </c>
      <c r="F49" s="32">
        <v>41695</v>
      </c>
      <c r="G49" s="21">
        <v>895</v>
      </c>
      <c r="H49" s="33" t="s">
        <v>670</v>
      </c>
      <c r="I49" s="33" t="s">
        <v>37</v>
      </c>
    </row>
    <row r="50" spans="1:9">
      <c r="A50" s="32">
        <v>41698</v>
      </c>
      <c r="B50" s="21" t="s">
        <v>168</v>
      </c>
      <c r="C50" s="21" t="s">
        <v>179</v>
      </c>
      <c r="D50" s="32">
        <v>41698</v>
      </c>
      <c r="E50" s="34">
        <v>1595</v>
      </c>
      <c r="F50" s="32">
        <v>41698</v>
      </c>
      <c r="G50" s="34">
        <v>1595</v>
      </c>
      <c r="H50" s="33" t="s">
        <v>673</v>
      </c>
      <c r="I50" s="33" t="s">
        <v>573</v>
      </c>
    </row>
    <row r="51" spans="1:9">
      <c r="A51" s="32">
        <v>41704</v>
      </c>
      <c r="B51" s="21" t="s">
        <v>180</v>
      </c>
      <c r="C51" s="21" t="s">
        <v>188</v>
      </c>
      <c r="D51" s="32">
        <v>41704</v>
      </c>
      <c r="E51" s="21">
        <v>1963.5</v>
      </c>
      <c r="F51" s="32">
        <v>41704</v>
      </c>
      <c r="G51" s="21">
        <v>1963.5</v>
      </c>
      <c r="H51" s="33" t="s">
        <v>665</v>
      </c>
      <c r="I51" s="33" t="s">
        <v>37</v>
      </c>
    </row>
    <row r="52" spans="1:9">
      <c r="A52" s="32">
        <v>41705</v>
      </c>
      <c r="B52" s="21" t="s">
        <v>110</v>
      </c>
      <c r="C52" s="21" t="s">
        <v>189</v>
      </c>
      <c r="D52" s="32">
        <v>41705</v>
      </c>
      <c r="E52" s="21">
        <v>1590</v>
      </c>
      <c r="F52" s="32">
        <v>41705</v>
      </c>
      <c r="G52" s="21">
        <v>1590</v>
      </c>
      <c r="H52" s="33" t="s">
        <v>707</v>
      </c>
      <c r="I52" s="33" t="s">
        <v>37</v>
      </c>
    </row>
    <row r="53" spans="1:9" s="36" customFormat="1">
      <c r="A53" s="35">
        <v>41705</v>
      </c>
      <c r="B53" s="36" t="s">
        <v>181</v>
      </c>
      <c r="C53" s="36" t="s">
        <v>190</v>
      </c>
      <c r="D53" s="35">
        <v>41705</v>
      </c>
      <c r="E53" s="36">
        <v>46.75</v>
      </c>
      <c r="F53" s="35">
        <v>41705</v>
      </c>
      <c r="G53" s="36">
        <v>46.75</v>
      </c>
      <c r="H53" s="37"/>
      <c r="I53" s="37" t="s">
        <v>566</v>
      </c>
    </row>
    <row r="54" spans="1:9">
      <c r="A54" s="32">
        <v>41708</v>
      </c>
      <c r="B54" s="21" t="s">
        <v>168</v>
      </c>
      <c r="C54" s="21" t="s">
        <v>191</v>
      </c>
      <c r="D54" s="32">
        <v>41708</v>
      </c>
      <c r="E54" s="21">
        <v>1595</v>
      </c>
      <c r="F54" s="32">
        <v>41708</v>
      </c>
      <c r="G54" s="21">
        <v>1595</v>
      </c>
      <c r="H54" s="33" t="s">
        <v>673</v>
      </c>
      <c r="I54" s="33" t="s">
        <v>573</v>
      </c>
    </row>
    <row r="55" spans="1:9" s="30" customFormat="1">
      <c r="A55" s="29">
        <v>41708</v>
      </c>
      <c r="B55" s="30" t="s">
        <v>182</v>
      </c>
      <c r="C55" s="30" t="s">
        <v>784</v>
      </c>
      <c r="D55" s="29">
        <v>41708</v>
      </c>
      <c r="E55" s="30">
        <v>1074</v>
      </c>
      <c r="F55" s="29">
        <v>41708</v>
      </c>
      <c r="G55" s="30">
        <v>1074</v>
      </c>
      <c r="H55" s="31" t="s">
        <v>665</v>
      </c>
      <c r="I55" s="31"/>
    </row>
    <row r="56" spans="1:9" s="30" customFormat="1">
      <c r="A56" s="29">
        <v>41708</v>
      </c>
      <c r="B56" s="30" t="s">
        <v>182</v>
      </c>
      <c r="C56" s="30" t="s">
        <v>785</v>
      </c>
      <c r="D56" s="29">
        <v>41708</v>
      </c>
      <c r="E56" s="30">
        <v>895</v>
      </c>
      <c r="F56" s="29">
        <v>41708</v>
      </c>
      <c r="G56" s="30">
        <v>895</v>
      </c>
      <c r="H56" s="31" t="s">
        <v>781</v>
      </c>
      <c r="I56" s="31" t="s">
        <v>37</v>
      </c>
    </row>
    <row r="57" spans="1:9">
      <c r="A57" s="32">
        <v>41709</v>
      </c>
      <c r="B57" s="21" t="s">
        <v>183</v>
      </c>
      <c r="C57" s="21" t="s">
        <v>192</v>
      </c>
      <c r="D57" s="32">
        <v>41709</v>
      </c>
      <c r="E57" s="21">
        <v>570</v>
      </c>
      <c r="F57" s="32">
        <v>41709</v>
      </c>
      <c r="G57" s="21">
        <v>570</v>
      </c>
      <c r="H57" s="33" t="s">
        <v>666</v>
      </c>
      <c r="I57" s="33" t="s">
        <v>37</v>
      </c>
    </row>
    <row r="58" spans="1:9">
      <c r="A58" s="32">
        <v>41711</v>
      </c>
      <c r="B58" s="21" t="s">
        <v>163</v>
      </c>
      <c r="C58" s="21" t="s">
        <v>193</v>
      </c>
      <c r="D58" s="32">
        <v>41711</v>
      </c>
      <c r="E58" s="21">
        <v>1790</v>
      </c>
      <c r="F58" s="32">
        <v>41711</v>
      </c>
      <c r="G58" s="21">
        <v>1790</v>
      </c>
      <c r="H58" s="33" t="s">
        <v>685</v>
      </c>
      <c r="I58" s="33" t="s">
        <v>565</v>
      </c>
    </row>
    <row r="59" spans="1:9">
      <c r="A59" s="32">
        <v>41712</v>
      </c>
      <c r="B59" s="21" t="s">
        <v>184</v>
      </c>
      <c r="C59" s="21" t="s">
        <v>194</v>
      </c>
      <c r="D59" s="32">
        <v>41712</v>
      </c>
      <c r="E59" s="21">
        <v>895</v>
      </c>
      <c r="F59" s="32">
        <v>41712</v>
      </c>
      <c r="G59" s="21">
        <v>895</v>
      </c>
      <c r="H59" s="33" t="s">
        <v>671</v>
      </c>
      <c r="I59" s="33" t="s">
        <v>37</v>
      </c>
    </row>
    <row r="60" spans="1:9">
      <c r="A60" s="32">
        <v>41716</v>
      </c>
      <c r="B60" s="21" t="s">
        <v>185</v>
      </c>
      <c r="C60" s="21" t="s">
        <v>195</v>
      </c>
      <c r="D60" s="32">
        <v>41716</v>
      </c>
      <c r="E60" s="21">
        <v>1924</v>
      </c>
      <c r="F60" s="32">
        <v>41716</v>
      </c>
      <c r="G60" s="21">
        <v>1924</v>
      </c>
      <c r="H60" s="33" t="s">
        <v>666</v>
      </c>
      <c r="I60" s="33" t="s">
        <v>82</v>
      </c>
    </row>
    <row r="61" spans="1:9">
      <c r="A61" s="32">
        <v>41717</v>
      </c>
      <c r="B61" s="21" t="s">
        <v>132</v>
      </c>
      <c r="C61" s="21" t="s">
        <v>196</v>
      </c>
      <c r="D61" s="32">
        <v>41717</v>
      </c>
      <c r="E61" s="21">
        <v>4376</v>
      </c>
      <c r="F61" s="32">
        <v>41717</v>
      </c>
      <c r="G61" s="21">
        <v>4376</v>
      </c>
      <c r="H61" s="33" t="s">
        <v>657</v>
      </c>
      <c r="I61" s="33" t="s">
        <v>37</v>
      </c>
    </row>
    <row r="62" spans="1:9">
      <c r="A62" s="32">
        <v>41717</v>
      </c>
      <c r="B62" s="21" t="s">
        <v>130</v>
      </c>
      <c r="C62" s="21" t="s">
        <v>197</v>
      </c>
      <c r="D62" s="32">
        <v>41717</v>
      </c>
      <c r="E62" s="21">
        <v>1871</v>
      </c>
      <c r="F62" s="32">
        <v>41717</v>
      </c>
      <c r="G62" s="21">
        <v>1871</v>
      </c>
      <c r="H62" s="33" t="s">
        <v>688</v>
      </c>
      <c r="I62" s="33" t="s">
        <v>37</v>
      </c>
    </row>
    <row r="63" spans="1:9">
      <c r="A63" s="32">
        <v>41719</v>
      </c>
      <c r="B63" s="21" t="s">
        <v>186</v>
      </c>
      <c r="C63" s="21" t="s">
        <v>198</v>
      </c>
      <c r="D63" s="32">
        <v>41719</v>
      </c>
      <c r="E63" s="21">
        <v>795</v>
      </c>
      <c r="F63" s="32">
        <v>41719</v>
      </c>
      <c r="G63" s="21">
        <v>795</v>
      </c>
      <c r="H63" s="33" t="s">
        <v>707</v>
      </c>
      <c r="I63" s="33" t="s">
        <v>37</v>
      </c>
    </row>
    <row r="64" spans="1:9">
      <c r="A64" s="32">
        <v>41729</v>
      </c>
      <c r="B64" s="21" t="s">
        <v>168</v>
      </c>
      <c r="C64" s="21" t="s">
        <v>199</v>
      </c>
      <c r="D64" s="32">
        <v>41729</v>
      </c>
      <c r="E64" s="21">
        <v>4730.25</v>
      </c>
      <c r="F64" s="32">
        <v>41729</v>
      </c>
      <c r="G64" s="21">
        <v>4730.25</v>
      </c>
      <c r="H64" s="33" t="s">
        <v>682</v>
      </c>
      <c r="I64" s="33" t="s">
        <v>573</v>
      </c>
    </row>
    <row r="65" spans="1:9">
      <c r="A65" s="32">
        <v>41729</v>
      </c>
      <c r="B65" s="21" t="s">
        <v>110</v>
      </c>
      <c r="C65" s="21" t="s">
        <v>200</v>
      </c>
      <c r="D65" s="32">
        <v>41729</v>
      </c>
      <c r="E65" s="21">
        <v>6416</v>
      </c>
      <c r="F65" s="32">
        <v>41729</v>
      </c>
      <c r="G65" s="21">
        <v>6416</v>
      </c>
      <c r="H65" s="33" t="s">
        <v>707</v>
      </c>
      <c r="I65" s="33" t="s">
        <v>37</v>
      </c>
    </row>
    <row r="66" spans="1:9">
      <c r="A66" s="32">
        <v>41729</v>
      </c>
      <c r="B66" s="21" t="s">
        <v>187</v>
      </c>
      <c r="C66" s="21" t="s">
        <v>201</v>
      </c>
      <c r="D66" s="32">
        <v>41729</v>
      </c>
      <c r="E66" s="21">
        <v>840</v>
      </c>
      <c r="F66" s="32">
        <v>41729</v>
      </c>
      <c r="G66" s="21">
        <v>840</v>
      </c>
      <c r="H66" s="33" t="s">
        <v>683</v>
      </c>
      <c r="I66" s="33" t="s">
        <v>37</v>
      </c>
    </row>
    <row r="67" spans="1:9">
      <c r="A67" s="32">
        <v>41733</v>
      </c>
      <c r="B67" s="21" t="s">
        <v>202</v>
      </c>
      <c r="C67" s="21" t="s">
        <v>213</v>
      </c>
      <c r="D67" s="32">
        <v>41733</v>
      </c>
      <c r="E67" s="21">
        <v>1245</v>
      </c>
      <c r="F67" s="32">
        <v>41733</v>
      </c>
      <c r="G67" s="21">
        <v>1245</v>
      </c>
      <c r="H67" s="33" t="s">
        <v>665</v>
      </c>
      <c r="I67" s="33" t="s">
        <v>37</v>
      </c>
    </row>
    <row r="68" spans="1:9">
      <c r="A68" s="32">
        <v>41737</v>
      </c>
      <c r="B68" s="21" t="s">
        <v>203</v>
      </c>
      <c r="C68" s="21" t="s">
        <v>214</v>
      </c>
      <c r="D68" s="32">
        <v>41737</v>
      </c>
      <c r="E68" s="21">
        <v>840</v>
      </c>
      <c r="F68" s="32">
        <v>41737</v>
      </c>
      <c r="G68" s="21">
        <v>840</v>
      </c>
      <c r="H68" s="33" t="s">
        <v>683</v>
      </c>
      <c r="I68" s="33" t="s">
        <v>37</v>
      </c>
    </row>
    <row r="69" spans="1:9">
      <c r="A69" s="32">
        <v>41738</v>
      </c>
      <c r="B69" s="21" t="s">
        <v>130</v>
      </c>
      <c r="C69" s="21" t="s">
        <v>215</v>
      </c>
      <c r="D69" s="32">
        <v>41738</v>
      </c>
      <c r="E69" s="21">
        <v>686</v>
      </c>
      <c r="F69" s="32">
        <v>41738</v>
      </c>
      <c r="G69" s="21">
        <v>686</v>
      </c>
      <c r="H69" s="33" t="s">
        <v>688</v>
      </c>
      <c r="I69" s="33" t="s">
        <v>37</v>
      </c>
    </row>
    <row r="70" spans="1:9">
      <c r="A70" s="32">
        <v>41740</v>
      </c>
      <c r="B70" s="21" t="s">
        <v>204</v>
      </c>
      <c r="C70" s="21" t="s">
        <v>216</v>
      </c>
      <c r="D70" s="32">
        <v>41740</v>
      </c>
      <c r="E70" s="21">
        <v>6693.75</v>
      </c>
      <c r="F70" s="32">
        <v>41740</v>
      </c>
      <c r="G70" s="21">
        <v>6693.75</v>
      </c>
      <c r="H70" s="33" t="s">
        <v>794</v>
      </c>
      <c r="I70" s="33" t="s">
        <v>37</v>
      </c>
    </row>
    <row r="71" spans="1:9">
      <c r="A71" s="32">
        <v>41743</v>
      </c>
      <c r="B71" s="21" t="s">
        <v>111</v>
      </c>
      <c r="C71" s="21" t="s">
        <v>217</v>
      </c>
      <c r="D71" s="32">
        <v>41743</v>
      </c>
      <c r="E71" s="21">
        <v>1195</v>
      </c>
      <c r="F71" s="32">
        <v>41743</v>
      </c>
      <c r="G71" s="21">
        <v>1195</v>
      </c>
      <c r="H71" s="33" t="s">
        <v>717</v>
      </c>
      <c r="I71" s="33" t="s">
        <v>37</v>
      </c>
    </row>
    <row r="72" spans="1:9">
      <c r="A72" s="32">
        <v>41744</v>
      </c>
      <c r="B72" s="21" t="s">
        <v>205</v>
      </c>
      <c r="C72" s="21" t="s">
        <v>218</v>
      </c>
      <c r="D72" s="32">
        <v>41744</v>
      </c>
      <c r="E72" s="21">
        <v>495</v>
      </c>
      <c r="F72" s="32">
        <v>41744</v>
      </c>
      <c r="G72" s="21">
        <v>495</v>
      </c>
      <c r="H72" s="33" t="s">
        <v>698</v>
      </c>
      <c r="I72" s="33" t="s">
        <v>37</v>
      </c>
    </row>
    <row r="73" spans="1:9">
      <c r="A73" s="32">
        <v>41745</v>
      </c>
      <c r="B73" s="21" t="s">
        <v>206</v>
      </c>
      <c r="C73" s="21" t="s">
        <v>219</v>
      </c>
      <c r="D73" s="32">
        <v>41745</v>
      </c>
      <c r="E73" s="21">
        <v>500</v>
      </c>
      <c r="F73" s="32">
        <v>41745</v>
      </c>
      <c r="G73" s="21">
        <v>500</v>
      </c>
      <c r="H73" s="33" t="s">
        <v>690</v>
      </c>
      <c r="I73" s="33" t="s">
        <v>37</v>
      </c>
    </row>
    <row r="74" spans="1:9">
      <c r="A74" s="32">
        <v>41751</v>
      </c>
      <c r="B74" s="21" t="s">
        <v>110</v>
      </c>
      <c r="C74" s="21" t="s">
        <v>220</v>
      </c>
      <c r="D74" s="32">
        <v>41751</v>
      </c>
      <c r="E74" s="21">
        <v>2409.75</v>
      </c>
      <c r="F74" s="32">
        <v>41751</v>
      </c>
      <c r="G74" s="21">
        <v>2409.75</v>
      </c>
      <c r="H74" s="33" t="s">
        <v>707</v>
      </c>
      <c r="I74" s="33" t="s">
        <v>37</v>
      </c>
    </row>
    <row r="75" spans="1:9">
      <c r="A75" s="32">
        <v>41751</v>
      </c>
      <c r="B75" s="21" t="s">
        <v>207</v>
      </c>
      <c r="C75" s="21" t="s">
        <v>221</v>
      </c>
      <c r="D75" s="32">
        <v>41751</v>
      </c>
      <c r="E75" s="21">
        <v>700</v>
      </c>
      <c r="F75" s="32">
        <v>41751</v>
      </c>
      <c r="G75" s="21">
        <v>700</v>
      </c>
      <c r="H75" s="33" t="s">
        <v>649</v>
      </c>
      <c r="I75" s="33" t="s">
        <v>37</v>
      </c>
    </row>
    <row r="76" spans="1:9" s="30" customFormat="1">
      <c r="A76" s="29">
        <v>41752</v>
      </c>
      <c r="B76" s="30" t="s">
        <v>208</v>
      </c>
      <c r="C76" s="30" t="s">
        <v>786</v>
      </c>
      <c r="D76" s="29">
        <v>41752</v>
      </c>
      <c r="E76" s="30">
        <v>1590</v>
      </c>
      <c r="F76" s="29">
        <v>41752</v>
      </c>
      <c r="G76" s="30">
        <v>1590</v>
      </c>
      <c r="H76" s="31" t="s">
        <v>707</v>
      </c>
      <c r="I76" s="31" t="s">
        <v>37</v>
      </c>
    </row>
    <row r="77" spans="1:9" s="30" customFormat="1">
      <c r="A77" s="29">
        <v>41752</v>
      </c>
      <c r="B77" s="30" t="s">
        <v>208</v>
      </c>
      <c r="C77" s="30" t="s">
        <v>787</v>
      </c>
      <c r="D77" s="29">
        <v>41752</v>
      </c>
      <c r="E77" s="30">
        <v>895</v>
      </c>
      <c r="F77" s="29">
        <v>41752</v>
      </c>
      <c r="G77" s="30">
        <v>895</v>
      </c>
      <c r="H77" s="31" t="s">
        <v>649</v>
      </c>
      <c r="I77" s="31" t="s">
        <v>37</v>
      </c>
    </row>
    <row r="78" spans="1:9" s="30" customFormat="1">
      <c r="A78" s="29">
        <v>41752</v>
      </c>
      <c r="B78" s="30" t="s">
        <v>208</v>
      </c>
      <c r="C78" s="30" t="s">
        <v>788</v>
      </c>
      <c r="D78" s="29">
        <v>41752</v>
      </c>
      <c r="E78" s="30">
        <v>895</v>
      </c>
      <c r="F78" s="29">
        <v>41752</v>
      </c>
      <c r="G78" s="30">
        <v>895</v>
      </c>
      <c r="H78" s="31" t="s">
        <v>653</v>
      </c>
      <c r="I78" s="31" t="s">
        <v>37</v>
      </c>
    </row>
    <row r="79" spans="1:9">
      <c r="A79" s="32">
        <v>41752</v>
      </c>
      <c r="B79" s="21" t="s">
        <v>209</v>
      </c>
      <c r="C79" s="21" t="s">
        <v>222</v>
      </c>
      <c r="D79" s="32">
        <v>41752</v>
      </c>
      <c r="E79" s="21">
        <v>895</v>
      </c>
      <c r="F79" s="32">
        <v>41752</v>
      </c>
      <c r="G79" s="21">
        <v>895</v>
      </c>
      <c r="H79" s="33" t="s">
        <v>717</v>
      </c>
      <c r="I79" s="33" t="s">
        <v>37</v>
      </c>
    </row>
    <row r="80" spans="1:9">
      <c r="A80" s="32">
        <v>41754</v>
      </c>
      <c r="B80" s="21" t="s">
        <v>210</v>
      </c>
      <c r="C80" s="21" t="s">
        <v>223</v>
      </c>
      <c r="D80" s="32">
        <v>41754</v>
      </c>
      <c r="E80" s="21">
        <v>795</v>
      </c>
      <c r="F80" s="32">
        <v>41754</v>
      </c>
      <c r="G80" s="21">
        <v>795</v>
      </c>
      <c r="H80" s="33" t="s">
        <v>707</v>
      </c>
      <c r="I80" s="33" t="s">
        <v>37</v>
      </c>
    </row>
    <row r="81" spans="1:9">
      <c r="A81" s="32">
        <v>41757</v>
      </c>
      <c r="B81" s="21" t="s">
        <v>128</v>
      </c>
      <c r="C81" s="21" t="s">
        <v>224</v>
      </c>
      <c r="D81" s="32">
        <v>41757</v>
      </c>
      <c r="E81" s="21">
        <v>700</v>
      </c>
      <c r="F81" s="32">
        <v>41757</v>
      </c>
      <c r="G81" s="21">
        <v>700</v>
      </c>
      <c r="H81" s="33" t="s">
        <v>653</v>
      </c>
      <c r="I81" s="33" t="s">
        <v>37</v>
      </c>
    </row>
    <row r="82" spans="1:9">
      <c r="A82" s="32">
        <v>41757</v>
      </c>
      <c r="B82" s="21" t="s">
        <v>211</v>
      </c>
      <c r="C82" s="21" t="s">
        <v>225</v>
      </c>
      <c r="D82" s="32">
        <v>41757</v>
      </c>
      <c r="E82" s="21">
        <v>3997</v>
      </c>
      <c r="F82" s="32">
        <v>41757</v>
      </c>
      <c r="G82" s="21">
        <v>3997</v>
      </c>
      <c r="H82" s="33" t="s">
        <v>662</v>
      </c>
      <c r="I82" s="33" t="s">
        <v>569</v>
      </c>
    </row>
    <row r="83" spans="1:9">
      <c r="A83" s="32">
        <v>41759</v>
      </c>
      <c r="B83" s="21" t="s">
        <v>212</v>
      </c>
      <c r="C83" s="21" t="s">
        <v>226</v>
      </c>
      <c r="D83" s="32">
        <v>41759</v>
      </c>
      <c r="E83" s="21">
        <v>1445</v>
      </c>
      <c r="F83" s="32">
        <v>41759</v>
      </c>
      <c r="G83" s="21">
        <v>1445</v>
      </c>
      <c r="H83" s="33" t="s">
        <v>700</v>
      </c>
      <c r="I83" s="33" t="s">
        <v>565</v>
      </c>
    </row>
    <row r="84" spans="1:9">
      <c r="A84" s="32">
        <v>41761</v>
      </c>
      <c r="B84" s="21" t="s">
        <v>227</v>
      </c>
      <c r="C84" s="21" t="s">
        <v>237</v>
      </c>
      <c r="D84" s="32">
        <v>41761</v>
      </c>
      <c r="E84" s="21">
        <v>1593</v>
      </c>
      <c r="F84" s="32">
        <v>41761</v>
      </c>
      <c r="G84" s="21">
        <v>1593</v>
      </c>
      <c r="H84" s="33" t="s">
        <v>710</v>
      </c>
      <c r="I84" s="33" t="s">
        <v>573</v>
      </c>
    </row>
    <row r="85" spans="1:9">
      <c r="A85" s="32">
        <v>41766</v>
      </c>
      <c r="B85" s="21" t="s">
        <v>228</v>
      </c>
      <c r="C85" s="21" t="s">
        <v>238</v>
      </c>
      <c r="D85" s="32">
        <v>41766</v>
      </c>
      <c r="E85" s="21">
        <v>2685</v>
      </c>
      <c r="F85" s="32">
        <v>41766</v>
      </c>
      <c r="G85" s="21">
        <v>2685</v>
      </c>
      <c r="H85" s="33" t="s">
        <v>724</v>
      </c>
      <c r="I85" s="33" t="s">
        <v>37</v>
      </c>
    </row>
    <row r="86" spans="1:9" s="30" customFormat="1">
      <c r="A86" s="29">
        <v>41768</v>
      </c>
      <c r="B86" s="30" t="s">
        <v>229</v>
      </c>
      <c r="C86" s="30" t="s">
        <v>789</v>
      </c>
      <c r="D86" s="29">
        <v>41768</v>
      </c>
      <c r="E86" s="30">
        <v>1790</v>
      </c>
      <c r="F86" s="29">
        <v>41768</v>
      </c>
      <c r="G86" s="30">
        <v>1790</v>
      </c>
      <c r="H86" s="31" t="s">
        <v>794</v>
      </c>
      <c r="I86" s="31" t="s">
        <v>37</v>
      </c>
    </row>
    <row r="87" spans="1:9" s="30" customFormat="1">
      <c r="A87" s="29">
        <v>41768</v>
      </c>
      <c r="B87" s="30" t="s">
        <v>229</v>
      </c>
      <c r="C87" s="30" t="s">
        <v>790</v>
      </c>
      <c r="D87" s="29">
        <v>41768</v>
      </c>
      <c r="E87" s="30">
        <v>840</v>
      </c>
      <c r="F87" s="29">
        <v>41768</v>
      </c>
      <c r="G87" s="30">
        <v>840</v>
      </c>
      <c r="H87" s="31" t="s">
        <v>683</v>
      </c>
      <c r="I87" s="31" t="s">
        <v>37</v>
      </c>
    </row>
    <row r="88" spans="1:9">
      <c r="A88" s="32">
        <v>41771</v>
      </c>
      <c r="B88" s="21" t="s">
        <v>110</v>
      </c>
      <c r="C88" s="21" t="s">
        <v>239</v>
      </c>
      <c r="D88" s="32">
        <v>41771</v>
      </c>
      <c r="E88" s="21">
        <v>8835.75</v>
      </c>
      <c r="F88" s="32">
        <v>41771</v>
      </c>
      <c r="G88" s="21">
        <v>8835.75</v>
      </c>
      <c r="H88" s="33" t="s">
        <v>707</v>
      </c>
      <c r="I88" s="33" t="s">
        <v>37</v>
      </c>
    </row>
    <row r="89" spans="1:9">
      <c r="A89" s="32">
        <v>41771</v>
      </c>
      <c r="B89" s="21" t="s">
        <v>230</v>
      </c>
      <c r="C89" s="21" t="s">
        <v>240</v>
      </c>
      <c r="D89" s="32">
        <v>41771</v>
      </c>
      <c r="E89" s="21">
        <v>1790</v>
      </c>
      <c r="F89" s="32">
        <v>41771</v>
      </c>
      <c r="G89" s="21">
        <v>1790</v>
      </c>
      <c r="H89" s="33" t="s">
        <v>795</v>
      </c>
      <c r="I89" s="33" t="s">
        <v>37</v>
      </c>
    </row>
    <row r="90" spans="1:9">
      <c r="A90" s="32">
        <v>41775</v>
      </c>
      <c r="B90" s="21" t="s">
        <v>168</v>
      </c>
      <c r="C90" s="21" t="s">
        <v>241</v>
      </c>
      <c r="D90" s="32">
        <v>41775</v>
      </c>
      <c r="E90" s="21">
        <v>895</v>
      </c>
      <c r="F90" s="32">
        <v>41775</v>
      </c>
      <c r="G90" s="21">
        <v>895</v>
      </c>
      <c r="H90" s="33" t="s">
        <v>663</v>
      </c>
      <c r="I90" s="33" t="s">
        <v>573</v>
      </c>
    </row>
    <row r="91" spans="1:9">
      <c r="A91" s="32">
        <v>41775</v>
      </c>
      <c r="B91" s="21" t="s">
        <v>168</v>
      </c>
      <c r="C91" s="21" t="s">
        <v>242</v>
      </c>
      <c r="D91" s="32">
        <v>41775</v>
      </c>
      <c r="E91" s="21">
        <v>677.64</v>
      </c>
      <c r="F91" s="32">
        <v>41775</v>
      </c>
      <c r="G91" s="21">
        <v>677.64</v>
      </c>
      <c r="H91" s="33" t="s">
        <v>796</v>
      </c>
      <c r="I91" s="33" t="s">
        <v>573</v>
      </c>
    </row>
    <row r="92" spans="1:9">
      <c r="A92" s="32">
        <v>41775</v>
      </c>
      <c r="B92" s="21" t="s">
        <v>231</v>
      </c>
      <c r="C92" s="21" t="s">
        <v>243</v>
      </c>
      <c r="D92" s="32">
        <v>41775</v>
      </c>
      <c r="E92" s="21">
        <v>800</v>
      </c>
      <c r="F92" s="32">
        <v>41775</v>
      </c>
      <c r="G92" s="21">
        <v>800</v>
      </c>
      <c r="H92" s="33" t="s">
        <v>707</v>
      </c>
      <c r="I92" s="33" t="s">
        <v>37</v>
      </c>
    </row>
    <row r="93" spans="1:9">
      <c r="A93" s="32">
        <v>41779</v>
      </c>
      <c r="B93" s="21" t="s">
        <v>232</v>
      </c>
      <c r="C93" s="21" t="s">
        <v>244</v>
      </c>
      <c r="D93" s="32">
        <v>41779</v>
      </c>
      <c r="E93" s="21">
        <v>1500</v>
      </c>
      <c r="F93" s="32">
        <v>41779</v>
      </c>
      <c r="G93" s="21">
        <v>1500</v>
      </c>
      <c r="H93" s="33" t="s">
        <v>659</v>
      </c>
      <c r="I93" s="33" t="s">
        <v>37</v>
      </c>
    </row>
    <row r="94" spans="1:9">
      <c r="A94" s="32">
        <v>41780</v>
      </c>
      <c r="B94" s="21" t="s">
        <v>233</v>
      </c>
      <c r="C94" s="21" t="s">
        <v>245</v>
      </c>
      <c r="D94" s="32">
        <v>41780</v>
      </c>
      <c r="E94" s="21">
        <v>190107.23</v>
      </c>
      <c r="F94" s="32">
        <v>41780</v>
      </c>
      <c r="G94" s="21">
        <v>190107.23</v>
      </c>
      <c r="H94" s="33" t="s">
        <v>694</v>
      </c>
      <c r="I94" s="33" t="s">
        <v>37</v>
      </c>
    </row>
    <row r="95" spans="1:9">
      <c r="A95" s="32">
        <v>41782</v>
      </c>
      <c r="B95" s="21" t="s">
        <v>234</v>
      </c>
      <c r="C95" s="21" t="s">
        <v>246</v>
      </c>
      <c r="D95" s="32">
        <v>41782</v>
      </c>
      <c r="E95" s="21">
        <v>895</v>
      </c>
      <c r="F95" s="32">
        <v>41782</v>
      </c>
      <c r="G95" s="21">
        <v>895</v>
      </c>
      <c r="H95" s="33" t="s">
        <v>685</v>
      </c>
      <c r="I95" s="33" t="s">
        <v>37</v>
      </c>
    </row>
    <row r="96" spans="1:9" s="30" customFormat="1">
      <c r="A96" s="29">
        <v>41786</v>
      </c>
      <c r="B96" s="30" t="s">
        <v>235</v>
      </c>
      <c r="C96" s="30" t="s">
        <v>791</v>
      </c>
      <c r="D96" s="29">
        <v>41786</v>
      </c>
      <c r="E96" s="30">
        <v>895</v>
      </c>
      <c r="F96" s="29">
        <v>41786</v>
      </c>
      <c r="G96" s="30">
        <v>895</v>
      </c>
      <c r="H96" s="31" t="s">
        <v>652</v>
      </c>
      <c r="I96" s="31" t="s">
        <v>37</v>
      </c>
    </row>
    <row r="97" spans="1:9" s="30" customFormat="1">
      <c r="A97" s="29">
        <v>41786</v>
      </c>
      <c r="B97" s="30" t="s">
        <v>235</v>
      </c>
      <c r="C97" s="30" t="s">
        <v>792</v>
      </c>
      <c r="D97" s="29">
        <v>41786</v>
      </c>
      <c r="E97" s="30">
        <v>895</v>
      </c>
      <c r="F97" s="29">
        <v>41786</v>
      </c>
      <c r="G97" s="30">
        <v>895</v>
      </c>
      <c r="H97" s="31" t="s">
        <v>728</v>
      </c>
      <c r="I97" s="31" t="s">
        <v>37</v>
      </c>
    </row>
    <row r="98" spans="1:9">
      <c r="A98" s="32">
        <v>41789</v>
      </c>
      <c r="B98" s="21" t="s">
        <v>236</v>
      </c>
      <c r="C98" s="21" t="s">
        <v>247</v>
      </c>
      <c r="D98" s="32">
        <v>41789</v>
      </c>
      <c r="E98" s="21">
        <v>895</v>
      </c>
      <c r="F98" s="32">
        <v>41789</v>
      </c>
      <c r="G98" s="21">
        <v>895</v>
      </c>
      <c r="H98" s="33" t="s">
        <v>793</v>
      </c>
      <c r="I98" s="33" t="s">
        <v>37</v>
      </c>
    </row>
  </sheetData>
  <dataValidations count="3">
    <dataValidation type="list" allowBlank="1" showInputMessage="1" showErrorMessage="1" sqref="H4:H98">
      <formula1>Cliente</formula1>
    </dataValidation>
    <dataValidation type="list" allowBlank="1" showInputMessage="1" showErrorMessage="1" sqref="C2">
      <formula1>server</formula1>
    </dataValidation>
    <dataValidation type="list" allowBlank="1" showInputMessage="1" showErrorMessage="1" sqref="I4:I98">
      <formula1>Transacao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1"/>
  <dimension ref="A1:I301"/>
  <sheetViews>
    <sheetView zoomScale="85" zoomScaleNormal="8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14.85546875" style="2" bestFit="1" customWidth="1"/>
    <col min="2" max="2" width="18.5703125" customWidth="1"/>
    <col min="3" max="3" width="36.140625" customWidth="1"/>
    <col min="4" max="4" width="18.5703125" style="2" bestFit="1" customWidth="1"/>
    <col min="5" max="5" width="12.7109375" bestFit="1" customWidth="1"/>
    <col min="6" max="6" width="17.7109375" style="2" bestFit="1" customWidth="1"/>
    <col min="7" max="7" width="10" bestFit="1" customWidth="1"/>
    <col min="8" max="8" width="29.42578125" bestFit="1" customWidth="1"/>
    <col min="9" max="9" width="20.28515625" bestFit="1" customWidth="1"/>
    <col min="10" max="10" width="13" customWidth="1"/>
  </cols>
  <sheetData>
    <row r="1" spans="1:9">
      <c r="A1" s="4" t="s">
        <v>0</v>
      </c>
      <c r="B1" s="5" t="s">
        <v>2</v>
      </c>
      <c r="C1" s="5" t="s">
        <v>4</v>
      </c>
      <c r="D1" s="4" t="s">
        <v>6</v>
      </c>
      <c r="E1" s="5" t="s">
        <v>7</v>
      </c>
      <c r="F1" s="4" t="s">
        <v>8</v>
      </c>
      <c r="G1" s="5" t="s">
        <v>5</v>
      </c>
      <c r="H1" s="5" t="s">
        <v>33</v>
      </c>
    </row>
    <row r="2" spans="1:9">
      <c r="A2" s="14" t="str">
        <f>VLOOKUP(B2,ADM!A2:B9,2,FALSE)</f>
        <v>SQL Server</v>
      </c>
      <c r="B2" s="13" t="str">
        <f>VLOOKUP(C2,ADM!D1:H3,5,FALSE)</f>
        <v>SQL Server Native Client 10.0</v>
      </c>
      <c r="C2" s="3" t="s">
        <v>56</v>
      </c>
      <c r="D2" s="12" t="str">
        <f>VLOOKUP(C2,ADM!D1:G3,4,FALSE)</f>
        <v>kawaifilms3</v>
      </c>
      <c r="E2" s="13" t="str">
        <f>VLOOKUP(C2,ADM!D1:F3,2,FALSE)</f>
        <v>kawaifilms3</v>
      </c>
      <c r="F2" s="12" t="str">
        <f>VLOOKUP(C2,ADM!D1:F3,3,FALSE)</f>
        <v>Kw41L70N@@</v>
      </c>
      <c r="G2" s="3">
        <v>3306</v>
      </c>
      <c r="H2" s="3" t="s">
        <v>736</v>
      </c>
    </row>
    <row r="3" spans="1:9" s="7" customFormat="1">
      <c r="A3" s="6" t="s">
        <v>25</v>
      </c>
      <c r="B3" s="7" t="s">
        <v>23</v>
      </c>
      <c r="C3" s="7" t="s">
        <v>24</v>
      </c>
      <c r="D3" s="6" t="s">
        <v>26</v>
      </c>
      <c r="E3" s="7" t="s">
        <v>27</v>
      </c>
      <c r="F3" s="6" t="s">
        <v>28</v>
      </c>
      <c r="G3" s="7" t="s">
        <v>29</v>
      </c>
      <c r="H3" s="8" t="s">
        <v>22</v>
      </c>
      <c r="I3" s="8" t="s">
        <v>30</v>
      </c>
    </row>
    <row r="4" spans="1:9">
      <c r="A4" s="2">
        <v>41736</v>
      </c>
      <c r="B4" t="s">
        <v>437</v>
      </c>
      <c r="C4" t="s">
        <v>308</v>
      </c>
      <c r="D4" s="2">
        <v>41736</v>
      </c>
      <c r="E4" s="15">
        <v>3000</v>
      </c>
      <c r="F4" s="2">
        <v>41736</v>
      </c>
      <c r="G4" s="15">
        <v>3000</v>
      </c>
      <c r="H4" s="9" t="s">
        <v>591</v>
      </c>
      <c r="I4" s="9" t="s">
        <v>739</v>
      </c>
    </row>
    <row r="5" spans="1:9" s="17" customFormat="1">
      <c r="A5" s="39">
        <v>41690</v>
      </c>
      <c r="B5" s="17" t="s">
        <v>331</v>
      </c>
      <c r="C5" s="17" t="s">
        <v>363</v>
      </c>
      <c r="D5" s="39">
        <v>41690</v>
      </c>
      <c r="E5" s="40">
        <v>2000</v>
      </c>
      <c r="F5" s="39">
        <v>41690</v>
      </c>
      <c r="G5" s="40">
        <v>2000</v>
      </c>
      <c r="H5" s="41" t="s">
        <v>363</v>
      </c>
      <c r="I5" s="41" t="s">
        <v>363</v>
      </c>
    </row>
    <row r="6" spans="1:9">
      <c r="A6" s="2">
        <v>41690</v>
      </c>
      <c r="B6" t="s">
        <v>330</v>
      </c>
      <c r="C6" t="s">
        <v>356</v>
      </c>
      <c r="D6" s="2">
        <v>41690</v>
      </c>
      <c r="E6">
        <v>235</v>
      </c>
      <c r="F6" s="2">
        <v>41690</v>
      </c>
      <c r="G6">
        <v>235</v>
      </c>
      <c r="H6" s="9" t="s">
        <v>599</v>
      </c>
      <c r="I6" s="9" t="s">
        <v>82</v>
      </c>
    </row>
    <row r="7" spans="1:9">
      <c r="A7" s="2">
        <v>41788</v>
      </c>
      <c r="B7" t="s">
        <v>525</v>
      </c>
      <c r="C7" t="s">
        <v>531</v>
      </c>
      <c r="D7" s="2">
        <v>41788</v>
      </c>
      <c r="E7">
        <v>850</v>
      </c>
      <c r="F7" s="2">
        <v>41788</v>
      </c>
      <c r="G7">
        <v>850</v>
      </c>
      <c r="H7" s="9" t="s">
        <v>599</v>
      </c>
      <c r="I7" s="9" t="s">
        <v>82</v>
      </c>
    </row>
    <row r="8" spans="1:9">
      <c r="A8" s="2">
        <v>41754</v>
      </c>
      <c r="B8" t="s">
        <v>456</v>
      </c>
      <c r="C8" t="s">
        <v>356</v>
      </c>
      <c r="D8" s="2">
        <v>41754</v>
      </c>
      <c r="E8">
        <v>800</v>
      </c>
      <c r="F8" s="2">
        <v>41754</v>
      </c>
      <c r="G8">
        <v>800</v>
      </c>
      <c r="H8" s="9" t="s">
        <v>599</v>
      </c>
      <c r="I8" s="9" t="s">
        <v>82</v>
      </c>
    </row>
    <row r="9" spans="1:9">
      <c r="A9" s="2">
        <v>41773</v>
      </c>
      <c r="B9" t="s">
        <v>510</v>
      </c>
      <c r="C9" t="s">
        <v>531</v>
      </c>
      <c r="D9" s="2">
        <v>41773</v>
      </c>
      <c r="E9">
        <v>500</v>
      </c>
      <c r="F9" s="2">
        <v>41773</v>
      </c>
      <c r="G9">
        <v>500</v>
      </c>
      <c r="H9" s="9" t="s">
        <v>599</v>
      </c>
      <c r="I9" s="9" t="s">
        <v>82</v>
      </c>
    </row>
    <row r="10" spans="1:9">
      <c r="A10" s="2">
        <v>41779</v>
      </c>
      <c r="B10" t="s">
        <v>514</v>
      </c>
      <c r="C10" t="s">
        <v>531</v>
      </c>
      <c r="D10" s="2">
        <v>41779</v>
      </c>
      <c r="E10">
        <v>330</v>
      </c>
      <c r="F10" s="2">
        <v>41779</v>
      </c>
      <c r="G10">
        <v>330</v>
      </c>
      <c r="H10" s="9" t="s">
        <v>599</v>
      </c>
      <c r="I10" s="9" t="s">
        <v>82</v>
      </c>
    </row>
    <row r="11" spans="1:9">
      <c r="A11" s="2">
        <v>41716</v>
      </c>
      <c r="B11" t="s">
        <v>382</v>
      </c>
      <c r="C11" t="s">
        <v>356</v>
      </c>
      <c r="D11" s="2">
        <v>41716</v>
      </c>
      <c r="E11">
        <v>200</v>
      </c>
      <c r="F11" s="2">
        <v>41716</v>
      </c>
      <c r="G11">
        <v>200</v>
      </c>
      <c r="H11" s="9" t="s">
        <v>599</v>
      </c>
      <c r="I11" s="9" t="s">
        <v>82</v>
      </c>
    </row>
    <row r="12" spans="1:9">
      <c r="A12" s="2">
        <v>41634</v>
      </c>
      <c r="B12" t="s">
        <v>73</v>
      </c>
      <c r="C12" t="s">
        <v>94</v>
      </c>
      <c r="D12" s="2">
        <v>41634</v>
      </c>
      <c r="E12">
        <v>450</v>
      </c>
      <c r="F12" s="2">
        <v>41634</v>
      </c>
      <c r="G12">
        <v>450</v>
      </c>
      <c r="H12" s="9" t="s">
        <v>591</v>
      </c>
      <c r="I12" s="9" t="s">
        <v>739</v>
      </c>
    </row>
    <row r="13" spans="1:9">
      <c r="A13" s="2">
        <v>41736</v>
      </c>
      <c r="B13" t="s">
        <v>438</v>
      </c>
      <c r="C13" t="s">
        <v>308</v>
      </c>
      <c r="D13" s="2">
        <v>41736</v>
      </c>
      <c r="E13">
        <v>300</v>
      </c>
      <c r="F13" s="2">
        <v>41736</v>
      </c>
      <c r="G13">
        <v>300</v>
      </c>
      <c r="H13" s="9" t="s">
        <v>591</v>
      </c>
      <c r="I13" s="9" t="s">
        <v>739</v>
      </c>
    </row>
    <row r="14" spans="1:9">
      <c r="A14" s="2">
        <v>41736</v>
      </c>
      <c r="B14" t="s">
        <v>439</v>
      </c>
      <c r="C14" t="s">
        <v>308</v>
      </c>
      <c r="D14" s="2">
        <v>41736</v>
      </c>
      <c r="E14">
        <v>300</v>
      </c>
      <c r="F14" s="2">
        <v>41736</v>
      </c>
      <c r="G14">
        <v>300</v>
      </c>
      <c r="H14" s="9" t="s">
        <v>591</v>
      </c>
      <c r="I14" s="9" t="s">
        <v>739</v>
      </c>
    </row>
    <row r="15" spans="1:9">
      <c r="A15" s="2">
        <v>41723</v>
      </c>
      <c r="B15" t="s">
        <v>388</v>
      </c>
      <c r="C15" t="s">
        <v>419</v>
      </c>
      <c r="D15" s="2">
        <v>41723</v>
      </c>
      <c r="E15">
        <v>400</v>
      </c>
      <c r="F15" s="2">
        <v>41723</v>
      </c>
      <c r="G15">
        <v>400</v>
      </c>
      <c r="H15" s="9" t="s">
        <v>591</v>
      </c>
      <c r="I15" s="9" t="s">
        <v>739</v>
      </c>
    </row>
    <row r="16" spans="1:9">
      <c r="A16" s="2">
        <v>41705</v>
      </c>
      <c r="B16" t="s">
        <v>378</v>
      </c>
      <c r="C16" t="s">
        <v>356</v>
      </c>
      <c r="D16" s="2">
        <v>41705</v>
      </c>
      <c r="E16">
        <v>100</v>
      </c>
      <c r="F16" s="2">
        <v>41705</v>
      </c>
      <c r="G16">
        <v>100</v>
      </c>
      <c r="H16" s="9" t="s">
        <v>591</v>
      </c>
      <c r="I16" s="9" t="s">
        <v>739</v>
      </c>
    </row>
    <row r="17" spans="1:9">
      <c r="A17" s="2">
        <v>41656</v>
      </c>
      <c r="B17" t="s">
        <v>270</v>
      </c>
      <c r="C17" t="s">
        <v>308</v>
      </c>
      <c r="D17" s="2">
        <v>41656</v>
      </c>
      <c r="E17">
        <v>200</v>
      </c>
      <c r="F17" s="2">
        <v>41656</v>
      </c>
      <c r="G17">
        <v>200</v>
      </c>
      <c r="H17" s="9" t="s">
        <v>591</v>
      </c>
      <c r="I17" s="9" t="s">
        <v>739</v>
      </c>
    </row>
    <row r="18" spans="1:9">
      <c r="A18" s="2">
        <v>41691</v>
      </c>
      <c r="B18" t="s">
        <v>333</v>
      </c>
      <c r="C18" t="s">
        <v>356</v>
      </c>
      <c r="D18" s="2">
        <v>41691</v>
      </c>
      <c r="E18">
        <v>500</v>
      </c>
      <c r="F18" s="2">
        <v>41691</v>
      </c>
      <c r="G18">
        <v>500</v>
      </c>
      <c r="H18" s="9" t="s">
        <v>599</v>
      </c>
      <c r="I18" s="9" t="s">
        <v>82</v>
      </c>
    </row>
    <row r="19" spans="1:9">
      <c r="A19" s="2">
        <v>41730</v>
      </c>
      <c r="B19" t="s">
        <v>428</v>
      </c>
      <c r="C19" t="s">
        <v>308</v>
      </c>
      <c r="D19" s="2">
        <v>41730</v>
      </c>
      <c r="E19">
        <v>700</v>
      </c>
      <c r="F19" s="2">
        <v>41730</v>
      </c>
      <c r="G19">
        <v>700</v>
      </c>
      <c r="H19" s="9" t="s">
        <v>591</v>
      </c>
      <c r="I19" s="9" t="s">
        <v>739</v>
      </c>
    </row>
    <row r="20" spans="1:9">
      <c r="A20" s="2">
        <v>41724</v>
      </c>
      <c r="B20" t="s">
        <v>393</v>
      </c>
      <c r="C20" t="s">
        <v>419</v>
      </c>
      <c r="D20" s="2">
        <v>41724</v>
      </c>
      <c r="E20">
        <v>700</v>
      </c>
      <c r="F20" s="2">
        <v>41724</v>
      </c>
      <c r="G20">
        <v>700</v>
      </c>
      <c r="H20" s="9" t="s">
        <v>591</v>
      </c>
      <c r="I20" s="9" t="s">
        <v>739</v>
      </c>
    </row>
    <row r="21" spans="1:9">
      <c r="A21" s="2">
        <v>41666</v>
      </c>
      <c r="B21" t="s">
        <v>276</v>
      </c>
      <c r="C21" t="s">
        <v>308</v>
      </c>
      <c r="D21" s="2">
        <v>41666</v>
      </c>
      <c r="E21">
        <v>700</v>
      </c>
      <c r="F21" s="2">
        <v>41666</v>
      </c>
      <c r="G21">
        <v>700</v>
      </c>
      <c r="H21" s="9" t="s">
        <v>591</v>
      </c>
      <c r="I21" s="9" t="s">
        <v>739</v>
      </c>
    </row>
    <row r="22" spans="1:9">
      <c r="A22" s="2">
        <v>41778</v>
      </c>
      <c r="B22" t="s">
        <v>512</v>
      </c>
      <c r="C22" t="s">
        <v>94</v>
      </c>
      <c r="D22" s="2">
        <v>41778</v>
      </c>
      <c r="E22">
        <v>400</v>
      </c>
      <c r="F22" s="2">
        <v>41778</v>
      </c>
      <c r="G22">
        <v>400</v>
      </c>
      <c r="H22" s="9" t="s">
        <v>591</v>
      </c>
      <c r="I22" s="9" t="s">
        <v>739</v>
      </c>
    </row>
    <row r="23" spans="1:9">
      <c r="A23" s="2">
        <v>41759</v>
      </c>
      <c r="B23" t="s">
        <v>461</v>
      </c>
      <c r="C23" t="s">
        <v>503</v>
      </c>
      <c r="D23" s="2">
        <v>41759</v>
      </c>
      <c r="E23">
        <v>438.38</v>
      </c>
      <c r="F23" s="2">
        <v>41759</v>
      </c>
      <c r="G23">
        <v>438.38</v>
      </c>
      <c r="H23" s="9" t="s">
        <v>619</v>
      </c>
      <c r="I23" s="9" t="s">
        <v>566</v>
      </c>
    </row>
    <row r="24" spans="1:9">
      <c r="A24" s="2">
        <v>41789</v>
      </c>
      <c r="B24" t="s">
        <v>461</v>
      </c>
      <c r="C24" t="s">
        <v>563</v>
      </c>
      <c r="D24" s="2">
        <v>41789</v>
      </c>
      <c r="E24">
        <v>441.98</v>
      </c>
      <c r="F24" s="2">
        <v>41789</v>
      </c>
      <c r="G24">
        <v>441.98</v>
      </c>
      <c r="H24" s="9" t="s">
        <v>756</v>
      </c>
      <c r="I24" s="9" t="s">
        <v>566</v>
      </c>
    </row>
    <row r="25" spans="1:9">
      <c r="A25" s="2">
        <v>41704</v>
      </c>
      <c r="B25" t="s">
        <v>376</v>
      </c>
      <c r="C25" t="s">
        <v>402</v>
      </c>
      <c r="D25" s="2">
        <v>41704</v>
      </c>
      <c r="E25">
        <v>644.36</v>
      </c>
      <c r="F25" s="2">
        <v>41704</v>
      </c>
      <c r="G25">
        <v>644.36</v>
      </c>
      <c r="H25" s="9" t="s">
        <v>598</v>
      </c>
      <c r="I25" s="9" t="s">
        <v>568</v>
      </c>
    </row>
    <row r="26" spans="1:9">
      <c r="A26" s="2">
        <v>41666</v>
      </c>
      <c r="B26" t="s">
        <v>277</v>
      </c>
      <c r="C26" t="s">
        <v>317</v>
      </c>
      <c r="D26" s="2">
        <v>41666</v>
      </c>
      <c r="E26">
        <v>318</v>
      </c>
      <c r="F26" s="2">
        <v>41666</v>
      </c>
      <c r="G26">
        <v>318</v>
      </c>
      <c r="H26" s="9" t="s">
        <v>749</v>
      </c>
      <c r="I26" s="9" t="s">
        <v>568</v>
      </c>
    </row>
    <row r="27" spans="1:9">
      <c r="A27" s="2">
        <v>41743</v>
      </c>
      <c r="B27" t="s">
        <v>449</v>
      </c>
      <c r="C27" t="s">
        <v>481</v>
      </c>
      <c r="D27" s="2">
        <v>41743</v>
      </c>
      <c r="E27">
        <v>900</v>
      </c>
      <c r="F27" s="2">
        <v>41743</v>
      </c>
      <c r="G27">
        <v>900</v>
      </c>
      <c r="H27" s="9" t="s">
        <v>757</v>
      </c>
      <c r="I27" s="9" t="s">
        <v>568</v>
      </c>
    </row>
    <row r="28" spans="1:9">
      <c r="A28" s="2">
        <v>41764</v>
      </c>
      <c r="B28" t="s">
        <v>504</v>
      </c>
      <c r="C28" t="s">
        <v>528</v>
      </c>
      <c r="D28" s="2">
        <v>41764</v>
      </c>
      <c r="E28">
        <v>973.58</v>
      </c>
      <c r="F28" s="2">
        <v>41764</v>
      </c>
      <c r="G28">
        <v>973.58</v>
      </c>
      <c r="H28" s="9" t="s">
        <v>44</v>
      </c>
      <c r="I28" s="9" t="s">
        <v>568</v>
      </c>
    </row>
    <row r="29" spans="1:9">
      <c r="A29" s="2">
        <v>41736</v>
      </c>
      <c r="B29" t="s">
        <v>442</v>
      </c>
      <c r="C29" t="s">
        <v>472</v>
      </c>
      <c r="D29" s="2">
        <v>41736</v>
      </c>
      <c r="E29">
        <v>200</v>
      </c>
      <c r="F29" s="2">
        <v>41736</v>
      </c>
      <c r="G29">
        <v>200</v>
      </c>
      <c r="H29" s="9" t="s">
        <v>758</v>
      </c>
      <c r="I29" s="9" t="s">
        <v>568</v>
      </c>
    </row>
    <row r="30" spans="1:9">
      <c r="A30" s="2">
        <v>41730</v>
      </c>
      <c r="B30" t="s">
        <v>430</v>
      </c>
      <c r="C30" t="s">
        <v>464</v>
      </c>
      <c r="D30" s="2">
        <v>41730</v>
      </c>
      <c r="E30">
        <v>154</v>
      </c>
      <c r="F30" s="2">
        <v>41730</v>
      </c>
      <c r="G30">
        <v>154</v>
      </c>
      <c r="H30" s="9" t="s">
        <v>44</v>
      </c>
      <c r="I30" s="9" t="s">
        <v>568</v>
      </c>
    </row>
    <row r="31" spans="1:9">
      <c r="A31" s="2">
        <v>41730</v>
      </c>
      <c r="B31" t="s">
        <v>431</v>
      </c>
      <c r="C31" t="s">
        <v>465</v>
      </c>
      <c r="D31" s="2">
        <v>41730</v>
      </c>
      <c r="E31">
        <v>330</v>
      </c>
      <c r="F31" s="2">
        <v>41730</v>
      </c>
      <c r="G31">
        <v>330</v>
      </c>
      <c r="H31" s="9" t="s">
        <v>44</v>
      </c>
      <c r="I31" s="9" t="s">
        <v>568</v>
      </c>
    </row>
    <row r="32" spans="1:9">
      <c r="A32" s="2">
        <v>41723</v>
      </c>
      <c r="B32" t="s">
        <v>391</v>
      </c>
      <c r="C32" t="s">
        <v>421</v>
      </c>
      <c r="D32" s="2">
        <v>41723</v>
      </c>
      <c r="E32">
        <v>486.5</v>
      </c>
      <c r="F32" s="2">
        <v>41723</v>
      </c>
      <c r="G32">
        <v>486.5</v>
      </c>
      <c r="H32" s="9" t="s">
        <v>44</v>
      </c>
      <c r="I32" s="9" t="s">
        <v>568</v>
      </c>
    </row>
    <row r="33" spans="1:9">
      <c r="A33" s="2">
        <v>41680</v>
      </c>
      <c r="B33" t="s">
        <v>326</v>
      </c>
      <c r="C33" t="s">
        <v>354</v>
      </c>
      <c r="D33" s="2">
        <v>41680</v>
      </c>
      <c r="E33" s="15">
        <v>1225</v>
      </c>
      <c r="F33" s="2">
        <v>41680</v>
      </c>
      <c r="G33" s="15">
        <v>1225</v>
      </c>
      <c r="H33" s="9" t="s">
        <v>44</v>
      </c>
      <c r="I33" s="9" t="s">
        <v>568</v>
      </c>
    </row>
    <row r="34" spans="1:9">
      <c r="A34" s="2">
        <v>41676</v>
      </c>
      <c r="B34" t="s">
        <v>325</v>
      </c>
      <c r="C34" t="s">
        <v>350</v>
      </c>
      <c r="D34" s="2">
        <v>41676</v>
      </c>
      <c r="E34">
        <v>644.36</v>
      </c>
      <c r="F34" s="2">
        <v>41676</v>
      </c>
      <c r="G34">
        <v>644.36</v>
      </c>
      <c r="H34" s="9" t="s">
        <v>598</v>
      </c>
      <c r="I34" s="9" t="s">
        <v>568</v>
      </c>
    </row>
    <row r="35" spans="1:9">
      <c r="A35" s="2">
        <v>41645</v>
      </c>
      <c r="B35" t="s">
        <v>251</v>
      </c>
      <c r="C35" t="s">
        <v>286</v>
      </c>
      <c r="D35" s="2">
        <v>41645</v>
      </c>
      <c r="E35" s="15">
        <v>1040</v>
      </c>
      <c r="F35" s="2">
        <v>41645</v>
      </c>
      <c r="G35" s="15">
        <v>1040</v>
      </c>
      <c r="H35" s="9" t="s">
        <v>44</v>
      </c>
      <c r="I35" s="9" t="s">
        <v>568</v>
      </c>
    </row>
    <row r="36" spans="1:9">
      <c r="A36" s="2">
        <v>41703</v>
      </c>
      <c r="B36" t="s">
        <v>374</v>
      </c>
      <c r="C36" t="s">
        <v>396</v>
      </c>
      <c r="D36" s="2">
        <v>41703</v>
      </c>
      <c r="E36">
        <v>618.33000000000004</v>
      </c>
      <c r="F36" s="2">
        <v>41703</v>
      </c>
      <c r="G36">
        <v>618.33000000000004</v>
      </c>
      <c r="H36" s="9" t="s">
        <v>44</v>
      </c>
      <c r="I36" s="9" t="s">
        <v>568</v>
      </c>
    </row>
    <row r="37" spans="1:9">
      <c r="A37" s="2">
        <v>41767</v>
      </c>
      <c r="B37" t="s">
        <v>508</v>
      </c>
      <c r="C37" t="s">
        <v>534</v>
      </c>
      <c r="D37" s="2">
        <v>41767</v>
      </c>
      <c r="E37">
        <v>644.36</v>
      </c>
      <c r="F37" s="2">
        <v>41767</v>
      </c>
      <c r="G37">
        <v>644.36</v>
      </c>
      <c r="H37" s="9" t="s">
        <v>598</v>
      </c>
      <c r="I37" s="9" t="s">
        <v>568</v>
      </c>
    </row>
    <row r="38" spans="1:9">
      <c r="A38" s="2">
        <v>41647</v>
      </c>
      <c r="B38" t="s">
        <v>256</v>
      </c>
      <c r="C38" t="s">
        <v>292</v>
      </c>
      <c r="D38" s="2">
        <v>41647</v>
      </c>
      <c r="E38">
        <v>603.41999999999996</v>
      </c>
      <c r="F38" s="2">
        <v>41647</v>
      </c>
      <c r="G38">
        <v>603.41999999999996</v>
      </c>
      <c r="H38" s="9" t="s">
        <v>598</v>
      </c>
      <c r="I38" s="9" t="s">
        <v>568</v>
      </c>
    </row>
    <row r="39" spans="1:9">
      <c r="A39" s="2">
        <v>41647</v>
      </c>
      <c r="B39" t="s">
        <v>257</v>
      </c>
      <c r="C39" t="s">
        <v>293</v>
      </c>
      <c r="D39" s="2">
        <v>41647</v>
      </c>
      <c r="E39" s="15">
        <v>1000</v>
      </c>
      <c r="F39" s="2">
        <v>41647</v>
      </c>
      <c r="G39" s="15">
        <v>1000</v>
      </c>
      <c r="H39" s="9" t="s">
        <v>741</v>
      </c>
      <c r="I39" s="9" t="s">
        <v>568</v>
      </c>
    </row>
    <row r="40" spans="1:9">
      <c r="A40" s="2">
        <v>41674</v>
      </c>
      <c r="B40" t="s">
        <v>322</v>
      </c>
      <c r="C40" t="s">
        <v>341</v>
      </c>
      <c r="D40" s="2">
        <v>41674</v>
      </c>
      <c r="E40" s="15">
        <v>1066.5</v>
      </c>
      <c r="F40" s="2">
        <v>41674</v>
      </c>
      <c r="G40" s="15">
        <v>1066.5</v>
      </c>
      <c r="H40" s="9" t="s">
        <v>44</v>
      </c>
      <c r="I40" s="9" t="s">
        <v>568</v>
      </c>
    </row>
    <row r="41" spans="1:9">
      <c r="A41" s="2">
        <v>41647</v>
      </c>
      <c r="B41" t="s">
        <v>259</v>
      </c>
      <c r="C41" t="s">
        <v>296</v>
      </c>
      <c r="D41" s="2">
        <v>41647</v>
      </c>
      <c r="E41">
        <v>340.02</v>
      </c>
      <c r="F41" s="2">
        <v>41647</v>
      </c>
      <c r="G41">
        <v>340.02</v>
      </c>
      <c r="H41" s="9" t="s">
        <v>46</v>
      </c>
      <c r="I41" s="9" t="s">
        <v>37</v>
      </c>
    </row>
    <row r="42" spans="1:9">
      <c r="A42" s="2">
        <v>41674</v>
      </c>
      <c r="B42" t="s">
        <v>259</v>
      </c>
      <c r="C42" t="s">
        <v>344</v>
      </c>
      <c r="D42" s="2">
        <v>41674</v>
      </c>
      <c r="E42">
        <v>226.46</v>
      </c>
      <c r="F42" s="2">
        <v>41674</v>
      </c>
      <c r="G42">
        <v>226.46</v>
      </c>
      <c r="H42" s="9" t="s">
        <v>46</v>
      </c>
      <c r="I42" s="9" t="s">
        <v>37</v>
      </c>
    </row>
    <row r="43" spans="1:9">
      <c r="A43" s="2">
        <v>41710</v>
      </c>
      <c r="B43" t="s">
        <v>259</v>
      </c>
      <c r="C43" t="s">
        <v>411</v>
      </c>
      <c r="D43" s="2">
        <v>41710</v>
      </c>
      <c r="E43">
        <v>236.11</v>
      </c>
      <c r="F43" s="2">
        <v>41710</v>
      </c>
      <c r="G43">
        <v>236.11</v>
      </c>
      <c r="H43" s="9" t="s">
        <v>46</v>
      </c>
      <c r="I43" s="9" t="s">
        <v>37</v>
      </c>
    </row>
    <row r="44" spans="1:9">
      <c r="A44" s="2">
        <v>41725</v>
      </c>
      <c r="B44" t="s">
        <v>259</v>
      </c>
      <c r="C44" t="s">
        <v>425</v>
      </c>
      <c r="D44" s="2">
        <v>41725</v>
      </c>
      <c r="E44">
        <v>354.1</v>
      </c>
      <c r="F44" s="2">
        <v>41725</v>
      </c>
      <c r="G44">
        <v>354.1</v>
      </c>
      <c r="H44" s="9" t="s">
        <v>46</v>
      </c>
      <c r="I44" s="9" t="s">
        <v>37</v>
      </c>
    </row>
    <row r="45" spans="1:9">
      <c r="A45" s="2">
        <v>41758</v>
      </c>
      <c r="B45" t="s">
        <v>259</v>
      </c>
      <c r="C45" t="s">
        <v>502</v>
      </c>
      <c r="D45" s="2">
        <v>41758</v>
      </c>
      <c r="E45">
        <v>382.35</v>
      </c>
      <c r="F45" s="2">
        <v>41758</v>
      </c>
      <c r="G45">
        <v>382.35</v>
      </c>
      <c r="H45" s="9" t="s">
        <v>46</v>
      </c>
      <c r="I45" s="9" t="s">
        <v>37</v>
      </c>
    </row>
    <row r="46" spans="1:9">
      <c r="A46" s="2">
        <v>41787</v>
      </c>
      <c r="B46" t="s">
        <v>259</v>
      </c>
      <c r="C46" t="s">
        <v>557</v>
      </c>
      <c r="D46" s="2">
        <v>41787</v>
      </c>
      <c r="E46">
        <v>292.77999999999997</v>
      </c>
      <c r="F46" s="2">
        <v>41787</v>
      </c>
      <c r="G46">
        <v>292.77999999999997</v>
      </c>
      <c r="H46" s="9" t="s">
        <v>46</v>
      </c>
      <c r="I46" s="9" t="s">
        <v>37</v>
      </c>
    </row>
    <row r="47" spans="1:9">
      <c r="A47" s="2">
        <v>41628</v>
      </c>
      <c r="B47" t="s">
        <v>69</v>
      </c>
      <c r="C47" t="s">
        <v>89</v>
      </c>
      <c r="D47" s="2">
        <v>41628</v>
      </c>
      <c r="E47">
        <v>1081.3499999999999</v>
      </c>
      <c r="F47" s="2">
        <v>41628</v>
      </c>
      <c r="G47">
        <v>1081.3499999999999</v>
      </c>
      <c r="H47" s="9" t="s">
        <v>613</v>
      </c>
      <c r="I47" s="9" t="s">
        <v>37</v>
      </c>
    </row>
    <row r="48" spans="1:9">
      <c r="A48" s="2">
        <v>41659</v>
      </c>
      <c r="B48" t="s">
        <v>274</v>
      </c>
      <c r="C48" t="s">
        <v>314</v>
      </c>
      <c r="D48" s="2">
        <v>41659</v>
      </c>
      <c r="E48" s="15">
        <v>3169.47</v>
      </c>
      <c r="F48" s="2">
        <v>41659</v>
      </c>
      <c r="G48" s="15">
        <v>3169.47</v>
      </c>
      <c r="H48" s="9" t="s">
        <v>613</v>
      </c>
      <c r="I48" s="9" t="s">
        <v>37</v>
      </c>
    </row>
    <row r="49" spans="1:9">
      <c r="A49" s="2">
        <v>41690</v>
      </c>
      <c r="B49" t="s">
        <v>332</v>
      </c>
      <c r="C49" t="s">
        <v>364</v>
      </c>
      <c r="D49" s="2">
        <v>41690</v>
      </c>
      <c r="E49" s="15">
        <v>2712.62</v>
      </c>
      <c r="F49" s="2">
        <v>41690</v>
      </c>
      <c r="G49" s="15">
        <v>2712.62</v>
      </c>
      <c r="H49" s="9" t="s">
        <v>613</v>
      </c>
      <c r="I49" s="9" t="s">
        <v>37</v>
      </c>
    </row>
    <row r="50" spans="1:9">
      <c r="A50" s="2">
        <v>41718</v>
      </c>
      <c r="B50" t="s">
        <v>387</v>
      </c>
      <c r="C50" t="s">
        <v>415</v>
      </c>
      <c r="D50" s="2">
        <v>41718</v>
      </c>
      <c r="E50">
        <v>867.52</v>
      </c>
      <c r="F50" s="2">
        <v>41718</v>
      </c>
      <c r="G50">
        <v>867.52</v>
      </c>
      <c r="H50" s="9" t="s">
        <v>613</v>
      </c>
      <c r="I50" s="9" t="s">
        <v>37</v>
      </c>
    </row>
    <row r="51" spans="1:9">
      <c r="A51" s="2">
        <v>41751</v>
      </c>
      <c r="B51" t="s">
        <v>452</v>
      </c>
      <c r="C51" t="s">
        <v>487</v>
      </c>
      <c r="D51" s="2">
        <v>41751</v>
      </c>
      <c r="E51" s="15">
        <v>3778.2</v>
      </c>
      <c r="F51" s="2">
        <v>41751</v>
      </c>
      <c r="G51" s="15">
        <v>3778.2</v>
      </c>
      <c r="H51" s="9" t="s">
        <v>613</v>
      </c>
      <c r="I51" s="9" t="s">
        <v>37</v>
      </c>
    </row>
    <row r="52" spans="1:9">
      <c r="A52" s="2">
        <v>41779</v>
      </c>
      <c r="B52" t="s">
        <v>515</v>
      </c>
      <c r="C52" t="s">
        <v>540</v>
      </c>
      <c r="D52" s="2">
        <v>41779</v>
      </c>
      <c r="E52" s="15">
        <v>1542.33</v>
      </c>
      <c r="F52" s="2">
        <v>41779</v>
      </c>
      <c r="G52" s="15">
        <v>1542.33</v>
      </c>
      <c r="H52" s="9" t="s">
        <v>613</v>
      </c>
      <c r="I52" s="9" t="s">
        <v>37</v>
      </c>
    </row>
    <row r="53" spans="1:9">
      <c r="A53" s="2">
        <v>41781</v>
      </c>
      <c r="B53" t="s">
        <v>516</v>
      </c>
      <c r="C53" t="s">
        <v>545</v>
      </c>
      <c r="D53" s="2">
        <v>41781</v>
      </c>
      <c r="E53" s="15">
        <v>1389.68</v>
      </c>
      <c r="F53" s="2">
        <v>41781</v>
      </c>
      <c r="G53" s="15">
        <v>1389.68</v>
      </c>
      <c r="H53" s="9" t="s">
        <v>613</v>
      </c>
      <c r="I53" s="9" t="s">
        <v>37</v>
      </c>
    </row>
    <row r="54" spans="1:9">
      <c r="A54" s="2">
        <v>41781</v>
      </c>
      <c r="B54" t="s">
        <v>517</v>
      </c>
      <c r="C54" t="s">
        <v>546</v>
      </c>
      <c r="D54" s="2">
        <v>41781</v>
      </c>
      <c r="E54" s="15">
        <v>2239.4699999999998</v>
      </c>
      <c r="F54" s="2">
        <v>41781</v>
      </c>
      <c r="G54" s="15">
        <v>2239.4699999999998</v>
      </c>
      <c r="H54" s="9" t="s">
        <v>613</v>
      </c>
      <c r="I54" s="9" t="s">
        <v>37</v>
      </c>
    </row>
    <row r="55" spans="1:9">
      <c r="A55" s="2">
        <v>41781</v>
      </c>
      <c r="B55" t="s">
        <v>518</v>
      </c>
      <c r="C55" t="s">
        <v>547</v>
      </c>
      <c r="D55" s="2">
        <v>41781</v>
      </c>
      <c r="E55" s="15">
        <v>1547.6</v>
      </c>
      <c r="F55" s="2">
        <v>41781</v>
      </c>
      <c r="G55" s="15">
        <v>1547.6</v>
      </c>
      <c r="H55" s="9" t="s">
        <v>613</v>
      </c>
      <c r="I55" s="9" t="s">
        <v>37</v>
      </c>
    </row>
    <row r="56" spans="1:9">
      <c r="A56" s="2">
        <v>41781</v>
      </c>
      <c r="B56" t="s">
        <v>519</v>
      </c>
      <c r="C56" t="s">
        <v>548</v>
      </c>
      <c r="D56" s="2">
        <v>41781</v>
      </c>
      <c r="E56" s="15">
        <v>2538.66</v>
      </c>
      <c r="F56" s="2">
        <v>41781</v>
      </c>
      <c r="G56" s="15">
        <v>2538.66</v>
      </c>
      <c r="H56" s="9" t="s">
        <v>613</v>
      </c>
      <c r="I56" s="9" t="s">
        <v>37</v>
      </c>
    </row>
    <row r="57" spans="1:9">
      <c r="A57" s="2">
        <v>41781</v>
      </c>
      <c r="B57" t="s">
        <v>520</v>
      </c>
      <c r="C57" t="s">
        <v>549</v>
      </c>
      <c r="D57" s="2">
        <v>41781</v>
      </c>
      <c r="E57" s="15">
        <v>5379.23</v>
      </c>
      <c r="F57" s="2">
        <v>41781</v>
      </c>
      <c r="G57" s="15">
        <v>5379.23</v>
      </c>
      <c r="H57" s="9" t="s">
        <v>613</v>
      </c>
      <c r="I57" s="9" t="s">
        <v>37</v>
      </c>
    </row>
    <row r="58" spans="1:9">
      <c r="A58" s="2">
        <v>41781</v>
      </c>
      <c r="B58" t="s">
        <v>521</v>
      </c>
      <c r="C58" t="s">
        <v>550</v>
      </c>
      <c r="D58" s="2">
        <v>41781</v>
      </c>
      <c r="E58">
        <v>971.97</v>
      </c>
      <c r="F58" s="2">
        <v>41781</v>
      </c>
      <c r="G58">
        <v>971.97</v>
      </c>
      <c r="H58" s="9" t="s">
        <v>613</v>
      </c>
      <c r="I58" s="9" t="s">
        <v>37</v>
      </c>
    </row>
    <row r="59" spans="1:9">
      <c r="A59" s="2">
        <v>41655</v>
      </c>
      <c r="B59" t="s">
        <v>266</v>
      </c>
      <c r="C59" t="s">
        <v>304</v>
      </c>
      <c r="D59" s="2">
        <v>41655</v>
      </c>
      <c r="E59">
        <v>553.29999999999995</v>
      </c>
      <c r="F59" s="2">
        <v>41655</v>
      </c>
      <c r="G59">
        <v>553.29999999999995</v>
      </c>
      <c r="H59" s="9" t="s">
        <v>744</v>
      </c>
      <c r="I59" s="9" t="s">
        <v>37</v>
      </c>
    </row>
    <row r="60" spans="1:9">
      <c r="A60" s="2">
        <v>41655</v>
      </c>
      <c r="B60" t="s">
        <v>267</v>
      </c>
      <c r="C60" t="s">
        <v>305</v>
      </c>
      <c r="D60" s="2">
        <v>41655</v>
      </c>
      <c r="E60">
        <v>105.65</v>
      </c>
      <c r="F60" s="2">
        <v>41655</v>
      </c>
      <c r="G60">
        <v>105.65</v>
      </c>
      <c r="H60" s="9" t="s">
        <v>745</v>
      </c>
      <c r="I60" s="9" t="s">
        <v>37</v>
      </c>
    </row>
    <row r="61" spans="1:9">
      <c r="A61" s="2">
        <v>41645</v>
      </c>
      <c r="B61" t="s">
        <v>254</v>
      </c>
      <c r="C61" t="s">
        <v>289</v>
      </c>
      <c r="D61" s="2">
        <v>41645</v>
      </c>
      <c r="E61">
        <v>122.19</v>
      </c>
      <c r="F61" s="2">
        <v>41645</v>
      </c>
      <c r="G61">
        <v>122.19</v>
      </c>
      <c r="H61" s="9" t="s">
        <v>582</v>
      </c>
      <c r="I61" s="9" t="s">
        <v>37</v>
      </c>
    </row>
    <row r="62" spans="1:9">
      <c r="A62" s="2">
        <v>41676</v>
      </c>
      <c r="B62" t="s">
        <v>254</v>
      </c>
      <c r="C62" t="s">
        <v>353</v>
      </c>
      <c r="D62" s="2">
        <v>41676</v>
      </c>
      <c r="E62">
        <v>98.29</v>
      </c>
      <c r="F62" s="2">
        <v>41676</v>
      </c>
      <c r="G62">
        <v>98.29</v>
      </c>
      <c r="H62" s="9" t="s">
        <v>582</v>
      </c>
      <c r="I62" s="9" t="s">
        <v>37</v>
      </c>
    </row>
    <row r="63" spans="1:9">
      <c r="A63" s="2">
        <v>41704</v>
      </c>
      <c r="B63" t="s">
        <v>254</v>
      </c>
      <c r="C63" t="s">
        <v>404</v>
      </c>
      <c r="D63" s="2">
        <v>41704</v>
      </c>
      <c r="E63">
        <v>106.5</v>
      </c>
      <c r="F63" s="2">
        <v>41704</v>
      </c>
      <c r="G63">
        <v>106.5</v>
      </c>
      <c r="H63" s="9" t="s">
        <v>582</v>
      </c>
      <c r="I63" s="9" t="s">
        <v>37</v>
      </c>
    </row>
    <row r="64" spans="1:9">
      <c r="A64" s="2">
        <v>41737</v>
      </c>
      <c r="B64" t="s">
        <v>254</v>
      </c>
      <c r="C64" t="s">
        <v>476</v>
      </c>
      <c r="D64" s="2">
        <v>41737</v>
      </c>
      <c r="E64">
        <v>117.37</v>
      </c>
      <c r="F64" s="2">
        <v>41737</v>
      </c>
      <c r="G64">
        <v>117.37</v>
      </c>
      <c r="H64" s="9" t="s">
        <v>582</v>
      </c>
      <c r="I64" s="9" t="s">
        <v>37</v>
      </c>
    </row>
    <row r="65" spans="1:9">
      <c r="A65" s="2">
        <v>41781</v>
      </c>
      <c r="B65" t="s">
        <v>254</v>
      </c>
      <c r="C65" t="s">
        <v>551</v>
      </c>
      <c r="D65" s="2">
        <v>41781</v>
      </c>
      <c r="E65">
        <v>47.84</v>
      </c>
      <c r="F65" s="2">
        <v>41781</v>
      </c>
      <c r="G65">
        <v>47.84</v>
      </c>
      <c r="H65" s="9" t="s">
        <v>582</v>
      </c>
      <c r="I65" s="9" t="s">
        <v>37</v>
      </c>
    </row>
    <row r="66" spans="1:9">
      <c r="A66" s="2">
        <v>41628</v>
      </c>
      <c r="B66" t="s">
        <v>70</v>
      </c>
      <c r="C66" t="s">
        <v>90</v>
      </c>
      <c r="D66" s="2">
        <v>41628</v>
      </c>
      <c r="E66">
        <v>43.93</v>
      </c>
      <c r="F66" s="2">
        <v>41628</v>
      </c>
      <c r="G66">
        <v>43.93</v>
      </c>
      <c r="H66" s="9" t="s">
        <v>616</v>
      </c>
      <c r="I66" s="9" t="s">
        <v>37</v>
      </c>
    </row>
    <row r="67" spans="1:9">
      <c r="A67" s="2">
        <v>41628</v>
      </c>
      <c r="B67" t="s">
        <v>70</v>
      </c>
      <c r="C67" t="s">
        <v>91</v>
      </c>
      <c r="D67" s="2">
        <v>41628</v>
      </c>
      <c r="E67">
        <v>211.12</v>
      </c>
      <c r="F67" s="2">
        <v>41628</v>
      </c>
      <c r="G67">
        <v>211.12</v>
      </c>
      <c r="H67" s="9" t="s">
        <v>616</v>
      </c>
      <c r="I67" s="9" t="s">
        <v>37</v>
      </c>
    </row>
    <row r="68" spans="1:9">
      <c r="A68" s="2">
        <v>41661</v>
      </c>
      <c r="B68" t="s">
        <v>70</v>
      </c>
      <c r="C68" t="s">
        <v>316</v>
      </c>
      <c r="D68" s="2">
        <v>41661</v>
      </c>
      <c r="E68">
        <v>190.71</v>
      </c>
      <c r="F68" s="2">
        <v>41661</v>
      </c>
      <c r="G68">
        <v>190.71</v>
      </c>
      <c r="H68" s="9" t="s">
        <v>616</v>
      </c>
      <c r="I68" s="9" t="s">
        <v>37</v>
      </c>
    </row>
    <row r="69" spans="1:9">
      <c r="A69" s="2">
        <v>41690</v>
      </c>
      <c r="B69" t="s">
        <v>70</v>
      </c>
      <c r="C69" t="s">
        <v>365</v>
      </c>
      <c r="D69" s="2">
        <v>41690</v>
      </c>
      <c r="E69">
        <v>177.94</v>
      </c>
      <c r="F69" s="2">
        <v>41690</v>
      </c>
      <c r="G69">
        <v>177.94</v>
      </c>
      <c r="H69" s="9" t="s">
        <v>616</v>
      </c>
      <c r="I69" s="9" t="s">
        <v>37</v>
      </c>
    </row>
    <row r="70" spans="1:9">
      <c r="A70" s="2">
        <v>41718</v>
      </c>
      <c r="B70" t="s">
        <v>70</v>
      </c>
      <c r="C70" t="s">
        <v>416</v>
      </c>
      <c r="D70" s="2">
        <v>41718</v>
      </c>
      <c r="E70">
        <v>199.46</v>
      </c>
      <c r="F70" s="2">
        <v>41718</v>
      </c>
      <c r="G70">
        <v>199.46</v>
      </c>
      <c r="H70" s="9" t="s">
        <v>616</v>
      </c>
      <c r="I70" s="9" t="s">
        <v>37</v>
      </c>
    </row>
    <row r="71" spans="1:9">
      <c r="A71" s="2">
        <v>41753</v>
      </c>
      <c r="B71" t="s">
        <v>70</v>
      </c>
      <c r="C71" t="s">
        <v>492</v>
      </c>
      <c r="D71" s="2">
        <v>41753</v>
      </c>
      <c r="E71">
        <v>192.77</v>
      </c>
      <c r="F71" s="2">
        <v>41753</v>
      </c>
      <c r="G71">
        <v>192.77</v>
      </c>
      <c r="H71" s="9" t="s">
        <v>616</v>
      </c>
      <c r="I71" s="9" t="s">
        <v>37</v>
      </c>
    </row>
    <row r="72" spans="1:9">
      <c r="A72" s="2">
        <v>41779</v>
      </c>
      <c r="B72" t="s">
        <v>70</v>
      </c>
      <c r="C72" t="s">
        <v>541</v>
      </c>
      <c r="D72" s="2">
        <v>41779</v>
      </c>
      <c r="E72">
        <v>124.97</v>
      </c>
      <c r="F72" s="2">
        <v>41779</v>
      </c>
      <c r="G72">
        <v>124.97</v>
      </c>
      <c r="H72" s="9" t="s">
        <v>616</v>
      </c>
      <c r="I72" s="9" t="s">
        <v>37</v>
      </c>
    </row>
    <row r="73" spans="1:9">
      <c r="A73" s="2">
        <v>41655</v>
      </c>
      <c r="B73" t="s">
        <v>268</v>
      </c>
      <c r="C73" t="s">
        <v>306</v>
      </c>
      <c r="D73" s="2">
        <v>41655</v>
      </c>
      <c r="E73" s="15">
        <v>1547.91</v>
      </c>
      <c r="F73" s="2">
        <v>41655</v>
      </c>
      <c r="G73" s="15">
        <v>1547.91</v>
      </c>
      <c r="H73" s="9" t="s">
        <v>746</v>
      </c>
      <c r="I73" s="9" t="s">
        <v>37</v>
      </c>
    </row>
    <row r="74" spans="1:9">
      <c r="A74" s="2">
        <v>41739</v>
      </c>
      <c r="B74" t="s">
        <v>446</v>
      </c>
      <c r="C74" t="s">
        <v>478</v>
      </c>
      <c r="D74" s="2">
        <v>41739</v>
      </c>
      <c r="E74" s="15">
        <v>1771.49</v>
      </c>
      <c r="F74" s="2">
        <v>41739</v>
      </c>
      <c r="G74" s="15">
        <v>1771.49</v>
      </c>
      <c r="H74" s="9" t="s">
        <v>604</v>
      </c>
      <c r="I74" s="9" t="s">
        <v>566</v>
      </c>
    </row>
    <row r="75" spans="1:9">
      <c r="A75" s="2">
        <v>41655</v>
      </c>
      <c r="B75" t="s">
        <v>269</v>
      </c>
      <c r="C75" t="s">
        <v>307</v>
      </c>
      <c r="D75" s="2">
        <v>41655</v>
      </c>
      <c r="E75">
        <v>79.48</v>
      </c>
      <c r="F75" s="2">
        <v>41655</v>
      </c>
      <c r="G75">
        <v>79.48</v>
      </c>
      <c r="H75" s="9" t="s">
        <v>747</v>
      </c>
      <c r="I75" s="9" t="s">
        <v>37</v>
      </c>
    </row>
    <row r="76" spans="1:9">
      <c r="A76" s="2">
        <v>41628</v>
      </c>
      <c r="B76" t="s">
        <v>71</v>
      </c>
      <c r="C76" t="s">
        <v>92</v>
      </c>
      <c r="D76" s="2">
        <v>41628</v>
      </c>
      <c r="E76">
        <v>96.58</v>
      </c>
      <c r="F76" s="2">
        <v>41628</v>
      </c>
      <c r="G76">
        <v>96.58</v>
      </c>
      <c r="H76" s="9" t="s">
        <v>605</v>
      </c>
      <c r="I76" s="9" t="s">
        <v>37</v>
      </c>
    </row>
    <row r="77" spans="1:9">
      <c r="A77" s="2">
        <v>41659</v>
      </c>
      <c r="B77" t="s">
        <v>275</v>
      </c>
      <c r="C77" t="s">
        <v>315</v>
      </c>
      <c r="D77" s="2">
        <v>41659</v>
      </c>
      <c r="E77">
        <v>143.19999999999999</v>
      </c>
      <c r="F77" s="2">
        <v>41659</v>
      </c>
      <c r="G77">
        <v>143.19999999999999</v>
      </c>
      <c r="H77" s="9" t="s">
        <v>605</v>
      </c>
      <c r="I77" s="9" t="s">
        <v>37</v>
      </c>
    </row>
    <row r="78" spans="1:9">
      <c r="A78" s="2">
        <v>41695</v>
      </c>
      <c r="B78" t="s">
        <v>335</v>
      </c>
      <c r="C78" t="s">
        <v>367</v>
      </c>
      <c r="D78" s="2">
        <v>41695</v>
      </c>
      <c r="E78">
        <v>124.32</v>
      </c>
      <c r="F78" s="2">
        <v>41695</v>
      </c>
      <c r="G78">
        <v>124.32</v>
      </c>
      <c r="H78" s="9" t="s">
        <v>605</v>
      </c>
      <c r="I78" s="9" t="s">
        <v>37</v>
      </c>
    </row>
    <row r="79" spans="1:9">
      <c r="A79" s="2">
        <v>41723</v>
      </c>
      <c r="B79" t="s">
        <v>392</v>
      </c>
      <c r="C79" t="s">
        <v>423</v>
      </c>
      <c r="D79" s="2">
        <v>41723</v>
      </c>
      <c r="E79">
        <v>231.32</v>
      </c>
      <c r="F79" s="2">
        <v>41723</v>
      </c>
      <c r="G79">
        <v>231.32</v>
      </c>
      <c r="H79" s="9" t="s">
        <v>759</v>
      </c>
      <c r="I79" s="9" t="s">
        <v>37</v>
      </c>
    </row>
    <row r="80" spans="1:9">
      <c r="A80" s="2">
        <v>41753</v>
      </c>
      <c r="B80" t="s">
        <v>454</v>
      </c>
      <c r="C80" t="s">
        <v>493</v>
      </c>
      <c r="D80" s="2">
        <v>41753</v>
      </c>
      <c r="E80">
        <v>191.45</v>
      </c>
      <c r="F80" s="2">
        <v>41753</v>
      </c>
      <c r="G80">
        <v>191.45</v>
      </c>
      <c r="H80" s="9" t="s">
        <v>760</v>
      </c>
      <c r="I80" s="9" t="s">
        <v>37</v>
      </c>
    </row>
    <row r="81" spans="1:9">
      <c r="A81" s="2">
        <v>41781</v>
      </c>
      <c r="B81" t="s">
        <v>522</v>
      </c>
      <c r="C81" t="s">
        <v>552</v>
      </c>
      <c r="D81" s="2">
        <v>41781</v>
      </c>
      <c r="E81">
        <v>522.84</v>
      </c>
      <c r="F81" s="2">
        <v>41781</v>
      </c>
      <c r="G81">
        <v>522.84</v>
      </c>
      <c r="H81" s="9" t="s">
        <v>761</v>
      </c>
      <c r="I81" s="9" t="s">
        <v>37</v>
      </c>
    </row>
    <row r="82" spans="1:9">
      <c r="A82" s="2">
        <v>41653</v>
      </c>
      <c r="B82" t="s">
        <v>264</v>
      </c>
      <c r="C82" t="s">
        <v>301</v>
      </c>
      <c r="D82" s="2">
        <v>41653</v>
      </c>
      <c r="E82">
        <v>289.89999999999998</v>
      </c>
      <c r="F82" s="2">
        <v>41653</v>
      </c>
      <c r="G82">
        <v>289.89999999999998</v>
      </c>
      <c r="H82" s="9" t="s">
        <v>630</v>
      </c>
      <c r="I82" s="9" t="s">
        <v>37</v>
      </c>
    </row>
    <row r="83" spans="1:9">
      <c r="A83" s="2">
        <v>41716</v>
      </c>
      <c r="B83" t="s">
        <v>385</v>
      </c>
      <c r="C83" t="s">
        <v>413</v>
      </c>
      <c r="D83" s="2">
        <v>41716</v>
      </c>
      <c r="E83">
        <v>289.89999999999998</v>
      </c>
      <c r="F83" s="2">
        <v>41716</v>
      </c>
      <c r="G83">
        <v>289.89999999999998</v>
      </c>
      <c r="H83" s="9" t="s">
        <v>630</v>
      </c>
      <c r="I83" s="9" t="s">
        <v>37</v>
      </c>
    </row>
    <row r="84" spans="1:9">
      <c r="A84" s="2">
        <v>41645</v>
      </c>
      <c r="B84" t="s">
        <v>253</v>
      </c>
      <c r="C84" t="s">
        <v>288</v>
      </c>
      <c r="D84" s="2">
        <v>41645</v>
      </c>
      <c r="E84" s="15">
        <v>3238.4</v>
      </c>
      <c r="F84" s="2">
        <v>41645</v>
      </c>
      <c r="G84" s="15">
        <v>3238.4</v>
      </c>
      <c r="H84" s="9" t="s">
        <v>586</v>
      </c>
      <c r="I84" s="9" t="s">
        <v>37</v>
      </c>
    </row>
    <row r="85" spans="1:9">
      <c r="A85" s="2">
        <v>41674</v>
      </c>
      <c r="B85" t="s">
        <v>323</v>
      </c>
      <c r="C85" t="s">
        <v>343</v>
      </c>
      <c r="D85" s="2">
        <v>41674</v>
      </c>
      <c r="E85" s="15">
        <v>4401.34</v>
      </c>
      <c r="F85" s="2">
        <v>41674</v>
      </c>
      <c r="G85" s="15">
        <v>4401.34</v>
      </c>
      <c r="H85" s="9" t="s">
        <v>586</v>
      </c>
      <c r="I85" s="9" t="s">
        <v>37</v>
      </c>
    </row>
    <row r="86" spans="1:9">
      <c r="A86" s="2">
        <v>41703</v>
      </c>
      <c r="B86" t="s">
        <v>375</v>
      </c>
      <c r="C86" t="s">
        <v>398</v>
      </c>
      <c r="D86" s="2">
        <v>41703</v>
      </c>
      <c r="E86" s="15">
        <v>4690.5</v>
      </c>
      <c r="F86" s="2">
        <v>41703</v>
      </c>
      <c r="G86" s="15">
        <v>4690.5</v>
      </c>
      <c r="H86" s="9" t="s">
        <v>586</v>
      </c>
      <c r="I86" s="9" t="s">
        <v>37</v>
      </c>
    </row>
    <row r="87" spans="1:9">
      <c r="A87" s="2">
        <v>41737</v>
      </c>
      <c r="B87" t="s">
        <v>444</v>
      </c>
      <c r="C87" t="s">
        <v>475</v>
      </c>
      <c r="D87" s="2">
        <v>41737</v>
      </c>
      <c r="E87" s="15">
        <v>4921.45</v>
      </c>
      <c r="F87" s="2">
        <v>41737</v>
      </c>
      <c r="G87" s="15">
        <v>4921.45</v>
      </c>
      <c r="H87" s="9" t="s">
        <v>586</v>
      </c>
      <c r="I87" s="9" t="s">
        <v>37</v>
      </c>
    </row>
    <row r="88" spans="1:9">
      <c r="A88" s="2">
        <v>41758</v>
      </c>
      <c r="B88" t="s">
        <v>459</v>
      </c>
      <c r="C88" t="s">
        <v>475</v>
      </c>
      <c r="D88" s="2">
        <v>41758</v>
      </c>
      <c r="E88" s="15">
        <v>4545.92</v>
      </c>
      <c r="F88" s="2">
        <v>41758</v>
      </c>
      <c r="G88" s="15">
        <v>4545.92</v>
      </c>
      <c r="H88" s="9" t="s">
        <v>586</v>
      </c>
      <c r="I88" s="9" t="s">
        <v>37</v>
      </c>
    </row>
    <row r="89" spans="1:9">
      <c r="A89" s="2">
        <v>41647</v>
      </c>
      <c r="B89" t="s">
        <v>258</v>
      </c>
      <c r="C89" t="s">
        <v>295</v>
      </c>
      <c r="D89" s="2">
        <v>41647</v>
      </c>
      <c r="E89" s="15">
        <v>2237.02</v>
      </c>
      <c r="F89" s="2">
        <v>41647</v>
      </c>
      <c r="G89" s="15">
        <v>2237.02</v>
      </c>
      <c r="H89" s="9" t="s">
        <v>604</v>
      </c>
      <c r="I89" s="9" t="s">
        <v>37</v>
      </c>
    </row>
    <row r="90" spans="1:9">
      <c r="A90" s="2">
        <v>41676</v>
      </c>
      <c r="B90" t="s">
        <v>258</v>
      </c>
      <c r="C90" t="s">
        <v>352</v>
      </c>
      <c r="D90" s="2">
        <v>41676</v>
      </c>
      <c r="E90" s="15">
        <v>2471.63</v>
      </c>
      <c r="F90" s="2">
        <v>41676</v>
      </c>
      <c r="G90" s="15">
        <v>2471.63</v>
      </c>
      <c r="H90" s="9" t="s">
        <v>604</v>
      </c>
      <c r="I90" s="9" t="s">
        <v>37</v>
      </c>
    </row>
    <row r="91" spans="1:9">
      <c r="A91" s="2">
        <v>41722</v>
      </c>
      <c r="B91" t="s">
        <v>258</v>
      </c>
      <c r="C91" t="s">
        <v>418</v>
      </c>
      <c r="D91" s="2">
        <v>41722</v>
      </c>
      <c r="E91" s="15">
        <v>2876.82</v>
      </c>
      <c r="F91" s="2">
        <v>41722</v>
      </c>
      <c r="G91" s="15">
        <v>2876.82</v>
      </c>
      <c r="H91" s="9" t="s">
        <v>604</v>
      </c>
      <c r="I91" s="9" t="s">
        <v>37</v>
      </c>
    </row>
    <row r="92" spans="1:9">
      <c r="A92" s="2">
        <v>41751</v>
      </c>
      <c r="B92" t="s">
        <v>258</v>
      </c>
      <c r="C92" t="s">
        <v>478</v>
      </c>
      <c r="D92" s="2">
        <v>41751</v>
      </c>
      <c r="E92" s="15">
        <v>1771.49</v>
      </c>
      <c r="F92" s="2">
        <v>41751</v>
      </c>
      <c r="G92" s="15">
        <v>1771.49</v>
      </c>
      <c r="H92" s="9" t="s">
        <v>604</v>
      </c>
      <c r="I92" s="9" t="s">
        <v>37</v>
      </c>
    </row>
    <row r="93" spans="1:9">
      <c r="A93" s="2">
        <v>41767</v>
      </c>
      <c r="B93" t="s">
        <v>258</v>
      </c>
      <c r="C93" t="s">
        <v>295</v>
      </c>
      <c r="D93" s="2">
        <v>41767</v>
      </c>
      <c r="E93" s="15">
        <v>1771.7</v>
      </c>
      <c r="F93" s="2">
        <v>41767</v>
      </c>
      <c r="G93" s="15">
        <v>1771.7</v>
      </c>
      <c r="H93" s="9" t="s">
        <v>604</v>
      </c>
      <c r="I93" s="9" t="s">
        <v>37</v>
      </c>
    </row>
    <row r="94" spans="1:9">
      <c r="A94" s="2">
        <v>41751</v>
      </c>
      <c r="B94" t="s">
        <v>451</v>
      </c>
      <c r="C94" t="s">
        <v>486</v>
      </c>
      <c r="D94" s="2">
        <v>41751</v>
      </c>
      <c r="E94">
        <v>213.65</v>
      </c>
      <c r="F94" s="2">
        <v>41751</v>
      </c>
      <c r="G94">
        <v>213.65</v>
      </c>
      <c r="H94" s="9" t="s">
        <v>630</v>
      </c>
      <c r="I94" s="9" t="s">
        <v>37</v>
      </c>
    </row>
    <row r="95" spans="1:9">
      <c r="A95" s="2">
        <v>41758</v>
      </c>
      <c r="B95" t="s">
        <v>460</v>
      </c>
      <c r="C95" t="s">
        <v>501</v>
      </c>
      <c r="D95" s="2">
        <v>41758</v>
      </c>
      <c r="E95">
        <v>339.07</v>
      </c>
      <c r="F95" s="2">
        <v>41758</v>
      </c>
      <c r="G95">
        <v>339.07</v>
      </c>
      <c r="H95" s="9" t="s">
        <v>630</v>
      </c>
      <c r="I95" s="9" t="s">
        <v>37</v>
      </c>
    </row>
    <row r="96" spans="1:9">
      <c r="A96" s="2">
        <v>41628</v>
      </c>
      <c r="B96" t="s">
        <v>67</v>
      </c>
      <c r="C96" t="s">
        <v>85</v>
      </c>
      <c r="D96" s="2">
        <v>41628</v>
      </c>
      <c r="E96">
        <v>589.85</v>
      </c>
      <c r="F96" s="2">
        <v>41628</v>
      </c>
      <c r="G96">
        <v>589.85</v>
      </c>
      <c r="H96" s="9" t="s">
        <v>608</v>
      </c>
      <c r="I96" s="9" t="s">
        <v>37</v>
      </c>
    </row>
    <row r="97" spans="1:9">
      <c r="A97" s="2">
        <v>41628</v>
      </c>
      <c r="B97" t="s">
        <v>67</v>
      </c>
      <c r="C97" t="s">
        <v>86</v>
      </c>
      <c r="D97" s="2">
        <v>41628</v>
      </c>
      <c r="E97">
        <v>82.7</v>
      </c>
      <c r="F97" s="2">
        <v>41628</v>
      </c>
      <c r="G97">
        <v>82.7</v>
      </c>
      <c r="H97" s="9" t="s">
        <v>585</v>
      </c>
      <c r="I97" s="9" t="s">
        <v>37</v>
      </c>
    </row>
    <row r="98" spans="1:9">
      <c r="A98" s="2">
        <v>41635</v>
      </c>
      <c r="B98" t="s">
        <v>67</v>
      </c>
      <c r="C98" t="s">
        <v>96</v>
      </c>
      <c r="D98" s="2">
        <v>41635</v>
      </c>
      <c r="E98">
        <v>82.7</v>
      </c>
      <c r="F98" s="2">
        <v>41635</v>
      </c>
      <c r="G98">
        <v>82.7</v>
      </c>
      <c r="H98" s="9" t="s">
        <v>585</v>
      </c>
      <c r="I98" s="9" t="s">
        <v>37</v>
      </c>
    </row>
    <row r="99" spans="1:9">
      <c r="A99" s="2">
        <v>41688</v>
      </c>
      <c r="B99" t="s">
        <v>67</v>
      </c>
      <c r="C99" t="s">
        <v>359</v>
      </c>
      <c r="D99" s="2">
        <v>41688</v>
      </c>
      <c r="E99">
        <v>82.7</v>
      </c>
      <c r="F99" s="2">
        <v>41688</v>
      </c>
      <c r="G99">
        <v>82.7</v>
      </c>
      <c r="H99" s="9" t="s">
        <v>585</v>
      </c>
      <c r="I99" s="9" t="s">
        <v>37</v>
      </c>
    </row>
    <row r="100" spans="1:9">
      <c r="A100" s="2">
        <v>41697</v>
      </c>
      <c r="B100" t="s">
        <v>67</v>
      </c>
      <c r="C100" t="s">
        <v>369</v>
      </c>
      <c r="D100" s="2">
        <v>41697</v>
      </c>
      <c r="E100">
        <v>308.77999999999997</v>
      </c>
      <c r="F100" s="2">
        <v>41697</v>
      </c>
      <c r="G100">
        <v>308.77999999999997</v>
      </c>
      <c r="H100" s="9" t="s">
        <v>608</v>
      </c>
      <c r="I100" s="9" t="s">
        <v>37</v>
      </c>
    </row>
    <row r="101" spans="1:9">
      <c r="A101" s="2">
        <v>41697</v>
      </c>
      <c r="B101" t="s">
        <v>67</v>
      </c>
      <c r="C101" t="s">
        <v>359</v>
      </c>
      <c r="D101" s="2">
        <v>41697</v>
      </c>
      <c r="E101">
        <v>82.7</v>
      </c>
      <c r="F101" s="2">
        <v>41697</v>
      </c>
      <c r="G101">
        <v>82.7</v>
      </c>
      <c r="H101" s="9" t="s">
        <v>585</v>
      </c>
      <c r="I101" s="9" t="s">
        <v>37</v>
      </c>
    </row>
    <row r="102" spans="1:9">
      <c r="A102" s="2">
        <v>41725</v>
      </c>
      <c r="B102" t="s">
        <v>67</v>
      </c>
      <c r="C102" t="s">
        <v>359</v>
      </c>
      <c r="D102" s="2">
        <v>41725</v>
      </c>
      <c r="E102">
        <v>82.7</v>
      </c>
      <c r="F102" s="2">
        <v>41725</v>
      </c>
      <c r="G102">
        <v>82.7</v>
      </c>
      <c r="H102" s="9" t="s">
        <v>585</v>
      </c>
      <c r="I102" s="9" t="s">
        <v>37</v>
      </c>
    </row>
    <row r="103" spans="1:9">
      <c r="A103" s="2">
        <v>41751</v>
      </c>
      <c r="B103" t="s">
        <v>67</v>
      </c>
      <c r="C103" t="s">
        <v>485</v>
      </c>
      <c r="D103" s="2">
        <v>41751</v>
      </c>
      <c r="E103">
        <v>203.61</v>
      </c>
      <c r="F103" s="2">
        <v>41751</v>
      </c>
      <c r="G103">
        <v>203.61</v>
      </c>
      <c r="H103" s="9" t="s">
        <v>608</v>
      </c>
      <c r="I103" s="9" t="s">
        <v>37</v>
      </c>
    </row>
    <row r="104" spans="1:9">
      <c r="A104" s="2">
        <v>41758</v>
      </c>
      <c r="B104" t="s">
        <v>67</v>
      </c>
      <c r="C104" t="s">
        <v>359</v>
      </c>
      <c r="D104" s="2">
        <v>41758</v>
      </c>
      <c r="E104">
        <v>82.7</v>
      </c>
      <c r="F104" s="2">
        <v>41758</v>
      </c>
      <c r="G104">
        <v>82.7</v>
      </c>
      <c r="H104" s="9" t="s">
        <v>585</v>
      </c>
      <c r="I104" s="9" t="s">
        <v>37</v>
      </c>
    </row>
    <row r="105" spans="1:9">
      <c r="A105" s="2">
        <v>41779</v>
      </c>
      <c r="B105" t="s">
        <v>67</v>
      </c>
      <c r="C105" t="s">
        <v>539</v>
      </c>
      <c r="D105" s="2">
        <v>41779</v>
      </c>
      <c r="E105">
        <v>71.39</v>
      </c>
      <c r="F105" s="2">
        <v>41779</v>
      </c>
      <c r="G105">
        <v>71.39</v>
      </c>
      <c r="H105" s="9" t="s">
        <v>608</v>
      </c>
      <c r="I105" s="9" t="s">
        <v>37</v>
      </c>
    </row>
    <row r="106" spans="1:9">
      <c r="A106" s="2">
        <v>41788</v>
      </c>
      <c r="B106" t="s">
        <v>67</v>
      </c>
      <c r="C106" t="s">
        <v>561</v>
      </c>
      <c r="D106" s="2">
        <v>41788</v>
      </c>
      <c r="E106">
        <v>424.63</v>
      </c>
      <c r="F106" s="2">
        <v>41788</v>
      </c>
      <c r="G106">
        <v>424.63</v>
      </c>
      <c r="H106" s="9" t="s">
        <v>608</v>
      </c>
      <c r="I106" s="9" t="s">
        <v>37</v>
      </c>
    </row>
    <row r="107" spans="1:9">
      <c r="A107" s="2">
        <v>41788</v>
      </c>
      <c r="B107" t="s">
        <v>67</v>
      </c>
      <c r="C107" t="s">
        <v>562</v>
      </c>
      <c r="D107" s="2">
        <v>41788</v>
      </c>
      <c r="E107">
        <v>82.7</v>
      </c>
      <c r="F107" s="2">
        <v>41788</v>
      </c>
      <c r="G107">
        <v>82.7</v>
      </c>
      <c r="H107" s="9" t="s">
        <v>585</v>
      </c>
      <c r="I107" s="9" t="s">
        <v>37</v>
      </c>
    </row>
    <row r="108" spans="1:9">
      <c r="A108" s="2">
        <v>41628</v>
      </c>
      <c r="B108" t="s">
        <v>68</v>
      </c>
      <c r="C108" t="s">
        <v>87</v>
      </c>
      <c r="D108" s="2">
        <v>41628</v>
      </c>
      <c r="E108">
        <v>54</v>
      </c>
      <c r="F108" s="2">
        <v>41628</v>
      </c>
      <c r="G108">
        <v>54</v>
      </c>
      <c r="H108" s="9" t="s">
        <v>585</v>
      </c>
      <c r="I108" s="9" t="s">
        <v>37</v>
      </c>
    </row>
    <row r="109" spans="1:9">
      <c r="A109" s="2">
        <v>41723</v>
      </c>
      <c r="B109" t="s">
        <v>68</v>
      </c>
      <c r="C109" t="s">
        <v>422</v>
      </c>
      <c r="D109" s="2">
        <v>41723</v>
      </c>
      <c r="E109">
        <v>54</v>
      </c>
      <c r="F109" s="2">
        <v>41723</v>
      </c>
      <c r="G109">
        <v>54</v>
      </c>
      <c r="H109" s="9" t="s">
        <v>585</v>
      </c>
      <c r="I109" s="9" t="s">
        <v>37</v>
      </c>
    </row>
    <row r="110" spans="1:9">
      <c r="A110" s="2">
        <v>41618</v>
      </c>
      <c r="B110" t="s">
        <v>59</v>
      </c>
      <c r="C110" t="s">
        <v>77</v>
      </c>
      <c r="D110" s="2">
        <v>41618</v>
      </c>
      <c r="E110">
        <v>1078</v>
      </c>
      <c r="F110" s="2">
        <v>41618</v>
      </c>
      <c r="G110">
        <v>1078</v>
      </c>
      <c r="H110" s="9" t="s">
        <v>603</v>
      </c>
      <c r="I110" s="9" t="s">
        <v>37</v>
      </c>
    </row>
    <row r="111" spans="1:9">
      <c r="A111" s="2">
        <v>41628</v>
      </c>
      <c r="B111" t="s">
        <v>59</v>
      </c>
      <c r="C111" t="s">
        <v>88</v>
      </c>
      <c r="D111" s="2">
        <v>41628</v>
      </c>
      <c r="E111">
        <v>500</v>
      </c>
      <c r="F111" s="2">
        <v>41628</v>
      </c>
      <c r="G111">
        <v>500</v>
      </c>
      <c r="H111" s="9" t="s">
        <v>362</v>
      </c>
      <c r="I111" s="9" t="s">
        <v>37</v>
      </c>
    </row>
    <row r="112" spans="1:9">
      <c r="A112" s="2">
        <v>41659</v>
      </c>
      <c r="B112" t="s">
        <v>59</v>
      </c>
      <c r="C112" t="s">
        <v>312</v>
      </c>
      <c r="D112" s="2">
        <v>41659</v>
      </c>
      <c r="E112">
        <v>539</v>
      </c>
      <c r="F112" s="2">
        <v>41659</v>
      </c>
      <c r="G112">
        <v>539</v>
      </c>
      <c r="H112" s="9" t="s">
        <v>603</v>
      </c>
      <c r="I112" s="9" t="s">
        <v>37</v>
      </c>
    </row>
    <row r="113" spans="1:9">
      <c r="A113" s="2">
        <v>41659</v>
      </c>
      <c r="B113" t="s">
        <v>59</v>
      </c>
      <c r="C113" t="s">
        <v>313</v>
      </c>
      <c r="D113" s="2">
        <v>41659</v>
      </c>
      <c r="E113">
        <v>250</v>
      </c>
      <c r="F113" s="2">
        <v>41659</v>
      </c>
      <c r="G113">
        <v>250</v>
      </c>
      <c r="H113" s="9" t="s">
        <v>362</v>
      </c>
      <c r="I113" s="9" t="s">
        <v>37</v>
      </c>
    </row>
    <row r="114" spans="1:9">
      <c r="A114" s="2">
        <v>41676</v>
      </c>
      <c r="B114" t="s">
        <v>59</v>
      </c>
      <c r="C114" t="s">
        <v>351</v>
      </c>
      <c r="D114" s="2">
        <v>41676</v>
      </c>
      <c r="E114">
        <v>569</v>
      </c>
      <c r="F114" s="2">
        <v>41676</v>
      </c>
      <c r="G114">
        <v>569</v>
      </c>
      <c r="H114" s="9" t="s">
        <v>603</v>
      </c>
      <c r="I114" s="9" t="s">
        <v>37</v>
      </c>
    </row>
    <row r="115" spans="1:9">
      <c r="A115" s="2">
        <v>41690</v>
      </c>
      <c r="B115" t="s">
        <v>59</v>
      </c>
      <c r="C115" t="s">
        <v>362</v>
      </c>
      <c r="D115" s="2">
        <v>41690</v>
      </c>
      <c r="E115">
        <v>250</v>
      </c>
      <c r="F115" s="2">
        <v>41690</v>
      </c>
      <c r="G115">
        <v>250</v>
      </c>
      <c r="H115" s="9" t="s">
        <v>362</v>
      </c>
      <c r="I115" s="9" t="s">
        <v>37</v>
      </c>
    </row>
    <row r="116" spans="1:9">
      <c r="A116" s="2">
        <v>41704</v>
      </c>
      <c r="B116" t="s">
        <v>59</v>
      </c>
      <c r="C116" t="s">
        <v>403</v>
      </c>
      <c r="D116" s="2">
        <v>41704</v>
      </c>
      <c r="E116">
        <v>151</v>
      </c>
      <c r="F116" s="2">
        <v>41704</v>
      </c>
      <c r="G116">
        <v>151</v>
      </c>
      <c r="H116" s="9" t="s">
        <v>762</v>
      </c>
      <c r="I116" s="9" t="s">
        <v>37</v>
      </c>
    </row>
    <row r="117" spans="1:9">
      <c r="A117" s="2">
        <v>41709</v>
      </c>
      <c r="B117" t="s">
        <v>59</v>
      </c>
      <c r="C117" t="s">
        <v>409</v>
      </c>
      <c r="D117" s="2">
        <v>41709</v>
      </c>
      <c r="E117">
        <v>569</v>
      </c>
      <c r="F117" s="2">
        <v>41709</v>
      </c>
      <c r="G117">
        <v>569</v>
      </c>
      <c r="H117" s="9" t="s">
        <v>603</v>
      </c>
      <c r="I117" s="9" t="s">
        <v>37</v>
      </c>
    </row>
    <row r="118" spans="1:9">
      <c r="A118" s="2">
        <v>41718</v>
      </c>
      <c r="B118" t="s">
        <v>59</v>
      </c>
      <c r="C118" t="s">
        <v>414</v>
      </c>
      <c r="D118" s="2">
        <v>41718</v>
      </c>
      <c r="E118">
        <v>250</v>
      </c>
      <c r="F118" s="2">
        <v>41718</v>
      </c>
      <c r="G118">
        <v>250</v>
      </c>
      <c r="H118" s="9" t="s">
        <v>362</v>
      </c>
      <c r="I118" s="9" t="s">
        <v>37</v>
      </c>
    </row>
    <row r="119" spans="1:9">
      <c r="A119" s="2">
        <v>41753</v>
      </c>
      <c r="B119" t="s">
        <v>59</v>
      </c>
      <c r="C119" t="s">
        <v>490</v>
      </c>
      <c r="D119" s="2">
        <v>41753</v>
      </c>
      <c r="E119">
        <v>250</v>
      </c>
      <c r="F119" s="2">
        <v>41753</v>
      </c>
      <c r="G119">
        <v>250</v>
      </c>
      <c r="H119" s="9" t="s">
        <v>362</v>
      </c>
      <c r="I119" s="9" t="s">
        <v>37</v>
      </c>
    </row>
    <row r="120" spans="1:9">
      <c r="A120" s="2">
        <v>41753</v>
      </c>
      <c r="B120" t="s">
        <v>59</v>
      </c>
      <c r="C120" t="s">
        <v>491</v>
      </c>
      <c r="D120" s="2">
        <v>41753</v>
      </c>
      <c r="E120">
        <v>919</v>
      </c>
      <c r="F120" s="2">
        <v>41753</v>
      </c>
      <c r="G120">
        <v>919</v>
      </c>
      <c r="H120" s="9" t="s">
        <v>603</v>
      </c>
      <c r="I120" s="9" t="s">
        <v>37</v>
      </c>
    </row>
    <row r="121" spans="1:9">
      <c r="A121" s="2">
        <v>41758</v>
      </c>
      <c r="B121" t="s">
        <v>59</v>
      </c>
      <c r="C121" t="s">
        <v>500</v>
      </c>
      <c r="D121" s="2">
        <v>41758</v>
      </c>
      <c r="E121">
        <v>32.61</v>
      </c>
      <c r="F121" s="2">
        <v>41758</v>
      </c>
      <c r="G121">
        <v>32.61</v>
      </c>
      <c r="H121" s="9" t="s">
        <v>763</v>
      </c>
      <c r="I121" s="9" t="s">
        <v>37</v>
      </c>
    </row>
    <row r="122" spans="1:9">
      <c r="A122" s="2">
        <v>41767</v>
      </c>
      <c r="B122" t="s">
        <v>59</v>
      </c>
      <c r="C122" t="s">
        <v>535</v>
      </c>
      <c r="D122" s="2">
        <v>41767</v>
      </c>
      <c r="E122">
        <v>569</v>
      </c>
      <c r="F122" s="2">
        <v>41767</v>
      </c>
      <c r="G122">
        <v>569</v>
      </c>
      <c r="H122" s="9" t="s">
        <v>603</v>
      </c>
      <c r="I122" s="9" t="s">
        <v>37</v>
      </c>
    </row>
    <row r="123" spans="1:9">
      <c r="A123" s="2">
        <v>41779</v>
      </c>
      <c r="B123" t="s">
        <v>59</v>
      </c>
      <c r="C123" t="s">
        <v>313</v>
      </c>
      <c r="D123" s="2">
        <v>41779</v>
      </c>
      <c r="E123">
        <v>250</v>
      </c>
      <c r="F123" s="2">
        <v>41779</v>
      </c>
      <c r="G123">
        <v>250</v>
      </c>
      <c r="H123" s="9" t="s">
        <v>362</v>
      </c>
      <c r="I123" s="9" t="s">
        <v>37</v>
      </c>
    </row>
    <row r="124" spans="1:9">
      <c r="A124" s="2">
        <v>41781</v>
      </c>
      <c r="B124" t="s">
        <v>59</v>
      </c>
      <c r="C124" t="s">
        <v>544</v>
      </c>
      <c r="D124" s="2">
        <v>41781</v>
      </c>
      <c r="E124">
        <v>200</v>
      </c>
      <c r="F124" s="2">
        <v>41781</v>
      </c>
      <c r="G124">
        <v>200</v>
      </c>
      <c r="H124" s="9" t="s">
        <v>764</v>
      </c>
      <c r="I124" s="9" t="s">
        <v>37</v>
      </c>
    </row>
    <row r="125" spans="1:9">
      <c r="A125" s="2">
        <v>41655</v>
      </c>
      <c r="B125" t="s">
        <v>265</v>
      </c>
      <c r="C125" t="s">
        <v>302</v>
      </c>
      <c r="D125" s="2">
        <v>41655</v>
      </c>
      <c r="E125">
        <v>99.31</v>
      </c>
      <c r="F125" s="2">
        <v>41655</v>
      </c>
      <c r="G125">
        <v>99.31</v>
      </c>
      <c r="H125" s="9" t="s">
        <v>627</v>
      </c>
      <c r="I125" s="9" t="s">
        <v>37</v>
      </c>
    </row>
    <row r="126" spans="1:9">
      <c r="A126" s="2">
        <v>41655</v>
      </c>
      <c r="B126" t="s">
        <v>265</v>
      </c>
      <c r="C126" t="s">
        <v>303</v>
      </c>
      <c r="D126" s="2">
        <v>41655</v>
      </c>
      <c r="E126">
        <v>202.19</v>
      </c>
      <c r="F126" s="2">
        <v>41655</v>
      </c>
      <c r="G126">
        <v>202.19</v>
      </c>
      <c r="H126" s="9" t="s">
        <v>742</v>
      </c>
      <c r="I126" s="9" t="s">
        <v>37</v>
      </c>
    </row>
    <row r="127" spans="1:9">
      <c r="A127" s="2">
        <v>41731</v>
      </c>
      <c r="B127" t="s">
        <v>265</v>
      </c>
      <c r="C127" t="s">
        <v>468</v>
      </c>
      <c r="D127" s="2">
        <v>41731</v>
      </c>
      <c r="E127">
        <v>100.49</v>
      </c>
      <c r="F127" s="2">
        <v>41731</v>
      </c>
      <c r="G127">
        <v>100.49</v>
      </c>
      <c r="H127" s="9" t="s">
        <v>627</v>
      </c>
      <c r="I127" s="9" t="s">
        <v>37</v>
      </c>
    </row>
    <row r="128" spans="1:9">
      <c r="A128" s="2">
        <v>41709</v>
      </c>
      <c r="B128" t="s">
        <v>380</v>
      </c>
      <c r="C128" t="s">
        <v>410</v>
      </c>
      <c r="D128" s="2">
        <v>41709</v>
      </c>
      <c r="E128" s="15">
        <v>1569.61</v>
      </c>
      <c r="F128" s="2">
        <v>41709</v>
      </c>
      <c r="G128" s="15">
        <v>1569.61</v>
      </c>
      <c r="H128" s="9" t="s">
        <v>756</v>
      </c>
      <c r="I128" s="9" t="s">
        <v>37</v>
      </c>
    </row>
    <row r="129" spans="1:9">
      <c r="A129" s="2">
        <v>41635</v>
      </c>
      <c r="B129" t="s">
        <v>75</v>
      </c>
      <c r="C129" t="s">
        <v>97</v>
      </c>
      <c r="D129" s="2">
        <v>41635</v>
      </c>
      <c r="E129">
        <v>394.22</v>
      </c>
      <c r="F129" s="2">
        <v>41635</v>
      </c>
      <c r="G129">
        <v>394.22</v>
      </c>
      <c r="H129" s="9" t="s">
        <v>619</v>
      </c>
      <c r="I129" s="9" t="s">
        <v>37</v>
      </c>
    </row>
    <row r="130" spans="1:9">
      <c r="A130" s="2">
        <v>41717</v>
      </c>
      <c r="B130" t="s">
        <v>386</v>
      </c>
      <c r="C130" t="s">
        <v>356</v>
      </c>
      <c r="D130" s="2">
        <v>41717</v>
      </c>
      <c r="E130">
        <v>439</v>
      </c>
      <c r="F130" s="2">
        <v>41717</v>
      </c>
      <c r="G130">
        <v>439</v>
      </c>
      <c r="H130" s="9" t="s">
        <v>737</v>
      </c>
      <c r="I130" s="9" t="s">
        <v>37</v>
      </c>
    </row>
    <row r="131" spans="1:9">
      <c r="A131" s="2">
        <v>41786</v>
      </c>
      <c r="B131" t="s">
        <v>523</v>
      </c>
      <c r="C131" t="s">
        <v>554</v>
      </c>
      <c r="D131" s="2">
        <v>41786</v>
      </c>
      <c r="E131" s="15">
        <v>15000</v>
      </c>
      <c r="F131" s="2">
        <v>41786</v>
      </c>
      <c r="G131" s="15">
        <v>15000</v>
      </c>
      <c r="H131" s="9" t="s">
        <v>598</v>
      </c>
      <c r="I131" s="9" t="s">
        <v>569</v>
      </c>
    </row>
    <row r="132" spans="1:9">
      <c r="A132" s="2">
        <v>41698</v>
      </c>
      <c r="B132" t="s">
        <v>337</v>
      </c>
      <c r="C132" t="s">
        <v>372</v>
      </c>
      <c r="D132" s="2">
        <v>41698</v>
      </c>
      <c r="E132" s="15">
        <v>3100</v>
      </c>
      <c r="F132" s="2">
        <v>41698</v>
      </c>
      <c r="G132" s="15">
        <v>3100</v>
      </c>
      <c r="H132" s="9" t="s">
        <v>598</v>
      </c>
      <c r="I132" s="9" t="s">
        <v>569</v>
      </c>
    </row>
    <row r="133" spans="1:9">
      <c r="A133" s="2">
        <v>41659</v>
      </c>
      <c r="B133" t="s">
        <v>272</v>
      </c>
      <c r="C133" t="s">
        <v>310</v>
      </c>
      <c r="D133" s="2">
        <v>41659</v>
      </c>
      <c r="E133" s="15">
        <v>3000</v>
      </c>
      <c r="F133" s="2">
        <v>41659</v>
      </c>
      <c r="G133" s="15">
        <v>3000</v>
      </c>
      <c r="H133" s="9" t="s">
        <v>598</v>
      </c>
      <c r="I133" s="9" t="s">
        <v>569</v>
      </c>
    </row>
    <row r="134" spans="1:9">
      <c r="A134" s="2">
        <v>41628</v>
      </c>
      <c r="B134" t="s">
        <v>72</v>
      </c>
      <c r="C134" t="s">
        <v>93</v>
      </c>
      <c r="D134" s="2">
        <v>41628</v>
      </c>
      <c r="E134">
        <v>188.23</v>
      </c>
      <c r="F134" s="2">
        <v>41628</v>
      </c>
      <c r="G134">
        <v>188.23</v>
      </c>
      <c r="H134" s="9" t="s">
        <v>610</v>
      </c>
      <c r="I134" s="9" t="s">
        <v>37</v>
      </c>
    </row>
    <row r="135" spans="1:9">
      <c r="A135" s="2">
        <v>41688</v>
      </c>
      <c r="B135" t="s">
        <v>72</v>
      </c>
      <c r="C135" t="s">
        <v>360</v>
      </c>
      <c r="D135" s="2">
        <v>41688</v>
      </c>
      <c r="E135">
        <v>139.56</v>
      </c>
      <c r="F135" s="2">
        <v>41688</v>
      </c>
      <c r="G135">
        <v>139.56</v>
      </c>
      <c r="H135" s="9" t="s">
        <v>610</v>
      </c>
      <c r="I135" s="9" t="s">
        <v>37</v>
      </c>
    </row>
    <row r="136" spans="1:9">
      <c r="A136" s="2">
        <v>41697</v>
      </c>
      <c r="B136" t="s">
        <v>72</v>
      </c>
      <c r="C136" t="s">
        <v>370</v>
      </c>
      <c r="D136" s="2">
        <v>41697</v>
      </c>
      <c r="E136">
        <v>164.11</v>
      </c>
      <c r="F136" s="2">
        <v>41697</v>
      </c>
      <c r="G136">
        <v>164.11</v>
      </c>
      <c r="H136" s="9" t="s">
        <v>610</v>
      </c>
      <c r="I136" s="9" t="s">
        <v>37</v>
      </c>
    </row>
    <row r="137" spans="1:9">
      <c r="A137" s="2">
        <v>41725</v>
      </c>
      <c r="B137" t="s">
        <v>72</v>
      </c>
      <c r="C137" t="s">
        <v>424</v>
      </c>
      <c r="D137" s="2">
        <v>41725</v>
      </c>
      <c r="E137">
        <v>171.12</v>
      </c>
      <c r="F137" s="2">
        <v>41725</v>
      </c>
      <c r="G137">
        <v>171.12</v>
      </c>
      <c r="H137" s="9" t="s">
        <v>765</v>
      </c>
      <c r="I137" s="9" t="s">
        <v>37</v>
      </c>
    </row>
    <row r="138" spans="1:9">
      <c r="A138" s="2">
        <v>41753</v>
      </c>
      <c r="B138" t="s">
        <v>72</v>
      </c>
      <c r="C138" t="s">
        <v>494</v>
      </c>
      <c r="D138" s="2">
        <v>41753</v>
      </c>
      <c r="E138">
        <v>283.67</v>
      </c>
      <c r="F138" s="2">
        <v>41753</v>
      </c>
      <c r="G138">
        <v>283.67</v>
      </c>
      <c r="H138" s="9" t="s">
        <v>766</v>
      </c>
      <c r="I138" s="9" t="s">
        <v>37</v>
      </c>
    </row>
    <row r="139" spans="1:9">
      <c r="A139" s="2">
        <v>41786</v>
      </c>
      <c r="B139" t="s">
        <v>72</v>
      </c>
      <c r="C139" t="s">
        <v>556</v>
      </c>
      <c r="D139" s="2">
        <v>41786</v>
      </c>
      <c r="E139">
        <v>224.8</v>
      </c>
      <c r="F139" s="2">
        <v>41786</v>
      </c>
      <c r="G139">
        <v>224.8</v>
      </c>
      <c r="H139" s="9" t="s">
        <v>767</v>
      </c>
      <c r="I139" s="9" t="s">
        <v>37</v>
      </c>
    </row>
    <row r="140" spans="1:9">
      <c r="A140" s="2">
        <v>41641</v>
      </c>
      <c r="B140" t="s">
        <v>47</v>
      </c>
      <c r="C140" t="s">
        <v>47</v>
      </c>
      <c r="D140" s="2">
        <v>41641</v>
      </c>
      <c r="E140">
        <v>18.61</v>
      </c>
      <c r="F140" s="2">
        <v>41641</v>
      </c>
      <c r="G140">
        <v>18.61</v>
      </c>
      <c r="H140" s="9" t="s">
        <v>47</v>
      </c>
      <c r="I140" s="9" t="s">
        <v>572</v>
      </c>
    </row>
    <row r="141" spans="1:9">
      <c r="A141" s="2">
        <v>41730</v>
      </c>
      <c r="B141" t="s">
        <v>47</v>
      </c>
      <c r="C141" t="s">
        <v>466</v>
      </c>
      <c r="D141" s="2">
        <v>41730</v>
      </c>
      <c r="E141">
        <v>31.39</v>
      </c>
      <c r="F141" s="2">
        <v>41730</v>
      </c>
      <c r="G141">
        <v>31.39</v>
      </c>
      <c r="H141" s="9" t="s">
        <v>47</v>
      </c>
      <c r="I141" s="9" t="s">
        <v>572</v>
      </c>
    </row>
    <row r="142" spans="1:9">
      <c r="A142" s="2">
        <v>41761</v>
      </c>
      <c r="B142" t="s">
        <v>47</v>
      </c>
      <c r="C142" t="s">
        <v>47</v>
      </c>
      <c r="D142" s="2">
        <v>41761</v>
      </c>
      <c r="E142">
        <v>64.959999999999994</v>
      </c>
      <c r="F142" s="2">
        <v>41761</v>
      </c>
      <c r="G142">
        <v>64.959999999999994</v>
      </c>
      <c r="H142" s="9" t="s">
        <v>47</v>
      </c>
      <c r="I142" s="9" t="s">
        <v>572</v>
      </c>
    </row>
    <row r="143" spans="1:9">
      <c r="A143" s="2">
        <v>41646</v>
      </c>
      <c r="B143" t="s">
        <v>255</v>
      </c>
      <c r="C143" t="s">
        <v>290</v>
      </c>
      <c r="D143" s="2">
        <v>41646</v>
      </c>
      <c r="E143">
        <v>95.21</v>
      </c>
      <c r="F143" s="2">
        <v>41646</v>
      </c>
      <c r="G143">
        <v>95.21</v>
      </c>
      <c r="H143" s="9" t="s">
        <v>255</v>
      </c>
      <c r="I143" s="9" t="s">
        <v>572</v>
      </c>
    </row>
    <row r="144" spans="1:9">
      <c r="A144" s="2">
        <v>41705</v>
      </c>
      <c r="B144" t="s">
        <v>255</v>
      </c>
      <c r="C144" t="s">
        <v>255</v>
      </c>
      <c r="D144" s="2">
        <v>41705</v>
      </c>
      <c r="E144">
        <v>46.75</v>
      </c>
      <c r="F144" s="2">
        <v>41705</v>
      </c>
      <c r="G144">
        <v>46.75</v>
      </c>
      <c r="H144" s="9" t="s">
        <v>255</v>
      </c>
      <c r="I144" s="9" t="s">
        <v>572</v>
      </c>
    </row>
    <row r="145" spans="1:9">
      <c r="A145" s="2">
        <v>41705</v>
      </c>
      <c r="B145" t="s">
        <v>255</v>
      </c>
      <c r="C145" t="s">
        <v>255</v>
      </c>
      <c r="D145" s="2">
        <v>41705</v>
      </c>
      <c r="E145">
        <v>47.13</v>
      </c>
      <c r="F145" s="2">
        <v>41705</v>
      </c>
      <c r="G145">
        <v>47.13</v>
      </c>
      <c r="H145" s="9" t="s">
        <v>255</v>
      </c>
      <c r="I145" s="9" t="s">
        <v>572</v>
      </c>
    </row>
    <row r="146" spans="1:9">
      <c r="A146" s="2">
        <v>41736</v>
      </c>
      <c r="B146" t="s">
        <v>255</v>
      </c>
      <c r="C146" t="s">
        <v>255</v>
      </c>
      <c r="D146" s="2">
        <v>41736</v>
      </c>
      <c r="E146">
        <v>56.25</v>
      </c>
      <c r="F146" s="2">
        <v>41736</v>
      </c>
      <c r="G146">
        <v>56.25</v>
      </c>
      <c r="H146" s="9" t="s">
        <v>255</v>
      </c>
      <c r="I146" s="9" t="s">
        <v>572</v>
      </c>
    </row>
    <row r="147" spans="1:9">
      <c r="A147" s="2">
        <v>41766</v>
      </c>
      <c r="B147" t="s">
        <v>255</v>
      </c>
      <c r="C147" t="s">
        <v>255</v>
      </c>
      <c r="D147" s="2">
        <v>41766</v>
      </c>
      <c r="E147">
        <v>200.84</v>
      </c>
      <c r="F147" s="2">
        <v>41766</v>
      </c>
      <c r="G147">
        <v>200.84</v>
      </c>
      <c r="H147" s="9" t="s">
        <v>255</v>
      </c>
      <c r="I147" s="9" t="s">
        <v>572</v>
      </c>
    </row>
    <row r="148" spans="1:9">
      <c r="A148" s="2">
        <v>41626</v>
      </c>
      <c r="B148" t="s">
        <v>64</v>
      </c>
      <c r="C148" t="s">
        <v>82</v>
      </c>
      <c r="D148" s="2">
        <v>41626</v>
      </c>
      <c r="E148">
        <v>160</v>
      </c>
      <c r="F148" s="2">
        <v>41626</v>
      </c>
      <c r="G148">
        <v>160</v>
      </c>
      <c r="H148" s="9" t="s">
        <v>599</v>
      </c>
      <c r="I148" s="9" t="s">
        <v>82</v>
      </c>
    </row>
    <row r="149" spans="1:9">
      <c r="A149" s="2">
        <v>41753</v>
      </c>
      <c r="B149" t="s">
        <v>453</v>
      </c>
      <c r="C149" t="s">
        <v>356</v>
      </c>
      <c r="D149" s="2">
        <v>41753</v>
      </c>
      <c r="E149">
        <v>200</v>
      </c>
      <c r="F149" s="2">
        <v>41753</v>
      </c>
      <c r="G149">
        <v>200</v>
      </c>
      <c r="H149" s="9" t="s">
        <v>599</v>
      </c>
      <c r="I149" s="9" t="s">
        <v>82</v>
      </c>
    </row>
    <row r="150" spans="1:9">
      <c r="A150" s="2">
        <v>41683</v>
      </c>
      <c r="B150" t="s">
        <v>328</v>
      </c>
      <c r="C150" t="s">
        <v>356</v>
      </c>
      <c r="D150" s="2">
        <v>41683</v>
      </c>
      <c r="E150">
        <v>200</v>
      </c>
      <c r="F150" s="2">
        <v>41683</v>
      </c>
      <c r="G150">
        <v>200</v>
      </c>
      <c r="H150" s="9" t="s">
        <v>599</v>
      </c>
      <c r="I150" s="9" t="s">
        <v>82</v>
      </c>
    </row>
    <row r="151" spans="1:9">
      <c r="A151" s="2">
        <v>41754</v>
      </c>
      <c r="B151" t="s">
        <v>455</v>
      </c>
      <c r="C151" t="s">
        <v>356</v>
      </c>
      <c r="D151" s="2">
        <v>41754</v>
      </c>
      <c r="E151" s="15">
        <v>1507.08</v>
      </c>
      <c r="F151" s="2">
        <v>41754</v>
      </c>
      <c r="G151" s="15">
        <v>1507.08</v>
      </c>
      <c r="H151" s="9" t="s">
        <v>599</v>
      </c>
      <c r="I151" s="9" t="s">
        <v>82</v>
      </c>
    </row>
    <row r="152" spans="1:9">
      <c r="A152" s="2">
        <v>41766</v>
      </c>
      <c r="B152" t="s">
        <v>506</v>
      </c>
      <c r="C152" t="s">
        <v>531</v>
      </c>
      <c r="D152" s="2">
        <v>41766</v>
      </c>
      <c r="E152">
        <v>800</v>
      </c>
      <c r="F152" s="2">
        <v>41766</v>
      </c>
      <c r="G152">
        <v>800</v>
      </c>
      <c r="H152" s="9" t="s">
        <v>599</v>
      </c>
      <c r="I152" s="9" t="s">
        <v>82</v>
      </c>
    </row>
    <row r="153" spans="1:9">
      <c r="A153" s="2">
        <v>41626</v>
      </c>
      <c r="B153" t="s">
        <v>65</v>
      </c>
      <c r="C153" t="s">
        <v>82</v>
      </c>
      <c r="D153" s="2">
        <v>41626</v>
      </c>
      <c r="E153">
        <v>200</v>
      </c>
      <c r="F153" s="2">
        <v>41626</v>
      </c>
      <c r="G153">
        <v>200</v>
      </c>
      <c r="H153" s="9" t="s">
        <v>599</v>
      </c>
      <c r="I153" s="9" t="s">
        <v>82</v>
      </c>
    </row>
    <row r="154" spans="1:9">
      <c r="A154" s="2">
        <v>41618</v>
      </c>
      <c r="B154" t="s">
        <v>60</v>
      </c>
      <c r="C154" t="s">
        <v>78</v>
      </c>
      <c r="D154" s="2">
        <v>41618</v>
      </c>
      <c r="E154">
        <v>256.02</v>
      </c>
      <c r="F154" s="2">
        <v>41618</v>
      </c>
      <c r="G154">
        <v>256.02</v>
      </c>
      <c r="H154" s="9" t="s">
        <v>78</v>
      </c>
      <c r="I154" s="9" t="s">
        <v>566</v>
      </c>
    </row>
    <row r="155" spans="1:9">
      <c r="A155" s="2">
        <v>41620</v>
      </c>
      <c r="B155" t="s">
        <v>60</v>
      </c>
      <c r="C155" t="s">
        <v>78</v>
      </c>
      <c r="D155" s="2">
        <v>41620</v>
      </c>
      <c r="E155">
        <v>368.14</v>
      </c>
      <c r="F155" s="2">
        <v>41620</v>
      </c>
      <c r="G155">
        <v>368.14</v>
      </c>
      <c r="H155" s="9" t="s">
        <v>78</v>
      </c>
      <c r="I155" s="9" t="s">
        <v>566</v>
      </c>
    </row>
    <row r="156" spans="1:9">
      <c r="A156" s="2">
        <v>41682</v>
      </c>
      <c r="B156" t="s">
        <v>60</v>
      </c>
      <c r="C156" t="s">
        <v>78</v>
      </c>
      <c r="D156" s="2">
        <v>41682</v>
      </c>
      <c r="E156">
        <v>368.14</v>
      </c>
      <c r="F156" s="2">
        <v>41682</v>
      </c>
      <c r="G156">
        <v>368.14</v>
      </c>
      <c r="H156" s="9" t="s">
        <v>78</v>
      </c>
      <c r="I156" s="9" t="s">
        <v>572</v>
      </c>
    </row>
    <row r="157" spans="1:9">
      <c r="A157" s="2">
        <v>41752</v>
      </c>
      <c r="B157" t="s">
        <v>60</v>
      </c>
      <c r="C157" t="s">
        <v>489</v>
      </c>
      <c r="D157" s="2">
        <v>41752</v>
      </c>
      <c r="E157">
        <v>466.03</v>
      </c>
      <c r="F157" s="2">
        <v>41752</v>
      </c>
      <c r="G157">
        <v>466.03</v>
      </c>
      <c r="H157" s="9" t="s">
        <v>78</v>
      </c>
      <c r="I157" s="9" t="s">
        <v>572</v>
      </c>
    </row>
    <row r="158" spans="1:9">
      <c r="A158" s="2">
        <v>41716</v>
      </c>
      <c r="B158" t="s">
        <v>383</v>
      </c>
      <c r="C158" t="s">
        <v>356</v>
      </c>
      <c r="D158" s="2">
        <v>41716</v>
      </c>
      <c r="E158">
        <v>214.73</v>
      </c>
      <c r="F158" s="2">
        <v>41716</v>
      </c>
      <c r="G158">
        <v>214.73</v>
      </c>
      <c r="H158" s="9" t="s">
        <v>768</v>
      </c>
      <c r="I158" s="9" t="s">
        <v>572</v>
      </c>
    </row>
    <row r="159" spans="1:9">
      <c r="A159" s="2">
        <v>41733</v>
      </c>
      <c r="B159" t="s">
        <v>383</v>
      </c>
      <c r="C159" t="s">
        <v>81</v>
      </c>
      <c r="D159" s="2">
        <v>41733</v>
      </c>
      <c r="E159">
        <v>175.04</v>
      </c>
      <c r="F159" s="2">
        <v>41733</v>
      </c>
      <c r="G159">
        <v>175.04</v>
      </c>
      <c r="H159" s="9" t="s">
        <v>768</v>
      </c>
      <c r="I159" s="9" t="s">
        <v>572</v>
      </c>
    </row>
    <row r="160" spans="1:9">
      <c r="A160" s="2">
        <v>41716</v>
      </c>
      <c r="B160" t="s">
        <v>384</v>
      </c>
      <c r="C160" t="s">
        <v>356</v>
      </c>
      <c r="D160" s="2">
        <v>41716</v>
      </c>
      <c r="E160">
        <v>24</v>
      </c>
      <c r="F160" s="2">
        <v>41716</v>
      </c>
      <c r="G160">
        <v>24</v>
      </c>
      <c r="H160" s="9" t="s">
        <v>768</v>
      </c>
      <c r="I160" s="9" t="s">
        <v>572</v>
      </c>
    </row>
    <row r="161" spans="1:9">
      <c r="A161" s="2">
        <v>41751</v>
      </c>
      <c r="B161" t="s">
        <v>450</v>
      </c>
      <c r="C161" t="s">
        <v>358</v>
      </c>
      <c r="D161" s="2">
        <v>41751</v>
      </c>
      <c r="E161">
        <v>15</v>
      </c>
      <c r="F161" s="2">
        <v>41751</v>
      </c>
      <c r="G161">
        <v>15</v>
      </c>
      <c r="H161" s="9" t="s">
        <v>358</v>
      </c>
      <c r="I161" s="9" t="s">
        <v>572</v>
      </c>
    </row>
    <row r="162" spans="1:9">
      <c r="A162" s="2">
        <v>41723</v>
      </c>
      <c r="B162" t="s">
        <v>389</v>
      </c>
      <c r="C162" t="s">
        <v>356</v>
      </c>
      <c r="D162" s="2">
        <v>41723</v>
      </c>
      <c r="E162">
        <v>62.6</v>
      </c>
      <c r="F162" s="2">
        <v>41723</v>
      </c>
      <c r="G162">
        <v>62.6</v>
      </c>
      <c r="H162" s="9" t="s">
        <v>737</v>
      </c>
      <c r="I162" s="9" t="s">
        <v>572</v>
      </c>
    </row>
    <row r="163" spans="1:9">
      <c r="A163" s="2">
        <v>41618</v>
      </c>
      <c r="B163" t="s">
        <v>58</v>
      </c>
      <c r="C163" t="s">
        <v>76</v>
      </c>
      <c r="D163" s="2">
        <v>41618</v>
      </c>
      <c r="E163">
        <v>758.76</v>
      </c>
      <c r="F163" s="2">
        <v>41618</v>
      </c>
      <c r="G163">
        <v>758.76</v>
      </c>
      <c r="H163" s="9" t="s">
        <v>737</v>
      </c>
      <c r="I163" s="9" t="s">
        <v>570</v>
      </c>
    </row>
    <row r="164" spans="1:9">
      <c r="A164" s="2">
        <v>41625</v>
      </c>
      <c r="B164" t="s">
        <v>63</v>
      </c>
      <c r="C164" t="s">
        <v>81</v>
      </c>
      <c r="D164" s="2">
        <v>41625</v>
      </c>
      <c r="E164">
        <v>50</v>
      </c>
      <c r="F164" s="2">
        <v>41625</v>
      </c>
      <c r="G164">
        <v>50</v>
      </c>
      <c r="H164" s="9" t="s">
        <v>737</v>
      </c>
      <c r="I164" s="9" t="s">
        <v>570</v>
      </c>
    </row>
    <row r="165" spans="1:9">
      <c r="A165" s="2">
        <v>41731</v>
      </c>
      <c r="B165" t="s">
        <v>432</v>
      </c>
      <c r="C165" t="s">
        <v>467</v>
      </c>
      <c r="D165" s="2">
        <v>41731</v>
      </c>
      <c r="E165">
        <v>640</v>
      </c>
      <c r="F165" s="2">
        <v>41731</v>
      </c>
      <c r="G165">
        <v>640</v>
      </c>
      <c r="H165" s="9" t="s">
        <v>737</v>
      </c>
      <c r="I165" s="9" t="s">
        <v>572</v>
      </c>
    </row>
    <row r="166" spans="1:9">
      <c r="A166" s="2">
        <v>41773</v>
      </c>
      <c r="B166" t="s">
        <v>511</v>
      </c>
      <c r="C166" t="s">
        <v>358</v>
      </c>
      <c r="D166" s="2">
        <v>41773</v>
      </c>
      <c r="E166">
        <v>19</v>
      </c>
      <c r="F166" s="2">
        <v>41773</v>
      </c>
      <c r="G166">
        <v>19</v>
      </c>
      <c r="H166" s="9" t="s">
        <v>737</v>
      </c>
      <c r="I166" s="9" t="s">
        <v>572</v>
      </c>
    </row>
    <row r="167" spans="1:9">
      <c r="A167" s="2">
        <v>41729</v>
      </c>
      <c r="B167" t="s">
        <v>395</v>
      </c>
      <c r="C167" t="s">
        <v>356</v>
      </c>
      <c r="D167" s="2">
        <v>41729</v>
      </c>
      <c r="E167">
        <v>95</v>
      </c>
      <c r="F167" s="2">
        <v>41729</v>
      </c>
      <c r="G167">
        <v>95</v>
      </c>
      <c r="H167" s="9" t="s">
        <v>737</v>
      </c>
      <c r="I167" s="9" t="s">
        <v>572</v>
      </c>
    </row>
    <row r="168" spans="1:9">
      <c r="A168" s="2">
        <v>41733</v>
      </c>
      <c r="B168" t="s">
        <v>435</v>
      </c>
      <c r="C168" t="s">
        <v>81</v>
      </c>
      <c r="D168" s="2">
        <v>41733</v>
      </c>
      <c r="E168">
        <v>129</v>
      </c>
      <c r="F168" s="2">
        <v>41733</v>
      </c>
      <c r="G168">
        <v>129</v>
      </c>
      <c r="H168" s="9" t="s">
        <v>737</v>
      </c>
      <c r="I168" s="9" t="s">
        <v>572</v>
      </c>
    </row>
    <row r="169" spans="1:9">
      <c r="A169" s="2">
        <v>41725</v>
      </c>
      <c r="B169" t="s">
        <v>394</v>
      </c>
      <c r="C169" t="s">
        <v>43</v>
      </c>
      <c r="D169" s="2">
        <v>41725</v>
      </c>
      <c r="E169">
        <v>18.3</v>
      </c>
      <c r="F169" s="2">
        <v>41725</v>
      </c>
      <c r="G169">
        <v>18.3</v>
      </c>
      <c r="H169" s="9" t="s">
        <v>737</v>
      </c>
      <c r="I169" s="9" t="s">
        <v>572</v>
      </c>
    </row>
    <row r="170" spans="1:9">
      <c r="A170" s="2">
        <v>41687</v>
      </c>
      <c r="B170" t="s">
        <v>329</v>
      </c>
      <c r="C170" t="s">
        <v>358</v>
      </c>
      <c r="D170" s="2">
        <v>41687</v>
      </c>
      <c r="E170">
        <v>35</v>
      </c>
      <c r="F170" s="2">
        <v>41687</v>
      </c>
      <c r="G170">
        <v>35</v>
      </c>
      <c r="H170" s="9" t="s">
        <v>358</v>
      </c>
      <c r="I170" s="9" t="s">
        <v>572</v>
      </c>
    </row>
    <row r="171" spans="1:9">
      <c r="A171" s="2">
        <v>41736</v>
      </c>
      <c r="B171" t="s">
        <v>440</v>
      </c>
      <c r="C171" t="s">
        <v>81</v>
      </c>
      <c r="D171" s="2">
        <v>41736</v>
      </c>
      <c r="E171">
        <v>288.75</v>
      </c>
      <c r="F171" s="2">
        <v>41736</v>
      </c>
      <c r="G171">
        <v>288.75</v>
      </c>
      <c r="H171" s="9" t="s">
        <v>737</v>
      </c>
      <c r="I171" s="9" t="s">
        <v>572</v>
      </c>
    </row>
    <row r="172" spans="1:9">
      <c r="A172" s="2">
        <v>41669</v>
      </c>
      <c r="B172" t="s">
        <v>278</v>
      </c>
      <c r="C172" t="s">
        <v>318</v>
      </c>
      <c r="D172" s="2">
        <v>41669</v>
      </c>
      <c r="E172">
        <v>64</v>
      </c>
      <c r="F172" s="2">
        <v>41669</v>
      </c>
      <c r="G172">
        <v>64</v>
      </c>
      <c r="H172" s="9" t="s">
        <v>598</v>
      </c>
      <c r="I172" s="9" t="s">
        <v>572</v>
      </c>
    </row>
    <row r="173" spans="1:9">
      <c r="A173" s="2">
        <v>41733</v>
      </c>
      <c r="B173" t="s">
        <v>436</v>
      </c>
      <c r="C173" t="s">
        <v>81</v>
      </c>
      <c r="D173" s="2">
        <v>41733</v>
      </c>
      <c r="E173">
        <v>55</v>
      </c>
      <c r="F173" s="2">
        <v>41733</v>
      </c>
      <c r="G173">
        <v>55</v>
      </c>
      <c r="H173" s="9" t="s">
        <v>737</v>
      </c>
      <c r="I173" s="9" t="s">
        <v>572</v>
      </c>
    </row>
    <row r="174" spans="1:9">
      <c r="A174" s="2">
        <v>41732</v>
      </c>
      <c r="B174" t="s">
        <v>434</v>
      </c>
      <c r="C174" t="s">
        <v>81</v>
      </c>
      <c r="D174" s="2">
        <v>41732</v>
      </c>
      <c r="E174">
        <v>70.290000000000006</v>
      </c>
      <c r="F174" s="2">
        <v>41732</v>
      </c>
      <c r="G174">
        <v>70.290000000000006</v>
      </c>
      <c r="H174" s="9" t="s">
        <v>737</v>
      </c>
      <c r="I174" s="9" t="s">
        <v>572</v>
      </c>
    </row>
    <row r="175" spans="1:9">
      <c r="A175" s="2">
        <v>41647</v>
      </c>
      <c r="B175" t="s">
        <v>260</v>
      </c>
      <c r="C175" t="s">
        <v>297</v>
      </c>
      <c r="D175" s="2">
        <v>41647</v>
      </c>
      <c r="E175">
        <v>66.56</v>
      </c>
      <c r="F175" s="2">
        <v>41647</v>
      </c>
      <c r="G175">
        <v>66.56</v>
      </c>
      <c r="H175" s="9" t="s">
        <v>587</v>
      </c>
      <c r="I175" s="9" t="s">
        <v>566</v>
      </c>
    </row>
    <row r="176" spans="1:9">
      <c r="A176" s="2">
        <v>41675</v>
      </c>
      <c r="B176" t="s">
        <v>260</v>
      </c>
      <c r="C176" t="s">
        <v>346</v>
      </c>
      <c r="D176" s="2">
        <v>41675</v>
      </c>
      <c r="E176">
        <v>67.56</v>
      </c>
      <c r="F176" s="2">
        <v>41675</v>
      </c>
      <c r="G176">
        <v>67.56</v>
      </c>
      <c r="H176" s="9" t="s">
        <v>587</v>
      </c>
      <c r="I176" s="9" t="s">
        <v>566</v>
      </c>
    </row>
    <row r="177" spans="1:9">
      <c r="A177" s="2">
        <v>41705</v>
      </c>
      <c r="B177" t="s">
        <v>260</v>
      </c>
      <c r="C177" t="s">
        <v>406</v>
      </c>
      <c r="D177" s="2">
        <v>41705</v>
      </c>
      <c r="E177">
        <v>67.56</v>
      </c>
      <c r="F177" s="2">
        <v>41705</v>
      </c>
      <c r="G177">
        <v>67.56</v>
      </c>
      <c r="H177" s="9" t="s">
        <v>587</v>
      </c>
      <c r="I177" s="9" t="s">
        <v>566</v>
      </c>
    </row>
    <row r="178" spans="1:9">
      <c r="A178" s="2">
        <v>41737</v>
      </c>
      <c r="B178" t="s">
        <v>260</v>
      </c>
      <c r="C178" t="s">
        <v>346</v>
      </c>
      <c r="D178" s="2">
        <v>41737</v>
      </c>
      <c r="E178">
        <v>47.3</v>
      </c>
      <c r="F178" s="2">
        <v>41737</v>
      </c>
      <c r="G178">
        <v>47.3</v>
      </c>
      <c r="H178" s="9" t="s">
        <v>587</v>
      </c>
      <c r="I178" s="9" t="s">
        <v>566</v>
      </c>
    </row>
    <row r="179" spans="1:9">
      <c r="A179" s="2">
        <v>41767</v>
      </c>
      <c r="B179" t="s">
        <v>260</v>
      </c>
      <c r="C179" t="s">
        <v>346</v>
      </c>
      <c r="D179" s="2">
        <v>41767</v>
      </c>
      <c r="E179">
        <v>80.7</v>
      </c>
      <c r="F179" s="2">
        <v>41767</v>
      </c>
      <c r="G179">
        <v>80.7</v>
      </c>
      <c r="H179" s="9" t="s">
        <v>587</v>
      </c>
      <c r="I179" s="9" t="s">
        <v>566</v>
      </c>
    </row>
    <row r="180" spans="1:9">
      <c r="A180" s="2">
        <v>41619</v>
      </c>
      <c r="B180" t="s">
        <v>61</v>
      </c>
      <c r="C180" t="s">
        <v>79</v>
      </c>
      <c r="D180" s="2">
        <v>41619</v>
      </c>
      <c r="E180">
        <v>114.7</v>
      </c>
      <c r="F180" s="2">
        <v>41619</v>
      </c>
      <c r="G180">
        <v>114.7</v>
      </c>
      <c r="H180" s="9" t="s">
        <v>355</v>
      </c>
      <c r="I180" s="9" t="s">
        <v>566</v>
      </c>
    </row>
    <row r="181" spans="1:9">
      <c r="A181" s="2">
        <v>41652</v>
      </c>
      <c r="B181" t="s">
        <v>263</v>
      </c>
      <c r="C181" t="s">
        <v>300</v>
      </c>
      <c r="D181" s="2">
        <v>41652</v>
      </c>
      <c r="E181">
        <v>114.7</v>
      </c>
      <c r="F181" s="2">
        <v>41652</v>
      </c>
      <c r="G181">
        <v>114.7</v>
      </c>
      <c r="H181" s="9" t="s">
        <v>355</v>
      </c>
      <c r="I181" s="9" t="s">
        <v>566</v>
      </c>
    </row>
    <row r="182" spans="1:9">
      <c r="A182" s="2">
        <v>41681</v>
      </c>
      <c r="B182" t="s">
        <v>327</v>
      </c>
      <c r="C182" t="s">
        <v>355</v>
      </c>
      <c r="D182" s="2">
        <v>41681</v>
      </c>
      <c r="E182">
        <v>114.7</v>
      </c>
      <c r="F182" s="2">
        <v>41681</v>
      </c>
      <c r="G182">
        <v>114.7</v>
      </c>
      <c r="H182" s="9" t="s">
        <v>355</v>
      </c>
      <c r="I182" s="9" t="s">
        <v>566</v>
      </c>
    </row>
    <row r="183" spans="1:9">
      <c r="A183" s="2">
        <v>41711</v>
      </c>
      <c r="B183" t="s">
        <v>381</v>
      </c>
      <c r="C183" t="s">
        <v>412</v>
      </c>
      <c r="D183" s="2">
        <v>41711</v>
      </c>
      <c r="E183">
        <v>114.7</v>
      </c>
      <c r="F183" s="2">
        <v>41711</v>
      </c>
      <c r="G183">
        <v>114.7</v>
      </c>
      <c r="H183" s="9" t="s">
        <v>355</v>
      </c>
      <c r="I183" s="9" t="s">
        <v>566</v>
      </c>
    </row>
    <row r="184" spans="1:9">
      <c r="A184" s="2">
        <v>41740</v>
      </c>
      <c r="B184" t="s">
        <v>447</v>
      </c>
      <c r="C184" t="s">
        <v>479</v>
      </c>
      <c r="D184" s="2">
        <v>41740</v>
      </c>
      <c r="E184">
        <v>114.7</v>
      </c>
      <c r="F184" s="2">
        <v>41740</v>
      </c>
      <c r="G184">
        <v>114.7</v>
      </c>
      <c r="H184" s="9" t="s">
        <v>355</v>
      </c>
      <c r="I184" s="9" t="s">
        <v>566</v>
      </c>
    </row>
    <row r="185" spans="1:9">
      <c r="A185" s="2">
        <v>41771</v>
      </c>
      <c r="B185" t="s">
        <v>509</v>
      </c>
      <c r="C185" t="s">
        <v>536</v>
      </c>
      <c r="D185" s="2">
        <v>41771</v>
      </c>
      <c r="E185">
        <v>114.7</v>
      </c>
      <c r="F185" s="2">
        <v>41771</v>
      </c>
      <c r="G185">
        <v>114.7</v>
      </c>
      <c r="H185" s="9" t="s">
        <v>355</v>
      </c>
      <c r="I185" s="9" t="s">
        <v>566</v>
      </c>
    </row>
    <row r="186" spans="1:9">
      <c r="A186" s="2">
        <v>41652</v>
      </c>
      <c r="B186" t="s">
        <v>262</v>
      </c>
      <c r="C186" t="s">
        <v>299</v>
      </c>
      <c r="D186" s="2">
        <v>41652</v>
      </c>
      <c r="E186">
        <v>368.14</v>
      </c>
      <c r="F186" s="2">
        <v>41652</v>
      </c>
      <c r="G186">
        <v>368.14</v>
      </c>
      <c r="H186" s="9" t="s">
        <v>78</v>
      </c>
      <c r="I186" s="9" t="s">
        <v>566</v>
      </c>
    </row>
    <row r="187" spans="1:9">
      <c r="A187" s="2">
        <v>41641</v>
      </c>
      <c r="B187" t="s">
        <v>249</v>
      </c>
      <c r="C187" t="s">
        <v>281</v>
      </c>
      <c r="D187" s="2">
        <v>41641</v>
      </c>
      <c r="E187">
        <v>36.68</v>
      </c>
      <c r="F187" s="2">
        <v>41641</v>
      </c>
      <c r="G187">
        <v>36.68</v>
      </c>
      <c r="H187" s="9" t="s">
        <v>527</v>
      </c>
      <c r="I187" s="9" t="s">
        <v>572</v>
      </c>
    </row>
    <row r="188" spans="1:9">
      <c r="A188" s="2">
        <v>41673</v>
      </c>
      <c r="B188" t="s">
        <v>249</v>
      </c>
      <c r="C188" t="s">
        <v>340</v>
      </c>
      <c r="D188" s="2">
        <v>41673</v>
      </c>
      <c r="E188">
        <v>20.96</v>
      </c>
      <c r="F188" s="2">
        <v>41673</v>
      </c>
      <c r="G188">
        <v>20.96</v>
      </c>
      <c r="H188" s="9" t="s">
        <v>527</v>
      </c>
      <c r="I188" s="9" t="s">
        <v>572</v>
      </c>
    </row>
    <row r="189" spans="1:9">
      <c r="A189" s="2">
        <v>41703</v>
      </c>
      <c r="B189" t="s">
        <v>249</v>
      </c>
      <c r="C189" t="s">
        <v>340</v>
      </c>
      <c r="D189" s="2">
        <v>41703</v>
      </c>
      <c r="E189">
        <v>31.44</v>
      </c>
      <c r="F189" s="2">
        <v>41703</v>
      </c>
      <c r="G189">
        <v>31.44</v>
      </c>
      <c r="H189" s="9" t="s">
        <v>527</v>
      </c>
      <c r="I189" s="9" t="s">
        <v>572</v>
      </c>
    </row>
    <row r="190" spans="1:9">
      <c r="A190" s="2">
        <v>41730</v>
      </c>
      <c r="B190" t="s">
        <v>249</v>
      </c>
      <c r="C190" t="s">
        <v>340</v>
      </c>
      <c r="D190" s="2">
        <v>41730</v>
      </c>
      <c r="E190">
        <v>28.02</v>
      </c>
      <c r="F190" s="2">
        <v>41730</v>
      </c>
      <c r="G190">
        <v>28.02</v>
      </c>
      <c r="H190" s="9" t="s">
        <v>527</v>
      </c>
      <c r="I190" s="9" t="s">
        <v>572</v>
      </c>
    </row>
    <row r="191" spans="1:9">
      <c r="A191" s="2">
        <v>41761</v>
      </c>
      <c r="B191" t="s">
        <v>249</v>
      </c>
      <c r="C191" t="s">
        <v>527</v>
      </c>
      <c r="D191" s="2">
        <v>41761</v>
      </c>
      <c r="E191">
        <v>31.68</v>
      </c>
      <c r="F191" s="2">
        <v>41761</v>
      </c>
      <c r="G191">
        <v>31.68</v>
      </c>
      <c r="H191" s="9" t="s">
        <v>527</v>
      </c>
      <c r="I191" s="9" t="s">
        <v>572</v>
      </c>
    </row>
    <row r="192" spans="1:9">
      <c r="A192" s="2">
        <v>41645</v>
      </c>
      <c r="B192" t="s">
        <v>252</v>
      </c>
      <c r="C192" t="s">
        <v>287</v>
      </c>
      <c r="D192" s="2">
        <v>41645</v>
      </c>
      <c r="E192">
        <v>7.4</v>
      </c>
      <c r="F192" s="2">
        <v>41645</v>
      </c>
      <c r="G192">
        <v>7.4</v>
      </c>
      <c r="H192" s="9" t="s">
        <v>594</v>
      </c>
      <c r="I192" s="9" t="s">
        <v>572</v>
      </c>
    </row>
    <row r="193" spans="1:9">
      <c r="A193" s="2">
        <v>41647</v>
      </c>
      <c r="B193" t="s">
        <v>252</v>
      </c>
      <c r="C193" t="s">
        <v>294</v>
      </c>
      <c r="D193" s="2">
        <v>41647</v>
      </c>
      <c r="E193">
        <v>7.4</v>
      </c>
      <c r="F193" s="2">
        <v>41647</v>
      </c>
      <c r="G193">
        <v>7.4</v>
      </c>
      <c r="H193" s="9" t="s">
        <v>594</v>
      </c>
      <c r="I193" s="9" t="s">
        <v>572</v>
      </c>
    </row>
    <row r="194" spans="1:9">
      <c r="A194" s="2">
        <v>41647</v>
      </c>
      <c r="B194" t="s">
        <v>252</v>
      </c>
      <c r="C194" t="s">
        <v>294</v>
      </c>
      <c r="D194" s="2">
        <v>41647</v>
      </c>
      <c r="E194">
        <v>7.4</v>
      </c>
      <c r="F194" s="2">
        <v>41647</v>
      </c>
      <c r="G194">
        <v>7.4</v>
      </c>
      <c r="H194" s="9" t="s">
        <v>594</v>
      </c>
      <c r="I194" s="9" t="s">
        <v>572</v>
      </c>
    </row>
    <row r="195" spans="1:9">
      <c r="A195" s="2">
        <v>41666</v>
      </c>
      <c r="B195" t="s">
        <v>252</v>
      </c>
      <c r="C195" t="s">
        <v>294</v>
      </c>
      <c r="D195" s="2">
        <v>41666</v>
      </c>
      <c r="E195">
        <v>7.4</v>
      </c>
      <c r="F195" s="2">
        <v>41666</v>
      </c>
      <c r="G195">
        <v>7.4</v>
      </c>
      <c r="H195" s="9" t="s">
        <v>594</v>
      </c>
      <c r="I195" s="9" t="s">
        <v>572</v>
      </c>
    </row>
    <row r="196" spans="1:9">
      <c r="A196" s="2">
        <v>41674</v>
      </c>
      <c r="B196" t="s">
        <v>252</v>
      </c>
      <c r="C196" t="s">
        <v>342</v>
      </c>
      <c r="D196" s="2">
        <v>41674</v>
      </c>
      <c r="E196">
        <v>7.4</v>
      </c>
      <c r="F196" s="2">
        <v>41674</v>
      </c>
      <c r="G196">
        <v>7.4</v>
      </c>
      <c r="H196" s="9" t="s">
        <v>751</v>
      </c>
      <c r="I196" s="9" t="s">
        <v>572</v>
      </c>
    </row>
    <row r="197" spans="1:9">
      <c r="A197" s="2">
        <v>41676</v>
      </c>
      <c r="B197" t="s">
        <v>252</v>
      </c>
      <c r="C197" t="s">
        <v>342</v>
      </c>
      <c r="D197" s="2">
        <v>41676</v>
      </c>
      <c r="E197">
        <v>7.4</v>
      </c>
      <c r="F197" s="2">
        <v>41676</v>
      </c>
      <c r="G197">
        <v>7.4</v>
      </c>
      <c r="H197" s="9" t="s">
        <v>751</v>
      </c>
      <c r="I197" s="9" t="s">
        <v>572</v>
      </c>
    </row>
    <row r="198" spans="1:9">
      <c r="A198" s="2">
        <v>41680</v>
      </c>
      <c r="B198" t="s">
        <v>252</v>
      </c>
      <c r="C198" t="s">
        <v>342</v>
      </c>
      <c r="D198" s="2">
        <v>41680</v>
      </c>
      <c r="E198">
        <v>7.4</v>
      </c>
      <c r="F198" s="2">
        <v>41680</v>
      </c>
      <c r="G198">
        <v>7.4</v>
      </c>
      <c r="H198" s="9" t="s">
        <v>751</v>
      </c>
      <c r="I198" s="9" t="s">
        <v>572</v>
      </c>
    </row>
    <row r="199" spans="1:9">
      <c r="A199" s="2">
        <v>41703</v>
      </c>
      <c r="B199" t="s">
        <v>252</v>
      </c>
      <c r="C199" t="s">
        <v>397</v>
      </c>
      <c r="D199" s="2">
        <v>41703</v>
      </c>
      <c r="E199">
        <v>7.4</v>
      </c>
      <c r="F199" s="2">
        <v>41703</v>
      </c>
      <c r="G199">
        <v>7.4</v>
      </c>
      <c r="H199" s="9" t="s">
        <v>594</v>
      </c>
      <c r="I199" s="9" t="s">
        <v>572</v>
      </c>
    </row>
    <row r="200" spans="1:9">
      <c r="A200" s="2">
        <v>41704</v>
      </c>
      <c r="B200" t="s">
        <v>252</v>
      </c>
      <c r="C200" t="s">
        <v>397</v>
      </c>
      <c r="D200" s="2">
        <v>41704</v>
      </c>
      <c r="E200">
        <v>7.4</v>
      </c>
      <c r="F200" s="2">
        <v>41704</v>
      </c>
      <c r="G200">
        <v>7.4</v>
      </c>
      <c r="H200" s="9" t="s">
        <v>594</v>
      </c>
      <c r="I200" s="9" t="s">
        <v>572</v>
      </c>
    </row>
    <row r="201" spans="1:9">
      <c r="A201" s="2">
        <v>41723</v>
      </c>
      <c r="B201" t="s">
        <v>252</v>
      </c>
      <c r="C201" t="s">
        <v>397</v>
      </c>
      <c r="D201" s="2">
        <v>41723</v>
      </c>
      <c r="E201">
        <v>7.4</v>
      </c>
      <c r="F201" s="2">
        <v>41723</v>
      </c>
      <c r="G201">
        <v>7.4</v>
      </c>
      <c r="H201" s="9" t="s">
        <v>594</v>
      </c>
      <c r="I201" s="9" t="s">
        <v>572</v>
      </c>
    </row>
    <row r="202" spans="1:9">
      <c r="A202" s="2">
        <v>41730</v>
      </c>
      <c r="B202" t="s">
        <v>252</v>
      </c>
      <c r="C202" t="s">
        <v>397</v>
      </c>
      <c r="D202" s="2">
        <v>41730</v>
      </c>
      <c r="E202">
        <v>7.4</v>
      </c>
      <c r="F202" s="2">
        <v>41730</v>
      </c>
      <c r="G202">
        <v>7.4</v>
      </c>
      <c r="H202" s="9" t="s">
        <v>594</v>
      </c>
      <c r="I202" s="9" t="s">
        <v>572</v>
      </c>
    </row>
    <row r="203" spans="1:9">
      <c r="A203" s="2">
        <v>41730</v>
      </c>
      <c r="B203" t="s">
        <v>252</v>
      </c>
      <c r="C203" t="s">
        <v>397</v>
      </c>
      <c r="D203" s="2">
        <v>41730</v>
      </c>
      <c r="E203">
        <v>7.4</v>
      </c>
      <c r="F203" s="2">
        <v>41730</v>
      </c>
      <c r="G203">
        <v>7.4</v>
      </c>
      <c r="H203" s="9" t="s">
        <v>594</v>
      </c>
      <c r="I203" s="9" t="s">
        <v>572</v>
      </c>
    </row>
    <row r="204" spans="1:9">
      <c r="A204" s="2">
        <v>41736</v>
      </c>
      <c r="B204" t="s">
        <v>252</v>
      </c>
      <c r="C204" t="s">
        <v>473</v>
      </c>
      <c r="D204" s="2">
        <v>41736</v>
      </c>
      <c r="E204">
        <v>7.4</v>
      </c>
      <c r="F204" s="2">
        <v>41736</v>
      </c>
      <c r="G204">
        <v>7.4</v>
      </c>
      <c r="H204" s="9" t="s">
        <v>751</v>
      </c>
      <c r="I204" s="9" t="s">
        <v>572</v>
      </c>
    </row>
    <row r="205" spans="1:9">
      <c r="A205" s="2">
        <v>41743</v>
      </c>
      <c r="B205" t="s">
        <v>252</v>
      </c>
      <c r="C205" t="s">
        <v>482</v>
      </c>
      <c r="D205" s="2">
        <v>41743</v>
      </c>
      <c r="E205">
        <v>7.4</v>
      </c>
      <c r="F205" s="2">
        <v>41743</v>
      </c>
      <c r="G205">
        <v>7.4</v>
      </c>
      <c r="H205" s="9" t="s">
        <v>751</v>
      </c>
      <c r="I205" s="9" t="s">
        <v>572</v>
      </c>
    </row>
    <row r="206" spans="1:9">
      <c r="A206" s="2">
        <v>41764</v>
      </c>
      <c r="B206" t="s">
        <v>252</v>
      </c>
      <c r="C206" t="s">
        <v>529</v>
      </c>
      <c r="D206" s="2">
        <v>41764</v>
      </c>
      <c r="E206">
        <v>7.4</v>
      </c>
      <c r="F206" s="2">
        <v>41764</v>
      </c>
      <c r="G206">
        <v>7.4</v>
      </c>
      <c r="H206" s="9" t="s">
        <v>751</v>
      </c>
      <c r="I206" s="9" t="s">
        <v>572</v>
      </c>
    </row>
    <row r="207" spans="1:9">
      <c r="A207" s="2">
        <v>41767</v>
      </c>
      <c r="B207" t="s">
        <v>252</v>
      </c>
      <c r="C207" t="s">
        <v>529</v>
      </c>
      <c r="D207" s="2">
        <v>41767</v>
      </c>
      <c r="E207">
        <v>7.4</v>
      </c>
      <c r="F207" s="2">
        <v>41767</v>
      </c>
      <c r="G207">
        <v>7.4</v>
      </c>
      <c r="H207" s="9" t="s">
        <v>751</v>
      </c>
      <c r="I207" s="9" t="s">
        <v>572</v>
      </c>
    </row>
    <row r="208" spans="1:9">
      <c r="A208" s="2">
        <v>41674</v>
      </c>
      <c r="B208" t="s">
        <v>324</v>
      </c>
      <c r="C208" t="s">
        <v>345</v>
      </c>
      <c r="D208" s="2">
        <v>41674</v>
      </c>
      <c r="E208">
        <v>79.400000000000006</v>
      </c>
      <c r="F208" s="2">
        <v>41674</v>
      </c>
      <c r="G208">
        <v>79.400000000000006</v>
      </c>
      <c r="H208" s="9" t="s">
        <v>590</v>
      </c>
      <c r="I208" s="9" t="s">
        <v>572</v>
      </c>
    </row>
    <row r="209" spans="1:9">
      <c r="A209" s="2">
        <v>41704</v>
      </c>
      <c r="B209" t="s">
        <v>377</v>
      </c>
      <c r="C209" t="s">
        <v>345</v>
      </c>
      <c r="D209" s="2">
        <v>41704</v>
      </c>
      <c r="E209">
        <v>79.400000000000006</v>
      </c>
      <c r="F209" s="2">
        <v>41704</v>
      </c>
      <c r="G209">
        <v>79.400000000000006</v>
      </c>
      <c r="H209" s="9" t="s">
        <v>590</v>
      </c>
      <c r="I209" s="9" t="s">
        <v>572</v>
      </c>
    </row>
    <row r="210" spans="1:9">
      <c r="A210" s="2">
        <v>41731</v>
      </c>
      <c r="B210" t="s">
        <v>433</v>
      </c>
      <c r="C210" t="s">
        <v>469</v>
      </c>
      <c r="D210" s="2">
        <v>41731</v>
      </c>
      <c r="E210">
        <v>79.400000000000006</v>
      </c>
      <c r="F210" s="2">
        <v>41731</v>
      </c>
      <c r="G210">
        <v>79.400000000000006</v>
      </c>
      <c r="H210" s="9" t="s">
        <v>590</v>
      </c>
      <c r="I210" s="9" t="s">
        <v>572</v>
      </c>
    </row>
    <row r="211" spans="1:9">
      <c r="A211" s="2">
        <v>41764</v>
      </c>
      <c r="B211" t="s">
        <v>505</v>
      </c>
      <c r="C211" t="s">
        <v>530</v>
      </c>
      <c r="D211" s="2">
        <v>41764</v>
      </c>
      <c r="E211">
        <v>79.400000000000006</v>
      </c>
      <c r="F211" s="2">
        <v>41764</v>
      </c>
      <c r="G211">
        <v>79.400000000000006</v>
      </c>
      <c r="H211" s="9" t="s">
        <v>590</v>
      </c>
      <c r="I211" s="9" t="s">
        <v>572</v>
      </c>
    </row>
    <row r="212" spans="1:9">
      <c r="A212" s="2">
        <v>41642</v>
      </c>
      <c r="B212" t="s">
        <v>250</v>
      </c>
      <c r="C212" t="s">
        <v>283</v>
      </c>
      <c r="D212" s="2">
        <v>41642</v>
      </c>
      <c r="E212">
        <v>74.900000000000006</v>
      </c>
      <c r="F212" s="2">
        <v>41642</v>
      </c>
      <c r="G212">
        <v>74.900000000000006</v>
      </c>
      <c r="H212" s="9" t="s">
        <v>590</v>
      </c>
      <c r="I212" s="9" t="s">
        <v>572</v>
      </c>
    </row>
    <row r="213" spans="1:9">
      <c r="A213" s="2">
        <v>41786</v>
      </c>
      <c r="B213" t="s">
        <v>524</v>
      </c>
      <c r="C213" t="s">
        <v>555</v>
      </c>
      <c r="D213" s="2">
        <v>41786</v>
      </c>
      <c r="E213">
        <v>7.4</v>
      </c>
      <c r="F213" s="2">
        <v>41786</v>
      </c>
      <c r="G213">
        <v>7.4</v>
      </c>
      <c r="H213" s="9" t="s">
        <v>555</v>
      </c>
      <c r="I213" s="9" t="s">
        <v>572</v>
      </c>
    </row>
    <row r="214" spans="1:9">
      <c r="A214" s="2">
        <v>41698</v>
      </c>
      <c r="B214" t="s">
        <v>338</v>
      </c>
      <c r="C214" t="s">
        <v>373</v>
      </c>
      <c r="D214" s="2">
        <v>41698</v>
      </c>
      <c r="E214">
        <v>7.4</v>
      </c>
      <c r="F214" s="2">
        <v>41698</v>
      </c>
      <c r="G214">
        <v>7.4</v>
      </c>
      <c r="H214" s="9" t="s">
        <v>555</v>
      </c>
      <c r="I214" s="9" t="s">
        <v>572</v>
      </c>
    </row>
    <row r="215" spans="1:9">
      <c r="A215" s="2">
        <v>41659</v>
      </c>
      <c r="B215" t="s">
        <v>273</v>
      </c>
      <c r="C215" t="s">
        <v>311</v>
      </c>
      <c r="D215" s="2">
        <v>41659</v>
      </c>
      <c r="E215">
        <v>7.4</v>
      </c>
      <c r="F215" s="2">
        <v>41659</v>
      </c>
      <c r="G215">
        <v>7.4</v>
      </c>
      <c r="H215" s="9" t="s">
        <v>555</v>
      </c>
      <c r="I215" s="9" t="s">
        <v>572</v>
      </c>
    </row>
    <row r="216" spans="1:9">
      <c r="A216" s="2">
        <v>41620</v>
      </c>
      <c r="B216" t="s">
        <v>62</v>
      </c>
      <c r="C216" t="s">
        <v>80</v>
      </c>
      <c r="D216" s="2">
        <v>41620</v>
      </c>
      <c r="E216">
        <v>4.5</v>
      </c>
      <c r="F216" s="2">
        <v>41620</v>
      </c>
      <c r="G216">
        <v>4.5</v>
      </c>
      <c r="H216" s="9" t="s">
        <v>609</v>
      </c>
      <c r="I216" s="9" t="s">
        <v>572</v>
      </c>
    </row>
    <row r="217" spans="1:9">
      <c r="A217" s="2">
        <v>41627</v>
      </c>
      <c r="B217" t="s">
        <v>62</v>
      </c>
      <c r="C217" t="s">
        <v>80</v>
      </c>
      <c r="D217" s="2">
        <v>41627</v>
      </c>
      <c r="E217">
        <v>4.5</v>
      </c>
      <c r="F217" s="2">
        <v>41627</v>
      </c>
      <c r="G217">
        <v>4.5</v>
      </c>
      <c r="H217" s="9" t="s">
        <v>609</v>
      </c>
      <c r="I217" s="9" t="s">
        <v>572</v>
      </c>
    </row>
    <row r="218" spans="1:9">
      <c r="A218" s="2">
        <v>41632</v>
      </c>
      <c r="B218" t="s">
        <v>62</v>
      </c>
      <c r="C218" t="s">
        <v>80</v>
      </c>
      <c r="D218" s="2">
        <v>41632</v>
      </c>
      <c r="E218">
        <v>4.5</v>
      </c>
      <c r="F218" s="2">
        <v>41632</v>
      </c>
      <c r="G218">
        <v>4.5</v>
      </c>
      <c r="H218" s="9" t="s">
        <v>609</v>
      </c>
      <c r="I218" s="9" t="s">
        <v>572</v>
      </c>
    </row>
    <row r="219" spans="1:9">
      <c r="A219" s="2">
        <v>41642</v>
      </c>
      <c r="B219" t="s">
        <v>62</v>
      </c>
      <c r="C219" t="s">
        <v>282</v>
      </c>
      <c r="D219" s="2">
        <v>41642</v>
      </c>
      <c r="E219">
        <v>4.5</v>
      </c>
      <c r="F219" s="2">
        <v>41642</v>
      </c>
      <c r="G219">
        <v>4.5</v>
      </c>
      <c r="H219" s="9" t="s">
        <v>609</v>
      </c>
      <c r="I219" s="9" t="s">
        <v>572</v>
      </c>
    </row>
    <row r="220" spans="1:9">
      <c r="A220" s="2">
        <v>41645</v>
      </c>
      <c r="B220" t="s">
        <v>62</v>
      </c>
      <c r="C220" t="s">
        <v>282</v>
      </c>
      <c r="D220" s="2">
        <v>41645</v>
      </c>
      <c r="E220">
        <v>9</v>
      </c>
      <c r="F220" s="2">
        <v>41645</v>
      </c>
      <c r="G220">
        <v>9</v>
      </c>
      <c r="H220" s="9" t="s">
        <v>609</v>
      </c>
      <c r="I220" s="9" t="s">
        <v>572</v>
      </c>
    </row>
    <row r="221" spans="1:9">
      <c r="A221" s="2">
        <v>41653</v>
      </c>
      <c r="B221" t="s">
        <v>62</v>
      </c>
      <c r="C221" t="s">
        <v>282</v>
      </c>
      <c r="D221" s="2">
        <v>41653</v>
      </c>
      <c r="E221">
        <v>4.5</v>
      </c>
      <c r="F221" s="2">
        <v>41653</v>
      </c>
      <c r="G221">
        <v>4.5</v>
      </c>
      <c r="H221" s="9" t="s">
        <v>609</v>
      </c>
      <c r="I221" s="9" t="s">
        <v>572</v>
      </c>
    </row>
    <row r="222" spans="1:9">
      <c r="A222" s="2">
        <v>41660</v>
      </c>
      <c r="B222" t="s">
        <v>62</v>
      </c>
      <c r="C222" t="s">
        <v>282</v>
      </c>
      <c r="D222" s="2">
        <v>41660</v>
      </c>
      <c r="E222">
        <v>4.5</v>
      </c>
      <c r="F222" s="2">
        <v>41660</v>
      </c>
      <c r="G222">
        <v>4.5</v>
      </c>
      <c r="H222" s="9" t="s">
        <v>609</v>
      </c>
      <c r="I222" s="9" t="s">
        <v>572</v>
      </c>
    </row>
    <row r="223" spans="1:9">
      <c r="A223" s="2">
        <v>41663</v>
      </c>
      <c r="B223" t="s">
        <v>62</v>
      </c>
      <c r="C223" t="s">
        <v>282</v>
      </c>
      <c r="D223" s="2">
        <v>41663</v>
      </c>
      <c r="E223">
        <v>4.5</v>
      </c>
      <c r="F223" s="2">
        <v>41663</v>
      </c>
      <c r="G223">
        <v>4.5</v>
      </c>
      <c r="H223" s="9" t="s">
        <v>609</v>
      </c>
      <c r="I223" s="9" t="s">
        <v>572</v>
      </c>
    </row>
    <row r="224" spans="1:9">
      <c r="A224" s="2">
        <v>41674</v>
      </c>
      <c r="B224" t="s">
        <v>62</v>
      </c>
      <c r="C224" t="s">
        <v>80</v>
      </c>
      <c r="D224" s="2">
        <v>41674</v>
      </c>
      <c r="E224">
        <v>9</v>
      </c>
      <c r="F224" s="2">
        <v>41674</v>
      </c>
      <c r="G224">
        <v>9</v>
      </c>
      <c r="H224" s="9" t="s">
        <v>609</v>
      </c>
      <c r="I224" s="9" t="s">
        <v>572</v>
      </c>
    </row>
    <row r="225" spans="1:9">
      <c r="A225" s="2">
        <v>41695</v>
      </c>
      <c r="B225" t="s">
        <v>62</v>
      </c>
      <c r="C225" t="s">
        <v>80</v>
      </c>
      <c r="D225" s="2">
        <v>41695</v>
      </c>
      <c r="E225">
        <v>4.5</v>
      </c>
      <c r="F225" s="2">
        <v>41695</v>
      </c>
      <c r="G225">
        <v>4.5</v>
      </c>
      <c r="H225" s="9" t="s">
        <v>609</v>
      </c>
      <c r="I225" s="9" t="s">
        <v>572</v>
      </c>
    </row>
    <row r="226" spans="1:9">
      <c r="A226" s="2">
        <v>41704</v>
      </c>
      <c r="B226" t="s">
        <v>62</v>
      </c>
      <c r="C226" t="s">
        <v>80</v>
      </c>
      <c r="D226" s="2">
        <v>41704</v>
      </c>
      <c r="E226">
        <v>4.5</v>
      </c>
      <c r="F226" s="2">
        <v>41704</v>
      </c>
      <c r="G226">
        <v>4.5</v>
      </c>
      <c r="H226" s="9" t="s">
        <v>609</v>
      </c>
      <c r="I226" s="9" t="s">
        <v>572</v>
      </c>
    </row>
    <row r="227" spans="1:9">
      <c r="A227" s="2">
        <v>41716</v>
      </c>
      <c r="B227" t="s">
        <v>62</v>
      </c>
      <c r="C227" t="s">
        <v>80</v>
      </c>
      <c r="D227" s="2">
        <v>41716</v>
      </c>
      <c r="E227">
        <v>4.5</v>
      </c>
      <c r="F227" s="2">
        <v>41716</v>
      </c>
      <c r="G227">
        <v>4.5</v>
      </c>
      <c r="H227" s="9" t="s">
        <v>609</v>
      </c>
      <c r="I227" s="9" t="s">
        <v>572</v>
      </c>
    </row>
    <row r="228" spans="1:9">
      <c r="A228" s="2">
        <v>41718</v>
      </c>
      <c r="B228" t="s">
        <v>62</v>
      </c>
      <c r="C228" t="s">
        <v>80</v>
      </c>
      <c r="D228" s="2">
        <v>41718</v>
      </c>
      <c r="E228">
        <v>4.5</v>
      </c>
      <c r="F228" s="2">
        <v>41718</v>
      </c>
      <c r="G228">
        <v>4.5</v>
      </c>
      <c r="H228" s="9" t="s">
        <v>609</v>
      </c>
      <c r="I228" s="9" t="s">
        <v>572</v>
      </c>
    </row>
    <row r="229" spans="1:9">
      <c r="A229" s="2">
        <v>41723</v>
      </c>
      <c r="B229" t="s">
        <v>62</v>
      </c>
      <c r="C229" t="s">
        <v>80</v>
      </c>
      <c r="D229" s="2">
        <v>41723</v>
      </c>
      <c r="E229">
        <v>9</v>
      </c>
      <c r="F229" s="2">
        <v>41723</v>
      </c>
      <c r="G229">
        <v>9</v>
      </c>
      <c r="H229" s="9" t="s">
        <v>609</v>
      </c>
      <c r="I229" s="9" t="s">
        <v>572</v>
      </c>
    </row>
    <row r="230" spans="1:9">
      <c r="A230" s="2">
        <v>41733</v>
      </c>
      <c r="B230" t="s">
        <v>62</v>
      </c>
      <c r="C230" t="s">
        <v>80</v>
      </c>
      <c r="D230" s="2">
        <v>41733</v>
      </c>
      <c r="E230">
        <v>4.5</v>
      </c>
      <c r="F230" s="2">
        <v>41733</v>
      </c>
      <c r="G230">
        <v>4.5</v>
      </c>
      <c r="H230" s="9" t="s">
        <v>609</v>
      </c>
      <c r="I230" s="9" t="s">
        <v>572</v>
      </c>
    </row>
    <row r="231" spans="1:9">
      <c r="A231" s="2">
        <v>41744</v>
      </c>
      <c r="B231" t="s">
        <v>62</v>
      </c>
      <c r="C231" t="s">
        <v>80</v>
      </c>
      <c r="D231" s="2">
        <v>41744</v>
      </c>
      <c r="E231">
        <v>4.5</v>
      </c>
      <c r="F231" s="2">
        <v>41744</v>
      </c>
      <c r="G231">
        <v>4.5</v>
      </c>
      <c r="H231" s="9" t="s">
        <v>609</v>
      </c>
      <c r="I231" s="9" t="s">
        <v>572</v>
      </c>
    </row>
    <row r="232" spans="1:9">
      <c r="A232" s="2">
        <v>41751</v>
      </c>
      <c r="B232" t="s">
        <v>62</v>
      </c>
      <c r="C232" t="s">
        <v>488</v>
      </c>
      <c r="D232" s="2">
        <v>41751</v>
      </c>
      <c r="E232">
        <v>4.5</v>
      </c>
      <c r="F232" s="2">
        <v>41751</v>
      </c>
      <c r="G232">
        <v>4.5</v>
      </c>
      <c r="H232" s="9" t="s">
        <v>609</v>
      </c>
      <c r="I232" s="9" t="s">
        <v>572</v>
      </c>
    </row>
    <row r="233" spans="1:9">
      <c r="A233" s="2">
        <v>41752</v>
      </c>
      <c r="B233" t="s">
        <v>62</v>
      </c>
      <c r="C233" t="s">
        <v>488</v>
      </c>
      <c r="D233" s="2">
        <v>41752</v>
      </c>
      <c r="E233">
        <v>9</v>
      </c>
      <c r="F233" s="2">
        <v>41752</v>
      </c>
      <c r="G233">
        <v>9</v>
      </c>
      <c r="H233" s="9" t="s">
        <v>609</v>
      </c>
      <c r="I233" s="9" t="s">
        <v>572</v>
      </c>
    </row>
    <row r="234" spans="1:9">
      <c r="A234" s="2">
        <v>41753</v>
      </c>
      <c r="B234" t="s">
        <v>62</v>
      </c>
      <c r="C234" t="s">
        <v>488</v>
      </c>
      <c r="D234" s="2">
        <v>41753</v>
      </c>
      <c r="E234">
        <v>4.5</v>
      </c>
      <c r="F234" s="2">
        <v>41753</v>
      </c>
      <c r="G234">
        <v>4.5</v>
      </c>
      <c r="H234" s="9" t="s">
        <v>609</v>
      </c>
      <c r="I234" s="9" t="s">
        <v>572</v>
      </c>
    </row>
    <row r="235" spans="1:9">
      <c r="A235" s="2">
        <v>41774</v>
      </c>
      <c r="B235" t="s">
        <v>62</v>
      </c>
      <c r="C235" t="s">
        <v>80</v>
      </c>
      <c r="D235" s="2">
        <v>41774</v>
      </c>
      <c r="E235">
        <v>4.5</v>
      </c>
      <c r="F235" s="2">
        <v>41774</v>
      </c>
      <c r="G235">
        <v>4.5</v>
      </c>
      <c r="H235" s="9" t="s">
        <v>609</v>
      </c>
      <c r="I235" s="9" t="s">
        <v>572</v>
      </c>
    </row>
    <row r="236" spans="1:9">
      <c r="A236" s="2">
        <v>41775</v>
      </c>
      <c r="B236" t="s">
        <v>62</v>
      </c>
      <c r="C236" t="s">
        <v>80</v>
      </c>
      <c r="D236" s="2">
        <v>41775</v>
      </c>
      <c r="E236">
        <v>4.5</v>
      </c>
      <c r="F236" s="2">
        <v>41775</v>
      </c>
      <c r="G236">
        <v>4.5</v>
      </c>
      <c r="H236" s="9" t="s">
        <v>609</v>
      </c>
      <c r="I236" s="9" t="s">
        <v>572</v>
      </c>
    </row>
    <row r="237" spans="1:9">
      <c r="A237" s="2">
        <v>41778</v>
      </c>
      <c r="B237" t="s">
        <v>62</v>
      </c>
      <c r="C237" t="s">
        <v>80</v>
      </c>
      <c r="D237" s="2">
        <v>41778</v>
      </c>
      <c r="E237">
        <v>4.5</v>
      </c>
      <c r="F237" s="2">
        <v>41778</v>
      </c>
      <c r="G237">
        <v>4.5</v>
      </c>
      <c r="H237" s="9" t="s">
        <v>609</v>
      </c>
      <c r="I237" s="9" t="s">
        <v>572</v>
      </c>
    </row>
    <row r="238" spans="1:9">
      <c r="A238" s="2">
        <v>41782</v>
      </c>
      <c r="B238" t="s">
        <v>62</v>
      </c>
      <c r="C238" t="s">
        <v>80</v>
      </c>
      <c r="D238" s="2">
        <v>41782</v>
      </c>
      <c r="E238">
        <v>4.5</v>
      </c>
      <c r="F238" s="2">
        <v>41782</v>
      </c>
      <c r="G238">
        <v>4.5</v>
      </c>
      <c r="H238" s="9" t="s">
        <v>609</v>
      </c>
      <c r="I238" s="9" t="s">
        <v>572</v>
      </c>
    </row>
    <row r="239" spans="1:9">
      <c r="A239" s="2">
        <v>41635</v>
      </c>
      <c r="B239" t="s">
        <v>74</v>
      </c>
      <c r="C239" t="s">
        <v>95</v>
      </c>
      <c r="D239" s="2">
        <v>41635</v>
      </c>
      <c r="E239">
        <v>600</v>
      </c>
      <c r="F239" s="2">
        <v>41635</v>
      </c>
      <c r="G239">
        <v>600</v>
      </c>
      <c r="H239" s="9" t="s">
        <v>740</v>
      </c>
      <c r="I239" s="9" t="s">
        <v>565</v>
      </c>
    </row>
    <row r="240" spans="1:9">
      <c r="A240" s="2">
        <v>41708</v>
      </c>
      <c r="B240" t="s">
        <v>74</v>
      </c>
      <c r="C240" t="s">
        <v>407</v>
      </c>
      <c r="D240" s="2">
        <v>41708</v>
      </c>
      <c r="E240">
        <v>250</v>
      </c>
      <c r="F240" s="2">
        <v>41708</v>
      </c>
      <c r="G240">
        <v>250</v>
      </c>
      <c r="H240" s="9" t="s">
        <v>740</v>
      </c>
      <c r="I240" s="9" t="s">
        <v>565</v>
      </c>
    </row>
    <row r="241" spans="1:9">
      <c r="A241" s="2">
        <v>41719</v>
      </c>
      <c r="B241" t="s">
        <v>74</v>
      </c>
      <c r="C241" t="s">
        <v>417</v>
      </c>
      <c r="D241" s="2">
        <v>41719</v>
      </c>
      <c r="E241">
        <v>400</v>
      </c>
      <c r="F241" s="2">
        <v>41719</v>
      </c>
      <c r="G241">
        <v>400</v>
      </c>
      <c r="H241" s="9" t="s">
        <v>740</v>
      </c>
      <c r="I241" s="9" t="s">
        <v>565</v>
      </c>
    </row>
    <row r="242" spans="1:9">
      <c r="A242" s="2">
        <v>41739</v>
      </c>
      <c r="B242" t="s">
        <v>445</v>
      </c>
      <c r="C242" t="s">
        <v>477</v>
      </c>
      <c r="D242" s="2">
        <v>41739</v>
      </c>
      <c r="E242">
        <v>57</v>
      </c>
      <c r="F242" s="2">
        <v>41739</v>
      </c>
      <c r="G242">
        <v>57</v>
      </c>
      <c r="H242" s="9" t="s">
        <v>477</v>
      </c>
      <c r="I242" s="9" t="s">
        <v>565</v>
      </c>
    </row>
    <row r="243" spans="1:9">
      <c r="A243" s="2">
        <v>41781</v>
      </c>
      <c r="B243" t="s">
        <v>445</v>
      </c>
      <c r="C243" t="s">
        <v>543</v>
      </c>
      <c r="D243" s="2">
        <v>41781</v>
      </c>
      <c r="E243">
        <v>22.5</v>
      </c>
      <c r="F243" s="2">
        <v>41781</v>
      </c>
      <c r="G243">
        <v>22.5</v>
      </c>
      <c r="H243" s="9" t="s">
        <v>477</v>
      </c>
      <c r="I243" s="9" t="s">
        <v>565</v>
      </c>
    </row>
    <row r="244" spans="1:9">
      <c r="A244" s="2">
        <v>41723</v>
      </c>
      <c r="B244" t="s">
        <v>390</v>
      </c>
      <c r="C244" t="s">
        <v>420</v>
      </c>
      <c r="D244" s="2">
        <v>41723</v>
      </c>
      <c r="E244">
        <v>131</v>
      </c>
      <c r="F244" s="2">
        <v>41723</v>
      </c>
      <c r="G244">
        <v>131</v>
      </c>
      <c r="H244" s="9" t="s">
        <v>769</v>
      </c>
      <c r="I244" s="9" t="s">
        <v>565</v>
      </c>
    </row>
    <row r="245" spans="1:9">
      <c r="A245" s="2">
        <v>41737</v>
      </c>
      <c r="B245" t="s">
        <v>443</v>
      </c>
      <c r="C245" t="s">
        <v>474</v>
      </c>
      <c r="D245" s="2">
        <v>41737</v>
      </c>
      <c r="E245">
        <v>280</v>
      </c>
      <c r="F245" s="2">
        <v>41737</v>
      </c>
      <c r="G245">
        <v>280</v>
      </c>
      <c r="H245" s="9" t="s">
        <v>770</v>
      </c>
      <c r="I245" s="9" t="s">
        <v>565</v>
      </c>
    </row>
    <row r="246" spans="1:9">
      <c r="A246" s="2">
        <v>41705</v>
      </c>
      <c r="B246" t="s">
        <v>379</v>
      </c>
      <c r="C246" t="s">
        <v>405</v>
      </c>
      <c r="D246" s="2">
        <v>41705</v>
      </c>
      <c r="E246">
        <v>109</v>
      </c>
      <c r="F246" s="2">
        <v>41705</v>
      </c>
      <c r="G246">
        <v>109</v>
      </c>
      <c r="H246" s="9" t="s">
        <v>737</v>
      </c>
      <c r="I246" s="9" t="s">
        <v>565</v>
      </c>
    </row>
    <row r="247" spans="1:9">
      <c r="A247" s="2">
        <v>41715</v>
      </c>
      <c r="B247" t="s">
        <v>379</v>
      </c>
      <c r="C247" t="s">
        <v>405</v>
      </c>
      <c r="D247" s="2">
        <v>41715</v>
      </c>
      <c r="E247">
        <v>311</v>
      </c>
      <c r="F247" s="2">
        <v>41715</v>
      </c>
      <c r="G247">
        <v>311</v>
      </c>
      <c r="H247" s="9" t="s">
        <v>737</v>
      </c>
      <c r="I247" s="9" t="s">
        <v>565</v>
      </c>
    </row>
    <row r="248" spans="1:9">
      <c r="A248" s="2">
        <v>41758</v>
      </c>
      <c r="B248" t="s">
        <v>458</v>
      </c>
      <c r="C248" t="s">
        <v>496</v>
      </c>
      <c r="D248" s="2">
        <v>41758</v>
      </c>
      <c r="E248">
        <v>300</v>
      </c>
      <c r="F248" s="2">
        <v>41758</v>
      </c>
      <c r="G248">
        <v>300</v>
      </c>
      <c r="H248" s="9" t="s">
        <v>629</v>
      </c>
      <c r="I248" s="9" t="s">
        <v>565</v>
      </c>
    </row>
    <row r="249" spans="1:9">
      <c r="A249" s="2">
        <v>41758</v>
      </c>
      <c r="B249" t="s">
        <v>458</v>
      </c>
      <c r="C249" t="s">
        <v>497</v>
      </c>
      <c r="D249" s="2">
        <v>41758</v>
      </c>
      <c r="E249">
        <v>120.9</v>
      </c>
      <c r="F249" s="2">
        <v>41758</v>
      </c>
      <c r="G249">
        <v>120.9</v>
      </c>
      <c r="H249" s="9" t="s">
        <v>629</v>
      </c>
      <c r="I249" s="9" t="s">
        <v>565</v>
      </c>
    </row>
    <row r="250" spans="1:9">
      <c r="A250" s="2">
        <v>41758</v>
      </c>
      <c r="B250" t="s">
        <v>458</v>
      </c>
      <c r="C250" t="s">
        <v>498</v>
      </c>
      <c r="D250" s="2">
        <v>41758</v>
      </c>
      <c r="E250">
        <v>195</v>
      </c>
      <c r="F250" s="2">
        <v>41758</v>
      </c>
      <c r="G250">
        <v>195</v>
      </c>
      <c r="H250" s="9" t="s">
        <v>629</v>
      </c>
      <c r="I250" s="9" t="s">
        <v>565</v>
      </c>
    </row>
    <row r="251" spans="1:9">
      <c r="A251" s="2">
        <v>41758</v>
      </c>
      <c r="B251" t="s">
        <v>458</v>
      </c>
      <c r="C251" t="s">
        <v>499</v>
      </c>
      <c r="D251" s="2">
        <v>41758</v>
      </c>
      <c r="E251">
        <v>186</v>
      </c>
      <c r="F251" s="2">
        <v>41758</v>
      </c>
      <c r="G251">
        <v>186</v>
      </c>
      <c r="H251" s="9" t="s">
        <v>629</v>
      </c>
      <c r="I251" s="9" t="s">
        <v>565</v>
      </c>
    </row>
    <row r="252" spans="1:9">
      <c r="A252" s="2">
        <v>41767</v>
      </c>
      <c r="B252" t="s">
        <v>458</v>
      </c>
      <c r="C252" t="s">
        <v>533</v>
      </c>
      <c r="D252" s="2">
        <v>41767</v>
      </c>
      <c r="E252">
        <v>487.34</v>
      </c>
      <c r="F252" s="2">
        <v>41767</v>
      </c>
      <c r="G252">
        <v>487.34</v>
      </c>
      <c r="H252" s="9" t="s">
        <v>629</v>
      </c>
      <c r="I252" s="9" t="s">
        <v>565</v>
      </c>
    </row>
    <row r="253" spans="1:9">
      <c r="A253" s="2">
        <v>41779</v>
      </c>
      <c r="B253" t="s">
        <v>458</v>
      </c>
      <c r="C253" t="s">
        <v>538</v>
      </c>
      <c r="D253" s="2">
        <v>41779</v>
      </c>
      <c r="E253">
        <v>480</v>
      </c>
      <c r="F253" s="2">
        <v>41779</v>
      </c>
      <c r="G253">
        <v>480</v>
      </c>
      <c r="H253" s="9" t="s">
        <v>629</v>
      </c>
      <c r="I253" s="9" t="s">
        <v>565</v>
      </c>
    </row>
    <row r="254" spans="1:9">
      <c r="A254" s="2">
        <v>41788</v>
      </c>
      <c r="B254" t="s">
        <v>458</v>
      </c>
      <c r="C254" t="s">
        <v>558</v>
      </c>
      <c r="D254" s="2">
        <v>41788</v>
      </c>
      <c r="E254">
        <v>315</v>
      </c>
      <c r="F254" s="2">
        <v>41788</v>
      </c>
      <c r="G254">
        <v>315</v>
      </c>
      <c r="H254" s="9" t="s">
        <v>629</v>
      </c>
      <c r="I254" s="9" t="s">
        <v>565</v>
      </c>
    </row>
    <row r="255" spans="1:9">
      <c r="A255" s="2">
        <v>41788</v>
      </c>
      <c r="B255" t="s">
        <v>458</v>
      </c>
      <c r="C255" t="s">
        <v>559</v>
      </c>
      <c r="D255" s="2">
        <v>41788</v>
      </c>
      <c r="E255">
        <v>195.3</v>
      </c>
      <c r="F255" s="2">
        <v>41788</v>
      </c>
      <c r="G255">
        <v>195.3</v>
      </c>
      <c r="H255" s="9" t="s">
        <v>629</v>
      </c>
      <c r="I255" s="9" t="s">
        <v>565</v>
      </c>
    </row>
    <row r="256" spans="1:9">
      <c r="A256" s="2">
        <v>41736</v>
      </c>
      <c r="B256" t="s">
        <v>441</v>
      </c>
      <c r="C256" t="s">
        <v>470</v>
      </c>
      <c r="D256" s="2">
        <v>41736</v>
      </c>
      <c r="E256" s="15">
        <v>4078.09</v>
      </c>
      <c r="F256" s="2">
        <v>41736</v>
      </c>
      <c r="G256" s="15">
        <v>4078.09</v>
      </c>
      <c r="H256" s="9" t="s">
        <v>771</v>
      </c>
      <c r="I256" s="9" t="s">
        <v>565</v>
      </c>
    </row>
    <row r="257" spans="1:9">
      <c r="A257" s="2">
        <v>41766</v>
      </c>
      <c r="B257" t="s">
        <v>507</v>
      </c>
      <c r="C257" t="s">
        <v>532</v>
      </c>
      <c r="D257" s="2">
        <v>41766</v>
      </c>
      <c r="E257">
        <v>420</v>
      </c>
      <c r="F257" s="2">
        <v>41766</v>
      </c>
      <c r="G257">
        <v>420</v>
      </c>
      <c r="H257" s="9" t="s">
        <v>772</v>
      </c>
      <c r="I257" s="9" t="s">
        <v>565</v>
      </c>
    </row>
    <row r="258" spans="1:9">
      <c r="A258" s="2">
        <v>41649</v>
      </c>
      <c r="B258" t="s">
        <v>261</v>
      </c>
      <c r="C258" t="s">
        <v>298</v>
      </c>
      <c r="D258" s="2">
        <v>41649</v>
      </c>
      <c r="E258">
        <v>400</v>
      </c>
      <c r="F258" s="2">
        <v>41649</v>
      </c>
      <c r="G258">
        <v>400</v>
      </c>
      <c r="H258" s="9" t="s">
        <v>628</v>
      </c>
      <c r="I258" s="9" t="s">
        <v>565</v>
      </c>
    </row>
    <row r="259" spans="1:9">
      <c r="A259" s="2">
        <v>41736</v>
      </c>
      <c r="B259" t="s">
        <v>261</v>
      </c>
      <c r="C259" t="s">
        <v>471</v>
      </c>
      <c r="D259" s="2">
        <v>41736</v>
      </c>
      <c r="E259">
        <v>250</v>
      </c>
      <c r="F259" s="2">
        <v>41736</v>
      </c>
      <c r="G259">
        <v>250</v>
      </c>
      <c r="H259" s="9" t="s">
        <v>628</v>
      </c>
      <c r="I259" s="9" t="s">
        <v>565</v>
      </c>
    </row>
    <row r="260" spans="1:9">
      <c r="A260" s="2">
        <v>41757</v>
      </c>
      <c r="B260" t="s">
        <v>457</v>
      </c>
      <c r="C260" t="s">
        <v>495</v>
      </c>
      <c r="D260" s="2">
        <v>41757</v>
      </c>
      <c r="E260">
        <v>412.38</v>
      </c>
      <c r="F260" s="2">
        <v>41757</v>
      </c>
      <c r="G260">
        <v>412.38</v>
      </c>
      <c r="H260" s="9" t="s">
        <v>495</v>
      </c>
      <c r="I260" s="9" t="s">
        <v>565</v>
      </c>
    </row>
    <row r="261" spans="1:9">
      <c r="A261" s="2">
        <v>41780</v>
      </c>
      <c r="B261" t="s">
        <v>457</v>
      </c>
      <c r="C261" t="s">
        <v>542</v>
      </c>
      <c r="D261" s="2">
        <v>41780</v>
      </c>
      <c r="E261" s="15">
        <v>1000</v>
      </c>
      <c r="F261" s="2">
        <v>41780</v>
      </c>
      <c r="G261" s="15">
        <v>1000</v>
      </c>
      <c r="H261" s="9" t="s">
        <v>773</v>
      </c>
      <c r="I261" s="9" t="s">
        <v>565</v>
      </c>
    </row>
    <row r="262" spans="1:9">
      <c r="A262" s="2">
        <v>41659</v>
      </c>
      <c r="B262" t="s">
        <v>271</v>
      </c>
      <c r="C262" t="s">
        <v>309</v>
      </c>
      <c r="D262" s="2">
        <v>41659</v>
      </c>
      <c r="E262">
        <v>150</v>
      </c>
      <c r="F262" s="2">
        <v>41659</v>
      </c>
      <c r="G262">
        <v>150</v>
      </c>
      <c r="H262" s="9" t="s">
        <v>748</v>
      </c>
      <c r="I262" s="9" t="s">
        <v>565</v>
      </c>
    </row>
    <row r="263" spans="1:9">
      <c r="A263" s="2">
        <v>41641</v>
      </c>
      <c r="B263" t="s">
        <v>248</v>
      </c>
      <c r="C263" t="s">
        <v>280</v>
      </c>
      <c r="D263" s="2">
        <v>41641</v>
      </c>
      <c r="E263" s="15">
        <v>4000</v>
      </c>
      <c r="F263" s="2">
        <v>41641</v>
      </c>
      <c r="G263" s="15">
        <v>4000</v>
      </c>
      <c r="H263" s="9" t="s">
        <v>625</v>
      </c>
      <c r="I263" s="9" t="s">
        <v>565</v>
      </c>
    </row>
    <row r="264" spans="1:9">
      <c r="A264" s="2">
        <v>41653</v>
      </c>
      <c r="B264" t="s">
        <v>248</v>
      </c>
      <c r="C264" t="s">
        <v>280</v>
      </c>
      <c r="D264" s="2">
        <v>41653</v>
      </c>
      <c r="E264" s="15">
        <v>5000</v>
      </c>
      <c r="F264" s="2">
        <v>41653</v>
      </c>
      <c r="G264" s="15">
        <v>5000</v>
      </c>
      <c r="H264" s="9" t="s">
        <v>625</v>
      </c>
      <c r="I264" s="9" t="s">
        <v>565</v>
      </c>
    </row>
    <row r="265" spans="1:9">
      <c r="A265" s="2">
        <v>41670</v>
      </c>
      <c r="B265" t="s">
        <v>248</v>
      </c>
      <c r="C265" t="s">
        <v>319</v>
      </c>
      <c r="D265" s="2">
        <v>41670</v>
      </c>
      <c r="E265" s="15">
        <v>5000</v>
      </c>
      <c r="F265" s="2">
        <v>41670</v>
      </c>
      <c r="G265" s="15">
        <v>5000</v>
      </c>
      <c r="H265" s="9" t="s">
        <v>625</v>
      </c>
      <c r="I265" s="9" t="s">
        <v>565</v>
      </c>
    </row>
    <row r="266" spans="1:9">
      <c r="A266" s="2">
        <v>41694</v>
      </c>
      <c r="B266" t="s">
        <v>248</v>
      </c>
      <c r="C266" t="s">
        <v>319</v>
      </c>
      <c r="D266" s="2">
        <v>41694</v>
      </c>
      <c r="E266">
        <v>500</v>
      </c>
      <c r="F266" s="2">
        <v>41694</v>
      </c>
      <c r="G266">
        <v>500</v>
      </c>
      <c r="H266" s="9" t="s">
        <v>625</v>
      </c>
      <c r="I266" s="9" t="s">
        <v>565</v>
      </c>
    </row>
    <row r="267" spans="1:9">
      <c r="A267" s="2">
        <v>41697</v>
      </c>
      <c r="B267" t="s">
        <v>248</v>
      </c>
      <c r="C267" t="s">
        <v>368</v>
      </c>
      <c r="D267" s="2">
        <v>41697</v>
      </c>
      <c r="E267" s="15">
        <v>3000</v>
      </c>
      <c r="F267" s="2">
        <v>41697</v>
      </c>
      <c r="G267" s="15">
        <v>3000</v>
      </c>
      <c r="H267" s="9" t="s">
        <v>625</v>
      </c>
      <c r="I267" s="9" t="s">
        <v>565</v>
      </c>
    </row>
    <row r="268" spans="1:9">
      <c r="A268" s="2">
        <v>41746</v>
      </c>
      <c r="B268" t="s">
        <v>248</v>
      </c>
      <c r="C268" t="s">
        <v>483</v>
      </c>
      <c r="D268" s="2">
        <v>41746</v>
      </c>
      <c r="E268">
        <v>600</v>
      </c>
      <c r="F268" s="2">
        <v>41746</v>
      </c>
      <c r="G268">
        <v>600</v>
      </c>
      <c r="H268" s="9" t="s">
        <v>625</v>
      </c>
      <c r="I268" s="9" t="s">
        <v>565</v>
      </c>
    </row>
    <row r="269" spans="1:9">
      <c r="A269" s="2">
        <v>41786</v>
      </c>
      <c r="B269" t="s">
        <v>248</v>
      </c>
      <c r="C269" t="s">
        <v>553</v>
      </c>
      <c r="D269" s="2">
        <v>41786</v>
      </c>
      <c r="E269" s="15">
        <v>15000</v>
      </c>
      <c r="F269" s="2">
        <v>41786</v>
      </c>
      <c r="G269" s="15">
        <v>15000</v>
      </c>
      <c r="H269" s="9" t="s">
        <v>625</v>
      </c>
      <c r="I269" s="9" t="s">
        <v>565</v>
      </c>
    </row>
    <row r="270" spans="1:9">
      <c r="A270" s="2">
        <v>41673</v>
      </c>
      <c r="B270" t="s">
        <v>321</v>
      </c>
      <c r="C270" t="s">
        <v>339</v>
      </c>
      <c r="D270" s="2">
        <v>41673</v>
      </c>
      <c r="E270" s="15">
        <v>5000</v>
      </c>
      <c r="F270" s="2">
        <v>41673</v>
      </c>
      <c r="G270" s="15">
        <v>5000</v>
      </c>
      <c r="H270" s="9" t="s">
        <v>625</v>
      </c>
      <c r="I270" s="9" t="s">
        <v>565</v>
      </c>
    </row>
    <row r="271" spans="1:9">
      <c r="A271" s="2">
        <v>41788</v>
      </c>
      <c r="B271" t="s">
        <v>526</v>
      </c>
      <c r="C271" t="s">
        <v>560</v>
      </c>
      <c r="D271" s="2">
        <v>41788</v>
      </c>
      <c r="E271" s="15">
        <v>2000</v>
      </c>
      <c r="F271" s="2">
        <v>41788</v>
      </c>
      <c r="G271" s="15">
        <v>2000</v>
      </c>
      <c r="H271" s="9" t="s">
        <v>560</v>
      </c>
      <c r="I271" s="9" t="s">
        <v>565</v>
      </c>
    </row>
    <row r="272" spans="1:9">
      <c r="A272" s="2">
        <v>41694</v>
      </c>
      <c r="B272" t="s">
        <v>334</v>
      </c>
      <c r="C272" t="s">
        <v>366</v>
      </c>
      <c r="D272" s="2">
        <v>41694</v>
      </c>
      <c r="E272">
        <v>800</v>
      </c>
      <c r="F272" s="2">
        <v>41694</v>
      </c>
      <c r="G272">
        <v>800</v>
      </c>
      <c r="H272" s="9" t="s">
        <v>754</v>
      </c>
      <c r="I272" s="9" t="s">
        <v>565</v>
      </c>
    </row>
    <row r="273" spans="1:9">
      <c r="A273" s="2">
        <v>41778</v>
      </c>
      <c r="B273" t="s">
        <v>513</v>
      </c>
      <c r="C273" t="s">
        <v>537</v>
      </c>
      <c r="D273" s="2">
        <v>41778</v>
      </c>
      <c r="E273" s="15">
        <v>2000</v>
      </c>
      <c r="F273" s="2">
        <v>41778</v>
      </c>
      <c r="G273" s="15">
        <v>2000</v>
      </c>
      <c r="H273" s="9" t="s">
        <v>774</v>
      </c>
      <c r="I273" s="9" t="s">
        <v>565</v>
      </c>
    </row>
    <row r="274" spans="1:9">
      <c r="A274" s="2">
        <v>41670</v>
      </c>
      <c r="B274" t="s">
        <v>279</v>
      </c>
      <c r="C274" t="s">
        <v>320</v>
      </c>
      <c r="D274" s="2">
        <v>41670</v>
      </c>
      <c r="E274">
        <v>300</v>
      </c>
      <c r="F274" s="2">
        <v>41670</v>
      </c>
      <c r="G274">
        <v>300</v>
      </c>
      <c r="H274" s="9" t="s">
        <v>320</v>
      </c>
      <c r="I274" s="9" t="s">
        <v>565</v>
      </c>
    </row>
    <row r="275" spans="1:9">
      <c r="A275" s="2">
        <v>41698</v>
      </c>
      <c r="B275" t="s">
        <v>336</v>
      </c>
      <c r="C275" t="s">
        <v>371</v>
      </c>
      <c r="D275" s="2">
        <v>41698</v>
      </c>
      <c r="E275">
        <v>724</v>
      </c>
      <c r="F275" s="2">
        <v>41698</v>
      </c>
      <c r="G275">
        <v>724</v>
      </c>
      <c r="H275" s="9" t="s">
        <v>621</v>
      </c>
      <c r="I275" s="9" t="s">
        <v>565</v>
      </c>
    </row>
    <row r="276" spans="1:9">
      <c r="A276" s="2">
        <v>41729</v>
      </c>
      <c r="B276" t="s">
        <v>336</v>
      </c>
      <c r="C276" t="s">
        <v>427</v>
      </c>
      <c r="D276" s="2">
        <v>41729</v>
      </c>
      <c r="E276">
        <v>724</v>
      </c>
      <c r="F276" s="2">
        <v>41729</v>
      </c>
      <c r="G276">
        <v>724</v>
      </c>
      <c r="H276" s="9" t="s">
        <v>621</v>
      </c>
      <c r="I276" s="9" t="s">
        <v>565</v>
      </c>
    </row>
    <row r="277" spans="1:9">
      <c r="A277" s="2">
        <v>41764</v>
      </c>
      <c r="B277" t="s">
        <v>336</v>
      </c>
      <c r="C277" t="s">
        <v>371</v>
      </c>
      <c r="D277" s="2">
        <v>41764</v>
      </c>
      <c r="E277" s="15">
        <v>1000</v>
      </c>
      <c r="F277" s="2">
        <v>41764</v>
      </c>
      <c r="G277" s="15">
        <v>1000</v>
      </c>
      <c r="H277" s="9" t="s">
        <v>621</v>
      </c>
      <c r="I277" s="9" t="s">
        <v>565</v>
      </c>
    </row>
    <row r="278" spans="1:9">
      <c r="A278" s="2">
        <v>41628</v>
      </c>
      <c r="B278" t="s">
        <v>66</v>
      </c>
      <c r="C278" t="s">
        <v>83</v>
      </c>
      <c r="D278" s="2">
        <v>41628</v>
      </c>
      <c r="E278">
        <v>220.71</v>
      </c>
      <c r="F278" s="2">
        <v>41628</v>
      </c>
      <c r="G278">
        <v>220.71</v>
      </c>
      <c r="H278" s="9" t="s">
        <v>738</v>
      </c>
      <c r="I278" s="9" t="s">
        <v>565</v>
      </c>
    </row>
    <row r="279" spans="1:9">
      <c r="A279" s="2">
        <v>41628</v>
      </c>
      <c r="B279" t="s">
        <v>66</v>
      </c>
      <c r="C279" t="s">
        <v>84</v>
      </c>
      <c r="D279" s="2">
        <v>41628</v>
      </c>
      <c r="E279">
        <v>391.32</v>
      </c>
      <c r="F279" s="2">
        <v>41628</v>
      </c>
      <c r="G279">
        <v>391.32</v>
      </c>
      <c r="H279" s="9" t="s">
        <v>593</v>
      </c>
      <c r="I279" s="9" t="s">
        <v>565</v>
      </c>
    </row>
    <row r="280" spans="1:9">
      <c r="A280" s="2">
        <v>41645</v>
      </c>
      <c r="B280" t="s">
        <v>66</v>
      </c>
      <c r="C280" t="s">
        <v>284</v>
      </c>
      <c r="D280" s="2">
        <v>41645</v>
      </c>
      <c r="E280">
        <v>300</v>
      </c>
      <c r="F280" s="2">
        <v>41645</v>
      </c>
      <c r="G280">
        <v>300</v>
      </c>
      <c r="H280" s="9" t="s">
        <v>593</v>
      </c>
      <c r="I280" s="9" t="s">
        <v>565</v>
      </c>
    </row>
    <row r="281" spans="1:9">
      <c r="A281" s="2">
        <v>41645</v>
      </c>
      <c r="B281" t="s">
        <v>66</v>
      </c>
      <c r="C281" t="s">
        <v>285</v>
      </c>
      <c r="D281" s="2">
        <v>41645</v>
      </c>
      <c r="E281">
        <v>375</v>
      </c>
      <c r="F281" s="2">
        <v>41645</v>
      </c>
      <c r="G281">
        <v>375</v>
      </c>
      <c r="H281" s="9" t="s">
        <v>593</v>
      </c>
      <c r="I281" s="9" t="s">
        <v>565</v>
      </c>
    </row>
    <row r="282" spans="1:9">
      <c r="A282" s="2">
        <v>41647</v>
      </c>
      <c r="B282" t="s">
        <v>66</v>
      </c>
      <c r="C282" t="s">
        <v>291</v>
      </c>
      <c r="D282" s="2">
        <v>41647</v>
      </c>
      <c r="E282">
        <v>699.12</v>
      </c>
      <c r="F282" s="2">
        <v>41647</v>
      </c>
      <c r="G282">
        <v>699.12</v>
      </c>
      <c r="H282" s="9" t="s">
        <v>593</v>
      </c>
      <c r="I282" s="9" t="s">
        <v>565</v>
      </c>
    </row>
    <row r="283" spans="1:9">
      <c r="A283" s="2">
        <v>41659</v>
      </c>
      <c r="B283" t="s">
        <v>66</v>
      </c>
      <c r="C283" t="s">
        <v>84</v>
      </c>
      <c r="D283" s="2">
        <v>41659</v>
      </c>
      <c r="E283">
        <v>391.32</v>
      </c>
      <c r="F283" s="2">
        <v>41659</v>
      </c>
      <c r="G283">
        <v>391.32</v>
      </c>
      <c r="H283" s="9" t="s">
        <v>593</v>
      </c>
      <c r="I283" s="9" t="s">
        <v>565</v>
      </c>
    </row>
    <row r="284" spans="1:9">
      <c r="A284" s="2">
        <v>41676</v>
      </c>
      <c r="B284" t="s">
        <v>66</v>
      </c>
      <c r="C284" t="s">
        <v>347</v>
      </c>
      <c r="D284" s="2">
        <v>41676</v>
      </c>
      <c r="E284">
        <v>300</v>
      </c>
      <c r="F284" s="2">
        <v>41676</v>
      </c>
      <c r="G284">
        <v>300</v>
      </c>
      <c r="H284" s="9" t="s">
        <v>593</v>
      </c>
      <c r="I284" s="9" t="s">
        <v>565</v>
      </c>
    </row>
    <row r="285" spans="1:9">
      <c r="A285" s="2">
        <v>41676</v>
      </c>
      <c r="B285" t="s">
        <v>66</v>
      </c>
      <c r="C285" t="s">
        <v>348</v>
      </c>
      <c r="D285" s="2">
        <v>41676</v>
      </c>
      <c r="E285">
        <v>240</v>
      </c>
      <c r="F285" s="2">
        <v>41676</v>
      </c>
      <c r="G285">
        <v>240</v>
      </c>
      <c r="H285" s="9" t="s">
        <v>593</v>
      </c>
      <c r="I285" s="9" t="s">
        <v>565</v>
      </c>
    </row>
    <row r="286" spans="1:9">
      <c r="A286" s="2">
        <v>41676</v>
      </c>
      <c r="B286" t="s">
        <v>66</v>
      </c>
      <c r="C286" t="s">
        <v>349</v>
      </c>
      <c r="D286" s="2">
        <v>41676</v>
      </c>
      <c r="E286">
        <v>684.3</v>
      </c>
      <c r="F286" s="2">
        <v>41676</v>
      </c>
      <c r="G286">
        <v>684.3</v>
      </c>
      <c r="H286" s="9" t="s">
        <v>593</v>
      </c>
      <c r="I286" s="9" t="s">
        <v>565</v>
      </c>
    </row>
    <row r="287" spans="1:9">
      <c r="A287" s="2">
        <v>41684</v>
      </c>
      <c r="B287" t="s">
        <v>66</v>
      </c>
      <c r="C287" t="s">
        <v>357</v>
      </c>
      <c r="D287" s="2">
        <v>41684</v>
      </c>
      <c r="E287">
        <v>600</v>
      </c>
      <c r="F287" s="2">
        <v>41684</v>
      </c>
      <c r="G287">
        <v>600</v>
      </c>
      <c r="H287" s="9" t="s">
        <v>752</v>
      </c>
      <c r="I287" s="9" t="s">
        <v>565</v>
      </c>
    </row>
    <row r="288" spans="1:9">
      <c r="A288" s="2">
        <v>41690</v>
      </c>
      <c r="B288" t="s">
        <v>66</v>
      </c>
      <c r="C288" t="s">
        <v>361</v>
      </c>
      <c r="D288" s="2">
        <v>41690</v>
      </c>
      <c r="E288">
        <v>391.32</v>
      </c>
      <c r="F288" s="2">
        <v>41690</v>
      </c>
      <c r="G288">
        <v>391.32</v>
      </c>
      <c r="H288" s="9" t="s">
        <v>593</v>
      </c>
      <c r="I288" s="9" t="s">
        <v>565</v>
      </c>
    </row>
    <row r="289" spans="1:9">
      <c r="A289" s="2">
        <v>41704</v>
      </c>
      <c r="B289" t="s">
        <v>66</v>
      </c>
      <c r="C289" t="s">
        <v>399</v>
      </c>
      <c r="D289" s="2">
        <v>41704</v>
      </c>
      <c r="E289">
        <v>252</v>
      </c>
      <c r="F289" s="2">
        <v>41704</v>
      </c>
      <c r="G289">
        <v>252</v>
      </c>
      <c r="H289" s="9" t="s">
        <v>593</v>
      </c>
      <c r="I289" s="9" t="s">
        <v>565</v>
      </c>
    </row>
    <row r="290" spans="1:9">
      <c r="A290" s="2">
        <v>41704</v>
      </c>
      <c r="B290" t="s">
        <v>66</v>
      </c>
      <c r="C290" t="s">
        <v>400</v>
      </c>
      <c r="D290" s="2">
        <v>41704</v>
      </c>
      <c r="E290">
        <v>765.39</v>
      </c>
      <c r="F290" s="2">
        <v>41704</v>
      </c>
      <c r="G290">
        <v>765.39</v>
      </c>
      <c r="H290" s="9" t="s">
        <v>593</v>
      </c>
      <c r="I290" s="9" t="s">
        <v>565</v>
      </c>
    </row>
    <row r="291" spans="1:9">
      <c r="A291" s="2">
        <v>41704</v>
      </c>
      <c r="B291" t="s">
        <v>66</v>
      </c>
      <c r="C291" t="s">
        <v>401</v>
      </c>
      <c r="D291" s="2">
        <v>41704</v>
      </c>
      <c r="E291">
        <v>315</v>
      </c>
      <c r="F291" s="2">
        <v>41704</v>
      </c>
      <c r="G291">
        <v>315</v>
      </c>
      <c r="H291" s="9" t="s">
        <v>593</v>
      </c>
      <c r="I291" s="9" t="s">
        <v>565</v>
      </c>
    </row>
    <row r="292" spans="1:9">
      <c r="A292" s="2">
        <v>41708</v>
      </c>
      <c r="B292" t="s">
        <v>66</v>
      </c>
      <c r="C292" t="s">
        <v>408</v>
      </c>
      <c r="D292" s="2">
        <v>41708</v>
      </c>
      <c r="E292">
        <v>200</v>
      </c>
      <c r="F292" s="2">
        <v>41708</v>
      </c>
      <c r="G292">
        <v>200</v>
      </c>
      <c r="H292" s="9" t="s">
        <v>593</v>
      </c>
      <c r="I292" s="9" t="s">
        <v>565</v>
      </c>
    </row>
    <row r="293" spans="1:9">
      <c r="A293" s="2">
        <v>41718</v>
      </c>
      <c r="B293" t="s">
        <v>66</v>
      </c>
      <c r="C293" t="s">
        <v>84</v>
      </c>
      <c r="D293" s="2">
        <v>41718</v>
      </c>
      <c r="E293">
        <v>391.32</v>
      </c>
      <c r="F293" s="2">
        <v>41718</v>
      </c>
      <c r="G293">
        <v>391.32</v>
      </c>
      <c r="H293" s="9" t="s">
        <v>593</v>
      </c>
      <c r="I293" s="9" t="s">
        <v>565</v>
      </c>
    </row>
    <row r="294" spans="1:9">
      <c r="A294" s="2">
        <v>41726</v>
      </c>
      <c r="B294" t="s">
        <v>66</v>
      </c>
      <c r="C294" t="s">
        <v>426</v>
      </c>
      <c r="D294" s="2">
        <v>41726</v>
      </c>
      <c r="E294">
        <v>774.3</v>
      </c>
      <c r="F294" s="2">
        <v>41726</v>
      </c>
      <c r="G294">
        <v>774.3</v>
      </c>
      <c r="H294" s="9" t="s">
        <v>593</v>
      </c>
      <c r="I294" s="9" t="s">
        <v>565</v>
      </c>
    </row>
    <row r="295" spans="1:9">
      <c r="A295" s="2">
        <v>41730</v>
      </c>
      <c r="B295" t="s">
        <v>429</v>
      </c>
      <c r="C295" t="s">
        <v>462</v>
      </c>
      <c r="D295" s="2">
        <v>41730</v>
      </c>
      <c r="E295">
        <v>330</v>
      </c>
      <c r="F295" s="2">
        <v>41730</v>
      </c>
      <c r="G295">
        <v>330</v>
      </c>
      <c r="H295" s="9" t="s">
        <v>775</v>
      </c>
      <c r="I295" s="9" t="s">
        <v>565</v>
      </c>
    </row>
    <row r="296" spans="1:9">
      <c r="A296" s="2">
        <v>41730</v>
      </c>
      <c r="B296" t="s">
        <v>429</v>
      </c>
      <c r="C296" t="s">
        <v>463</v>
      </c>
      <c r="D296" s="2">
        <v>41730</v>
      </c>
      <c r="E296">
        <v>102.3</v>
      </c>
      <c r="F296" s="2">
        <v>41730</v>
      </c>
      <c r="G296">
        <v>102.3</v>
      </c>
      <c r="H296" s="9" t="s">
        <v>775</v>
      </c>
      <c r="I296" s="9" t="s">
        <v>565</v>
      </c>
    </row>
    <row r="297" spans="1:9">
      <c r="A297" s="2">
        <v>41737</v>
      </c>
      <c r="B297" t="s">
        <v>429</v>
      </c>
      <c r="C297" t="s">
        <v>463</v>
      </c>
      <c r="D297" s="2">
        <v>41737</v>
      </c>
      <c r="E297">
        <v>102.3</v>
      </c>
      <c r="F297" s="2">
        <v>41737</v>
      </c>
      <c r="G297">
        <v>102.3</v>
      </c>
      <c r="H297" s="9" t="s">
        <v>775</v>
      </c>
      <c r="I297" s="9" t="s">
        <v>565</v>
      </c>
    </row>
    <row r="298" spans="1:9">
      <c r="A298" s="2">
        <v>41746</v>
      </c>
      <c r="B298" t="s">
        <v>429</v>
      </c>
      <c r="C298" t="s">
        <v>484</v>
      </c>
      <c r="D298" s="2">
        <v>41746</v>
      </c>
      <c r="E298">
        <v>650.1</v>
      </c>
      <c r="F298" s="2">
        <v>41746</v>
      </c>
      <c r="G298">
        <v>650.1</v>
      </c>
      <c r="H298" s="9" t="s">
        <v>775</v>
      </c>
      <c r="I298" s="9" t="s">
        <v>565</v>
      </c>
    </row>
    <row r="299" spans="1:9">
      <c r="A299" s="2">
        <v>41743</v>
      </c>
      <c r="B299" t="s">
        <v>448</v>
      </c>
      <c r="C299" t="s">
        <v>480</v>
      </c>
      <c r="D299" s="2">
        <v>41743</v>
      </c>
      <c r="E299" s="15">
        <v>1000</v>
      </c>
      <c r="F299" s="2">
        <v>41743</v>
      </c>
      <c r="G299" s="15">
        <v>1000</v>
      </c>
      <c r="H299" s="9" t="s">
        <v>776</v>
      </c>
      <c r="I299" s="9" t="s">
        <v>565</v>
      </c>
    </row>
    <row r="300" spans="1:9">
      <c r="A300" s="2">
        <v>41757</v>
      </c>
      <c r="B300" t="s">
        <v>448</v>
      </c>
      <c r="C300" t="s">
        <v>495</v>
      </c>
      <c r="D300" s="2">
        <v>41757</v>
      </c>
      <c r="E300">
        <v>140.66</v>
      </c>
      <c r="F300" s="2">
        <v>41757</v>
      </c>
      <c r="G300">
        <v>140.66</v>
      </c>
      <c r="H300" s="9" t="s">
        <v>495</v>
      </c>
      <c r="I300" s="9" t="s">
        <v>565</v>
      </c>
    </row>
    <row r="301" spans="1:9">
      <c r="H301" s="9"/>
      <c r="I301" s="9"/>
    </row>
  </sheetData>
  <dataValidations count="3">
    <dataValidation type="list" allowBlank="1" showInputMessage="1" showErrorMessage="1" sqref="C2">
      <formula1>server</formula1>
    </dataValidation>
    <dataValidation type="list" allowBlank="1" showInputMessage="1" showErrorMessage="1" sqref="H4:H301">
      <formula1>Conta</formula1>
    </dataValidation>
    <dataValidation type="list" allowBlank="1" showInputMessage="1" showErrorMessage="1" sqref="I4:I301">
      <formula1>Transacao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4"/>
  <dimension ref="A1:AD102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0.28515625" bestFit="1" customWidth="1"/>
    <col min="3" max="3" width="10.85546875" bestFit="1" customWidth="1"/>
    <col min="7" max="7" width="11.42578125" bestFit="1" customWidth="1"/>
    <col min="9" max="9" width="28.42578125" bestFit="1" customWidth="1"/>
    <col min="10" max="10" width="28" bestFit="1" customWidth="1"/>
    <col min="11" max="11" width="9.42578125" bestFit="1" customWidth="1"/>
    <col min="13" max="13" width="43.42578125" bestFit="1" customWidth="1"/>
    <col min="24" max="24" width="12.28515625" bestFit="1" customWidth="1"/>
    <col min="25" max="25" width="29.42578125" bestFit="1" customWidth="1"/>
    <col min="26" max="26" width="28" bestFit="1" customWidth="1"/>
  </cols>
  <sheetData>
    <row r="1" spans="1:30">
      <c r="A1" s="7" t="s">
        <v>30</v>
      </c>
      <c r="C1" s="7" t="s">
        <v>38</v>
      </c>
      <c r="E1" s="7" t="s">
        <v>21</v>
      </c>
      <c r="G1" s="7" t="s">
        <v>20</v>
      </c>
      <c r="I1" s="7" t="s">
        <v>22</v>
      </c>
      <c r="J1" s="7" t="s">
        <v>48</v>
      </c>
      <c r="M1" s="7" t="s">
        <v>734</v>
      </c>
      <c r="X1" t="s">
        <v>574</v>
      </c>
      <c r="Y1" t="s">
        <v>22</v>
      </c>
      <c r="AC1" t="s">
        <v>631</v>
      </c>
      <c r="AD1" t="s">
        <v>48</v>
      </c>
    </row>
    <row r="2" spans="1:30">
      <c r="A2" t="s">
        <v>82</v>
      </c>
      <c r="C2" t="s">
        <v>39</v>
      </c>
      <c r="E2" t="s">
        <v>32</v>
      </c>
      <c r="G2" t="s">
        <v>31</v>
      </c>
      <c r="I2" t="s">
        <v>624</v>
      </c>
      <c r="J2" t="s">
        <v>642</v>
      </c>
      <c r="M2" t="s">
        <v>648</v>
      </c>
      <c r="X2">
        <v>1</v>
      </c>
      <c r="Y2" t="s">
        <v>575</v>
      </c>
      <c r="Z2" t="str">
        <f>VLOOKUP(X2,$AC$1:$AD$17,2,FALSE)</f>
        <v>COMUNICAÇÃO</v>
      </c>
      <c r="AC2">
        <v>1</v>
      </c>
      <c r="AD2" t="s">
        <v>632</v>
      </c>
    </row>
    <row r="3" spans="1:30">
      <c r="A3" t="s">
        <v>564</v>
      </c>
      <c r="C3" t="s">
        <v>40</v>
      </c>
      <c r="E3" t="s">
        <v>41</v>
      </c>
      <c r="G3" t="s">
        <v>42</v>
      </c>
      <c r="I3" s="17" t="s">
        <v>738</v>
      </c>
      <c r="J3" s="17" t="s">
        <v>642</v>
      </c>
      <c r="M3" t="s">
        <v>649</v>
      </c>
      <c r="X3">
        <v>1</v>
      </c>
      <c r="Y3" t="s">
        <v>576</v>
      </c>
      <c r="Z3" t="str">
        <f t="shared" ref="Z3:Z66" si="0">VLOOKUP(X3,$AC$1:$AD$17,2,FALSE)</f>
        <v>COMUNICAÇÃO</v>
      </c>
      <c r="AC3">
        <v>2</v>
      </c>
      <c r="AD3" t="s">
        <v>633</v>
      </c>
    </row>
    <row r="4" spans="1:30">
      <c r="A4" t="s">
        <v>565</v>
      </c>
      <c r="I4" t="s">
        <v>576</v>
      </c>
      <c r="J4" t="s">
        <v>632</v>
      </c>
      <c r="M4" t="s">
        <v>650</v>
      </c>
      <c r="X4">
        <v>2</v>
      </c>
      <c r="Y4" t="s">
        <v>577</v>
      </c>
      <c r="Z4" t="str">
        <f t="shared" si="0"/>
        <v>LOCOMOÇÃO</v>
      </c>
      <c r="AC4">
        <v>3</v>
      </c>
      <c r="AD4" t="s">
        <v>634</v>
      </c>
    </row>
    <row r="5" spans="1:30">
      <c r="A5" t="s">
        <v>51</v>
      </c>
      <c r="I5" s="17" t="s">
        <v>758</v>
      </c>
      <c r="J5" s="17" t="s">
        <v>750</v>
      </c>
      <c r="M5" t="s">
        <v>651</v>
      </c>
      <c r="X5">
        <v>2</v>
      </c>
      <c r="Y5" t="s">
        <v>578</v>
      </c>
      <c r="Z5" t="str">
        <f t="shared" si="0"/>
        <v>LOCOMOÇÃO</v>
      </c>
      <c r="AC5">
        <v>4</v>
      </c>
      <c r="AD5" t="s">
        <v>635</v>
      </c>
    </row>
    <row r="6" spans="1:30">
      <c r="A6" t="s">
        <v>566</v>
      </c>
      <c r="I6" t="s">
        <v>603</v>
      </c>
      <c r="J6" t="s">
        <v>641</v>
      </c>
      <c r="M6" t="s">
        <v>652</v>
      </c>
      <c r="X6">
        <v>2</v>
      </c>
      <c r="Y6" t="s">
        <v>579</v>
      </c>
      <c r="Z6" t="str">
        <f t="shared" si="0"/>
        <v>LOCOMOÇÃO</v>
      </c>
      <c r="AC6">
        <v>5</v>
      </c>
      <c r="AD6" t="s">
        <v>636</v>
      </c>
    </row>
    <row r="7" spans="1:30">
      <c r="A7" t="s">
        <v>37</v>
      </c>
      <c r="I7" t="s">
        <v>619</v>
      </c>
      <c r="J7" t="s">
        <v>45</v>
      </c>
      <c r="M7" t="s">
        <v>653</v>
      </c>
      <c r="X7">
        <v>4</v>
      </c>
      <c r="Y7" t="s">
        <v>580</v>
      </c>
      <c r="Z7" t="str">
        <f t="shared" si="0"/>
        <v>ENCARGOS E SALARIOS</v>
      </c>
      <c r="AC7">
        <v>6</v>
      </c>
      <c r="AD7" t="s">
        <v>637</v>
      </c>
    </row>
    <row r="8" spans="1:30">
      <c r="A8" t="s">
        <v>567</v>
      </c>
      <c r="I8" s="18" t="s">
        <v>756</v>
      </c>
      <c r="J8" s="18" t="s">
        <v>45</v>
      </c>
      <c r="M8" t="s">
        <v>654</v>
      </c>
      <c r="X8">
        <v>4</v>
      </c>
      <c r="Y8" t="s">
        <v>581</v>
      </c>
      <c r="Z8" t="str">
        <f t="shared" si="0"/>
        <v>ENCARGOS E SALARIOS</v>
      </c>
      <c r="AC8">
        <v>9</v>
      </c>
      <c r="AD8" t="s">
        <v>638</v>
      </c>
    </row>
    <row r="9" spans="1:30">
      <c r="A9" t="s">
        <v>568</v>
      </c>
      <c r="I9" t="s">
        <v>362</v>
      </c>
      <c r="J9" t="s">
        <v>641</v>
      </c>
      <c r="M9" t="s">
        <v>655</v>
      </c>
      <c r="X9">
        <v>4</v>
      </c>
      <c r="Y9" t="s">
        <v>582</v>
      </c>
      <c r="Z9" t="str">
        <f t="shared" si="0"/>
        <v>ENCARGOS E SALARIOS</v>
      </c>
      <c r="AC9">
        <v>10</v>
      </c>
      <c r="AD9" t="s">
        <v>639</v>
      </c>
    </row>
    <row r="10" spans="1:30">
      <c r="A10" t="s">
        <v>569</v>
      </c>
      <c r="I10" t="s">
        <v>587</v>
      </c>
      <c r="J10" t="s">
        <v>634</v>
      </c>
      <c r="M10" t="s">
        <v>656</v>
      </c>
      <c r="X10">
        <v>4</v>
      </c>
      <c r="Y10" t="s">
        <v>583</v>
      </c>
      <c r="Z10" t="str">
        <f t="shared" si="0"/>
        <v>ENCARGOS E SALARIOS</v>
      </c>
      <c r="AC10">
        <v>14</v>
      </c>
      <c r="AD10" t="s">
        <v>640</v>
      </c>
    </row>
    <row r="11" spans="1:30">
      <c r="A11" t="s">
        <v>570</v>
      </c>
      <c r="I11" t="s">
        <v>596</v>
      </c>
      <c r="J11" t="s">
        <v>641</v>
      </c>
      <c r="M11" t="s">
        <v>657</v>
      </c>
      <c r="X11">
        <v>4</v>
      </c>
      <c r="Y11" t="s">
        <v>584</v>
      </c>
      <c r="Z11" t="str">
        <f t="shared" si="0"/>
        <v>ENCARGOS E SALARIOS</v>
      </c>
      <c r="AC11">
        <v>15</v>
      </c>
      <c r="AD11" t="s">
        <v>641</v>
      </c>
    </row>
    <row r="12" spans="1:30">
      <c r="A12" t="s">
        <v>571</v>
      </c>
      <c r="I12" t="s">
        <v>586</v>
      </c>
      <c r="J12" t="s">
        <v>634</v>
      </c>
      <c r="M12" t="s">
        <v>658</v>
      </c>
      <c r="X12">
        <v>1</v>
      </c>
      <c r="Y12" t="s">
        <v>585</v>
      </c>
      <c r="Z12" t="str">
        <f t="shared" si="0"/>
        <v>COMUNICAÇÃO</v>
      </c>
      <c r="AC12">
        <v>16</v>
      </c>
      <c r="AD12" t="s">
        <v>642</v>
      </c>
    </row>
    <row r="13" spans="1:30">
      <c r="A13" t="s">
        <v>572</v>
      </c>
      <c r="I13" s="17" t="s">
        <v>773</v>
      </c>
      <c r="J13" s="17" t="s">
        <v>641</v>
      </c>
      <c r="M13" t="s">
        <v>659</v>
      </c>
      <c r="X13">
        <v>3</v>
      </c>
      <c r="Y13" t="s">
        <v>586</v>
      </c>
      <c r="Z13" t="str">
        <f t="shared" si="0"/>
        <v>OCUPAÇÃO</v>
      </c>
      <c r="AC13">
        <v>19</v>
      </c>
      <c r="AD13" t="s">
        <v>643</v>
      </c>
    </row>
    <row r="14" spans="1:30">
      <c r="A14" t="s">
        <v>573</v>
      </c>
      <c r="I14" t="s">
        <v>630</v>
      </c>
      <c r="J14" t="s">
        <v>636</v>
      </c>
      <c r="M14" t="s">
        <v>660</v>
      </c>
      <c r="X14">
        <v>3</v>
      </c>
      <c r="Y14" t="s">
        <v>46</v>
      </c>
      <c r="Z14" t="str">
        <f t="shared" si="0"/>
        <v>OCUPAÇÃO</v>
      </c>
      <c r="AC14">
        <v>20</v>
      </c>
      <c r="AD14" t="s">
        <v>644</v>
      </c>
    </row>
    <row r="15" spans="1:30">
      <c r="A15" s="17" t="s">
        <v>739</v>
      </c>
      <c r="I15" s="17" t="s">
        <v>753</v>
      </c>
      <c r="J15" s="17" t="s">
        <v>639</v>
      </c>
      <c r="M15" t="s">
        <v>661</v>
      </c>
      <c r="X15">
        <v>3</v>
      </c>
      <c r="Y15" t="s">
        <v>587</v>
      </c>
      <c r="Z15" t="str">
        <f t="shared" si="0"/>
        <v>OCUPAÇÃO</v>
      </c>
      <c r="AC15">
        <v>21</v>
      </c>
      <c r="AD15" t="s">
        <v>645</v>
      </c>
    </row>
    <row r="16" spans="1:30">
      <c r="A16" s="17" t="s">
        <v>363</v>
      </c>
      <c r="I16" s="17" t="s">
        <v>560</v>
      </c>
      <c r="J16" s="17" t="s">
        <v>638</v>
      </c>
      <c r="M16" t="s">
        <v>662</v>
      </c>
      <c r="X16">
        <v>9</v>
      </c>
      <c r="Y16" t="s">
        <v>588</v>
      </c>
      <c r="Z16" t="str">
        <f t="shared" si="0"/>
        <v>Variáveis</v>
      </c>
      <c r="AC16">
        <v>22</v>
      </c>
      <c r="AD16" t="s">
        <v>598</v>
      </c>
    </row>
    <row r="17" spans="9:30">
      <c r="I17" s="17" t="s">
        <v>477</v>
      </c>
      <c r="J17" s="17" t="s">
        <v>633</v>
      </c>
      <c r="M17" t="s">
        <v>663</v>
      </c>
      <c r="X17">
        <v>10</v>
      </c>
      <c r="Y17" t="s">
        <v>527</v>
      </c>
      <c r="Z17" t="str">
        <f t="shared" si="0"/>
        <v>BANCO ITAU</v>
      </c>
      <c r="AC17">
        <v>23</v>
      </c>
      <c r="AD17" t="s">
        <v>45</v>
      </c>
    </row>
    <row r="18" spans="9:30">
      <c r="I18" t="s">
        <v>606</v>
      </c>
      <c r="J18" t="s">
        <v>645</v>
      </c>
      <c r="M18" t="s">
        <v>664</v>
      </c>
      <c r="X18">
        <v>10</v>
      </c>
      <c r="Y18" t="s">
        <v>589</v>
      </c>
      <c r="Z18" t="str">
        <f t="shared" si="0"/>
        <v>BANCO ITAU</v>
      </c>
    </row>
    <row r="19" spans="9:30">
      <c r="I19" t="s">
        <v>564</v>
      </c>
      <c r="J19" t="s">
        <v>636</v>
      </c>
      <c r="M19" t="s">
        <v>665</v>
      </c>
      <c r="X19">
        <v>10</v>
      </c>
      <c r="Y19" t="s">
        <v>590</v>
      </c>
      <c r="Z19" t="str">
        <f t="shared" si="0"/>
        <v>BANCO ITAU</v>
      </c>
    </row>
    <row r="20" spans="9:30">
      <c r="I20" t="s">
        <v>628</v>
      </c>
      <c r="J20" t="s">
        <v>641</v>
      </c>
      <c r="M20" t="s">
        <v>666</v>
      </c>
      <c r="X20">
        <v>10</v>
      </c>
      <c r="Y20" t="s">
        <v>47</v>
      </c>
      <c r="Z20" t="str">
        <f t="shared" si="0"/>
        <v>BANCO ITAU</v>
      </c>
    </row>
    <row r="21" spans="9:30">
      <c r="I21" t="s">
        <v>604</v>
      </c>
      <c r="J21" t="s">
        <v>639</v>
      </c>
      <c r="M21" t="s">
        <v>667</v>
      </c>
      <c r="X21">
        <v>14</v>
      </c>
      <c r="Y21" t="s">
        <v>591</v>
      </c>
      <c r="Z21" t="str">
        <f t="shared" si="0"/>
        <v>SAÍDA DE CAIXA</v>
      </c>
    </row>
    <row r="22" spans="9:30">
      <c r="I22" t="s">
        <v>617</v>
      </c>
      <c r="J22" t="s">
        <v>598</v>
      </c>
      <c r="M22" t="s">
        <v>668</v>
      </c>
      <c r="X22">
        <v>15</v>
      </c>
      <c r="Y22" t="s">
        <v>592</v>
      </c>
      <c r="Z22" t="str">
        <f t="shared" si="0"/>
        <v>PRESTADORES DE SERVIÇO</v>
      </c>
    </row>
    <row r="23" spans="9:30">
      <c r="I23" s="17" t="s">
        <v>769</v>
      </c>
      <c r="J23" s="17" t="s">
        <v>636</v>
      </c>
      <c r="M23" t="s">
        <v>669</v>
      </c>
      <c r="X23">
        <v>16</v>
      </c>
      <c r="Y23" t="s">
        <v>593</v>
      </c>
      <c r="Z23" t="str">
        <f t="shared" si="0"/>
        <v>FUNCIONÁRIOS</v>
      </c>
    </row>
    <row r="24" spans="9:30">
      <c r="I24" t="s">
        <v>599</v>
      </c>
      <c r="J24" t="s">
        <v>644</v>
      </c>
      <c r="M24" t="s">
        <v>669</v>
      </c>
      <c r="X24">
        <v>15</v>
      </c>
      <c r="Y24" t="s">
        <v>44</v>
      </c>
      <c r="Z24" t="str">
        <f t="shared" si="0"/>
        <v>PRESTADORES DE SERVIÇO</v>
      </c>
    </row>
    <row r="25" spans="9:30">
      <c r="I25" t="s">
        <v>589</v>
      </c>
      <c r="J25" t="s">
        <v>639</v>
      </c>
      <c r="M25" t="s">
        <v>670</v>
      </c>
      <c r="X25">
        <v>10</v>
      </c>
      <c r="Y25" t="s">
        <v>594</v>
      </c>
      <c r="Z25" t="str">
        <f t="shared" si="0"/>
        <v>BANCO ITAU</v>
      </c>
    </row>
    <row r="26" spans="9:30">
      <c r="I26" t="s">
        <v>578</v>
      </c>
      <c r="J26" t="s">
        <v>633</v>
      </c>
      <c r="M26" t="s">
        <v>671</v>
      </c>
      <c r="X26">
        <v>1</v>
      </c>
      <c r="Y26" t="s">
        <v>595</v>
      </c>
      <c r="Z26" t="str">
        <f t="shared" si="0"/>
        <v>COMUNICAÇÃO</v>
      </c>
    </row>
    <row r="27" spans="9:30">
      <c r="I27" t="s">
        <v>584</v>
      </c>
      <c r="J27" t="s">
        <v>635</v>
      </c>
      <c r="M27" t="s">
        <v>672</v>
      </c>
      <c r="X27">
        <v>10</v>
      </c>
      <c r="Y27" t="s">
        <v>255</v>
      </c>
      <c r="Z27" t="str">
        <f t="shared" si="0"/>
        <v>BANCO ITAU</v>
      </c>
    </row>
    <row r="28" spans="9:30">
      <c r="I28" s="17" t="s">
        <v>762</v>
      </c>
      <c r="J28" s="17" t="s">
        <v>638</v>
      </c>
      <c r="M28" t="s">
        <v>673</v>
      </c>
      <c r="X28">
        <v>15</v>
      </c>
      <c r="Y28" t="s">
        <v>596</v>
      </c>
      <c r="Z28" t="str">
        <f t="shared" si="0"/>
        <v>PRESTADORES DE SERVIÇO</v>
      </c>
    </row>
    <row r="29" spans="9:30">
      <c r="I29" t="s">
        <v>612</v>
      </c>
      <c r="J29" t="s">
        <v>598</v>
      </c>
      <c r="M29" t="s">
        <v>674</v>
      </c>
      <c r="X29">
        <v>15</v>
      </c>
      <c r="Y29" t="s">
        <v>597</v>
      </c>
      <c r="Z29" t="str">
        <f t="shared" si="0"/>
        <v>PRESTADORES DE SERVIÇO</v>
      </c>
    </row>
    <row r="30" spans="9:30">
      <c r="I30" s="17" t="s">
        <v>749</v>
      </c>
      <c r="J30" s="17" t="s">
        <v>750</v>
      </c>
      <c r="M30" t="s">
        <v>675</v>
      </c>
      <c r="X30">
        <v>10</v>
      </c>
      <c r="Y30" t="s">
        <v>569</v>
      </c>
      <c r="Z30" t="str">
        <f t="shared" si="0"/>
        <v>BANCO ITAU</v>
      </c>
    </row>
    <row r="31" spans="9:30">
      <c r="I31" t="s">
        <v>614</v>
      </c>
      <c r="J31" t="s">
        <v>45</v>
      </c>
      <c r="M31" t="s">
        <v>676</v>
      </c>
      <c r="X31">
        <v>15</v>
      </c>
      <c r="Y31" t="s">
        <v>598</v>
      </c>
      <c r="Z31" t="str">
        <f t="shared" si="0"/>
        <v>PRESTADORES DE SERVIÇO</v>
      </c>
    </row>
    <row r="32" spans="9:30">
      <c r="I32" t="s">
        <v>613</v>
      </c>
      <c r="J32" t="s">
        <v>45</v>
      </c>
      <c r="M32" t="s">
        <v>677</v>
      </c>
      <c r="X32">
        <v>19</v>
      </c>
      <c r="Y32" t="s">
        <v>78</v>
      </c>
      <c r="Z32" t="str">
        <f t="shared" si="0"/>
        <v>SEGURO</v>
      </c>
    </row>
    <row r="33" spans="9:26">
      <c r="I33" s="17" t="s">
        <v>744</v>
      </c>
      <c r="J33" s="17" t="s">
        <v>743</v>
      </c>
      <c r="M33" t="s">
        <v>678</v>
      </c>
      <c r="X33">
        <v>20</v>
      </c>
      <c r="Y33" t="s">
        <v>599</v>
      </c>
      <c r="Z33" t="str">
        <f t="shared" si="0"/>
        <v>CHEQUES SEM IDENTIFICAÇÃO</v>
      </c>
    </row>
    <row r="34" spans="9:26">
      <c r="I34" t="s">
        <v>622</v>
      </c>
      <c r="J34" t="s">
        <v>638</v>
      </c>
      <c r="M34" t="s">
        <v>679</v>
      </c>
      <c r="X34">
        <v>15</v>
      </c>
      <c r="Y34" t="s">
        <v>600</v>
      </c>
      <c r="Z34" t="str">
        <f t="shared" si="0"/>
        <v>PRESTADORES DE SERVIÇO</v>
      </c>
    </row>
    <row r="35" spans="9:26">
      <c r="I35" s="17" t="s">
        <v>745</v>
      </c>
      <c r="J35" s="17" t="s">
        <v>743</v>
      </c>
      <c r="M35" t="s">
        <v>680</v>
      </c>
      <c r="X35">
        <v>15</v>
      </c>
      <c r="Y35" t="s">
        <v>601</v>
      </c>
      <c r="Z35" t="str">
        <f t="shared" si="0"/>
        <v>PRESTADORES DE SERVIÇO</v>
      </c>
    </row>
    <row r="36" spans="9:26">
      <c r="I36" t="s">
        <v>611</v>
      </c>
      <c r="J36" t="s">
        <v>638</v>
      </c>
      <c r="M36" t="s">
        <v>681</v>
      </c>
      <c r="X36">
        <v>15</v>
      </c>
      <c r="Y36" t="s">
        <v>602</v>
      </c>
      <c r="Z36" t="str">
        <f t="shared" si="0"/>
        <v>PRESTADORES DE SERVIÇO</v>
      </c>
    </row>
    <row r="37" spans="9:26">
      <c r="I37" t="s">
        <v>593</v>
      </c>
      <c r="J37" t="s">
        <v>642</v>
      </c>
      <c r="M37" t="s">
        <v>682</v>
      </c>
      <c r="X37">
        <v>15</v>
      </c>
      <c r="Y37" t="s">
        <v>603</v>
      </c>
      <c r="Z37" t="str">
        <f t="shared" si="0"/>
        <v>PRESTADORES DE SERVIÇO</v>
      </c>
    </row>
    <row r="38" spans="9:26">
      <c r="I38" s="17" t="s">
        <v>741</v>
      </c>
      <c r="J38" s="17" t="s">
        <v>639</v>
      </c>
      <c r="M38" t="s">
        <v>683</v>
      </c>
      <c r="X38">
        <v>10</v>
      </c>
      <c r="Y38" t="s">
        <v>604</v>
      </c>
      <c r="Z38" t="str">
        <f t="shared" si="0"/>
        <v>BANCO ITAU</v>
      </c>
    </row>
    <row r="39" spans="9:26">
      <c r="I39" t="s">
        <v>358</v>
      </c>
      <c r="J39" t="s">
        <v>633</v>
      </c>
      <c r="M39" t="s">
        <v>684</v>
      </c>
      <c r="X39">
        <v>1</v>
      </c>
      <c r="Y39" t="s">
        <v>605</v>
      </c>
      <c r="Z39" t="str">
        <f t="shared" si="0"/>
        <v>COMUNICAÇÃO</v>
      </c>
    </row>
    <row r="40" spans="9:26">
      <c r="I40" s="17" t="s">
        <v>748</v>
      </c>
      <c r="J40" s="17" t="s">
        <v>750</v>
      </c>
      <c r="M40" t="s">
        <v>685</v>
      </c>
      <c r="X40">
        <v>19</v>
      </c>
      <c r="Y40" t="s">
        <v>355</v>
      </c>
      <c r="Z40" t="str">
        <f t="shared" si="0"/>
        <v>SEGURO</v>
      </c>
    </row>
    <row r="41" spans="9:26">
      <c r="I41" t="s">
        <v>598</v>
      </c>
      <c r="J41" t="s">
        <v>641</v>
      </c>
      <c r="M41" t="s">
        <v>686</v>
      </c>
      <c r="X41">
        <v>21</v>
      </c>
      <c r="Y41" t="s">
        <v>606</v>
      </c>
      <c r="Z41" t="str">
        <f t="shared" si="0"/>
        <v>OMINICOM</v>
      </c>
    </row>
    <row r="42" spans="9:26">
      <c r="I42" t="s">
        <v>582</v>
      </c>
      <c r="J42" t="s">
        <v>635</v>
      </c>
      <c r="M42" t="s">
        <v>687</v>
      </c>
      <c r="X42">
        <v>19</v>
      </c>
      <c r="Y42" t="s">
        <v>607</v>
      </c>
      <c r="Z42" t="str">
        <f t="shared" si="0"/>
        <v>SEGURO</v>
      </c>
    </row>
    <row r="43" spans="9:26">
      <c r="I43" t="s">
        <v>625</v>
      </c>
      <c r="J43" t="s">
        <v>598</v>
      </c>
      <c r="M43" t="s">
        <v>688</v>
      </c>
      <c r="X43">
        <v>5</v>
      </c>
      <c r="Y43" t="s">
        <v>608</v>
      </c>
      <c r="Z43" t="str">
        <f t="shared" si="0"/>
        <v>GERAIS</v>
      </c>
    </row>
    <row r="44" spans="9:26">
      <c r="I44" t="s">
        <v>577</v>
      </c>
      <c r="J44" t="s">
        <v>633</v>
      </c>
      <c r="M44" t="s">
        <v>689</v>
      </c>
      <c r="X44">
        <v>10</v>
      </c>
      <c r="Y44" t="s">
        <v>609</v>
      </c>
      <c r="Z44" t="str">
        <f t="shared" si="0"/>
        <v>BANCO ITAU</v>
      </c>
    </row>
    <row r="45" spans="9:26">
      <c r="I45" t="s">
        <v>602</v>
      </c>
      <c r="J45" t="s">
        <v>641</v>
      </c>
      <c r="M45" t="s">
        <v>690</v>
      </c>
      <c r="X45">
        <v>2</v>
      </c>
      <c r="Y45" t="s">
        <v>358</v>
      </c>
      <c r="Z45" t="str">
        <f t="shared" si="0"/>
        <v>LOCOMOÇÃO</v>
      </c>
    </row>
    <row r="46" spans="9:26">
      <c r="I46" s="17" t="s">
        <v>737</v>
      </c>
      <c r="J46" s="17" t="s">
        <v>750</v>
      </c>
      <c r="M46" t="s">
        <v>691</v>
      </c>
      <c r="X46">
        <v>1</v>
      </c>
      <c r="Y46" t="s">
        <v>610</v>
      </c>
      <c r="Z46" t="str">
        <f t="shared" si="0"/>
        <v>COMUNICAÇÃO</v>
      </c>
    </row>
    <row r="47" spans="9:26">
      <c r="I47" t="s">
        <v>616</v>
      </c>
      <c r="J47" t="s">
        <v>45</v>
      </c>
      <c r="M47" t="s">
        <v>692</v>
      </c>
      <c r="X47">
        <v>9</v>
      </c>
      <c r="Y47" t="s">
        <v>611</v>
      </c>
      <c r="Z47" t="str">
        <f t="shared" si="0"/>
        <v>Variáveis</v>
      </c>
    </row>
    <row r="48" spans="9:26">
      <c r="I48" s="17" t="s">
        <v>763</v>
      </c>
      <c r="J48" s="17" t="s">
        <v>45</v>
      </c>
      <c r="M48" t="s">
        <v>693</v>
      </c>
      <c r="X48">
        <v>22</v>
      </c>
      <c r="Y48" t="s">
        <v>612</v>
      </c>
      <c r="Z48" t="str">
        <f t="shared" si="0"/>
        <v>FERNANDO KAWAI</v>
      </c>
    </row>
    <row r="49" spans="9:26">
      <c r="I49" s="17" t="s">
        <v>771</v>
      </c>
      <c r="J49" s="17" t="s">
        <v>750</v>
      </c>
      <c r="M49" t="s">
        <v>693</v>
      </c>
      <c r="X49">
        <v>23</v>
      </c>
      <c r="Y49" t="s">
        <v>613</v>
      </c>
      <c r="Z49" t="str">
        <f t="shared" si="0"/>
        <v>IMPOSTOS</v>
      </c>
    </row>
    <row r="50" spans="9:26">
      <c r="I50" t="s">
        <v>579</v>
      </c>
      <c r="J50" t="s">
        <v>633</v>
      </c>
      <c r="M50" t="s">
        <v>694</v>
      </c>
      <c r="X50">
        <v>23</v>
      </c>
      <c r="Y50" t="s">
        <v>614</v>
      </c>
      <c r="Z50" t="str">
        <f t="shared" si="0"/>
        <v>IMPOSTOS</v>
      </c>
    </row>
    <row r="51" spans="9:26">
      <c r="I51" t="s">
        <v>585</v>
      </c>
      <c r="J51" t="s">
        <v>632</v>
      </c>
      <c r="M51" t="s">
        <v>695</v>
      </c>
      <c r="X51">
        <v>15</v>
      </c>
      <c r="Y51" t="s">
        <v>615</v>
      </c>
      <c r="Z51" t="str">
        <f t="shared" si="0"/>
        <v>PRESTADORES DE SERVIÇO</v>
      </c>
    </row>
    <row r="52" spans="9:26">
      <c r="I52" s="17" t="s">
        <v>774</v>
      </c>
      <c r="J52" s="17" t="s">
        <v>638</v>
      </c>
      <c r="M52" t="s">
        <v>696</v>
      </c>
      <c r="X52">
        <v>5</v>
      </c>
      <c r="Y52" t="s">
        <v>564</v>
      </c>
      <c r="Z52" t="str">
        <f t="shared" si="0"/>
        <v>GERAIS</v>
      </c>
    </row>
    <row r="53" spans="9:26">
      <c r="I53" s="17" t="s">
        <v>752</v>
      </c>
      <c r="J53" s="17" t="s">
        <v>45</v>
      </c>
      <c r="M53" t="s">
        <v>697</v>
      </c>
      <c r="X53">
        <v>23</v>
      </c>
      <c r="Y53" t="s">
        <v>616</v>
      </c>
      <c r="Z53" t="str">
        <f t="shared" si="0"/>
        <v>IMPOSTOS</v>
      </c>
    </row>
    <row r="54" spans="9:26">
      <c r="I54" t="s">
        <v>580</v>
      </c>
      <c r="J54" t="s">
        <v>635</v>
      </c>
      <c r="M54" t="s">
        <v>698</v>
      </c>
      <c r="X54">
        <v>22</v>
      </c>
      <c r="Y54" t="s">
        <v>617</v>
      </c>
      <c r="Z54" t="str">
        <f t="shared" si="0"/>
        <v>FERNANDO KAWAI</v>
      </c>
    </row>
    <row r="55" spans="9:26">
      <c r="I55" t="s">
        <v>575</v>
      </c>
      <c r="J55" t="s">
        <v>632</v>
      </c>
      <c r="M55" t="s">
        <v>699</v>
      </c>
      <c r="X55">
        <v>10</v>
      </c>
      <c r="Y55" t="s">
        <v>555</v>
      </c>
      <c r="Z55" t="str">
        <f t="shared" si="0"/>
        <v>BANCO ITAU</v>
      </c>
    </row>
    <row r="56" spans="9:26">
      <c r="I56" t="s">
        <v>47</v>
      </c>
      <c r="J56" t="s">
        <v>639</v>
      </c>
      <c r="M56" t="s">
        <v>700</v>
      </c>
      <c r="X56">
        <v>22</v>
      </c>
      <c r="Y56" t="s">
        <v>618</v>
      </c>
      <c r="Z56" t="str">
        <f t="shared" si="0"/>
        <v>FERNANDO KAWAI</v>
      </c>
    </row>
    <row r="57" spans="9:26">
      <c r="I57" s="17" t="s">
        <v>746</v>
      </c>
      <c r="J57" s="17" t="s">
        <v>743</v>
      </c>
      <c r="M57" t="s">
        <v>701</v>
      </c>
      <c r="X57">
        <v>15</v>
      </c>
      <c r="Y57" t="s">
        <v>362</v>
      </c>
      <c r="Z57" t="str">
        <f t="shared" si="0"/>
        <v>PRESTADORES DE SERVIÇO</v>
      </c>
    </row>
    <row r="58" spans="9:26">
      <c r="I58" s="17" t="s">
        <v>764</v>
      </c>
      <c r="J58" s="17" t="s">
        <v>598</v>
      </c>
      <c r="M58" t="s">
        <v>702</v>
      </c>
      <c r="X58">
        <v>23</v>
      </c>
      <c r="Y58" t="s">
        <v>619</v>
      </c>
      <c r="Z58" t="str">
        <f t="shared" si="0"/>
        <v>IMPOSTOS</v>
      </c>
    </row>
    <row r="59" spans="9:26">
      <c r="I59" t="s">
        <v>629</v>
      </c>
      <c r="J59" t="s">
        <v>642</v>
      </c>
      <c r="M59" s="16" t="s">
        <v>733</v>
      </c>
      <c r="X59">
        <v>9</v>
      </c>
      <c r="Y59" t="s">
        <v>620</v>
      </c>
      <c r="Z59" t="str">
        <f t="shared" si="0"/>
        <v>Variáveis</v>
      </c>
    </row>
    <row r="60" spans="9:26">
      <c r="I60" s="17" t="s">
        <v>747</v>
      </c>
      <c r="J60" s="17" t="s">
        <v>743</v>
      </c>
      <c r="M60" t="s">
        <v>703</v>
      </c>
      <c r="X60">
        <v>22</v>
      </c>
      <c r="Y60" t="s">
        <v>621</v>
      </c>
      <c r="Z60" t="str">
        <f t="shared" si="0"/>
        <v>FERNANDO KAWAI</v>
      </c>
    </row>
    <row r="61" spans="9:26">
      <c r="I61" t="s">
        <v>621</v>
      </c>
      <c r="J61" t="s">
        <v>598</v>
      </c>
      <c r="M61" t="s">
        <v>704</v>
      </c>
      <c r="X61">
        <v>9</v>
      </c>
      <c r="Y61" t="s">
        <v>622</v>
      </c>
      <c r="Z61" t="str">
        <f t="shared" si="0"/>
        <v>Variáveis</v>
      </c>
    </row>
    <row r="62" spans="9:26">
      <c r="I62" t="s">
        <v>255</v>
      </c>
      <c r="J62" t="s">
        <v>639</v>
      </c>
      <c r="M62" t="s">
        <v>705</v>
      </c>
      <c r="X62">
        <v>15</v>
      </c>
      <c r="Y62" t="s">
        <v>623</v>
      </c>
      <c r="Z62" t="str">
        <f t="shared" si="0"/>
        <v>PRESTADORES DE SERVIÇO</v>
      </c>
    </row>
    <row r="63" spans="9:26">
      <c r="I63" s="17" t="s">
        <v>320</v>
      </c>
      <c r="J63" s="17" t="s">
        <v>750</v>
      </c>
      <c r="M63" t="s">
        <v>706</v>
      </c>
      <c r="X63">
        <v>16</v>
      </c>
      <c r="Y63" t="s">
        <v>624</v>
      </c>
      <c r="Z63" t="str">
        <f t="shared" si="0"/>
        <v>FUNCIONÁRIOS</v>
      </c>
    </row>
    <row r="64" spans="9:26">
      <c r="I64" t="s">
        <v>588</v>
      </c>
      <c r="J64" t="s">
        <v>638</v>
      </c>
      <c r="M64" t="s">
        <v>707</v>
      </c>
      <c r="X64">
        <v>22</v>
      </c>
      <c r="Y64" t="s">
        <v>625</v>
      </c>
      <c r="Z64" t="str">
        <f t="shared" si="0"/>
        <v>FERNANDO KAWAI</v>
      </c>
    </row>
    <row r="65" spans="9:26">
      <c r="I65" t="s">
        <v>46</v>
      </c>
      <c r="J65" t="s">
        <v>634</v>
      </c>
      <c r="M65" t="s">
        <v>708</v>
      </c>
      <c r="X65">
        <v>15</v>
      </c>
      <c r="Y65" t="s">
        <v>626</v>
      </c>
      <c r="Z65" t="str">
        <f t="shared" si="0"/>
        <v>PRESTADORES DE SERVIÇO</v>
      </c>
    </row>
    <row r="66" spans="9:26">
      <c r="I66" s="17" t="s">
        <v>775</v>
      </c>
      <c r="J66" s="17" t="s">
        <v>642</v>
      </c>
      <c r="M66" t="s">
        <v>709</v>
      </c>
      <c r="X66">
        <v>1</v>
      </c>
      <c r="Y66" t="s">
        <v>627</v>
      </c>
      <c r="Z66" t="str">
        <f t="shared" si="0"/>
        <v>COMUNICAÇÃO</v>
      </c>
    </row>
    <row r="67" spans="9:26">
      <c r="I67" t="s">
        <v>595</v>
      </c>
      <c r="J67" t="s">
        <v>632</v>
      </c>
      <c r="M67" t="s">
        <v>710</v>
      </c>
      <c r="X67">
        <v>15</v>
      </c>
      <c r="Y67" t="s">
        <v>628</v>
      </c>
      <c r="Z67" t="str">
        <f t="shared" ref="Z67:Z69" si="1">VLOOKUP(X67,$AC$1:$AD$17,2,FALSE)</f>
        <v>PRESTADORES DE SERVIÇO</v>
      </c>
    </row>
    <row r="68" spans="9:26">
      <c r="I68" s="17" t="s">
        <v>757</v>
      </c>
      <c r="J68" s="17" t="s">
        <v>641</v>
      </c>
      <c r="M68" t="s">
        <v>711</v>
      </c>
      <c r="X68">
        <v>16</v>
      </c>
      <c r="Y68" t="s">
        <v>629</v>
      </c>
      <c r="Z68" t="str">
        <f t="shared" si="1"/>
        <v>FUNCIONÁRIOS</v>
      </c>
    </row>
    <row r="69" spans="9:26">
      <c r="I69" t="s">
        <v>608</v>
      </c>
      <c r="J69" t="s">
        <v>636</v>
      </c>
      <c r="M69" t="s">
        <v>712</v>
      </c>
      <c r="X69">
        <v>5</v>
      </c>
      <c r="Y69" t="s">
        <v>630</v>
      </c>
      <c r="Z69" t="str">
        <f t="shared" si="1"/>
        <v>GERAIS</v>
      </c>
    </row>
    <row r="70" spans="9:26">
      <c r="I70" t="s">
        <v>601</v>
      </c>
      <c r="J70" t="s">
        <v>641</v>
      </c>
      <c r="M70" t="s">
        <v>713</v>
      </c>
    </row>
    <row r="71" spans="9:26">
      <c r="I71" t="s">
        <v>597</v>
      </c>
      <c r="J71" t="s">
        <v>641</v>
      </c>
      <c r="M71" t="s">
        <v>714</v>
      </c>
    </row>
    <row r="72" spans="9:26">
      <c r="I72" t="s">
        <v>605</v>
      </c>
      <c r="J72" t="s">
        <v>632</v>
      </c>
      <c r="M72" t="s">
        <v>715</v>
      </c>
    </row>
    <row r="73" spans="9:26">
      <c r="I73" t="s">
        <v>620</v>
      </c>
      <c r="J73" t="s">
        <v>638</v>
      </c>
      <c r="M73" t="s">
        <v>716</v>
      </c>
    </row>
    <row r="74" spans="9:26">
      <c r="I74" t="s">
        <v>592</v>
      </c>
      <c r="J74" t="s">
        <v>641</v>
      </c>
      <c r="M74" t="s">
        <v>717</v>
      </c>
    </row>
    <row r="75" spans="9:26">
      <c r="I75" t="s">
        <v>78</v>
      </c>
      <c r="J75" t="s">
        <v>643</v>
      </c>
      <c r="M75" t="s">
        <v>718</v>
      </c>
    </row>
    <row r="76" spans="9:26">
      <c r="I76" s="17" t="s">
        <v>776</v>
      </c>
      <c r="J76" s="17" t="s">
        <v>646</v>
      </c>
      <c r="M76" t="s">
        <v>719</v>
      </c>
    </row>
    <row r="77" spans="9:26">
      <c r="I77" t="s">
        <v>583</v>
      </c>
      <c r="J77" t="s">
        <v>635</v>
      </c>
      <c r="M77" t="s">
        <v>720</v>
      </c>
    </row>
    <row r="78" spans="9:26">
      <c r="I78" s="17" t="s">
        <v>495</v>
      </c>
      <c r="J78" s="17" t="s">
        <v>646</v>
      </c>
      <c r="M78" t="s">
        <v>721</v>
      </c>
    </row>
    <row r="79" spans="9:26">
      <c r="I79" s="17" t="s">
        <v>772</v>
      </c>
      <c r="J79" s="17" t="s">
        <v>750</v>
      </c>
      <c r="M79" t="s">
        <v>722</v>
      </c>
    </row>
    <row r="80" spans="9:26">
      <c r="I80" t="s">
        <v>600</v>
      </c>
      <c r="J80" t="s">
        <v>641</v>
      </c>
      <c r="M80" t="s">
        <v>723</v>
      </c>
    </row>
    <row r="81" spans="9:13">
      <c r="I81" t="s">
        <v>615</v>
      </c>
      <c r="J81" t="s">
        <v>641</v>
      </c>
      <c r="M81" t="s">
        <v>724</v>
      </c>
    </row>
    <row r="82" spans="9:13">
      <c r="I82" t="s">
        <v>626</v>
      </c>
      <c r="J82" t="s">
        <v>641</v>
      </c>
      <c r="M82" t="s">
        <v>725</v>
      </c>
    </row>
    <row r="83" spans="9:13">
      <c r="I83" t="s">
        <v>623</v>
      </c>
      <c r="J83" t="s">
        <v>641</v>
      </c>
      <c r="M83" t="s">
        <v>726</v>
      </c>
    </row>
    <row r="84" spans="9:13">
      <c r="I84" s="17" t="s">
        <v>770</v>
      </c>
      <c r="J84" s="17" t="s">
        <v>632</v>
      </c>
      <c r="M84" t="s">
        <v>727</v>
      </c>
    </row>
    <row r="85" spans="9:13">
      <c r="I85" t="s">
        <v>581</v>
      </c>
      <c r="J85" t="s">
        <v>635</v>
      </c>
      <c r="M85" t="s">
        <v>728</v>
      </c>
    </row>
    <row r="86" spans="9:13">
      <c r="I86" t="s">
        <v>591</v>
      </c>
      <c r="J86" t="s">
        <v>640</v>
      </c>
      <c r="K86" s="18" t="s">
        <v>755</v>
      </c>
      <c r="M86" t="s">
        <v>729</v>
      </c>
    </row>
    <row r="87" spans="9:13">
      <c r="I87" t="s">
        <v>607</v>
      </c>
      <c r="J87" t="s">
        <v>643</v>
      </c>
      <c r="M87" t="s">
        <v>730</v>
      </c>
    </row>
    <row r="88" spans="9:13">
      <c r="I88" t="s">
        <v>355</v>
      </c>
      <c r="J88" t="s">
        <v>643</v>
      </c>
      <c r="M88" t="s">
        <v>731</v>
      </c>
    </row>
    <row r="89" spans="9:13">
      <c r="I89" s="17" t="s">
        <v>754</v>
      </c>
      <c r="J89" s="17" t="s">
        <v>641</v>
      </c>
      <c r="M89" t="s">
        <v>732</v>
      </c>
    </row>
    <row r="90" spans="9:13">
      <c r="I90" s="17" t="s">
        <v>751</v>
      </c>
      <c r="J90" s="17" t="s">
        <v>639</v>
      </c>
      <c r="M90" t="s">
        <v>781</v>
      </c>
    </row>
    <row r="91" spans="9:13">
      <c r="I91" t="s">
        <v>594</v>
      </c>
      <c r="J91" t="s">
        <v>639</v>
      </c>
      <c r="M91" t="s">
        <v>793</v>
      </c>
    </row>
    <row r="92" spans="9:13">
      <c r="I92" t="s">
        <v>590</v>
      </c>
      <c r="J92" t="s">
        <v>639</v>
      </c>
      <c r="M92" t="s">
        <v>794</v>
      </c>
    </row>
    <row r="93" spans="9:13">
      <c r="I93" t="s">
        <v>527</v>
      </c>
      <c r="J93" t="s">
        <v>639</v>
      </c>
    </row>
    <row r="94" spans="9:13">
      <c r="I94" t="s">
        <v>555</v>
      </c>
      <c r="J94" t="s">
        <v>639</v>
      </c>
    </row>
    <row r="95" spans="9:13">
      <c r="I95" t="s">
        <v>609</v>
      </c>
      <c r="J95" t="s">
        <v>639</v>
      </c>
    </row>
    <row r="96" spans="9:13">
      <c r="I96" t="s">
        <v>569</v>
      </c>
      <c r="J96" t="s">
        <v>639</v>
      </c>
    </row>
    <row r="97" spans="9:10">
      <c r="I97" s="17" t="s">
        <v>740</v>
      </c>
      <c r="J97" s="17" t="s">
        <v>641</v>
      </c>
    </row>
    <row r="98" spans="9:10">
      <c r="I98" t="s">
        <v>44</v>
      </c>
      <c r="J98" t="s">
        <v>641</v>
      </c>
    </row>
    <row r="99" spans="9:10">
      <c r="I99" t="s">
        <v>618</v>
      </c>
      <c r="J99" t="s">
        <v>598</v>
      </c>
    </row>
    <row r="100" spans="9:10">
      <c r="I100" t="s">
        <v>610</v>
      </c>
      <c r="J100" t="s">
        <v>632</v>
      </c>
    </row>
    <row r="101" spans="9:10">
      <c r="I101" t="s">
        <v>627</v>
      </c>
      <c r="J101" t="s">
        <v>632</v>
      </c>
    </row>
    <row r="102" spans="9:10">
      <c r="I102" s="17" t="s">
        <v>742</v>
      </c>
      <c r="J102" s="17" t="s">
        <v>598</v>
      </c>
    </row>
  </sheetData>
  <sortState ref="I2:J102">
    <sortCondition ref="I2:I10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2"/>
  <dimension ref="A1:H9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37.42578125" bestFit="1" customWidth="1"/>
    <col min="2" max="2" width="11" bestFit="1" customWidth="1"/>
    <col min="4" max="4" width="14.85546875" bestFit="1" customWidth="1"/>
    <col min="5" max="5" width="14.5703125" bestFit="1" customWidth="1"/>
    <col min="6" max="6" width="11" bestFit="1" customWidth="1"/>
    <col min="7" max="7" width="15.42578125" bestFit="1" customWidth="1"/>
    <col min="8" max="8" width="27" bestFit="1" customWidth="1"/>
  </cols>
  <sheetData>
    <row r="1" spans="1:8" s="1" customFormat="1">
      <c r="A1" s="1" t="s">
        <v>9</v>
      </c>
      <c r="B1" s="1" t="s">
        <v>10</v>
      </c>
      <c r="D1" s="1" t="s">
        <v>34</v>
      </c>
      <c r="E1" s="1" t="s">
        <v>35</v>
      </c>
      <c r="F1" s="1" t="s">
        <v>36</v>
      </c>
      <c r="G1" s="1" t="s">
        <v>50</v>
      </c>
      <c r="H1" s="1" t="s">
        <v>57</v>
      </c>
    </row>
    <row r="2" spans="1:8">
      <c r="A2" t="s">
        <v>12</v>
      </c>
      <c r="B2" t="s">
        <v>11</v>
      </c>
      <c r="D2" s="11" t="s">
        <v>56</v>
      </c>
      <c r="E2" t="s">
        <v>54</v>
      </c>
      <c r="F2" t="s">
        <v>55</v>
      </c>
      <c r="G2" t="s">
        <v>54</v>
      </c>
      <c r="H2" t="s">
        <v>52</v>
      </c>
    </row>
    <row r="3" spans="1:8">
      <c r="A3" t="s">
        <v>14</v>
      </c>
      <c r="B3" t="s">
        <v>13</v>
      </c>
      <c r="D3" s="10"/>
    </row>
    <row r="4" spans="1:8">
      <c r="A4" t="s">
        <v>15</v>
      </c>
      <c r="B4" t="s">
        <v>16</v>
      </c>
    </row>
    <row r="5" spans="1:8">
      <c r="A5" t="s">
        <v>3</v>
      </c>
      <c r="B5" t="s">
        <v>1</v>
      </c>
    </row>
    <row r="6" spans="1:8">
      <c r="A6" t="s">
        <v>17</v>
      </c>
      <c r="B6" t="s">
        <v>18</v>
      </c>
    </row>
    <row r="7" spans="1:8">
      <c r="A7" t="s">
        <v>19</v>
      </c>
      <c r="B7" t="s">
        <v>1</v>
      </c>
    </row>
    <row r="8" spans="1:8">
      <c r="A8" t="s">
        <v>49</v>
      </c>
      <c r="B8" t="s">
        <v>1</v>
      </c>
    </row>
    <row r="9" spans="1:8">
      <c r="A9" t="s">
        <v>52</v>
      </c>
      <c r="B9" t="s">
        <v>53</v>
      </c>
    </row>
  </sheetData>
  <dataValidations count="1">
    <dataValidation type="list" allowBlank="1" showInputMessage="1" showErrorMessage="1" sqref="H2:H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Administração">
        <group id="Grp6" label="Movimento">
          <button id="Btn1" label="Receita" size="large" onAction="cadastroReceita" imageMso="FileNew"/>
          <button id="Btn2" label="Despesa" size="large" onAction="cadastroDespesa" imageMso="FileN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RECEITAS</vt:lpstr>
      <vt:lpstr>DESPESAS</vt:lpstr>
      <vt:lpstr>RECEITAS_CADASTRAR</vt:lpstr>
      <vt:lpstr>DESPESAS_CADASTRAR</vt:lpstr>
      <vt:lpstr>RECEITAS_bkp</vt:lpstr>
      <vt:lpstr>DESPESAS_bkp</vt:lpstr>
      <vt:lpstr>PContas</vt:lpstr>
      <vt:lpstr>ADM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2014-05-16T23:59:49Z</dcterms:created>
  <dcterms:modified xsi:type="dcterms:W3CDTF">2014-07-06T14:27:46Z</dcterms:modified>
</cp:coreProperties>
</file>